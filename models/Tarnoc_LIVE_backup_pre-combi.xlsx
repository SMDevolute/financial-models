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How to read me" sheetId="2" r:id="rId6"/>
    <sheet state="visible" name="Assumptions" sheetId="3" r:id="rId7"/>
    <sheet state="visible" name="Financial Statements" sheetId="4" r:id="rId8"/>
    <sheet state="visible" name="Revenue Forecast" sheetId="5" r:id="rId9"/>
    <sheet state="visible" name="COGS" sheetId="6" r:id="rId10"/>
    <sheet state="visible" name="OPEX" sheetId="7" r:id="rId11"/>
    <sheet state="visible" name="Personnel" sheetId="8" r:id="rId12"/>
    <sheet state="hidden" name="Dasboard (FOR PITCHDECK)" sheetId="9" r:id="rId13"/>
    <sheet state="visible" name="Dashboard" sheetId="10" r:id="rId14"/>
  </sheets>
  <definedNames/>
  <calcPr/>
</workbook>
</file>

<file path=xl/sharedStrings.xml><?xml version="1.0" encoding="utf-8"?>
<sst xmlns="http://schemas.openxmlformats.org/spreadsheetml/2006/main" count="817" uniqueCount="371">
  <si>
    <t xml:space="preserve">Financial Model </t>
  </si>
  <si>
    <t xml:space="preserve">Currency: EUR (€) </t>
  </si>
  <si>
    <t>STRICTLY CONFIDENTIAL</t>
  </si>
  <si>
    <t>Tarnoc — How to Read This Model</t>
  </si>
  <si>
    <t>COLOR CODING</t>
  </si>
  <si>
    <t>Sample</t>
  </si>
  <si>
    <t>Assumptions are hardcoded inputs (sourced from documents)</t>
  </si>
  <si>
    <t>Hardcoded historicalsis actual data from source documents</t>
  </si>
  <si>
    <t>Formula cells are calculated, not hardcoded</t>
  </si>
  <si>
    <t>Subtotal / total rows</t>
  </si>
  <si>
    <t>Section headers / grand totals</t>
  </si>
  <si>
    <t>Subsection headers</t>
  </si>
  <si>
    <t>Margin / ratio rows (grey)</t>
  </si>
  <si>
    <t>Balance sheet check rows (must = 0)</t>
  </si>
  <si>
    <t>FORMULA ARCHITECTURE</t>
  </si>
  <si>
    <t>Assumptions  →  Revenue Forecast, COGS, OPEX, CAPEX, Personnel (all drivers sourced here)</t>
  </si>
  <si>
    <t>Revenue Forecast  →  Financial Statements (revenue lines via cross-sheet links)</t>
  </si>
  <si>
    <t>COGS  →  Financial Statements (cost lines via cross-sheet links)</t>
  </si>
  <si>
    <t>OPEX  →  Financial Statements (opex lines via cross-sheet links)</t>
  </si>
  <si>
    <t>To change a number: ONLY edit cells in the Assumptions tab (yellow/orange).</t>
  </si>
  <si>
    <t>All other tabs will recalculate automatically.</t>
  </si>
  <si>
    <t>FURTHER EXPLANATIONS</t>
  </si>
  <si>
    <t xml:space="preserve">Subsidies: Tarnoc is and has been eligible for a number of subsidies. We will consider application for large projects, however this model excludes the forecast of any subsidy financing foing forward. </t>
  </si>
  <si>
    <t xml:space="preserve">Installation revenues: This is modelled fully as pass through revenue for now, as we plan to charge a customer exactly what we pay the installation partner for these services. This is subject to change in the future. </t>
  </si>
  <si>
    <t xml:space="preserve">Tarnoc's main products are the TTK, Tarnoc Mini, and the Twinciycle (to be in development in 2027). We also plan to sell verious add-ons such as performance booster units, boilers for hybrid setups, and sound reduction units. </t>
  </si>
  <si>
    <t>Service Revenues: Service revenues are calculated relative to installed base. We assume a certain percentage (see assumptions) of customers will purchase our Service package, and are charged annually.</t>
  </si>
  <si>
    <t xml:space="preserve">COGS is driven by the Bill of Materials and volume sales. As our volumes increase, our BOM reduces. We assume 2 year volume sales will determine our BOM, and is modedled as such. </t>
  </si>
  <si>
    <t>Sales and Marketing costs are largely driven by permfomance marketing, and are calcualted on a volume and CPL basis. ]</t>
  </si>
  <si>
    <t>Drivers &amp; Assumptions</t>
  </si>
  <si>
    <t>ASSUMPTIONS</t>
  </si>
  <si>
    <t>General Assumptions</t>
  </si>
  <si>
    <t>Opening Cash Balance (Jan 2024)</t>
  </si>
  <si>
    <t>Annual salary increase (%)</t>
  </si>
  <si>
    <t>Employer cost basis</t>
  </si>
  <si>
    <t>Werkgeverlasten (incl. taxes)</t>
  </si>
  <si>
    <t>Holiday pay (%)</t>
  </si>
  <si>
    <t>Income tax rate</t>
  </si>
  <si>
    <t>Working Capital</t>
  </si>
  <si>
    <t xml:space="preserve"> </t>
  </si>
  <si>
    <t>Days Sales Outstanding (DSO)</t>
  </si>
  <si>
    <t>days</t>
  </si>
  <si>
    <t>Days Payable Outstanding (DPO)</t>
  </si>
  <si>
    <t>Days Inventory Outstanding (DIO)</t>
  </si>
  <si>
    <t>Pre-payment</t>
  </si>
  <si>
    <t>%</t>
  </si>
  <si>
    <t>Revenue Build</t>
  </si>
  <si>
    <t>Units sold</t>
  </si>
  <si>
    <t>TTK</t>
  </si>
  <si>
    <t>Tarnoc Mini</t>
  </si>
  <si>
    <t>Discounter</t>
  </si>
  <si>
    <t>Pricing</t>
  </si>
  <si>
    <t>TTK PRICING</t>
  </si>
  <si>
    <t>TTK Price</t>
  </si>
  <si>
    <t>Management input (excl. VAT)</t>
  </si>
  <si>
    <t>MINI PRICING</t>
  </si>
  <si>
    <t>Mini Price</t>
  </si>
  <si>
    <t>Management input (excl. BTW)</t>
  </si>
  <si>
    <t>INSTALLATION (PASS THROUGH; REV=COST)</t>
  </si>
  <si>
    <t>COGS</t>
  </si>
  <si>
    <t>Bill of Materials TTK supplier 1</t>
  </si>
  <si>
    <t>#</t>
  </si>
  <si>
    <t>Category</t>
  </si>
  <si>
    <t>Component</t>
  </si>
  <si>
    <t>1,000 units</t>
  </si>
  <si>
    <t>5,000 units</t>
  </si>
  <si>
    <t>10,000 units</t>
  </si>
  <si>
    <t>Unit</t>
  </si>
  <si>
    <t>Source</t>
  </si>
  <si>
    <t>B1</t>
  </si>
  <si>
    <t>Supplier 1</t>
  </si>
  <si>
    <t>Compressor + VFD</t>
  </si>
  <si>
    <t>€/unit</t>
  </si>
  <si>
    <t>Source: BOM data provided</t>
  </si>
  <si>
    <t>B2</t>
  </si>
  <si>
    <t>Heat exchangers (set)</t>
  </si>
  <si>
    <t>B3</t>
  </si>
  <si>
    <t>Electronics &amp; Power Electronics</t>
  </si>
  <si>
    <t>B4</t>
  </si>
  <si>
    <t>Hydraulic Components (Pumps, Valves, etc.)</t>
  </si>
  <si>
    <t>B5</t>
  </si>
  <si>
    <t>Silencer &amp; Insulation</t>
  </si>
  <si>
    <t>B6</t>
  </si>
  <si>
    <t>Enclosure (Sheet Metal &amp; Coating)</t>
  </si>
  <si>
    <t>B7</t>
  </si>
  <si>
    <t>Other Components</t>
  </si>
  <si>
    <t>B8</t>
  </si>
  <si>
    <t>Assembly &amp; Final Testing</t>
  </si>
  <si>
    <t>B9</t>
  </si>
  <si>
    <t>Packaging &amp; Inbound Logistics</t>
  </si>
  <si>
    <t>B10</t>
  </si>
  <si>
    <t>Yield Loss &amp; Warranty Provision (~3%)</t>
  </si>
  <si>
    <t>B11</t>
  </si>
  <si>
    <t>Contingency/risk</t>
  </si>
  <si>
    <t>Contingency &amp; Risk Reserve</t>
  </si>
  <si>
    <t xml:space="preserve">Source: No source, added for risk purposes </t>
  </si>
  <si>
    <t>B-T</t>
  </si>
  <si>
    <t>Supplier 1 total</t>
  </si>
  <si>
    <t>Total COGS / unit (BOM)</t>
  </si>
  <si>
    <t>Bill of Materials TTK supplier 2</t>
  </si>
  <si>
    <t>D1</t>
  </si>
  <si>
    <t>Supplier 2</t>
  </si>
  <si>
    <t>D2</t>
  </si>
  <si>
    <t>D3</t>
  </si>
  <si>
    <t>Elektronica &amp; vermogenselektronica</t>
  </si>
  <si>
    <t>D4</t>
  </si>
  <si>
    <t>Hydraulisch (pompen/kleppen/etc.)</t>
  </si>
  <si>
    <t>D5</t>
  </si>
  <si>
    <t>Silencer + isolatie</t>
  </si>
  <si>
    <t>D6</t>
  </si>
  <si>
    <t>Enclosure (plaatwerk, coating)</t>
  </si>
  <si>
    <t>D7</t>
  </si>
  <si>
    <t>Everything Else</t>
  </si>
  <si>
    <t>D8</t>
  </si>
  <si>
    <t>Assemblage &amp; eindtest</t>
  </si>
  <si>
    <t>D9</t>
  </si>
  <si>
    <t>Verpakking &amp; logistiek inkomend</t>
  </si>
  <si>
    <t>D10</t>
  </si>
  <si>
    <t>Yield / garantie-reserve (~3%)</t>
  </si>
  <si>
    <t>Supplier 2 total</t>
  </si>
  <si>
    <t>TTK Volume tier breakpoints</t>
  </si>
  <si>
    <t>Min Units (≥)</t>
  </si>
  <si>
    <t>Cost / unit</t>
  </si>
  <si>
    <t>Note</t>
  </si>
  <si>
    <t>Linked from BOM Total row above</t>
  </si>
  <si>
    <t>Tarnoc Mini Tier Breakpoints</t>
  </si>
  <si>
    <t>500 units</t>
  </si>
  <si>
    <t>H1</t>
  </si>
  <si>
    <t>Mini BOM</t>
  </si>
  <si>
    <t>Heat pump</t>
  </si>
  <si>
    <t>Source: BOM data</t>
  </si>
  <si>
    <t>H2</t>
  </si>
  <si>
    <t>Shipping</t>
  </si>
  <si>
    <t>H3</t>
  </si>
  <si>
    <t>Enclosure + tank</t>
  </si>
  <si>
    <t>H4</t>
  </si>
  <si>
    <t>Manufacturing</t>
  </si>
  <si>
    <t>T</t>
  </si>
  <si>
    <t>Total COGS / unit — MINI</t>
  </si>
  <si>
    <t>I-T.  MINI VOLUME TIER BREAKPOINTS</t>
  </si>
  <si>
    <t>Other operating expenditures</t>
  </si>
  <si>
    <t>Yearly increase:</t>
  </si>
  <si>
    <t>Office rent (part of General)</t>
  </si>
  <si>
    <t>G&amp;A</t>
  </si>
  <si>
    <t>ongoing</t>
  </si>
  <si>
    <t>Other General</t>
  </si>
  <si>
    <t>Baseline Sales &amp; Marketing</t>
  </si>
  <si>
    <t>S&amp;M</t>
  </si>
  <si>
    <t>Finance &amp; Legal etc.</t>
  </si>
  <si>
    <t>Ongoing Development costs</t>
  </si>
  <si>
    <t>R&amp;D</t>
  </si>
  <si>
    <t xml:space="preserve">Third party cost product development </t>
  </si>
  <si>
    <t>Kicker Development Cost</t>
  </si>
  <si>
    <t>one-off</t>
  </si>
  <si>
    <t>Customer journey (third party)</t>
  </si>
  <si>
    <t>Branding + Website (third party cost)</t>
  </si>
  <si>
    <t>Assembly partner</t>
  </si>
  <si>
    <t>Tooling Fisher (result: 2%-3%)</t>
  </si>
  <si>
    <t>Assumptions for costs per unit sold (3rd parties or expenses (NO personell)</t>
  </si>
  <si>
    <t>S&amp;M cost per unit</t>
  </si>
  <si>
    <t>Decrease</t>
  </si>
  <si>
    <t>Yearly costs</t>
  </si>
  <si>
    <t>Marketing spend per Customer</t>
  </si>
  <si>
    <t>€80/lead with 20% closing rate</t>
  </si>
  <si>
    <t>third party</t>
  </si>
  <si>
    <t>Closing costs per customer</t>
  </si>
  <si>
    <t>(Calls, viewing location, etc)</t>
  </si>
  <si>
    <t>Aftersales and support</t>
  </si>
  <si>
    <t>Cost per unit sold (cost down driven by volume)</t>
  </si>
  <si>
    <t>costdown: S(n)=S(1)*n^-b, where b=0,2</t>
  </si>
  <si>
    <t>S(1)</t>
  </si>
  <si>
    <t>Product</t>
  </si>
  <si>
    <t>Upsell item</t>
  </si>
  <si>
    <t>Type</t>
  </si>
  <si>
    <t>Attach %</t>
  </si>
  <si>
    <t>Unit rev. (EX VAT)</t>
  </si>
  <si>
    <t>Unit COGS</t>
  </si>
  <si>
    <t>Gross profit</t>
  </si>
  <si>
    <t>avg. Value</t>
  </si>
  <si>
    <t>avg. profit</t>
  </si>
  <si>
    <t>Turbine Heat Pump</t>
  </si>
  <si>
    <t>Boiler variant 50</t>
  </si>
  <si>
    <t>One-time</t>
  </si>
  <si>
    <t>Boiler variant 100</t>
  </si>
  <si>
    <t>Sound reduction</t>
  </si>
  <si>
    <t xml:space="preserve">Power Booster </t>
  </si>
  <si>
    <t>Turbine Heat Pump subtotal</t>
  </si>
  <si>
    <t>Basic service contract</t>
  </si>
  <si>
    <t>Service contract (yearly)</t>
  </si>
  <si>
    <t>Premium service contract</t>
  </si>
  <si>
    <t>Tarnoc Mini Heat Pump</t>
  </si>
  <si>
    <t>Boiler variant 250</t>
  </si>
  <si>
    <t>Tarnoc Mini Heat Pump subtotal</t>
  </si>
  <si>
    <t/>
  </si>
  <si>
    <t>Tarnoc B.V. — Financial Statements (€)</t>
  </si>
  <si>
    <t>2025</t>
  </si>
  <si>
    <t>2026</t>
  </si>
  <si>
    <t>2027</t>
  </si>
  <si>
    <t>2028</t>
  </si>
  <si>
    <t>PROFIT &amp; LOSS STATEMENT</t>
  </si>
  <si>
    <t>Revenues</t>
  </si>
  <si>
    <t xml:space="preserve">TTK </t>
  </si>
  <si>
    <t>€</t>
  </si>
  <si>
    <t>Other</t>
  </si>
  <si>
    <t>Subsidies &amp; grants</t>
  </si>
  <si>
    <t>pm</t>
  </si>
  <si>
    <t>Total Revenue</t>
  </si>
  <si>
    <t>Cost of goods sold</t>
  </si>
  <si>
    <t xml:space="preserve">Other </t>
  </si>
  <si>
    <t>Total COGS</t>
  </si>
  <si>
    <t>Gross Profit</t>
  </si>
  <si>
    <t>Gross margin %</t>
  </si>
  <si>
    <t>Operational expenses</t>
  </si>
  <si>
    <t>Total OPEX</t>
  </si>
  <si>
    <t>EBITDA</t>
  </si>
  <si>
    <t>EBITDA margin %</t>
  </si>
  <si>
    <t>Depreciation &amp; Amortisation</t>
  </si>
  <si>
    <t>Interst payments</t>
  </si>
  <si>
    <t>EBT</t>
  </si>
  <si>
    <t>Income tax</t>
  </si>
  <si>
    <t>NET INCOME</t>
  </si>
  <si>
    <t>Profit margin %</t>
  </si>
  <si>
    <t xml:space="preserve">Tax carry over to be applied </t>
  </si>
  <si>
    <t>CASH FLOW STATEMENT</t>
  </si>
  <si>
    <t>Net income</t>
  </si>
  <si>
    <t>Depreciation &amp; amortisation</t>
  </si>
  <si>
    <t>Increase in accounts receivable (delta DSO)</t>
  </si>
  <si>
    <t>Increase in accounts payable (delta DPO)</t>
  </si>
  <si>
    <t>Change in inventory (delta DIO)</t>
  </si>
  <si>
    <t>Cash from Operations</t>
  </si>
  <si>
    <t>CAPEX</t>
  </si>
  <si>
    <t>Cash from Investing</t>
  </si>
  <si>
    <t>Equity injection</t>
  </si>
  <si>
    <t>Loan (CLA)</t>
  </si>
  <si>
    <t>Cash from Financing</t>
  </si>
  <si>
    <t>Total Change in Cash</t>
  </si>
  <si>
    <t>Beginning cash balance</t>
  </si>
  <si>
    <t>Ending Cash Balance</t>
  </si>
  <si>
    <t>BALANCE SHEET</t>
  </si>
  <si>
    <t>ASSETS</t>
  </si>
  <si>
    <t>Cash and cash equivalents</t>
  </si>
  <si>
    <t>Deferred tax assest ("carry forward")</t>
  </si>
  <si>
    <t>Accounts receivable (DSO-based)</t>
  </si>
  <si>
    <t>Inventory (DIO-based)</t>
  </si>
  <si>
    <t>Total Current Assets</t>
  </si>
  <si>
    <t xml:space="preserve">Net PP&amp;E </t>
  </si>
  <si>
    <t>Total Fixed Assets</t>
  </si>
  <si>
    <t>TOTAL ASSETS</t>
  </si>
  <si>
    <t>EQUITY &amp; LIABILITIES</t>
  </si>
  <si>
    <t>Accounts payable (DPO-based)</t>
  </si>
  <si>
    <t>Total Current Liabilities</t>
  </si>
  <si>
    <t>Innovation loan outstanding</t>
  </si>
  <si>
    <t>Total Long-Term Liabilities</t>
  </si>
  <si>
    <t>Share capital + premium</t>
  </si>
  <si>
    <t>Cumulative equity injections</t>
  </si>
  <si>
    <t>Retained earnings (cumulative net income)</t>
  </si>
  <si>
    <t>Total Equity</t>
  </si>
  <si>
    <t>TOTAL EQUITY &amp; LIABILITIES</t>
  </si>
  <si>
    <t>CHECK  (Total Assets − Total E&amp;L  =  0)</t>
  </si>
  <si>
    <t>Tarnoc B.V. — Revenue Forecast (€, ex VAT unless noted)</t>
  </si>
  <si>
    <t>TURBINEKETEL (TTK)</t>
  </si>
  <si>
    <t>TTK units sold</t>
  </si>
  <si>
    <t>TTK Revenue</t>
  </si>
  <si>
    <t>TTK upsell</t>
  </si>
  <si>
    <t>Total TTK Revenue</t>
  </si>
  <si>
    <t>TARNOC MINI</t>
  </si>
  <si>
    <t>Mini units sold</t>
  </si>
  <si>
    <t>Mini Revenue</t>
  </si>
  <si>
    <t>Mini upsell</t>
  </si>
  <si>
    <t>Total Mini Revenue</t>
  </si>
  <si>
    <t>INSTALLATION REVENUES</t>
  </si>
  <si>
    <t>Units installed</t>
  </si>
  <si>
    <t>Total Installation Revenue</t>
  </si>
  <si>
    <t>SERVICE REVENUES</t>
  </si>
  <si>
    <t>Installed base (TTK)</t>
  </si>
  <si>
    <t>Installed base (Mini)</t>
  </si>
  <si>
    <t>Total Service Revenue</t>
  </si>
  <si>
    <t>SUBSIDIES &amp; GRANTS</t>
  </si>
  <si>
    <t>All other</t>
  </si>
  <si>
    <t>Total Subsidies &amp; Grants</t>
  </si>
  <si>
    <t>TOTAL REVENUE</t>
  </si>
  <si>
    <t>Installed Base</t>
  </si>
  <si>
    <t>Tarnoc B.V. — COGS Schedule (€)</t>
  </si>
  <si>
    <t>Upsell</t>
  </si>
  <si>
    <t>Total TTK COGS</t>
  </si>
  <si>
    <t>Total COGS Mini</t>
  </si>
  <si>
    <t>Total Mini COGS</t>
  </si>
  <si>
    <t>INSTALLATION</t>
  </si>
  <si>
    <t>Total COGS Mini &amp; TTK</t>
  </si>
  <si>
    <t>TOTAL COGS</t>
  </si>
  <si>
    <t>Tarnoc B.V. — OPEX Forecast (€, negative = cost)</t>
  </si>
  <si>
    <t>Actual</t>
  </si>
  <si>
    <t>Projected</t>
  </si>
  <si>
    <t>PERSONNEL</t>
  </si>
  <si>
    <t>Total Personnel</t>
  </si>
  <si>
    <t>NON-PERSONNEL</t>
  </si>
  <si>
    <t>R&amp;D COSTS</t>
  </si>
  <si>
    <t>Third party cost product development</t>
  </si>
  <si>
    <t>Total R&amp;D</t>
  </si>
  <si>
    <t>SALES &amp; MARKETING</t>
  </si>
  <si>
    <t>Baseline Sales &amp; Marketting</t>
  </si>
  <si>
    <t>Sales &amp; Marketing (3rd party)</t>
  </si>
  <si>
    <t>Total S&amp;M</t>
  </si>
  <si>
    <t>G&amp;A (NON-LABOUR)</t>
  </si>
  <si>
    <t>Total G&amp;A</t>
  </si>
  <si>
    <t>Total non-personnell</t>
  </si>
  <si>
    <t>TOTAL OPEX</t>
  </si>
  <si>
    <t>R&amp;D % of Total OPEX</t>
  </si>
  <si>
    <t>S&amp;M % of Total OPEX</t>
  </si>
  <si>
    <t>G&amp;A % of Total OPEX</t>
  </si>
  <si>
    <t>PERSONNEL — Monthly Employer Cost (€)</t>
  </si>
  <si>
    <t>Name</t>
  </si>
  <si>
    <t>Dept</t>
  </si>
  <si>
    <t>Role</t>
  </si>
  <si>
    <t>Start</t>
  </si>
  <si>
    <t>End</t>
  </si>
  <si>
    <t>Monthly Cost (€)</t>
  </si>
  <si>
    <t>R&amp;D Engineer</t>
  </si>
  <si>
    <t>Field Engineer</t>
  </si>
  <si>
    <t>Current</t>
  </si>
  <si>
    <t>Project manager</t>
  </si>
  <si>
    <t>Firmware Engineer</t>
  </si>
  <si>
    <t>Mechanical Engineer</t>
  </si>
  <si>
    <t>Electrical Engineer</t>
  </si>
  <si>
    <t>CFO (part time)</t>
  </si>
  <si>
    <t>CFO</t>
  </si>
  <si>
    <t>CTO</t>
  </si>
  <si>
    <t>Head of Growth</t>
  </si>
  <si>
    <t>Growth</t>
  </si>
  <si>
    <t>CEO</t>
  </si>
  <si>
    <t>PLANNED HIRES</t>
  </si>
  <si>
    <t>New hire</t>
  </si>
  <si>
    <t>Software Engineer</t>
  </si>
  <si>
    <t>Planned</t>
  </si>
  <si>
    <t>COO</t>
  </si>
  <si>
    <t>Maintenance Engineer</t>
  </si>
  <si>
    <t>Marketing</t>
  </si>
  <si>
    <t>Sales</t>
  </si>
  <si>
    <t>Office Support</t>
  </si>
  <si>
    <t>Logistics</t>
  </si>
  <si>
    <t>Partner Manager</t>
  </si>
  <si>
    <t>Finance</t>
  </si>
  <si>
    <t>Account Manager</t>
  </si>
  <si>
    <t>Operations</t>
  </si>
  <si>
    <t xml:space="preserve">How to use this section: </t>
  </si>
  <si>
    <t xml:space="preserve">When adding an employee, follow the structure above, filling in columns A through H. Then drag the formula from the row above in column H down, and accross. Additionally, add a new employee above row 38, as the formulas below will not capture the new employee. </t>
  </si>
  <si>
    <t>SUMMARY BY DEPARTMENT</t>
  </si>
  <si>
    <t>TOTAL</t>
  </si>
  <si>
    <t>HEADCOUNT BY DEPARTMENT</t>
  </si>
  <si>
    <t>TOTAL HEADCOUNT</t>
  </si>
  <si>
    <t>Financials</t>
  </si>
  <si>
    <t>Units &amp; Revenues</t>
  </si>
  <si>
    <t>Revenues (€)</t>
  </si>
  <si>
    <t>TTK revenues</t>
  </si>
  <si>
    <t>COGS (€)</t>
  </si>
  <si>
    <t xml:space="preserve">Mini units sold </t>
  </si>
  <si>
    <t>MIni revenues</t>
  </si>
  <si>
    <t>OPEX (€)</t>
  </si>
  <si>
    <t>TTK revenues (€)</t>
  </si>
  <si>
    <t>MIni revenues (€)</t>
  </si>
  <si>
    <t>Distribution of funds</t>
  </si>
  <si>
    <t>Production/Aasembly</t>
  </si>
  <si>
    <t>Product development</t>
  </si>
  <si>
    <t>Sales &amp; Marketing</t>
  </si>
  <si>
    <t>REVENUES (€)</t>
  </si>
  <si>
    <t>Headcount</t>
  </si>
  <si>
    <t>Revenue/FTE</t>
  </si>
  <si>
    <t>EBITDA/FTE</t>
  </si>
  <si>
    <t>EBITDA (€)</t>
  </si>
  <si>
    <t>Seed Distribution of funds</t>
  </si>
  <si>
    <t>EBT (€)</t>
  </si>
  <si>
    <t>NET INCOME (€)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</si>
</sst>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%;\(0%\);\-"/>
    <numFmt numFmtId="165" formatCode="0.0%"/>
    <numFmt numFmtId="166" formatCode="#,##0;\(#,##0\);\-"/>
    <numFmt numFmtId="167" formatCode="0.00\x"/>
    <numFmt numFmtId="168" formatCode="&quot;€&quot;#,##0"/>
    <numFmt numFmtId="169" formatCode="\€#,##0.00;&quot;(€&quot;#,##0.00\);\-"/>
    <numFmt numFmtId="170" formatCode="&quot;€&quot;#,##0.00"/>
    <numFmt numFmtId="171" formatCode="\€#,##0;&quot;(€&quot;#,##0\);\-"/>
    <numFmt numFmtId="172" formatCode="[$€]#,##0.00"/>
    <numFmt numFmtId="173" formatCode="[$€]#,##0"/>
    <numFmt numFmtId="174" formatCode="mmm&quot; &quot;yyyy"/>
    <numFmt numFmtId="175" formatCode="mmm&quot;-&quot;yy"/>
    <numFmt numFmtId="176" formatCode="mmm\-yy"/>
    <numFmt numFmtId="177" formatCode="mm/dd/yyyy"/>
    <numFmt numFmtId="178" formatCode="0;0;\-"/>
  </numFmts>
  <fonts count="38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b/>
      <sz val="20.0"/>
      <color rgb="FFFFFFFF"/>
      <name val="Arial"/>
    </font>
    <font>
      <sz val="12.0"/>
      <color rgb="FFFFFFFF"/>
      <name val="Arial"/>
    </font>
    <font>
      <sz val="9.0"/>
      <color rgb="FFFFFFFF"/>
      <name val="Arial"/>
    </font>
    <font>
      <b/>
      <sz val="10.0"/>
      <color rgb="FFFF0000"/>
      <name val="Arial"/>
    </font>
    <font>
      <sz val="11.0"/>
      <color theme="1"/>
      <name val="Geist"/>
    </font>
    <font>
      <b/>
      <sz val="11.0"/>
      <color rgb="FFFFFFFF"/>
      <name val="Geist"/>
    </font>
    <font>
      <b/>
      <sz val="11.0"/>
      <color rgb="FF000000"/>
      <name val="Geist"/>
    </font>
    <font>
      <sz val="11.0"/>
      <color rgb="FF000000"/>
      <name val="Geist"/>
    </font>
    <font>
      <b/>
      <sz val="11.0"/>
      <color rgb="FF0000FF"/>
      <name val="Geist"/>
    </font>
    <font>
      <b/>
      <sz val="11.0"/>
      <color rgb="FF999999"/>
      <name val="Geist"/>
    </font>
    <font>
      <b/>
      <sz val="11.0"/>
      <color rgb="FFCCCCCC"/>
      <name val="Geist"/>
    </font>
    <font>
      <sz val="11.0"/>
      <color rgb="FF999999"/>
      <name val="Geist"/>
    </font>
    <font>
      <sz val="10.0"/>
      <color theme="1"/>
      <name val="Geist"/>
    </font>
    <font>
      <b/>
      <sz val="10.0"/>
      <color rgb="FF000000"/>
      <name val="Geist"/>
    </font>
    <font>
      <b/>
      <sz val="10.0"/>
      <color rgb="FFFFFFFF"/>
      <name val="Geist"/>
    </font>
    <font/>
    <font>
      <sz val="10.0"/>
      <color rgb="FF0000FF"/>
      <name val="Geist"/>
    </font>
    <font>
      <sz val="10.0"/>
      <color rgb="FF000000"/>
      <name val="Geist"/>
    </font>
    <font>
      <sz val="10.0"/>
      <color rgb="FF595959"/>
      <name val="Geist"/>
    </font>
    <font>
      <b/>
      <sz val="10.0"/>
      <color rgb="FF0000FF"/>
      <name val="Geist"/>
    </font>
    <font>
      <b/>
      <sz val="10.0"/>
      <color theme="1"/>
      <name val="Geist"/>
    </font>
    <font>
      <b/>
      <color theme="1"/>
      <name val="Calibri"/>
    </font>
    <font>
      <sz val="10.0"/>
      <color rgb="FFCCCCCC"/>
      <name val="Geist"/>
    </font>
    <font>
      <i/>
      <sz val="10.0"/>
      <color rgb="FFFFFFFF"/>
      <name val="Geist"/>
    </font>
    <font>
      <sz val="10.0"/>
      <color rgb="FFFFFFFF"/>
      <name val="Geist"/>
    </font>
    <font>
      <sz val="10.0"/>
      <color rgb="FF999999"/>
      <name val="Geist"/>
    </font>
    <font>
      <i/>
      <sz val="10.0"/>
      <color rgb="FFCCCCCC"/>
      <name val="Geist"/>
    </font>
    <font>
      <i/>
      <sz val="10.0"/>
      <color rgb="FF000000"/>
      <name val="Geist"/>
    </font>
    <font>
      <i/>
      <sz val="10.0"/>
      <color theme="1"/>
      <name val="Geist"/>
    </font>
    <font>
      <i/>
      <sz val="10.0"/>
      <color rgb="FF0000FF"/>
      <name val="Geist"/>
    </font>
    <font>
      <sz val="10.0"/>
      <color rgb="FF008000"/>
      <name val="Geist"/>
    </font>
    <font>
      <i/>
      <sz val="10.0"/>
      <color rgb="FF999999"/>
      <name val="Geist"/>
    </font>
    <font>
      <b/>
      <sz val="10.0"/>
      <color rgb="FF999999"/>
      <name val="Geist"/>
    </font>
    <font>
      <i/>
      <sz val="10.0"/>
      <color rgb="FF2E75B6"/>
      <name val="Geist"/>
    </font>
    <font>
      <b/>
      <i/>
      <sz val="10.0"/>
      <color theme="1"/>
      <name val="Geist"/>
    </font>
  </fonts>
  <fills count="1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233145"/>
        <bgColor rgb="FF233145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3A5068"/>
        <bgColor rgb="FF3A5068"/>
      </patternFill>
    </fill>
  </fills>
  <borders count="20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B7B7B7"/>
      </top>
      <bottom style="thin">
        <color rgb="FFB7B7B7"/>
      </bottom>
    </border>
    <border>
      <bottom style="thin">
        <color rgb="FFB7B7B7"/>
      </bottom>
    </border>
    <border>
      <left style="thin">
        <color rgb="FFFF0000"/>
      </left>
      <top style="thin">
        <color rgb="FFFF0000"/>
      </top>
      <bottom style="thin">
        <color rgb="FFFF0000"/>
      </bottom>
    </border>
    <border>
      <top style="thin">
        <color rgb="FFFF0000"/>
      </top>
      <bottom style="thin">
        <color rgb="FFFF0000"/>
      </bottom>
    </border>
    <border>
      <right style="thin">
        <color rgb="FFFF0000"/>
      </right>
      <top style="thin">
        <color rgb="FFFF0000"/>
      </top>
      <bottom style="thin">
        <color rgb="FFFF0000"/>
      </bottom>
    </border>
    <border>
      <left/>
      <right/>
      <top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3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2" fontId="2" numFmtId="0" xfId="0" applyFont="1"/>
    <xf borderId="1" fillId="2" fontId="3" numFmtId="0" xfId="0" applyBorder="1" applyFont="1"/>
    <xf borderId="1" fillId="2" fontId="4" numFmtId="0" xfId="0" applyBorder="1" applyFont="1"/>
    <xf borderId="1" fillId="2" fontId="5" numFmtId="0" xfId="0" applyBorder="1" applyFont="1"/>
    <xf borderId="1" fillId="2" fontId="6" numFmtId="0" xfId="0" applyBorder="1" applyFont="1"/>
    <xf borderId="1" fillId="3" fontId="7" numFmtId="0" xfId="0" applyBorder="1" applyFill="1" applyFont="1"/>
    <xf borderId="1" fillId="3" fontId="8" numFmtId="0" xfId="0" applyBorder="1" applyFont="1"/>
    <xf borderId="0" fillId="0" fontId="7" numFmtId="0" xfId="0" applyFont="1"/>
    <xf borderId="0" fillId="0" fontId="9" numFmtId="0" xfId="0" applyFont="1"/>
    <xf borderId="1" fillId="4" fontId="9" numFmtId="0" xfId="0" applyBorder="1" applyFill="1" applyFont="1"/>
    <xf borderId="0" fillId="0" fontId="10" numFmtId="0" xfId="0" applyFont="1"/>
    <xf borderId="0" fillId="0" fontId="11" numFmtId="0" xfId="0" applyFont="1"/>
    <xf borderId="1" fillId="5" fontId="9" numFmtId="0" xfId="0" applyBorder="1" applyFill="1" applyFont="1"/>
    <xf borderId="1" fillId="6" fontId="9" numFmtId="0" xfId="0" applyBorder="1" applyFill="1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0" fillId="2" fontId="15" numFmtId="0" xfId="0" applyAlignment="1" applyFont="1">
      <alignment vertical="bottom"/>
    </xf>
    <xf borderId="0" fillId="2" fontId="16" numFmtId="0" xfId="0" applyFont="1"/>
    <xf borderId="0" fillId="2" fontId="17" numFmtId="0" xfId="0" applyFont="1"/>
    <xf borderId="0" fillId="0" fontId="15" numFmtId="0" xfId="0" applyAlignment="1" applyFont="1">
      <alignment vertical="bottom"/>
    </xf>
    <xf borderId="0" fillId="7" fontId="15" numFmtId="0" xfId="0" applyAlignment="1" applyFill="1" applyFont="1">
      <alignment vertical="bottom"/>
    </xf>
    <xf borderId="2" fillId="2" fontId="17" numFmtId="0" xfId="0" applyBorder="1" applyFont="1"/>
    <xf borderId="3" fillId="0" fontId="18" numFmtId="0" xfId="0" applyBorder="1" applyFont="1"/>
    <xf borderId="2" fillId="7" fontId="17" numFmtId="0" xfId="0" applyBorder="1" applyFont="1"/>
    <xf borderId="0" fillId="0" fontId="15" numFmtId="0" xfId="0" applyFont="1"/>
    <xf borderId="0" fillId="0" fontId="19" numFmtId="3" xfId="0" applyAlignment="1" applyFont="1" applyNumberFormat="1">
      <alignment horizontal="right" vertical="bottom"/>
    </xf>
    <xf borderId="0" fillId="4" fontId="20" numFmtId="9" xfId="0" applyAlignment="1" applyFont="1" applyNumberFormat="1">
      <alignment horizontal="right" vertical="bottom"/>
    </xf>
    <xf borderId="0" fillId="4" fontId="20" numFmtId="0" xfId="0" applyAlignment="1" applyFont="1">
      <alignment vertical="bottom"/>
    </xf>
    <xf borderId="0" fillId="4" fontId="20" numFmtId="164" xfId="0" applyAlignment="1" applyFont="1" applyNumberFormat="1">
      <alignment horizontal="right" vertical="bottom"/>
    </xf>
    <xf borderId="0" fillId="4" fontId="20" numFmtId="165" xfId="0" applyAlignment="1" applyFont="1" applyNumberFormat="1">
      <alignment horizontal="right" vertical="bottom"/>
    </xf>
    <xf borderId="0" fillId="0" fontId="17" numFmtId="0" xfId="0" applyAlignment="1" applyFont="1">
      <alignment horizontal="left" vertical="center"/>
    </xf>
    <xf borderId="0" fillId="7" fontId="15" numFmtId="0" xfId="0" applyFont="1"/>
    <xf borderId="0" fillId="7" fontId="17" numFmtId="0" xfId="0" applyFont="1"/>
    <xf borderId="1" fillId="7" fontId="20" numFmtId="3" xfId="0" applyAlignment="1" applyBorder="1" applyFont="1" applyNumberFormat="1">
      <alignment horizontal="right" vertical="center"/>
    </xf>
    <xf borderId="0" fillId="0" fontId="20" numFmtId="0" xfId="0" applyAlignment="1" applyFont="1">
      <alignment horizontal="left" vertical="center"/>
    </xf>
    <xf borderId="0" fillId="4" fontId="20" numFmtId="166" xfId="0" applyFont="1" applyNumberFormat="1"/>
    <xf borderId="0" fillId="7" fontId="20" numFmtId="3" xfId="0" applyFont="1" applyNumberFormat="1"/>
    <xf borderId="0" fillId="4" fontId="20" numFmtId="9" xfId="0" applyFont="1" applyNumberFormat="1"/>
    <xf borderId="0" fillId="2" fontId="15" numFmtId="0" xfId="0" applyFont="1"/>
    <xf borderId="0" fillId="5" fontId="16" numFmtId="0" xfId="0" applyAlignment="1" applyFont="1">
      <alignment horizontal="left" vertical="center"/>
    </xf>
    <xf borderId="0" fillId="4" fontId="20" numFmtId="3" xfId="0" applyFont="1" applyNumberFormat="1"/>
    <xf borderId="0" fillId="4" fontId="20" numFmtId="0" xfId="0" applyFont="1"/>
    <xf borderId="0" fillId="0" fontId="20" numFmtId="0" xfId="0" applyFont="1"/>
    <xf borderId="0" fillId="7" fontId="21" numFmtId="0" xfId="0" applyFont="1"/>
    <xf borderId="0" fillId="7" fontId="22" numFmtId="167" xfId="0" applyAlignment="1" applyFont="1" applyNumberFormat="1">
      <alignment horizontal="center"/>
    </xf>
    <xf borderId="0" fillId="7" fontId="20" numFmtId="0" xfId="0" applyFont="1"/>
    <xf borderId="0" fillId="0" fontId="16" numFmtId="0" xfId="0" applyAlignment="1" applyFont="1">
      <alignment horizontal="left" vertical="bottom"/>
    </xf>
    <xf borderId="0" fillId="4" fontId="20" numFmtId="168" xfId="0" applyFont="1" applyNumberFormat="1"/>
    <xf borderId="0" fillId="0" fontId="16" numFmtId="168" xfId="0" applyFont="1" applyNumberFormat="1"/>
    <xf borderId="0" fillId="0" fontId="16" numFmtId="0" xfId="0" applyAlignment="1" applyFont="1">
      <alignment horizontal="left" vertical="center"/>
    </xf>
    <xf borderId="2" fillId="3" fontId="17" numFmtId="0" xfId="0" applyBorder="1" applyFont="1"/>
    <xf borderId="0" fillId="7" fontId="20" numFmtId="169" xfId="0" applyAlignment="1" applyFont="1" applyNumberFormat="1">
      <alignment horizontal="center" vertical="bottom"/>
    </xf>
    <xf borderId="0" fillId="0" fontId="23" numFmtId="0" xfId="0" applyFont="1"/>
    <xf borderId="0" fillId="7" fontId="16" numFmtId="0" xfId="0" applyFont="1"/>
    <xf borderId="0" fillId="7" fontId="16" numFmtId="0" xfId="0" applyAlignment="1" applyFont="1">
      <alignment horizontal="left" vertical="bottom"/>
    </xf>
    <xf borderId="0" fillId="7" fontId="16" numFmtId="169" xfId="0" applyAlignment="1" applyFont="1" applyNumberFormat="1">
      <alignment horizontal="left" vertical="bottom"/>
    </xf>
    <xf borderId="0" fillId="7" fontId="16" numFmtId="169" xfId="0" applyAlignment="1" applyFont="1" applyNumberFormat="1">
      <alignment horizontal="center" vertical="bottom"/>
    </xf>
    <xf borderId="0" fillId="7" fontId="20" numFmtId="0" xfId="0" applyAlignment="1" applyFont="1">
      <alignment horizontal="left" vertical="bottom"/>
    </xf>
    <xf borderId="0" fillId="7" fontId="20" numFmtId="169" xfId="0" applyAlignment="1" applyFont="1" applyNumberFormat="1">
      <alignment horizontal="left" vertical="bottom"/>
    </xf>
    <xf borderId="0" fillId="7" fontId="20" numFmtId="168" xfId="0" applyAlignment="1" applyFont="1" applyNumberFormat="1">
      <alignment horizontal="right" vertical="bottom"/>
    </xf>
    <xf borderId="0" fillId="7" fontId="16" numFmtId="0" xfId="0" applyAlignment="1" applyFont="1">
      <alignment horizontal="left" vertical="center"/>
    </xf>
    <xf borderId="0" fillId="7" fontId="16" numFmtId="0" xfId="0" applyAlignment="1" applyFont="1">
      <alignment horizontal="left"/>
    </xf>
    <xf borderId="0" fillId="7" fontId="16" numFmtId="168" xfId="0" applyFont="1" applyNumberFormat="1"/>
    <xf borderId="0" fillId="7" fontId="20" numFmtId="0" xfId="0" applyAlignment="1" applyFont="1">
      <alignment horizontal="center" vertical="bottom"/>
    </xf>
    <xf borderId="0" fillId="4" fontId="20" numFmtId="170" xfId="0" applyFont="1" applyNumberFormat="1"/>
    <xf borderId="0" fillId="7" fontId="20" numFmtId="170" xfId="0" applyAlignment="1" applyFont="1" applyNumberFormat="1">
      <alignment vertical="bottom"/>
    </xf>
    <xf borderId="0" fillId="7" fontId="20" numFmtId="0" xfId="0" applyAlignment="1" applyFont="1">
      <alignment vertical="bottom"/>
    </xf>
    <xf borderId="0" fillId="7" fontId="20" numFmtId="169" xfId="0" applyAlignment="1" applyFont="1" applyNumberFormat="1">
      <alignment horizontal="right" vertical="bottom"/>
    </xf>
    <xf borderId="0" fillId="0" fontId="16" numFmtId="169" xfId="0" applyAlignment="1" applyFont="1" applyNumberFormat="1">
      <alignment horizontal="right"/>
    </xf>
    <xf borderId="0" fillId="7" fontId="16" numFmtId="169" xfId="0" applyAlignment="1" applyFont="1" applyNumberFormat="1">
      <alignment horizontal="right"/>
    </xf>
    <xf borderId="0" fillId="7" fontId="20" numFmtId="0" xfId="0" applyAlignment="1" applyFont="1">
      <alignment horizontal="right" vertical="bottom"/>
    </xf>
    <xf borderId="0" fillId="0" fontId="20" numFmtId="0" xfId="0" applyAlignment="1" applyFont="1">
      <alignment horizontal="center"/>
    </xf>
    <xf borderId="0" fillId="7" fontId="20" numFmtId="166" xfId="0" applyAlignment="1" applyFont="1" applyNumberFormat="1">
      <alignment horizontal="center"/>
    </xf>
    <xf borderId="0" fillId="7" fontId="20" numFmtId="171" xfId="0" applyAlignment="1" applyFont="1" applyNumberFormat="1">
      <alignment horizontal="right" vertical="bottom"/>
    </xf>
    <xf borderId="0" fillId="0" fontId="15" numFmtId="0" xfId="0" applyAlignment="1" applyFont="1">
      <alignment horizontal="center"/>
    </xf>
    <xf borderId="0" fillId="7" fontId="15" numFmtId="0" xfId="0" applyAlignment="1" applyFont="1">
      <alignment horizontal="center"/>
    </xf>
    <xf borderId="0" fillId="4" fontId="15" numFmtId="171" xfId="0" applyAlignment="1" applyFont="1" applyNumberFormat="1">
      <alignment horizontal="center"/>
    </xf>
    <xf borderId="0" fillId="7" fontId="15" numFmtId="171" xfId="0" applyAlignment="1" applyFont="1" applyNumberFormat="1">
      <alignment horizontal="center"/>
    </xf>
    <xf borderId="0" fillId="0" fontId="16" numFmtId="0" xfId="0" applyFont="1"/>
    <xf borderId="0" fillId="0" fontId="23" numFmtId="0" xfId="0" applyAlignment="1" applyFont="1">
      <alignment horizontal="center"/>
    </xf>
    <xf borderId="0" fillId="7" fontId="23" numFmtId="171" xfId="0" applyAlignment="1" applyFont="1" applyNumberFormat="1">
      <alignment horizontal="center"/>
    </xf>
    <xf borderId="0" fillId="7" fontId="23" numFmtId="0" xfId="0" applyAlignment="1" applyFont="1">
      <alignment horizontal="center"/>
    </xf>
    <xf borderId="0" fillId="7" fontId="23" numFmtId="0" xfId="0" applyFont="1"/>
    <xf borderId="0" fillId="0" fontId="24" numFmtId="0" xfId="0" applyFont="1"/>
    <xf borderId="0" fillId="0" fontId="17" numFmtId="0" xfId="0" applyFont="1"/>
    <xf borderId="0" fillId="7" fontId="20" numFmtId="0" xfId="0" applyAlignment="1" applyFont="1">
      <alignment horizontal="center"/>
    </xf>
    <xf borderId="3" fillId="2" fontId="17" numFmtId="9" xfId="0" applyBorder="1" applyFont="1" applyNumberFormat="1"/>
    <xf borderId="4" fillId="2" fontId="17" numFmtId="0" xfId="0" applyBorder="1" applyFont="1"/>
    <xf borderId="4" fillId="7" fontId="17" numFmtId="0" xfId="0" applyBorder="1" applyFont="1"/>
    <xf borderId="0" fillId="0" fontId="16" numFmtId="0" xfId="0" applyAlignment="1" applyFont="1">
      <alignment horizontal="right"/>
    </xf>
    <xf borderId="0" fillId="7" fontId="15" numFmtId="172" xfId="0" applyAlignment="1" applyFont="1" applyNumberFormat="1">
      <alignment horizontal="left" vertical="center"/>
    </xf>
    <xf borderId="0" fillId="7" fontId="20" numFmtId="0" xfId="0" applyAlignment="1" applyFont="1">
      <alignment horizontal="left" vertical="center"/>
    </xf>
    <xf borderId="0" fillId="7" fontId="15" numFmtId="172" xfId="0" applyFont="1" applyNumberFormat="1"/>
    <xf borderId="0" fillId="7" fontId="20" numFmtId="172" xfId="0" applyAlignment="1" applyFont="1" applyNumberFormat="1">
      <alignment horizontal="left" vertical="center"/>
    </xf>
    <xf borderId="0" fillId="0" fontId="16" numFmtId="172" xfId="0" applyAlignment="1" applyFont="1" applyNumberFormat="1">
      <alignment horizontal="left" vertical="center"/>
    </xf>
    <xf borderId="0" fillId="0" fontId="20" numFmtId="3" xfId="0" applyAlignment="1" applyFont="1" applyNumberFormat="1">
      <alignment horizontal="right"/>
    </xf>
    <xf borderId="5" fillId="7" fontId="23" numFmtId="0" xfId="0" applyAlignment="1" applyBorder="1" applyFont="1">
      <alignment horizontal="right"/>
    </xf>
    <xf borderId="6" fillId="7" fontId="23" numFmtId="0" xfId="0" applyBorder="1" applyFont="1"/>
    <xf borderId="7" fillId="7" fontId="23" numFmtId="0" xfId="0" applyAlignment="1" applyBorder="1" applyFont="1">
      <alignment horizontal="right"/>
    </xf>
    <xf borderId="0" fillId="4" fontId="20" numFmtId="3" xfId="0" applyAlignment="1" applyFont="1" applyNumberFormat="1">
      <alignment horizontal="right"/>
    </xf>
    <xf borderId="8" fillId="4" fontId="15" numFmtId="0" xfId="0" applyBorder="1" applyFont="1"/>
    <xf borderId="9" fillId="7" fontId="15" numFmtId="0" xfId="0" applyBorder="1" applyFont="1"/>
    <xf borderId="0" fillId="7" fontId="15" numFmtId="3" xfId="0" applyFont="1" applyNumberFormat="1"/>
    <xf borderId="0" fillId="7" fontId="20" numFmtId="173" xfId="0" applyAlignment="1" applyFont="1" applyNumberFormat="1">
      <alignment horizontal="right" shrinkToFit="0" wrapText="0"/>
    </xf>
    <xf borderId="8" fillId="7" fontId="15" numFmtId="0" xfId="0" applyBorder="1" applyFont="1"/>
    <xf borderId="0" fillId="7" fontId="15" numFmtId="1" xfId="0" applyFont="1" applyNumberFormat="1"/>
    <xf borderId="9" fillId="4" fontId="15" numFmtId="9" xfId="0" applyBorder="1" applyFont="1" applyNumberFormat="1"/>
    <xf borderId="0" fillId="7" fontId="20" numFmtId="3" xfId="0" applyAlignment="1" applyFont="1" applyNumberFormat="1">
      <alignment horizontal="right"/>
    </xf>
    <xf borderId="0" fillId="7" fontId="16" numFmtId="3" xfId="0" applyAlignment="1" applyFont="1" applyNumberFormat="1">
      <alignment horizontal="right"/>
    </xf>
    <xf borderId="0" fillId="0" fontId="15" numFmtId="0" xfId="0" applyAlignment="1" applyFont="1">
      <alignment readingOrder="0"/>
    </xf>
    <xf borderId="0" fillId="0" fontId="25" numFmtId="0" xfId="0" applyAlignment="1" applyFont="1">
      <alignment horizontal="right"/>
    </xf>
    <xf borderId="10" fillId="7" fontId="15" numFmtId="0" xfId="0" applyBorder="1" applyFont="1"/>
    <xf borderId="11" fillId="7" fontId="15" numFmtId="1" xfId="0" applyBorder="1" applyFont="1" applyNumberFormat="1"/>
    <xf borderId="12" fillId="4" fontId="15" numFmtId="9" xfId="0" applyBorder="1" applyFont="1" applyNumberFormat="1"/>
    <xf borderId="13" fillId="2" fontId="17" numFmtId="0" xfId="0" applyAlignment="1" applyBorder="1" applyFont="1">
      <alignment horizontal="left"/>
    </xf>
    <xf borderId="13" fillId="2" fontId="17" numFmtId="0" xfId="0" applyAlignment="1" applyBorder="1" applyFont="1">
      <alignment horizontal="right"/>
    </xf>
    <xf borderId="14" fillId="2" fontId="17" numFmtId="0" xfId="0" applyAlignment="1" applyBorder="1" applyFont="1">
      <alignment horizontal="right"/>
    </xf>
    <xf borderId="0" fillId="0" fontId="20" numFmtId="0" xfId="0" applyAlignment="1" applyFont="1">
      <alignment shrinkToFit="0" wrapText="0"/>
    </xf>
    <xf borderId="0" fillId="4" fontId="20" numFmtId="9" xfId="0" applyAlignment="1" applyFont="1" applyNumberFormat="1">
      <alignment horizontal="right" shrinkToFit="0" wrapText="0"/>
    </xf>
    <xf borderId="0" fillId="4" fontId="20" numFmtId="173" xfId="0" applyAlignment="1" applyFont="1" applyNumberFormat="1">
      <alignment horizontal="right" shrinkToFit="0" wrapText="0"/>
    </xf>
    <xf borderId="0" fillId="0" fontId="16" numFmtId="173" xfId="0" applyAlignment="1" applyFont="1" applyNumberFormat="1">
      <alignment horizontal="right" shrinkToFit="0" wrapText="0"/>
    </xf>
    <xf borderId="0" fillId="0" fontId="15" numFmtId="173" xfId="0" applyFont="1" applyNumberFormat="1"/>
    <xf borderId="0" fillId="7" fontId="15" numFmtId="173" xfId="0" applyFont="1" applyNumberFormat="1"/>
    <xf borderId="0" fillId="0" fontId="23" numFmtId="0" xfId="0" applyAlignment="1" applyFont="1">
      <alignment shrinkToFit="0" wrapText="0"/>
    </xf>
    <xf borderId="0" fillId="0" fontId="20" numFmtId="0" xfId="0" applyAlignment="1" applyFont="1">
      <alignment shrinkToFit="0" vertical="bottom" wrapText="0"/>
    </xf>
    <xf borderId="0" fillId="7" fontId="20" numFmtId="9" xfId="0" applyAlignment="1" applyFont="1" applyNumberFormat="1">
      <alignment horizontal="right" shrinkToFit="0" wrapText="0"/>
    </xf>
    <xf borderId="0" fillId="0" fontId="16" numFmtId="173" xfId="0" applyAlignment="1" applyFont="1" applyNumberFormat="1">
      <alignment shrinkToFit="0" vertical="bottom" wrapText="0"/>
    </xf>
    <xf borderId="0" fillId="7" fontId="20" numFmtId="0" xfId="0" applyAlignment="1" applyFont="1">
      <alignment shrinkToFit="0" wrapText="0"/>
    </xf>
    <xf borderId="0" fillId="7" fontId="16" numFmtId="173" xfId="0" applyAlignment="1" applyFont="1" applyNumberFormat="1">
      <alignment horizontal="right" shrinkToFit="0" wrapText="0"/>
    </xf>
    <xf borderId="0" fillId="0" fontId="20" numFmtId="173" xfId="0" applyAlignment="1" applyFont="1" applyNumberFormat="1">
      <alignment shrinkToFit="0" vertical="bottom" wrapText="0"/>
    </xf>
    <xf borderId="0" fillId="0" fontId="20" numFmtId="172" xfId="0" applyAlignment="1" applyFont="1" applyNumberFormat="1">
      <alignment shrinkToFit="0" vertical="bottom" wrapText="0"/>
    </xf>
    <xf quotePrefix="1" borderId="1" fillId="7" fontId="15" numFmtId="0" xfId="0" applyBorder="1" applyFont="1"/>
    <xf borderId="1" fillId="2" fontId="17" numFmtId="0" xfId="0" applyAlignment="1" applyBorder="1" applyFont="1">
      <alignment horizontal="left" vertical="center"/>
    </xf>
    <xf borderId="1" fillId="2" fontId="15" numFmtId="0" xfId="0" applyBorder="1" applyFont="1"/>
    <xf borderId="1" fillId="2" fontId="26" numFmtId="0" xfId="0" applyBorder="1" applyFont="1"/>
    <xf borderId="1" fillId="2" fontId="27" numFmtId="0" xfId="0" applyBorder="1" applyFont="1"/>
    <xf borderId="2" fillId="2" fontId="27" numFmtId="0" xfId="0" applyBorder="1" applyFont="1"/>
    <xf borderId="0" fillId="2" fontId="27" numFmtId="0" xfId="0" applyFont="1"/>
    <xf borderId="4" fillId="2" fontId="27" numFmtId="0" xfId="0" applyBorder="1" applyFont="1"/>
    <xf borderId="0" fillId="7" fontId="27" numFmtId="0" xfId="0" applyFont="1"/>
    <xf borderId="1" fillId="7" fontId="15" numFmtId="0" xfId="0" applyAlignment="1" applyBorder="1" applyFont="1">
      <alignment horizontal="right"/>
    </xf>
    <xf borderId="1" fillId="2" fontId="15" numFmtId="0" xfId="0" applyAlignment="1" applyBorder="1" applyFont="1">
      <alignment horizontal="right"/>
    </xf>
    <xf borderId="1" fillId="2" fontId="17" numFmtId="0" xfId="0" applyAlignment="1" applyBorder="1" applyFont="1">
      <alignment horizontal="right" vertical="center"/>
    </xf>
    <xf borderId="2" fillId="2" fontId="17" numFmtId="0" xfId="0" applyAlignment="1" applyBorder="1" applyFont="1">
      <alignment horizontal="right" vertical="center"/>
    </xf>
    <xf borderId="0" fillId="2" fontId="17" numFmtId="0" xfId="0" applyAlignment="1" applyFont="1">
      <alignment horizontal="right" vertical="center"/>
    </xf>
    <xf borderId="4" fillId="2" fontId="17" numFmtId="0" xfId="0" applyAlignment="1" applyBorder="1" applyFont="1">
      <alignment horizontal="right" vertical="center"/>
    </xf>
    <xf borderId="1" fillId="2" fontId="27" numFmtId="0" xfId="0" applyAlignment="1" applyBorder="1" applyFont="1">
      <alignment horizontal="right" vertical="center"/>
    </xf>
    <xf borderId="2" fillId="2" fontId="27" numFmtId="0" xfId="0" applyAlignment="1" applyBorder="1" applyFont="1">
      <alignment horizontal="right" vertical="center"/>
    </xf>
    <xf borderId="0" fillId="7" fontId="15" numFmtId="0" xfId="0" applyAlignment="1" applyFont="1">
      <alignment horizontal="right" vertical="center"/>
    </xf>
    <xf borderId="0" fillId="7" fontId="27" numFmtId="0" xfId="0" applyAlignment="1" applyFont="1">
      <alignment horizontal="right" vertical="center"/>
    </xf>
    <xf borderId="1" fillId="2" fontId="27" numFmtId="174" xfId="0" applyAlignment="1" applyBorder="1" applyFont="1" applyNumberFormat="1">
      <alignment horizontal="right" vertical="center"/>
    </xf>
    <xf borderId="1" fillId="2" fontId="17" numFmtId="0" xfId="0" applyAlignment="1" applyBorder="1" applyFont="1">
      <alignment horizontal="right"/>
    </xf>
    <xf borderId="0" fillId="7" fontId="17" numFmtId="0" xfId="0" applyAlignment="1" applyFont="1">
      <alignment horizontal="right"/>
    </xf>
    <xf borderId="0" fillId="0" fontId="15" numFmtId="3" xfId="0" applyFont="1" applyNumberFormat="1"/>
    <xf borderId="0" fillId="0" fontId="20" numFmtId="3" xfId="0" applyFont="1" applyNumberFormat="1"/>
    <xf borderId="0" fillId="0" fontId="16" numFmtId="3" xfId="0" applyAlignment="1" applyFont="1" applyNumberFormat="1">
      <alignment horizontal="left" vertical="center"/>
    </xf>
    <xf borderId="1" fillId="7" fontId="15" numFmtId="3" xfId="0" applyBorder="1" applyFont="1" applyNumberFormat="1"/>
    <xf borderId="1" fillId="6" fontId="16" numFmtId="3" xfId="0" applyBorder="1" applyFont="1" applyNumberFormat="1"/>
    <xf borderId="1" fillId="6" fontId="15" numFmtId="3" xfId="0" applyBorder="1" applyFont="1" applyNumberFormat="1"/>
    <xf borderId="2" fillId="6" fontId="15" numFmtId="3" xfId="0" applyBorder="1" applyFont="1" applyNumberFormat="1"/>
    <xf borderId="0" fillId="6" fontId="15" numFmtId="3" xfId="0" applyFont="1" applyNumberFormat="1"/>
    <xf borderId="4" fillId="6" fontId="15" numFmtId="3" xfId="0" applyBorder="1" applyFont="1" applyNumberFormat="1"/>
    <xf borderId="0" fillId="0" fontId="28" numFmtId="3" xfId="0" applyFont="1" applyNumberFormat="1"/>
    <xf borderId="0" fillId="0" fontId="20" numFmtId="3" xfId="0" applyAlignment="1" applyFont="1" applyNumberFormat="1">
      <alignment horizontal="center"/>
    </xf>
    <xf borderId="1" fillId="7" fontId="27" numFmtId="3" xfId="0" applyBorder="1" applyFont="1" applyNumberFormat="1"/>
    <xf borderId="1" fillId="2" fontId="17" numFmtId="3" xfId="0" applyBorder="1" applyFont="1" applyNumberFormat="1"/>
    <xf borderId="1" fillId="2" fontId="27" numFmtId="3" xfId="0" applyBorder="1" applyFont="1" applyNumberFormat="1"/>
    <xf borderId="0" fillId="7" fontId="27" numFmtId="3" xfId="0" applyFont="1" applyNumberFormat="1"/>
    <xf borderId="2" fillId="2" fontId="17" numFmtId="3" xfId="0" applyBorder="1" applyFont="1" applyNumberFormat="1"/>
    <xf borderId="0" fillId="7" fontId="17" numFmtId="3" xfId="0" applyFont="1" applyNumberFormat="1"/>
    <xf borderId="0" fillId="0" fontId="16" numFmtId="3" xfId="0" applyFont="1" applyNumberFormat="1"/>
    <xf borderId="0" fillId="7" fontId="16" numFmtId="3" xfId="0" applyFont="1" applyNumberFormat="1"/>
    <xf borderId="0" fillId="7" fontId="15" numFmtId="9" xfId="0" applyFont="1" applyNumberFormat="1"/>
    <xf borderId="0" fillId="0" fontId="28" numFmtId="9" xfId="0" applyFont="1" applyNumberFormat="1"/>
    <xf borderId="0" fillId="0" fontId="15" numFmtId="9" xfId="0" applyFont="1" applyNumberFormat="1"/>
    <xf borderId="0" fillId="7" fontId="28" numFmtId="9" xfId="0" applyFont="1" applyNumberFormat="1"/>
    <xf borderId="1" fillId="5" fontId="16" numFmtId="3" xfId="0" applyBorder="1" applyFont="1" applyNumberFormat="1"/>
    <xf borderId="1" fillId="5" fontId="15" numFmtId="3" xfId="0" applyBorder="1" applyFont="1" applyNumberFormat="1"/>
    <xf borderId="1" fillId="5" fontId="23" numFmtId="3" xfId="0" applyBorder="1" applyFont="1" applyNumberFormat="1"/>
    <xf borderId="2" fillId="5" fontId="16" numFmtId="3" xfId="0" applyBorder="1" applyFont="1" applyNumberFormat="1"/>
    <xf borderId="0" fillId="5" fontId="16" numFmtId="3" xfId="0" applyFont="1" applyNumberFormat="1"/>
    <xf borderId="4" fillId="5" fontId="16" numFmtId="3" xfId="0" applyBorder="1" applyFont="1" applyNumberFormat="1"/>
    <xf borderId="0" fillId="7" fontId="15" numFmtId="10" xfId="0" applyFont="1" applyNumberFormat="1"/>
    <xf borderId="0" fillId="0" fontId="28" numFmtId="10" xfId="0" applyFont="1" applyNumberFormat="1"/>
    <xf borderId="0" fillId="0" fontId="15" numFmtId="10" xfId="0" applyFont="1" applyNumberFormat="1"/>
    <xf borderId="0" fillId="7" fontId="28" numFmtId="10" xfId="0" applyFont="1" applyNumberFormat="1"/>
    <xf borderId="0" fillId="0" fontId="28" numFmtId="0" xfId="0" applyFont="1"/>
    <xf borderId="0" fillId="0" fontId="29" numFmtId="0" xfId="0" applyFont="1"/>
    <xf borderId="0" fillId="0" fontId="29" numFmtId="3" xfId="0" applyFont="1" applyNumberFormat="1"/>
    <xf borderId="0" fillId="0" fontId="19" numFmtId="3" xfId="0" applyFont="1" applyNumberFormat="1"/>
    <xf borderId="0" fillId="8" fontId="20" numFmtId="3" xfId="0" applyFill="1" applyFont="1" applyNumberFormat="1"/>
    <xf borderId="1" fillId="8" fontId="20" numFmtId="3" xfId="0" applyBorder="1" applyFont="1" applyNumberFormat="1"/>
    <xf borderId="0" fillId="0" fontId="25" numFmtId="3" xfId="0" applyFont="1" applyNumberFormat="1"/>
    <xf borderId="0" fillId="7" fontId="25" numFmtId="3" xfId="0" applyFont="1" applyNumberFormat="1"/>
    <xf borderId="1" fillId="2" fontId="27" numFmtId="0" xfId="0" applyAlignment="1" applyBorder="1" applyFont="1">
      <alignment horizontal="right"/>
    </xf>
    <xf borderId="0" fillId="0" fontId="15" numFmtId="0" xfId="0" applyAlignment="1" applyFont="1">
      <alignment horizontal="right" vertical="center"/>
    </xf>
    <xf borderId="0" fillId="7" fontId="17" numFmtId="0" xfId="0" applyAlignment="1" applyFont="1">
      <alignment horizontal="right" vertical="center"/>
    </xf>
    <xf borderId="0" fillId="0" fontId="27" numFmtId="3" xfId="0" applyFont="1" applyNumberFormat="1"/>
    <xf borderId="1" fillId="6" fontId="15" numFmtId="0" xfId="0" applyBorder="1" applyFont="1"/>
    <xf borderId="1" fillId="6" fontId="23" numFmtId="0" xfId="0" applyBorder="1" applyFont="1"/>
    <xf borderId="0" fillId="0" fontId="30" numFmtId="3" xfId="0" applyFont="1" applyNumberFormat="1"/>
    <xf borderId="1" fillId="6" fontId="16" numFmtId="0" xfId="0" applyBorder="1" applyFont="1"/>
    <xf borderId="0" fillId="0" fontId="23" numFmtId="3" xfId="0" applyFont="1" applyNumberFormat="1"/>
    <xf borderId="0" fillId="6" fontId="23" numFmtId="3" xfId="0" applyFont="1" applyNumberFormat="1"/>
    <xf borderId="0" fillId="7" fontId="23" numFmtId="3" xfId="0" applyFont="1" applyNumberFormat="1"/>
    <xf borderId="0" fillId="0" fontId="2" numFmtId="3" xfId="0" applyFont="1" applyNumberFormat="1"/>
    <xf borderId="0" fillId="0" fontId="31" numFmtId="0" xfId="0" applyFont="1"/>
    <xf borderId="0" fillId="0" fontId="30" numFmtId="0" xfId="0" applyFont="1"/>
    <xf borderId="0" fillId="0" fontId="32" numFmtId="3" xfId="0" applyFont="1" applyNumberFormat="1"/>
    <xf borderId="0" fillId="0" fontId="31" numFmtId="3" xfId="0" applyFont="1" applyNumberFormat="1"/>
    <xf borderId="0" fillId="7" fontId="31" numFmtId="3" xfId="0" applyFont="1" applyNumberFormat="1"/>
    <xf borderId="1" fillId="5" fontId="16" numFmtId="0" xfId="0" applyBorder="1" applyFont="1"/>
    <xf borderId="1" fillId="5" fontId="23" numFmtId="0" xfId="0" applyBorder="1" applyFont="1"/>
    <xf borderId="0" fillId="5" fontId="23" numFmtId="3" xfId="0" applyFont="1" applyNumberFormat="1"/>
    <xf borderId="1" fillId="9" fontId="15" numFmtId="0" xfId="0" applyBorder="1" applyFill="1" applyFont="1"/>
    <xf borderId="1" fillId="9" fontId="17" numFmtId="0" xfId="0" applyAlignment="1" applyBorder="1" applyFont="1">
      <alignment horizontal="left" vertical="center"/>
    </xf>
    <xf borderId="1" fillId="9" fontId="17" numFmtId="3" xfId="0" applyBorder="1" applyFont="1" applyNumberFormat="1"/>
    <xf borderId="0" fillId="0" fontId="15" numFmtId="171" xfId="0" applyFont="1" applyNumberFormat="1"/>
    <xf borderId="1" fillId="2" fontId="17" numFmtId="0" xfId="0" applyAlignment="1" applyBorder="1" applyFont="1">
      <alignment horizontal="center" vertical="center"/>
    </xf>
    <xf borderId="1" fillId="2" fontId="17" numFmtId="0" xfId="0" applyBorder="1" applyFont="1"/>
    <xf borderId="0" fillId="0" fontId="20" numFmtId="171" xfId="0" applyFont="1" applyNumberFormat="1"/>
    <xf borderId="0" fillId="2" fontId="17" numFmtId="3" xfId="0" applyFont="1" applyNumberFormat="1"/>
    <xf borderId="0" fillId="10" fontId="15" numFmtId="3" xfId="0" applyFill="1" applyFont="1" applyNumberFormat="1"/>
    <xf borderId="1" fillId="7" fontId="15" numFmtId="0" xfId="0" applyBorder="1" applyFont="1"/>
    <xf borderId="1" fillId="2" fontId="15" numFmtId="0" xfId="0" applyAlignment="1" applyBorder="1" applyFont="1">
      <alignment horizontal="center"/>
    </xf>
    <xf borderId="1" fillId="2" fontId="15" numFmtId="3" xfId="0" applyBorder="1" applyFont="1" applyNumberFormat="1"/>
    <xf borderId="1" fillId="2" fontId="17" numFmtId="3" xfId="0" applyAlignment="1" applyBorder="1" applyFont="1" applyNumberFormat="1">
      <alignment horizontal="right" vertical="center"/>
    </xf>
    <xf borderId="1" fillId="2" fontId="27" numFmtId="3" xfId="0" applyAlignment="1" applyBorder="1" applyFont="1" applyNumberFormat="1">
      <alignment horizontal="right"/>
    </xf>
    <xf borderId="1" fillId="6" fontId="16" numFmtId="0" xfId="0" applyAlignment="1" applyBorder="1" applyFont="1">
      <alignment horizontal="left" vertical="center"/>
    </xf>
    <xf borderId="1" fillId="6" fontId="16" numFmtId="3" xfId="0" applyAlignment="1" applyBorder="1" applyFont="1" applyNumberFormat="1">
      <alignment horizontal="left" vertical="center"/>
    </xf>
    <xf borderId="0" fillId="0" fontId="28" numFmtId="0" xfId="0" applyAlignment="1" applyFont="1">
      <alignment horizontal="center" vertical="center"/>
    </xf>
    <xf borderId="0" fillId="0" fontId="33" numFmtId="3" xfId="0" applyAlignment="1" applyFont="1" applyNumberFormat="1">
      <alignment horizontal="right" vertical="center"/>
    </xf>
    <xf borderId="0" fillId="0" fontId="20" numFmtId="3" xfId="0" applyAlignment="1" applyFont="1" applyNumberFormat="1">
      <alignment horizontal="right" vertical="center"/>
    </xf>
    <xf borderId="0" fillId="0" fontId="33" numFmtId="166" xfId="0" applyAlignment="1" applyFont="1" applyNumberFormat="1">
      <alignment horizontal="right" vertical="center"/>
    </xf>
    <xf borderId="1" fillId="2" fontId="17" numFmtId="166" xfId="0" applyAlignment="1" applyBorder="1" applyFont="1" applyNumberFormat="1">
      <alignment horizontal="right" vertical="center"/>
    </xf>
    <xf borderId="0" fillId="6" fontId="15" numFmtId="0" xfId="0" applyFont="1"/>
    <xf borderId="1" fillId="6" fontId="15" numFmtId="0" xfId="0" applyAlignment="1" applyBorder="1" applyFont="1">
      <alignment horizontal="center"/>
    </xf>
    <xf borderId="0" fillId="0" fontId="28" numFmtId="0" xfId="0" applyAlignment="1" applyFont="1">
      <alignment horizontal="center"/>
    </xf>
    <xf borderId="0" fillId="0" fontId="20" numFmtId="172" xfId="0" applyFont="1" applyNumberFormat="1"/>
    <xf borderId="1" fillId="5" fontId="15" numFmtId="0" xfId="0" applyBorder="1" applyFont="1"/>
    <xf borderId="1" fillId="5" fontId="15" numFmtId="0" xfId="0" applyAlignment="1" applyBorder="1" applyFont="1">
      <alignment horizontal="center"/>
    </xf>
    <xf borderId="1" fillId="5" fontId="16" numFmtId="171" xfId="0" applyBorder="1" applyFont="1" applyNumberFormat="1"/>
    <xf borderId="1" fillId="7" fontId="17" numFmtId="0" xfId="0" applyBorder="1" applyFont="1"/>
    <xf borderId="1" fillId="2" fontId="17" numFmtId="0" xfId="0" applyAlignment="1" applyBorder="1" applyFont="1">
      <alignment horizontal="center"/>
    </xf>
    <xf borderId="0" fillId="7" fontId="17" numFmtId="0" xfId="0" applyAlignment="1" applyFont="1">
      <alignment horizontal="left" vertical="center"/>
    </xf>
    <xf borderId="0" fillId="7" fontId="17" numFmtId="0" xfId="0" applyAlignment="1" applyFont="1">
      <alignment horizontal="center"/>
    </xf>
    <xf borderId="0" fillId="7" fontId="17" numFmtId="166" xfId="0" applyAlignment="1" applyFont="1" applyNumberFormat="1">
      <alignment horizontal="right" vertical="center"/>
    </xf>
    <xf borderId="0" fillId="7" fontId="17" numFmtId="3" xfId="0" applyAlignment="1" applyFont="1" applyNumberFormat="1">
      <alignment horizontal="right" vertical="center"/>
    </xf>
    <xf borderId="0" fillId="0" fontId="34" numFmtId="0" xfId="0" applyFont="1"/>
    <xf borderId="0" fillId="0" fontId="34" numFmtId="9" xfId="0" applyFont="1" applyNumberFormat="1"/>
    <xf borderId="0" fillId="0" fontId="35" numFmtId="0" xfId="0" applyFont="1"/>
    <xf borderId="0" fillId="2" fontId="27" numFmtId="0" xfId="0" applyAlignment="1" applyFont="1">
      <alignment vertical="bottom"/>
    </xf>
    <xf borderId="0" fillId="7" fontId="15" numFmtId="49" xfId="0" applyAlignment="1" applyFont="1" applyNumberFormat="1">
      <alignment horizontal="right" vertical="bottom"/>
    </xf>
    <xf borderId="1" fillId="7" fontId="23" numFmtId="0" xfId="0" applyAlignment="1" applyBorder="1" applyFont="1">
      <alignment vertical="bottom"/>
    </xf>
    <xf borderId="1" fillId="7" fontId="15" numFmtId="0" xfId="0" applyAlignment="1" applyBorder="1" applyFont="1">
      <alignment vertical="bottom"/>
    </xf>
    <xf borderId="1" fillId="8" fontId="20" numFmtId="175" xfId="0" applyAlignment="1" applyBorder="1" applyFont="1" applyNumberFormat="1">
      <alignment horizontal="right" vertical="bottom"/>
    </xf>
    <xf borderId="0" fillId="8" fontId="19" numFmtId="176" xfId="0" applyAlignment="1" applyFont="1" applyNumberFormat="1">
      <alignment vertical="bottom"/>
    </xf>
    <xf borderId="1" fillId="8" fontId="20" numFmtId="166" xfId="0" applyAlignment="1" applyBorder="1" applyFont="1" applyNumberFormat="1">
      <alignment horizontal="right" vertical="bottom"/>
    </xf>
    <xf borderId="0" fillId="7" fontId="15" numFmtId="3" xfId="0" applyAlignment="1" applyFont="1" applyNumberFormat="1">
      <alignment horizontal="right" vertical="bottom"/>
    </xf>
    <xf borderId="0" fillId="7" fontId="15" numFmtId="3" xfId="0" applyAlignment="1" applyFont="1" applyNumberFormat="1">
      <alignment vertical="bottom"/>
    </xf>
    <xf borderId="1" fillId="7" fontId="15" numFmtId="0" xfId="0" applyAlignment="1" applyBorder="1" applyFont="1">
      <alignment horizontal="right" vertical="bottom"/>
    </xf>
    <xf borderId="1" fillId="7" fontId="15" numFmtId="177" xfId="0" applyAlignment="1" applyBorder="1" applyFont="1" applyNumberFormat="1">
      <alignment vertical="bottom"/>
    </xf>
    <xf borderId="1" fillId="8" fontId="15" numFmtId="176" xfId="0" applyAlignment="1" applyBorder="1" applyFont="1" applyNumberFormat="1">
      <alignment vertical="bottom"/>
    </xf>
    <xf borderId="1" fillId="7" fontId="15" numFmtId="3" xfId="0" applyAlignment="1" applyBorder="1" applyFont="1" applyNumberFormat="1">
      <alignment horizontal="right" vertical="bottom"/>
    </xf>
    <xf borderId="0" fillId="7" fontId="15" numFmtId="0" xfId="0" applyAlignment="1" applyFont="1">
      <alignment horizontal="right" vertical="bottom"/>
    </xf>
    <xf borderId="0" fillId="7" fontId="15" numFmtId="177" xfId="0" applyAlignment="1" applyFont="1" applyNumberFormat="1">
      <alignment vertical="bottom"/>
    </xf>
    <xf borderId="0" fillId="8" fontId="15" numFmtId="176" xfId="0" applyAlignment="1" applyFont="1" applyNumberFormat="1">
      <alignment vertical="bottom"/>
    </xf>
    <xf borderId="0" fillId="7" fontId="23" numFmtId="0" xfId="0" applyAlignment="1" applyFont="1">
      <alignment vertical="bottom"/>
    </xf>
    <xf borderId="0" fillId="8" fontId="19" numFmtId="176" xfId="0" applyAlignment="1" applyFont="1" applyNumberFormat="1">
      <alignment horizontal="right" vertical="bottom"/>
    </xf>
    <xf borderId="3" fillId="2" fontId="17" numFmtId="0" xfId="0" applyBorder="1" applyFont="1"/>
    <xf borderId="0" fillId="0" fontId="2" numFmtId="0" xfId="0" applyFont="1"/>
    <xf borderId="1" fillId="7" fontId="20" numFmtId="0" xfId="0" applyAlignment="1" applyBorder="1" applyFont="1">
      <alignment vertical="bottom"/>
    </xf>
    <xf borderId="1" fillId="8" fontId="20" numFmtId="176" xfId="0" applyAlignment="1" applyBorder="1" applyFont="1" applyNumberFormat="1">
      <alignment vertical="bottom"/>
    </xf>
    <xf borderId="0" fillId="8" fontId="20" numFmtId="176" xfId="0" applyAlignment="1" applyFont="1" applyNumberFormat="1">
      <alignment vertical="bottom"/>
    </xf>
    <xf borderId="0" fillId="7" fontId="36" numFmtId="0" xfId="0" applyAlignment="1" applyFont="1">
      <alignment vertical="bottom"/>
    </xf>
    <xf borderId="0" fillId="7" fontId="33" numFmtId="176" xfId="0" applyAlignment="1" applyFont="1" applyNumberFormat="1">
      <alignment horizontal="right" vertical="bottom"/>
    </xf>
    <xf borderId="0" fillId="7" fontId="15" numFmtId="176" xfId="0" applyAlignment="1" applyFont="1" applyNumberFormat="1">
      <alignment vertical="bottom"/>
    </xf>
    <xf borderId="0" fillId="7" fontId="33" numFmtId="166" xfId="0" applyAlignment="1" applyFont="1" applyNumberFormat="1">
      <alignment horizontal="right" vertical="bottom"/>
    </xf>
    <xf borderId="0" fillId="0" fontId="31" numFmtId="0" xfId="0" applyAlignment="1" applyFont="1">
      <alignment vertical="bottom"/>
    </xf>
    <xf borderId="0" fillId="0" fontId="37" numFmtId="0" xfId="0" applyAlignment="1" applyFont="1">
      <alignment vertical="bottom"/>
    </xf>
    <xf borderId="15" fillId="0" fontId="31" numFmtId="0" xfId="0" applyAlignment="1" applyBorder="1" applyFont="1">
      <alignment shrinkToFit="0" vertical="bottom" wrapText="1"/>
    </xf>
    <xf borderId="16" fillId="0" fontId="18" numFmtId="0" xfId="0" applyBorder="1" applyFont="1"/>
    <xf borderId="17" fillId="0" fontId="18" numFmtId="0" xfId="0" applyBorder="1" applyFont="1"/>
    <xf borderId="0" fillId="11" fontId="15" numFmtId="0" xfId="0" applyAlignment="1" applyFill="1" applyFont="1">
      <alignment vertical="bottom"/>
    </xf>
    <xf borderId="0" fillId="11" fontId="17" numFmtId="0" xfId="0" applyFont="1"/>
    <xf borderId="0" fillId="5" fontId="15" numFmtId="3" xfId="0" applyAlignment="1" applyFont="1" applyNumberFormat="1">
      <alignment vertical="bottom"/>
    </xf>
    <xf borderId="1" fillId="5" fontId="23" numFmtId="3" xfId="0" applyAlignment="1" applyBorder="1" applyFont="1" applyNumberFormat="1">
      <alignment vertical="bottom"/>
    </xf>
    <xf borderId="1" fillId="5" fontId="15" numFmtId="3" xfId="0" applyAlignment="1" applyBorder="1" applyFont="1" applyNumberFormat="1">
      <alignment horizontal="right" vertical="bottom"/>
    </xf>
    <xf borderId="0" fillId="11" fontId="15" numFmtId="3" xfId="0" applyAlignment="1" applyFont="1" applyNumberFormat="1">
      <alignment horizontal="right" vertical="bottom"/>
    </xf>
    <xf borderId="0" fillId="5" fontId="15" numFmtId="3" xfId="0" applyAlignment="1" applyFont="1" applyNumberFormat="1">
      <alignment horizontal="right" vertical="bottom"/>
    </xf>
    <xf borderId="0" fillId="5" fontId="15" numFmtId="3" xfId="0" applyFont="1" applyNumberFormat="1"/>
    <xf borderId="18" fillId="5" fontId="23" numFmtId="3" xfId="0" applyAlignment="1" applyBorder="1" applyFont="1" applyNumberFormat="1">
      <alignment vertical="bottom"/>
    </xf>
    <xf borderId="18" fillId="5" fontId="15" numFmtId="3" xfId="0" applyAlignment="1" applyBorder="1" applyFont="1" applyNumberFormat="1">
      <alignment horizontal="right" vertical="bottom"/>
    </xf>
    <xf borderId="11" fillId="2" fontId="15" numFmtId="0" xfId="0" applyAlignment="1" applyBorder="1" applyFont="1">
      <alignment vertical="bottom"/>
    </xf>
    <xf borderId="11" fillId="2" fontId="17" numFmtId="0" xfId="0" applyAlignment="1" applyBorder="1" applyFont="1">
      <alignment vertical="bottom"/>
    </xf>
    <xf borderId="11" fillId="2" fontId="17" numFmtId="166" xfId="0" applyAlignment="1" applyBorder="1" applyFont="1" applyNumberFormat="1">
      <alignment horizontal="right" vertical="bottom"/>
    </xf>
    <xf borderId="11" fillId="11" fontId="17" numFmtId="166" xfId="0" applyAlignment="1" applyBorder="1" applyFont="1" applyNumberFormat="1">
      <alignment horizontal="right" vertical="bottom"/>
    </xf>
    <xf borderId="11" fillId="2" fontId="15" numFmtId="0" xfId="0" applyBorder="1" applyFont="1"/>
    <xf borderId="0" fillId="5" fontId="15" numFmtId="178" xfId="0" applyAlignment="1" applyFont="1" applyNumberFormat="1">
      <alignment vertical="bottom"/>
    </xf>
    <xf borderId="1" fillId="5" fontId="23" numFmtId="178" xfId="0" applyAlignment="1" applyBorder="1" applyFont="1" applyNumberFormat="1">
      <alignment vertical="bottom"/>
    </xf>
    <xf borderId="1" fillId="5" fontId="15" numFmtId="178" xfId="0" applyAlignment="1" applyBorder="1" applyFont="1" applyNumberFormat="1">
      <alignment horizontal="right" vertical="bottom"/>
    </xf>
    <xf borderId="0" fillId="11" fontId="15" numFmtId="178" xfId="0" applyAlignment="1" applyFont="1" applyNumberFormat="1">
      <alignment horizontal="right" vertical="bottom"/>
    </xf>
    <xf borderId="0" fillId="5" fontId="15" numFmtId="178" xfId="0" applyAlignment="1" applyFont="1" applyNumberFormat="1">
      <alignment horizontal="right" vertical="bottom"/>
    </xf>
    <xf borderId="0" fillId="5" fontId="15" numFmtId="178" xfId="0" applyFont="1" applyNumberFormat="1"/>
    <xf borderId="19" fillId="2" fontId="17" numFmtId="0" xfId="0" applyAlignment="1" applyBorder="1" applyFont="1">
      <alignment vertical="bottom"/>
    </xf>
    <xf borderId="19" fillId="2" fontId="17" numFmtId="178" xfId="0" applyAlignment="1" applyBorder="1" applyFont="1" applyNumberFormat="1">
      <alignment horizontal="right" vertical="bottom"/>
    </xf>
    <xf borderId="11" fillId="11" fontId="17" numFmtId="178" xfId="0" applyAlignment="1" applyBorder="1" applyFont="1" applyNumberFormat="1">
      <alignment horizontal="right" vertical="bottom"/>
    </xf>
    <xf borderId="11" fillId="2" fontId="17" numFmtId="178" xfId="0" applyAlignment="1" applyBorder="1" applyFont="1" applyNumberFormat="1">
      <alignment horizontal="right" vertical="bottom"/>
    </xf>
    <xf borderId="1" fillId="3" fontId="27" numFmtId="0" xfId="0" applyBorder="1" applyFont="1"/>
    <xf borderId="1" fillId="3" fontId="17" numFmtId="0" xfId="0" applyAlignment="1" applyBorder="1" applyFont="1">
      <alignment horizontal="left" vertical="center"/>
    </xf>
    <xf borderId="1" fillId="3" fontId="17" numFmtId="0" xfId="0" applyAlignment="1" applyBorder="1" applyFont="1">
      <alignment horizontal="center" vertical="center"/>
    </xf>
    <xf borderId="1" fillId="12" fontId="17" numFmtId="0" xfId="0" applyAlignment="1" applyBorder="1" applyFill="1" applyFont="1">
      <alignment horizontal="center" vertical="center"/>
    </xf>
    <xf borderId="0" fillId="0" fontId="2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'Dasboard (FOR PITCHDECK)'!$S$3</c:f>
            </c:strRef>
          </c:tx>
          <c:spPr>
            <a:solidFill>
              <a:schemeClr val="lt1"/>
            </a:solidFill>
            <a:ln cmpd="sng">
              <a:noFill/>
            </a:ln>
          </c:spPr>
          <c:cat>
            <c:strRef>
              <c:f>'Dasboard (FOR PITCHDECK)'!$T$2:$W$2</c:f>
            </c:strRef>
          </c:cat>
          <c:val>
            <c:numRef>
              <c:f>'Dasboard (FOR PITCHDECK)'!$T$3:$W$3</c:f>
              <c:numCache/>
            </c:numRef>
          </c:val>
        </c:ser>
        <c:ser>
          <c:idx val="1"/>
          <c:order val="1"/>
          <c:tx>
            <c:strRef>
              <c:f>'Dasboard (FOR PITCHDECK)'!$S$4</c:f>
            </c:strRef>
          </c:tx>
          <c:spPr>
            <a:solidFill>
              <a:srgbClr val="DF5B0E"/>
            </a:solidFill>
            <a:ln cmpd="sng">
              <a:noFill/>
            </a:ln>
          </c:spPr>
          <c:cat>
            <c:strRef>
              <c:f>'Dasboard (FOR PITCHDECK)'!$T$2:$W$2</c:f>
            </c:strRef>
          </c:cat>
          <c:val>
            <c:numRef>
              <c:f>'Dasboard (FOR PITCHDECK)'!$T$4:$W$4</c:f>
              <c:numCache/>
            </c:numRef>
          </c:val>
        </c:ser>
        <c:overlap val="100"/>
        <c:axId val="1905865834"/>
        <c:axId val="535555681"/>
      </c:barChart>
      <c:catAx>
        <c:axId val="1905865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35555681"/>
      </c:catAx>
      <c:valAx>
        <c:axId val="5355556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05865834"/>
      </c:valAx>
    </c:plotArea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val>
            <c:numRef>
              <c:f>'Dasboard (FOR PITCHDECK)'!$S$2:$V$2</c:f>
              <c:numCache/>
            </c:numRef>
          </c:val>
        </c:ser>
        <c:ser>
          <c:idx val="1"/>
          <c:order val="1"/>
          <c:spPr>
            <a:solidFill>
              <a:srgbClr val="E6321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'Dasboard (FOR PITCHDECK)'!$S$3:$V$3</c:f>
              <c:numCache/>
            </c:numRef>
          </c:val>
        </c:ser>
        <c:ser>
          <c:idx val="2"/>
          <c:order val="2"/>
          <c:spPr>
            <a:solidFill>
              <a:srgbClr val="F68F6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'Dasboard (FOR PITCHDECK)'!$S$4:$V$4</c:f>
              <c:numCache/>
            </c:numRef>
          </c:val>
        </c:ser>
        <c:overlap val="100"/>
        <c:axId val="2116057177"/>
        <c:axId val="54028676"/>
      </c:barChart>
      <c:catAx>
        <c:axId val="21160571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4028676"/>
      </c:catAx>
      <c:valAx>
        <c:axId val="540286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16057177"/>
      </c:valAx>
    </c:plotArea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F650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'Dasboard (FOR PITCHDECK)'!$V$7:$X$7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E63211"/>
              </a:solidFill>
            </a:ln>
          </c:spPr>
          <c:marker>
            <c:symbol val="circle"/>
            <c:size val="10"/>
            <c:spPr>
              <a:solidFill>
                <a:srgbClr val="E63211"/>
              </a:solidFill>
              <a:ln cmpd="sng">
                <a:solidFill>
                  <a:srgbClr val="E6321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'Dasboard (FOR PITCHDECK)'!$M$2:$P$2</c:f>
            </c:strRef>
          </c:cat>
          <c:val>
            <c:numRef>
              <c:f>'Dasboard (FOR PITCHDECK)'!$M$3:$P$3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CCCCCC"/>
              </a:solidFill>
            </a:ln>
          </c:spPr>
          <c:marker>
            <c:symbol val="circle"/>
            <c:size val="10"/>
            <c:spPr>
              <a:solidFill>
                <a:srgbClr val="CCCCCC"/>
              </a:solidFill>
              <a:ln cmpd="sng">
                <a:solidFill>
                  <a:srgbClr val="CCCCC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'Dasboard (FOR PITCHDECK)'!$M$2:$P$2</c:f>
            </c:strRef>
          </c:cat>
          <c:val>
            <c:numRef>
              <c:f>'Dasboard (FOR PITCHDECK)'!$M$4:$P$4</c:f>
              <c:numCache/>
            </c:numRef>
          </c:val>
          <c:smooth val="0"/>
        </c:ser>
        <c:axId val="156017004"/>
        <c:axId val="881604595"/>
      </c:lineChart>
      <c:catAx>
        <c:axId val="156017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81604595"/>
      </c:catAx>
      <c:valAx>
        <c:axId val="8816045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601700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Units sold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E63211"/>
              </a:solidFill>
            </a:ln>
          </c:spPr>
          <c:marker>
            <c:symbol val="circle"/>
            <c:size val="10"/>
            <c:spPr>
              <a:solidFill>
                <a:srgbClr val="E63211"/>
              </a:solidFill>
              <a:ln cmpd="sng">
                <a:solidFill>
                  <a:srgbClr val="E6321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Dashboard!$J$2:$P$2</c:f>
            </c:strRef>
          </c:cat>
          <c:val>
            <c:numRef>
              <c:f>Dashboard!$J$3:$P$3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CCCCCC"/>
              </a:solidFill>
            </a:ln>
          </c:spPr>
          <c:marker>
            <c:symbol val="circle"/>
            <c:size val="10"/>
            <c:spPr>
              <a:solidFill>
                <a:srgbClr val="CCCCCC"/>
              </a:solidFill>
              <a:ln cmpd="sng">
                <a:solidFill>
                  <a:srgbClr val="CCCCC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Dashboard!$J$2:$P$2</c:f>
            </c:strRef>
          </c:cat>
          <c:val>
            <c:numRef>
              <c:f>Dashboard!$J$4:$P$4</c:f>
              <c:numCache/>
            </c:numRef>
          </c:val>
          <c:smooth val="0"/>
        </c:ser>
        <c:axId val="2008769411"/>
        <c:axId val="1434488603"/>
      </c:lineChart>
      <c:catAx>
        <c:axId val="20087694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34488603"/>
      </c:catAx>
      <c:valAx>
        <c:axId val="1434488603"/>
        <c:scaling>
          <c:orientation val="minMax"/>
          <c:max val="6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0876941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Revenues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Dashboard!$J$5</c:f>
            </c:strRef>
          </c:tx>
          <c:spPr>
            <a:solidFill>
              <a:srgbClr val="E53517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Dashboard!$K$2:$O$2</c:f>
            </c:strRef>
          </c:cat>
          <c:val>
            <c:numRef>
              <c:f>Dashboard!$K$5:$O$5</c:f>
              <c:numCache/>
            </c:numRef>
          </c:val>
        </c:ser>
        <c:ser>
          <c:idx val="1"/>
          <c:order val="1"/>
          <c:tx>
            <c:strRef>
              <c:f>Dashboard!$J$6</c:f>
            </c:strRef>
          </c:tx>
          <c:spPr>
            <a:solidFill>
              <a:srgbClr val="FF650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Dashboard!$K$2:$O$2</c:f>
            </c:strRef>
          </c:cat>
          <c:val>
            <c:numRef>
              <c:f>Dashboard!$K$6:$O$6</c:f>
              <c:numCache/>
            </c:numRef>
          </c:val>
        </c:ser>
        <c:overlap val="100"/>
        <c:axId val="1748588237"/>
        <c:axId val="1090960234"/>
      </c:barChart>
      <c:catAx>
        <c:axId val="17485882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090960234"/>
      </c:catAx>
      <c:valAx>
        <c:axId val="10909602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48588237"/>
      </c:valAx>
    </c:plotArea>
    <c:plotVisOnly val="1"/>
  </c:chart>
  <c:spPr>
    <a:solidFill>
      <a:srgbClr val="FFFFFF">
        <a:alpha val="0"/>
      </a:srgbClr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Seed Capital Allocation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5351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Dashboard!$X$6:$Z$6</c:f>
            </c:strRef>
          </c:cat>
          <c:val>
            <c:numRef>
              <c:f>Dashboard!$X$7:$Z$7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Headcount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Dashboard!$S$3</c:f>
            </c:strRef>
          </c:tx>
          <c:spPr>
            <a:ln cmpd="sng">
              <a:solidFill>
                <a:srgbClr val="E53517"/>
              </a:solidFill>
            </a:ln>
          </c:spPr>
          <c:marker>
            <c:symbol val="circle"/>
            <c:size val="10"/>
            <c:spPr>
              <a:solidFill>
                <a:srgbClr val="E53517"/>
              </a:solidFill>
              <a:ln cmpd="sng">
                <a:solidFill>
                  <a:srgbClr val="E53517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Dashboard!$T$2:$X$2</c:f>
            </c:strRef>
          </c:cat>
          <c:val>
            <c:numRef>
              <c:f>Dashboard!$T$3:$X$3</c:f>
              <c:numCache/>
            </c:numRef>
          </c:val>
          <c:smooth val="0"/>
        </c:ser>
        <c:axId val="1355766266"/>
        <c:axId val="463279515"/>
      </c:lineChart>
      <c:catAx>
        <c:axId val="1355766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63279515"/>
      </c:catAx>
      <c:valAx>
        <c:axId val="463279515"/>
        <c:scaling>
          <c:orientation val="minMax"/>
          <c:max val="3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5576626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Revenue/FTE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Dashboard!$S$4</c:f>
            </c:strRef>
          </c:tx>
          <c:spPr>
            <a:ln cmpd="sng">
              <a:solidFill>
                <a:srgbClr val="E53517"/>
              </a:solidFill>
            </a:ln>
          </c:spPr>
          <c:marker>
            <c:symbol val="circle"/>
            <c:size val="10"/>
            <c:spPr>
              <a:solidFill>
                <a:srgbClr val="E53517"/>
              </a:solidFill>
              <a:ln cmpd="sng">
                <a:solidFill>
                  <a:srgbClr val="E53517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Dashboard!$T$2:$X$2</c:f>
            </c:strRef>
          </c:cat>
          <c:val>
            <c:numRef>
              <c:f>Dashboard!$T$4:$X$4</c:f>
              <c:numCache/>
            </c:numRef>
          </c:val>
          <c:smooth val="0"/>
        </c:ser>
        <c:axId val="1029836860"/>
        <c:axId val="1471639567"/>
      </c:lineChart>
      <c:catAx>
        <c:axId val="1029836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71639567"/>
      </c:catAx>
      <c:valAx>
        <c:axId val="1471639567"/>
        <c:scaling>
          <c:orientation val="minMax"/>
          <c:max val="45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2983686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571500</xdr:colOff>
      <xdr:row>2</xdr:row>
      <xdr:rowOff>171450</xdr:rowOff>
    </xdr:from>
    <xdr:ext cx="4524375" cy="1238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171450</xdr:colOff>
      <xdr:row>11</xdr:row>
      <xdr:rowOff>0</xdr:rowOff>
    </xdr:from>
    <xdr:ext cx="7105650" cy="4400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695325</xdr:colOff>
      <xdr:row>10</xdr:row>
      <xdr:rowOff>123825</xdr:rowOff>
    </xdr:from>
    <xdr:ext cx="7105650" cy="4400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133350</xdr:colOff>
      <xdr:row>32</xdr:row>
      <xdr:rowOff>104775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10</xdr:row>
      <xdr:rowOff>133350</xdr:rowOff>
    </xdr:from>
    <xdr:ext cx="7105650" cy="44005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676275</xdr:colOff>
      <xdr:row>10</xdr:row>
      <xdr:rowOff>123825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1171575</xdr:colOff>
      <xdr:row>10</xdr:row>
      <xdr:rowOff>123825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1219200</xdr:colOff>
      <xdr:row>29</xdr:row>
      <xdr:rowOff>38100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200025</xdr:colOff>
      <xdr:row>29</xdr:row>
      <xdr:rowOff>38100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257175</xdr:colOff>
      <xdr:row>10</xdr:row>
      <xdr:rowOff>123825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2" width="60.0"/>
    <col customWidth="1" min="3" max="19" width="8.86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4.0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ht="15.0" customHeight="1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ht="15.0" customHeight="1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ht="15.0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ht="15.0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ht="15.0" customHeight="1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ht="15.0" customHeight="1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ht="15.0" customHeight="1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ht="25.5" customHeight="1">
      <c r="A13" s="1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ht="15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ht="15.0" customHeight="1">
      <c r="A15" s="1"/>
      <c r="B15" s="4" t="s">
        <v>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ht="15.0" customHeight="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ht="15.0" customHeight="1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ht="15.0" customHeight="1">
      <c r="A19" s="1"/>
      <c r="B19" s="5" t="s">
        <v>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ht="1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ht="15.75" customHeight="1">
      <c r="A21" s="1"/>
      <c r="B21" s="6" t="s">
        <v>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2" width="40.0"/>
    <col customWidth="1" min="3" max="3" width="60.0"/>
    <col customWidth="1" min="4" max="7" width="8.86"/>
  </cols>
  <sheetData>
    <row r="1" ht="15.0" customHeight="1">
      <c r="A1" s="7"/>
      <c r="B1" s="8" t="s">
        <v>3</v>
      </c>
      <c r="C1" s="7"/>
      <c r="D1" s="7"/>
      <c r="E1" s="7"/>
      <c r="F1" s="7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9"/>
      <c r="B3" s="10" t="s">
        <v>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0" customHeight="1">
      <c r="A4" s="9"/>
      <c r="B4" s="11" t="s">
        <v>5</v>
      </c>
      <c r="C4" s="12" t="s">
        <v>6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0" customHeight="1">
      <c r="A5" s="9"/>
      <c r="B5" s="13" t="s">
        <v>5</v>
      </c>
      <c r="C5" s="12" t="s">
        <v>7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0" customHeight="1">
      <c r="A6" s="9"/>
      <c r="B6" s="10" t="s">
        <v>5</v>
      </c>
      <c r="C6" s="12" t="s">
        <v>8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0" customHeight="1">
      <c r="A7" s="9"/>
      <c r="B7" s="14" t="s">
        <v>5</v>
      </c>
      <c r="C7" s="12" t="s">
        <v>9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0" customHeight="1">
      <c r="A8" s="9"/>
      <c r="B8" s="8" t="s">
        <v>5</v>
      </c>
      <c r="C8" s="12" t="s">
        <v>10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0" customHeight="1">
      <c r="A9" s="9"/>
      <c r="B9" s="15" t="s">
        <v>5</v>
      </c>
      <c r="C9" s="12" t="s">
        <v>11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0" customHeight="1">
      <c r="A10" s="9"/>
      <c r="B10" s="16" t="s">
        <v>5</v>
      </c>
      <c r="C10" s="12" t="s">
        <v>12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0" customHeight="1">
      <c r="A11" s="9"/>
      <c r="B11" s="17" t="s">
        <v>5</v>
      </c>
      <c r="C11" s="12" t="s">
        <v>13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9"/>
      <c r="B14" s="10" t="s">
        <v>14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0" customHeight="1">
      <c r="A15" s="9"/>
      <c r="B15" s="12" t="s">
        <v>15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0" customHeight="1">
      <c r="A16" s="9"/>
      <c r="B16" s="12" t="s">
        <v>16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0" customHeight="1">
      <c r="A17" s="9"/>
      <c r="B17" s="12" t="s">
        <v>17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0" customHeight="1">
      <c r="A18" s="9"/>
      <c r="B18" s="12" t="s">
        <v>18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9"/>
      <c r="B19" s="1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9"/>
      <c r="B20" s="12" t="s">
        <v>19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12" t="s">
        <v>20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10" t="s">
        <v>21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 t="s">
        <v>22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 t="s">
        <v>23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 t="s">
        <v>24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 t="s">
        <v>25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 t="s">
        <v>26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 t="s">
        <v>27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86"/>
    <col customWidth="1" min="2" max="2" width="44.0"/>
    <col customWidth="1" min="3" max="3" width="25.43"/>
    <col customWidth="1" min="4" max="4" width="46.86"/>
    <col customWidth="1" min="5" max="5" width="13.43"/>
    <col customWidth="1" min="6" max="6" width="17.57"/>
    <col customWidth="1" min="7" max="7" width="17.86"/>
    <col customWidth="1" min="8" max="8" width="17.71"/>
    <col customWidth="1" min="9" max="30" width="13.43"/>
  </cols>
  <sheetData>
    <row r="1" ht="21.75" customHeight="1">
      <c r="A1" s="19"/>
      <c r="B1" s="20"/>
      <c r="C1" s="20"/>
      <c r="D1" s="20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ht="21.75" customHeight="1">
      <c r="A2" s="19"/>
      <c r="B2" s="21" t="s">
        <v>28</v>
      </c>
      <c r="C2" s="20"/>
      <c r="D2" s="20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3" ht="21.75" customHeight="1">
      <c r="A3" s="19"/>
      <c r="B3" s="20" t="s">
        <v>29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ht="21.75" customHeight="1">
      <c r="A4" s="22"/>
      <c r="B4" s="22"/>
      <c r="C4" s="22"/>
      <c r="D4" s="22"/>
      <c r="E4" s="22"/>
      <c r="F4" s="22"/>
      <c r="G4" s="22"/>
      <c r="H4" s="23"/>
      <c r="I4" s="23"/>
      <c r="J4" s="23"/>
      <c r="K4" s="23"/>
      <c r="L4" s="23"/>
      <c r="M4" s="23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ht="21.75" customHeight="1">
      <c r="A5" s="22"/>
      <c r="B5" s="24" t="s">
        <v>30</v>
      </c>
      <c r="C5" s="25"/>
      <c r="D5" s="25"/>
      <c r="E5" s="24"/>
      <c r="F5" s="25"/>
      <c r="G5" s="25"/>
      <c r="H5" s="26"/>
      <c r="I5" s="25"/>
      <c r="J5" s="25"/>
      <c r="K5" s="26"/>
      <c r="L5" s="25"/>
      <c r="M5" s="25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21.75" hidden="1" customHeight="1">
      <c r="A6" s="22"/>
      <c r="B6" s="27" t="s">
        <v>31</v>
      </c>
      <c r="C6" s="28">
        <v>29538.9</v>
      </c>
      <c r="D6" s="22"/>
      <c r="E6" s="22"/>
      <c r="F6" s="22"/>
      <c r="G6" s="22"/>
      <c r="H6" s="23"/>
      <c r="I6" s="23"/>
      <c r="J6" s="23"/>
      <c r="K6" s="23"/>
      <c r="L6" s="23"/>
      <c r="M6" s="23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ht="21.75" customHeight="1">
      <c r="A7" s="22"/>
      <c r="B7" s="27" t="s">
        <v>32</v>
      </c>
      <c r="C7" s="29">
        <v>0.08</v>
      </c>
      <c r="D7" s="22"/>
      <c r="E7" s="22"/>
      <c r="F7" s="22"/>
      <c r="G7" s="22"/>
      <c r="H7" s="23"/>
      <c r="I7" s="23"/>
      <c r="J7" s="23"/>
      <c r="K7" s="23"/>
      <c r="L7" s="23"/>
      <c r="M7" s="23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ht="21.75" customHeight="1">
      <c r="A8" s="22"/>
      <c r="B8" s="27" t="s">
        <v>33</v>
      </c>
      <c r="C8" s="30" t="s">
        <v>34</v>
      </c>
      <c r="D8" s="22"/>
      <c r="E8" s="22"/>
      <c r="F8" s="22"/>
      <c r="G8" s="22"/>
      <c r="H8" s="23"/>
      <c r="I8" s="23"/>
      <c r="J8" s="23"/>
      <c r="K8" s="23"/>
      <c r="L8" s="23"/>
      <c r="M8" s="23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ht="21.75" customHeight="1">
      <c r="A9" s="22"/>
      <c r="B9" s="27" t="s">
        <v>35</v>
      </c>
      <c r="C9" s="31">
        <v>0.08</v>
      </c>
      <c r="D9" s="22"/>
      <c r="E9" s="22"/>
      <c r="F9" s="22"/>
      <c r="G9" s="22"/>
      <c r="H9" s="23"/>
      <c r="I9" s="23"/>
      <c r="J9" s="23"/>
      <c r="K9" s="23"/>
      <c r="L9" s="23"/>
      <c r="M9" s="23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ht="21.75" customHeight="1">
      <c r="A10" s="22"/>
      <c r="B10" s="22" t="s">
        <v>36</v>
      </c>
      <c r="C10" s="32">
        <v>0.258</v>
      </c>
      <c r="D10" s="22"/>
      <c r="E10" s="22"/>
      <c r="F10" s="22"/>
      <c r="G10" s="22"/>
      <c r="H10" s="23"/>
      <c r="I10" s="23"/>
      <c r="J10" s="23"/>
      <c r="K10" s="23"/>
      <c r="L10" s="23"/>
      <c r="M10" s="23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ht="21.75" customHeight="1">
      <c r="A11" s="27"/>
      <c r="B11" s="33"/>
      <c r="C11" s="27"/>
      <c r="D11" s="27"/>
      <c r="E11" s="27"/>
      <c r="F11" s="27"/>
      <c r="G11" s="27"/>
      <c r="H11" s="34"/>
      <c r="I11" s="34"/>
      <c r="J11" s="34"/>
      <c r="K11" s="34"/>
      <c r="L11" s="34"/>
      <c r="M11" s="34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ht="21.75" customHeight="1">
      <c r="A12" s="27"/>
      <c r="B12" s="24" t="s">
        <v>37</v>
      </c>
      <c r="C12" s="25"/>
      <c r="D12" s="25"/>
      <c r="E12" s="27"/>
      <c r="F12" s="27"/>
      <c r="G12" s="27"/>
      <c r="H12" s="35">
        <v>20.0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ht="21.75" customHeight="1">
      <c r="A13" s="27"/>
      <c r="B13" s="27"/>
      <c r="C13" s="27"/>
      <c r="D13" s="27"/>
      <c r="E13" s="27"/>
      <c r="F13" s="27"/>
      <c r="G13" s="27"/>
      <c r="H13" s="34" t="s">
        <v>38</v>
      </c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</row>
    <row r="14" ht="21.75" customHeight="1">
      <c r="A14" s="27"/>
      <c r="B14" s="37" t="s">
        <v>39</v>
      </c>
      <c r="C14" s="27" t="s">
        <v>40</v>
      </c>
      <c r="D14" s="38">
        <v>20.0</v>
      </c>
      <c r="E14" s="27"/>
      <c r="F14" s="27"/>
      <c r="G14" s="27"/>
      <c r="H14" s="34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ht="21.75" customHeight="1">
      <c r="A15" s="27"/>
      <c r="B15" s="37" t="s">
        <v>41</v>
      </c>
      <c r="C15" s="27" t="s">
        <v>40</v>
      </c>
      <c r="D15" s="38">
        <v>45.0</v>
      </c>
      <c r="E15" s="27"/>
      <c r="F15" s="27"/>
      <c r="G15" s="27"/>
      <c r="H15" s="34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ht="21.75" customHeight="1">
      <c r="A16" s="27"/>
      <c r="B16" s="37" t="s">
        <v>42</v>
      </c>
      <c r="C16" s="27" t="s">
        <v>40</v>
      </c>
      <c r="D16" s="38">
        <v>0.0</v>
      </c>
      <c r="E16" s="27"/>
      <c r="F16" s="27"/>
      <c r="G16" s="27"/>
      <c r="H16" s="27"/>
      <c r="I16" s="27"/>
      <c r="J16" s="27"/>
      <c r="K16" s="34"/>
      <c r="L16" s="34"/>
      <c r="M16" s="34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ht="21.75" customHeight="1">
      <c r="A17" s="27"/>
      <c r="B17" s="37" t="s">
        <v>43</v>
      </c>
      <c r="C17" s="27" t="s">
        <v>44</v>
      </c>
      <c r="D17" s="40"/>
      <c r="E17" s="27"/>
      <c r="F17" s="27"/>
      <c r="G17" s="27"/>
      <c r="H17" s="27"/>
      <c r="I17" s="27"/>
      <c r="J17" s="27"/>
      <c r="K17" s="34"/>
      <c r="L17" s="34"/>
      <c r="M17" s="34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ht="21.75" customHeight="1">
      <c r="A18" s="27"/>
      <c r="B18" s="33"/>
      <c r="C18" s="27"/>
      <c r="D18" s="27"/>
      <c r="E18" s="27"/>
      <c r="F18" s="27"/>
      <c r="G18" s="27"/>
      <c r="M18" s="34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ht="21.75" customHeight="1">
      <c r="A19" s="27"/>
      <c r="B19" s="21" t="s">
        <v>45</v>
      </c>
      <c r="C19" s="41"/>
      <c r="D19" s="41"/>
      <c r="E19" s="41"/>
      <c r="F19" s="41"/>
      <c r="G19" s="41"/>
      <c r="M19" s="34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ht="21.75" customHeight="1">
      <c r="A20" s="27"/>
      <c r="B20" s="42" t="s">
        <v>46</v>
      </c>
      <c r="C20" s="42"/>
      <c r="D20" s="42"/>
      <c r="E20" s="42"/>
      <c r="F20" s="42"/>
      <c r="G20" s="42"/>
      <c r="M20" s="34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ht="21.75" customHeight="1">
      <c r="A21" s="27"/>
      <c r="B21" s="34"/>
      <c r="C21" s="27">
        <v>2026.0</v>
      </c>
      <c r="D21" s="27">
        <v>2027.0</v>
      </c>
      <c r="E21" s="27">
        <v>2028.0</v>
      </c>
      <c r="F21" s="27">
        <v>2029.0</v>
      </c>
      <c r="G21" s="27">
        <v>2030.0</v>
      </c>
      <c r="M21" s="34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ht="21.75" customHeight="1">
      <c r="A22" s="27"/>
      <c r="B22" s="34" t="s">
        <v>47</v>
      </c>
      <c r="C22" s="43">
        <v>0.0</v>
      </c>
      <c r="D22" s="43">
        <f>1000*D24</f>
        <v>1000</v>
      </c>
      <c r="E22" s="43">
        <f>3000*D24</f>
        <v>3000</v>
      </c>
      <c r="F22" s="43">
        <f>6000*D24</f>
        <v>6000</v>
      </c>
      <c r="G22" s="43">
        <f>12000*D24</f>
        <v>12000</v>
      </c>
      <c r="M22" s="34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 ht="21.75" customHeight="1">
      <c r="A23" s="27"/>
      <c r="B23" s="27" t="s">
        <v>48</v>
      </c>
      <c r="C23" s="43">
        <v>0.0</v>
      </c>
      <c r="D23" s="43">
        <f>500*D24</f>
        <v>500</v>
      </c>
      <c r="E23" s="43">
        <f>2000*D24</f>
        <v>2000</v>
      </c>
      <c r="F23" s="43">
        <f>4000*D24</f>
        <v>4000</v>
      </c>
      <c r="G23" s="43">
        <f>8000*D24</f>
        <v>8000</v>
      </c>
      <c r="M23" s="34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ht="21.75" customHeight="1">
      <c r="A24" s="27"/>
      <c r="B24" s="27" t="s">
        <v>49</v>
      </c>
      <c r="C24" s="43">
        <v>1.0</v>
      </c>
      <c r="D24" s="44">
        <v>1.0</v>
      </c>
      <c r="E24" s="40">
        <v>0.6</v>
      </c>
      <c r="F24" s="27"/>
      <c r="G24" s="27"/>
      <c r="M24" s="34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 ht="21.75" customHeight="1">
      <c r="A25" s="45"/>
      <c r="B25" s="46"/>
      <c r="C25" s="34"/>
      <c r="D25" s="47"/>
      <c r="E25" s="47"/>
      <c r="F25" s="47"/>
      <c r="G25" s="47"/>
      <c r="M25" s="48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</row>
    <row r="26" ht="21.75" customHeight="1">
      <c r="A26" s="45"/>
      <c r="B26" s="42" t="s">
        <v>50</v>
      </c>
      <c r="C26" s="42"/>
      <c r="D26" s="42"/>
      <c r="E26" s="42"/>
      <c r="F26" s="42"/>
      <c r="G26" s="42"/>
      <c r="H26" s="48"/>
      <c r="I26" s="48"/>
      <c r="J26" s="48"/>
      <c r="K26" s="48"/>
      <c r="L26" s="48"/>
      <c r="M26" s="48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</row>
    <row r="27" ht="21.75" customHeight="1">
      <c r="A27" s="45"/>
      <c r="B27" s="49" t="s">
        <v>51</v>
      </c>
      <c r="C27" s="34"/>
      <c r="D27" s="47"/>
      <c r="E27" s="47"/>
      <c r="F27" s="47"/>
      <c r="G27" s="47"/>
      <c r="H27" s="48"/>
      <c r="I27" s="48"/>
      <c r="J27" s="48"/>
      <c r="K27" s="48"/>
      <c r="L27" s="48"/>
      <c r="M27" s="48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</row>
    <row r="28" ht="21.75" customHeight="1">
      <c r="A28" s="45"/>
      <c r="B28" s="45" t="s">
        <v>52</v>
      </c>
      <c r="C28" s="50">
        <f>9800/1.21</f>
        <v>8099.173554</v>
      </c>
      <c r="D28" s="45" t="s">
        <v>53</v>
      </c>
      <c r="E28" s="47"/>
      <c r="F28" s="47"/>
      <c r="G28" s="47"/>
      <c r="H28" s="48"/>
      <c r="I28" s="48"/>
      <c r="J28" s="48"/>
      <c r="K28" s="34"/>
      <c r="L28" s="48"/>
      <c r="M28" s="48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</row>
    <row r="29" ht="21.75" customHeight="1">
      <c r="A29" s="45"/>
      <c r="B29" s="49"/>
      <c r="C29" s="51"/>
      <c r="D29" s="45"/>
      <c r="E29" s="27"/>
      <c r="F29" s="45"/>
      <c r="G29" s="45"/>
      <c r="H29" s="48"/>
      <c r="I29" s="48"/>
      <c r="J29" s="48"/>
      <c r="K29" s="34"/>
      <c r="L29" s="48"/>
      <c r="M29" s="48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</row>
    <row r="30" ht="21.75" customHeight="1">
      <c r="A30" s="45"/>
      <c r="B30" s="49" t="s">
        <v>54</v>
      </c>
      <c r="C30" s="51"/>
      <c r="D30" s="45"/>
      <c r="E30" s="27"/>
      <c r="F30" s="45"/>
      <c r="G30" s="45"/>
      <c r="H30" s="48"/>
      <c r="I30" s="48"/>
      <c r="J30" s="48"/>
      <c r="K30" s="34"/>
      <c r="L30" s="48"/>
      <c r="M30" s="48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</row>
    <row r="31" ht="21.75" customHeight="1">
      <c r="A31" s="45"/>
      <c r="B31" s="45" t="s">
        <v>55</v>
      </c>
      <c r="C31" s="50">
        <f>3350/1.21</f>
        <v>2768.595041</v>
      </c>
      <c r="D31" s="45" t="s">
        <v>56</v>
      </c>
      <c r="E31" s="27"/>
      <c r="F31" s="27"/>
      <c r="G31" s="45"/>
      <c r="H31" s="48"/>
      <c r="I31" s="48"/>
      <c r="J31" s="48"/>
      <c r="K31" s="34"/>
      <c r="L31" s="48"/>
      <c r="M31" s="48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</row>
    <row r="32" ht="21.75" customHeight="1">
      <c r="A32" s="45"/>
      <c r="B32" s="45"/>
      <c r="C32" s="45"/>
      <c r="D32" s="45"/>
      <c r="E32" s="45"/>
      <c r="F32" s="45"/>
      <c r="G32" s="45"/>
      <c r="H32" s="48"/>
      <c r="I32" s="48"/>
      <c r="J32" s="48"/>
      <c r="K32" s="48"/>
      <c r="L32" s="48"/>
      <c r="M32" s="48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</row>
    <row r="33" ht="21.75" customHeight="1">
      <c r="A33" s="45"/>
      <c r="B33" s="49" t="s">
        <v>57</v>
      </c>
      <c r="C33" s="50">
        <v>3200.0</v>
      </c>
      <c r="D33" s="45" t="s">
        <v>56</v>
      </c>
      <c r="E33" s="45"/>
      <c r="F33" s="45"/>
      <c r="G33" s="45"/>
      <c r="H33" s="48"/>
      <c r="I33" s="48"/>
      <c r="J33" s="48"/>
      <c r="K33" s="48"/>
      <c r="L33" s="48"/>
      <c r="M33" s="48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</row>
    <row r="34" ht="21.75" customHeight="1">
      <c r="A34" s="45"/>
      <c r="B34" s="52"/>
      <c r="C34" s="45"/>
      <c r="D34" s="45"/>
      <c r="E34" s="45"/>
      <c r="F34" s="45"/>
      <c r="G34" s="45"/>
      <c r="H34" s="48"/>
      <c r="I34" s="48"/>
      <c r="J34" s="48"/>
      <c r="K34" s="48"/>
      <c r="L34" s="48"/>
      <c r="M34" s="48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</row>
    <row r="35" ht="23.25" customHeight="1">
      <c r="A35" s="45"/>
      <c r="B35" s="53" t="s">
        <v>58</v>
      </c>
      <c r="C35" s="25"/>
      <c r="D35" s="25"/>
      <c r="E35" s="53"/>
      <c r="F35" s="25"/>
      <c r="G35" s="25"/>
      <c r="H35" s="26"/>
      <c r="I35" s="25"/>
      <c r="J35" s="25"/>
      <c r="K35" s="26"/>
      <c r="L35" s="25"/>
      <c r="M35" s="2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</row>
    <row r="36" ht="21.75" customHeight="1">
      <c r="A36" s="45"/>
      <c r="B36" s="52" t="s">
        <v>47</v>
      </c>
      <c r="C36" s="45"/>
      <c r="D36" s="45"/>
      <c r="E36" s="45"/>
      <c r="F36" s="45"/>
      <c r="G36" s="45"/>
      <c r="H36" s="48"/>
      <c r="I36" s="54"/>
      <c r="J36" s="48"/>
      <c r="K36" s="48"/>
      <c r="L36" s="48"/>
      <c r="M36" s="48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</row>
    <row r="37" ht="21.75" customHeight="1">
      <c r="A37" s="45"/>
      <c r="B37" s="55" t="s">
        <v>59</v>
      </c>
      <c r="C37" s="27"/>
      <c r="D37" s="27"/>
      <c r="E37" s="27"/>
      <c r="H37" s="34"/>
      <c r="I37" s="34"/>
      <c r="J37" s="48"/>
      <c r="M37" s="48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</row>
    <row r="38" ht="21.75" customHeight="1">
      <c r="A38" s="45"/>
      <c r="B38" s="56" t="s">
        <v>60</v>
      </c>
      <c r="C38" s="57" t="s">
        <v>61</v>
      </c>
      <c r="D38" s="58" t="s">
        <v>62</v>
      </c>
      <c r="E38" s="59" t="s">
        <v>63</v>
      </c>
      <c r="F38" s="59" t="s">
        <v>64</v>
      </c>
      <c r="G38" s="56" t="s">
        <v>65</v>
      </c>
      <c r="H38" s="56" t="s">
        <v>66</v>
      </c>
      <c r="I38" s="56" t="s">
        <v>67</v>
      </c>
      <c r="J38" s="48"/>
      <c r="M38" s="48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</row>
    <row r="39" ht="21.75" customHeight="1">
      <c r="A39" s="45"/>
      <c r="B39" s="48" t="s">
        <v>68</v>
      </c>
      <c r="C39" s="60" t="s">
        <v>69</v>
      </c>
      <c r="D39" s="61" t="s">
        <v>70</v>
      </c>
      <c r="E39" s="50">
        <v>6314.0</v>
      </c>
      <c r="F39" s="50">
        <v>4500.0</v>
      </c>
      <c r="G39" s="50">
        <v>2692.44</v>
      </c>
      <c r="H39" s="48" t="s">
        <v>71</v>
      </c>
      <c r="I39" s="48" t="s">
        <v>72</v>
      </c>
      <c r="J39" s="48"/>
      <c r="M39" s="48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</row>
    <row r="40" ht="21.75" customHeight="1">
      <c r="A40" s="45"/>
      <c r="B40" s="48" t="s">
        <v>73</v>
      </c>
      <c r="C40" s="60" t="s">
        <v>69</v>
      </c>
      <c r="D40" s="61" t="s">
        <v>74</v>
      </c>
      <c r="E40" s="50">
        <v>805.5</v>
      </c>
      <c r="F40" s="62">
        <f t="shared" ref="F40:F48" si="1">E40*0.7</f>
        <v>563.85</v>
      </c>
      <c r="G40" s="62">
        <f t="shared" ref="G40:G44" si="2">0.6*F40</f>
        <v>338.31</v>
      </c>
      <c r="H40" s="48" t="s">
        <v>71</v>
      </c>
      <c r="I40" s="48" t="s">
        <v>72</v>
      </c>
      <c r="J40" s="48"/>
      <c r="M40" s="48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</row>
    <row r="41" ht="21.75" customHeight="1">
      <c r="A41" s="45"/>
      <c r="B41" s="48" t="s">
        <v>75</v>
      </c>
      <c r="C41" s="60" t="s">
        <v>69</v>
      </c>
      <c r="D41" s="61" t="s">
        <v>76</v>
      </c>
      <c r="E41" s="50">
        <v>632.92</v>
      </c>
      <c r="F41" s="62">
        <f t="shared" si="1"/>
        <v>443.044</v>
      </c>
      <c r="G41" s="62">
        <f t="shared" si="2"/>
        <v>265.8264</v>
      </c>
      <c r="H41" s="48" t="s">
        <v>71</v>
      </c>
      <c r="I41" s="48" t="s">
        <v>72</v>
      </c>
      <c r="J41" s="48"/>
      <c r="M41" s="48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</row>
    <row r="42" ht="21.75" customHeight="1">
      <c r="A42" s="45"/>
      <c r="B42" s="48" t="s">
        <v>77</v>
      </c>
      <c r="C42" s="60" t="s">
        <v>69</v>
      </c>
      <c r="D42" s="61" t="s">
        <v>78</v>
      </c>
      <c r="E42" s="50">
        <v>283.76</v>
      </c>
      <c r="F42" s="62">
        <f t="shared" si="1"/>
        <v>198.632</v>
      </c>
      <c r="G42" s="62">
        <f t="shared" si="2"/>
        <v>119.1792</v>
      </c>
      <c r="H42" s="48" t="s">
        <v>71</v>
      </c>
      <c r="I42" s="48" t="s">
        <v>72</v>
      </c>
      <c r="J42" s="48"/>
      <c r="M42" s="48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</row>
    <row r="43" ht="21.75" customHeight="1">
      <c r="A43" s="45"/>
      <c r="B43" s="48" t="s">
        <v>79</v>
      </c>
      <c r="C43" s="60" t="s">
        <v>69</v>
      </c>
      <c r="D43" s="61" t="s">
        <v>80</v>
      </c>
      <c r="E43" s="50">
        <v>118.48</v>
      </c>
      <c r="F43" s="62">
        <f t="shared" si="1"/>
        <v>82.936</v>
      </c>
      <c r="G43" s="62">
        <f t="shared" si="2"/>
        <v>49.7616</v>
      </c>
      <c r="H43" s="48" t="s">
        <v>71</v>
      </c>
      <c r="I43" s="48" t="s">
        <v>72</v>
      </c>
      <c r="J43" s="48"/>
      <c r="M43" s="48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</row>
    <row r="44" ht="21.75" customHeight="1">
      <c r="A44" s="45"/>
      <c r="B44" s="48" t="s">
        <v>81</v>
      </c>
      <c r="C44" s="60" t="s">
        <v>69</v>
      </c>
      <c r="D44" s="61" t="s">
        <v>82</v>
      </c>
      <c r="E44" s="50">
        <v>653.03</v>
      </c>
      <c r="F44" s="62">
        <f t="shared" si="1"/>
        <v>457.121</v>
      </c>
      <c r="G44" s="62">
        <f t="shared" si="2"/>
        <v>274.2726</v>
      </c>
      <c r="H44" s="48" t="s">
        <v>71</v>
      </c>
      <c r="I44" s="48" t="s">
        <v>72</v>
      </c>
      <c r="J44" s="48"/>
      <c r="M44" s="48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</row>
    <row r="45" ht="21.75" customHeight="1">
      <c r="A45" s="45"/>
      <c r="B45" s="48" t="s">
        <v>83</v>
      </c>
      <c r="C45" s="60" t="s">
        <v>69</v>
      </c>
      <c r="D45" s="61" t="s">
        <v>84</v>
      </c>
      <c r="E45" s="50">
        <v>300.0</v>
      </c>
      <c r="F45" s="62">
        <f t="shared" si="1"/>
        <v>210</v>
      </c>
      <c r="G45" s="62">
        <v>126.0</v>
      </c>
      <c r="H45" s="48" t="s">
        <v>71</v>
      </c>
      <c r="I45" s="48" t="s">
        <v>72</v>
      </c>
      <c r="J45" s="48"/>
      <c r="M45" s="48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</row>
    <row r="46" ht="21.75" customHeight="1">
      <c r="A46" s="45"/>
      <c r="B46" s="48" t="s">
        <v>85</v>
      </c>
      <c r="C46" s="60" t="s">
        <v>69</v>
      </c>
      <c r="D46" s="61" t="s">
        <v>86</v>
      </c>
      <c r="E46" s="50">
        <v>200.0</v>
      </c>
      <c r="F46" s="62">
        <f t="shared" si="1"/>
        <v>140</v>
      </c>
      <c r="G46" s="62">
        <f t="shared" ref="G46:G48" si="3">0.6*F46</f>
        <v>84</v>
      </c>
      <c r="H46" s="48" t="s">
        <v>71</v>
      </c>
      <c r="I46" s="48" t="s">
        <v>72</v>
      </c>
      <c r="J46" s="48"/>
      <c r="M46" s="48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</row>
    <row r="47" ht="21.75" customHeight="1">
      <c r="A47" s="45"/>
      <c r="B47" s="48" t="s">
        <v>87</v>
      </c>
      <c r="C47" s="60" t="s">
        <v>69</v>
      </c>
      <c r="D47" s="61" t="s">
        <v>88</v>
      </c>
      <c r="E47" s="50">
        <v>400.0</v>
      </c>
      <c r="F47" s="62">
        <f t="shared" si="1"/>
        <v>280</v>
      </c>
      <c r="G47" s="62">
        <f t="shared" si="3"/>
        <v>168</v>
      </c>
      <c r="H47" s="48" t="s">
        <v>71</v>
      </c>
      <c r="I47" s="48" t="s">
        <v>72</v>
      </c>
      <c r="J47" s="48"/>
      <c r="M47" s="48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</row>
    <row r="48" ht="21.75" customHeight="1">
      <c r="A48" s="45"/>
      <c r="B48" s="48" t="s">
        <v>89</v>
      </c>
      <c r="C48" s="60" t="s">
        <v>69</v>
      </c>
      <c r="D48" s="61" t="s">
        <v>90</v>
      </c>
      <c r="E48" s="50">
        <v>291.23</v>
      </c>
      <c r="F48" s="62">
        <f t="shared" si="1"/>
        <v>203.861</v>
      </c>
      <c r="G48" s="62">
        <f t="shared" si="3"/>
        <v>122.3166</v>
      </c>
      <c r="H48" s="48" t="s">
        <v>71</v>
      </c>
      <c r="I48" s="48" t="s">
        <v>72</v>
      </c>
      <c r="J48" s="48"/>
      <c r="M48" s="48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</row>
    <row r="49" ht="21.75" customHeight="1">
      <c r="A49" s="45"/>
      <c r="B49" s="48" t="s">
        <v>91</v>
      </c>
      <c r="C49" s="61" t="s">
        <v>92</v>
      </c>
      <c r="D49" s="61" t="s">
        <v>93</v>
      </c>
      <c r="E49" s="50">
        <v>0.0</v>
      </c>
      <c r="F49" s="62">
        <v>0.0</v>
      </c>
      <c r="G49" s="62">
        <v>760.0</v>
      </c>
      <c r="H49" s="48" t="s">
        <v>71</v>
      </c>
      <c r="I49" s="48" t="s">
        <v>94</v>
      </c>
      <c r="J49" s="48"/>
      <c r="M49" s="48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</row>
    <row r="50" ht="21.75" customHeight="1">
      <c r="A50" s="45"/>
      <c r="B50" s="63" t="s">
        <v>95</v>
      </c>
      <c r="C50" s="64" t="s">
        <v>96</v>
      </c>
      <c r="D50" s="64" t="s">
        <v>97</v>
      </c>
      <c r="E50" s="65">
        <f t="shared" ref="E50:F50" si="4">SUM(E39:E49)</f>
        <v>9998.92</v>
      </c>
      <c r="F50" s="65">
        <f t="shared" si="4"/>
        <v>7079.444</v>
      </c>
      <c r="G50" s="65">
        <f>round(SUM(G39:G49),0)</f>
        <v>5000</v>
      </c>
      <c r="H50" s="56" t="s">
        <v>71</v>
      </c>
      <c r="I50" s="56"/>
      <c r="J50" s="56"/>
      <c r="M50" s="48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</row>
    <row r="51" ht="21.75" customHeight="1">
      <c r="A51" s="45"/>
      <c r="B51" s="63"/>
      <c r="C51" s="56"/>
      <c r="D51" s="56"/>
      <c r="E51" s="65"/>
      <c r="F51" s="65"/>
      <c r="G51" s="65"/>
      <c r="H51" s="56"/>
      <c r="I51" s="56"/>
      <c r="J51" s="56"/>
      <c r="M51" s="48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</row>
    <row r="52" ht="21.75" hidden="1" customHeight="1">
      <c r="A52" s="45"/>
      <c r="B52" s="52" t="s">
        <v>98</v>
      </c>
      <c r="C52" s="45"/>
      <c r="D52" s="45"/>
      <c r="E52" s="45"/>
      <c r="F52" s="48"/>
      <c r="G52" s="48"/>
      <c r="H52" s="48"/>
      <c r="I52" s="48"/>
      <c r="J52" s="48"/>
      <c r="M52" s="48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</row>
    <row r="53" ht="21.75" hidden="1" customHeight="1">
      <c r="A53" s="45"/>
      <c r="B53" s="45" t="s">
        <v>99</v>
      </c>
      <c r="C53" s="66" t="s">
        <v>100</v>
      </c>
      <c r="D53" s="45" t="s">
        <v>70</v>
      </c>
      <c r="E53" s="67">
        <v>2568.0</v>
      </c>
      <c r="F53" s="68">
        <v>2311.2</v>
      </c>
      <c r="G53" s="68">
        <v>2080.08</v>
      </c>
      <c r="H53" s="69" t="s">
        <v>71</v>
      </c>
      <c r="I53" s="48" t="s">
        <v>72</v>
      </c>
      <c r="J53" s="48"/>
      <c r="M53" s="48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</row>
    <row r="54" ht="21.75" hidden="1" customHeight="1">
      <c r="A54" s="45"/>
      <c r="B54" s="45" t="s">
        <v>101</v>
      </c>
      <c r="C54" s="66" t="s">
        <v>100</v>
      </c>
      <c r="D54" s="45" t="s">
        <v>74</v>
      </c>
      <c r="E54" s="67">
        <v>805.5</v>
      </c>
      <c r="F54" s="70">
        <f t="shared" ref="F54:F62" si="5">E54*0.7</f>
        <v>563.85</v>
      </c>
      <c r="G54" s="70">
        <f t="shared" ref="G54:G62" si="6">F54*0.6</f>
        <v>338.31</v>
      </c>
      <c r="H54" s="69" t="s">
        <v>71</v>
      </c>
      <c r="I54" s="48" t="s">
        <v>72</v>
      </c>
      <c r="J54" s="48"/>
      <c r="M54" s="48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</row>
    <row r="55" ht="21.75" hidden="1" customHeight="1">
      <c r="A55" s="45"/>
      <c r="B55" s="45" t="s">
        <v>102</v>
      </c>
      <c r="C55" s="66" t="s">
        <v>100</v>
      </c>
      <c r="D55" s="45" t="s">
        <v>103</v>
      </c>
      <c r="E55" s="67">
        <v>257.92</v>
      </c>
      <c r="F55" s="70">
        <f t="shared" si="5"/>
        <v>180.544</v>
      </c>
      <c r="G55" s="70">
        <f t="shared" si="6"/>
        <v>108.3264</v>
      </c>
      <c r="H55" s="69" t="s">
        <v>71</v>
      </c>
      <c r="I55" s="48" t="s">
        <v>72</v>
      </c>
      <c r="J55" s="48"/>
      <c r="M55" s="48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</row>
    <row r="56" ht="21.75" hidden="1" customHeight="1">
      <c r="A56" s="45"/>
      <c r="B56" s="45" t="s">
        <v>104</v>
      </c>
      <c r="C56" s="66" t="s">
        <v>100</v>
      </c>
      <c r="D56" s="45" t="s">
        <v>105</v>
      </c>
      <c r="E56" s="67">
        <v>283.76</v>
      </c>
      <c r="F56" s="70">
        <f t="shared" si="5"/>
        <v>198.632</v>
      </c>
      <c r="G56" s="70">
        <f t="shared" si="6"/>
        <v>119.1792</v>
      </c>
      <c r="H56" s="69" t="s">
        <v>71</v>
      </c>
      <c r="I56" s="48" t="s">
        <v>72</v>
      </c>
      <c r="J56" s="48"/>
      <c r="M56" s="48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</row>
    <row r="57" ht="21.75" hidden="1" customHeight="1">
      <c r="A57" s="45"/>
      <c r="B57" s="45" t="s">
        <v>106</v>
      </c>
      <c r="C57" s="66" t="s">
        <v>100</v>
      </c>
      <c r="D57" s="45" t="s">
        <v>107</v>
      </c>
      <c r="E57" s="67">
        <v>118.48</v>
      </c>
      <c r="F57" s="70">
        <f t="shared" si="5"/>
        <v>82.936</v>
      </c>
      <c r="G57" s="70">
        <f t="shared" si="6"/>
        <v>49.7616</v>
      </c>
      <c r="H57" s="69" t="s">
        <v>71</v>
      </c>
      <c r="I57" s="48" t="s">
        <v>72</v>
      </c>
      <c r="J57" s="48"/>
      <c r="M57" s="48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</row>
    <row r="58" ht="21.75" hidden="1" customHeight="1">
      <c r="A58" s="45"/>
      <c r="B58" s="45" t="s">
        <v>108</v>
      </c>
      <c r="C58" s="66" t="s">
        <v>100</v>
      </c>
      <c r="D58" s="45" t="s">
        <v>109</v>
      </c>
      <c r="E58" s="67">
        <v>653.03</v>
      </c>
      <c r="F58" s="70">
        <f t="shared" si="5"/>
        <v>457.121</v>
      </c>
      <c r="G58" s="70">
        <f t="shared" si="6"/>
        <v>274.2726</v>
      </c>
      <c r="H58" s="69" t="s">
        <v>71</v>
      </c>
      <c r="I58" s="48" t="s">
        <v>72</v>
      </c>
      <c r="J58" s="48"/>
      <c r="M58" s="48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</row>
    <row r="59" ht="21.75" hidden="1" customHeight="1">
      <c r="A59" s="45"/>
      <c r="B59" s="45" t="s">
        <v>110</v>
      </c>
      <c r="C59" s="66" t="s">
        <v>100</v>
      </c>
      <c r="D59" s="45" t="s">
        <v>111</v>
      </c>
      <c r="E59" s="67">
        <v>300.0</v>
      </c>
      <c r="F59" s="70">
        <f t="shared" si="5"/>
        <v>210</v>
      </c>
      <c r="G59" s="70">
        <f t="shared" si="6"/>
        <v>126</v>
      </c>
      <c r="H59" s="69" t="s">
        <v>71</v>
      </c>
      <c r="I59" s="48" t="s">
        <v>72</v>
      </c>
      <c r="J59" s="48"/>
      <c r="M59" s="48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</row>
    <row r="60" ht="21.75" hidden="1" customHeight="1">
      <c r="A60" s="45"/>
      <c r="B60" s="45" t="s">
        <v>112</v>
      </c>
      <c r="C60" s="66" t="s">
        <v>100</v>
      </c>
      <c r="D60" s="45" t="s">
        <v>113</v>
      </c>
      <c r="E60" s="67">
        <v>200.0</v>
      </c>
      <c r="F60" s="70">
        <f t="shared" si="5"/>
        <v>140</v>
      </c>
      <c r="G60" s="70">
        <f t="shared" si="6"/>
        <v>84</v>
      </c>
      <c r="H60" s="69" t="s">
        <v>71</v>
      </c>
      <c r="I60" s="48" t="s">
        <v>72</v>
      </c>
      <c r="J60" s="48"/>
      <c r="M60" s="48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</row>
    <row r="61" ht="21.75" hidden="1" customHeight="1">
      <c r="A61" s="45"/>
      <c r="B61" s="45" t="s">
        <v>114</v>
      </c>
      <c r="C61" s="66" t="s">
        <v>100</v>
      </c>
      <c r="D61" s="45" t="s">
        <v>115</v>
      </c>
      <c r="E61" s="67">
        <v>400.0</v>
      </c>
      <c r="F61" s="70">
        <f t="shared" si="5"/>
        <v>280</v>
      </c>
      <c r="G61" s="70">
        <f t="shared" si="6"/>
        <v>168</v>
      </c>
      <c r="H61" s="69" t="s">
        <v>71</v>
      </c>
      <c r="I61" s="48" t="s">
        <v>72</v>
      </c>
      <c r="J61" s="48"/>
      <c r="M61" s="48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</row>
    <row r="62" ht="21.75" hidden="1" customHeight="1">
      <c r="A62" s="45"/>
      <c r="B62" s="45" t="s">
        <v>116</v>
      </c>
      <c r="C62" s="66" t="s">
        <v>100</v>
      </c>
      <c r="D62" s="45" t="s">
        <v>117</v>
      </c>
      <c r="E62" s="67">
        <v>236.81</v>
      </c>
      <c r="F62" s="70">
        <f t="shared" si="5"/>
        <v>165.767</v>
      </c>
      <c r="G62" s="70">
        <f t="shared" si="6"/>
        <v>99.4602</v>
      </c>
      <c r="H62" s="69" t="s">
        <v>71</v>
      </c>
      <c r="I62" s="48" t="s">
        <v>72</v>
      </c>
      <c r="J62" s="48"/>
      <c r="M62" s="48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</row>
    <row r="63" ht="21.75" hidden="1" customHeight="1">
      <c r="A63" s="45"/>
      <c r="B63" s="45"/>
      <c r="C63" s="56" t="s">
        <v>118</v>
      </c>
      <c r="D63" s="56" t="s">
        <v>97</v>
      </c>
      <c r="E63" s="71">
        <f t="shared" ref="E63:G63" si="7">SUM(E53:E62)</f>
        <v>5823.5</v>
      </c>
      <c r="F63" s="72">
        <f t="shared" si="7"/>
        <v>4590.05</v>
      </c>
      <c r="G63" s="72">
        <f t="shared" si="7"/>
        <v>3447.39</v>
      </c>
      <c r="H63" s="73"/>
      <c r="I63" s="69"/>
      <c r="J63" s="48"/>
      <c r="M63" s="48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</row>
    <row r="64" ht="21.75" customHeight="1">
      <c r="A64" s="45"/>
      <c r="B64" s="45"/>
      <c r="C64" s="45"/>
      <c r="D64" s="45"/>
      <c r="E64" s="45"/>
      <c r="F64" s="69"/>
      <c r="G64" s="69"/>
      <c r="H64" s="69"/>
      <c r="I64" s="69"/>
      <c r="J64" s="48"/>
      <c r="M64" s="48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</row>
    <row r="65" ht="21.75" customHeight="1">
      <c r="A65" s="45"/>
      <c r="B65" s="42" t="s">
        <v>119</v>
      </c>
      <c r="H65" s="69"/>
      <c r="I65" s="69"/>
      <c r="J65" s="69"/>
      <c r="K65" s="69"/>
      <c r="L65" s="48"/>
      <c r="M65" s="48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</row>
    <row r="66" ht="21.75" customHeight="1">
      <c r="A66" s="45"/>
      <c r="B66" s="74" t="s">
        <v>120</v>
      </c>
      <c r="C66" s="74" t="s">
        <v>121</v>
      </c>
      <c r="D66" s="74" t="s">
        <v>66</v>
      </c>
      <c r="E66" s="74" t="s">
        <v>122</v>
      </c>
      <c r="F66" s="27"/>
      <c r="G66" s="27"/>
      <c r="H66" s="34"/>
      <c r="I66" s="48"/>
      <c r="J66" s="48"/>
      <c r="K66" s="34"/>
      <c r="L66" s="48"/>
      <c r="M66" s="48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</row>
    <row r="67" ht="21.75" customHeight="1">
      <c r="A67" s="45"/>
      <c r="B67" s="75">
        <v>1000.0</v>
      </c>
      <c r="C67" s="76">
        <f>E50</f>
        <v>9998.92</v>
      </c>
      <c r="D67" s="74" t="s">
        <v>71</v>
      </c>
      <c r="E67" s="45" t="s">
        <v>123</v>
      </c>
      <c r="F67" s="27"/>
      <c r="G67" s="34"/>
      <c r="H67" s="34"/>
      <c r="I67" s="69"/>
      <c r="J67" s="69"/>
      <c r="K67" s="34"/>
      <c r="L67" s="48"/>
      <c r="M67" s="48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</row>
    <row r="68" ht="21.75" customHeight="1">
      <c r="A68" s="45"/>
      <c r="B68" s="75">
        <v>5000.0</v>
      </c>
      <c r="C68" s="76">
        <f>F50</f>
        <v>7079.444</v>
      </c>
      <c r="D68" s="74" t="s">
        <v>71</v>
      </c>
      <c r="E68" s="45" t="s">
        <v>123</v>
      </c>
      <c r="F68" s="27"/>
      <c r="G68" s="34"/>
      <c r="H68" s="34"/>
      <c r="I68" s="69"/>
      <c r="J68" s="69"/>
      <c r="K68" s="34"/>
      <c r="L68" s="48"/>
      <c r="M68" s="48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</row>
    <row r="69" ht="21.75" customHeight="1">
      <c r="A69" s="45"/>
      <c r="B69" s="75">
        <v>10000.0</v>
      </c>
      <c r="C69" s="76">
        <f>G50</f>
        <v>5000</v>
      </c>
      <c r="D69" s="74" t="s">
        <v>71</v>
      </c>
      <c r="E69" s="45" t="s">
        <v>123</v>
      </c>
      <c r="F69" s="27"/>
      <c r="G69" s="34"/>
      <c r="H69" s="34"/>
      <c r="I69" s="69"/>
      <c r="J69" s="69"/>
      <c r="K69" s="34"/>
      <c r="L69" s="48"/>
      <c r="M69" s="48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</row>
    <row r="70" ht="21.0" customHeight="1">
      <c r="A70" s="27"/>
      <c r="B70" s="27"/>
      <c r="C70" s="27"/>
      <c r="D70" s="27"/>
      <c r="E70" s="27"/>
      <c r="F70" s="27"/>
      <c r="G70" s="27"/>
      <c r="H70" s="34"/>
      <c r="I70" s="34"/>
      <c r="J70" s="34"/>
      <c r="K70" s="34"/>
      <c r="L70" s="34"/>
      <c r="M70" s="34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</row>
    <row r="71" ht="21.75" customHeight="1">
      <c r="A71" s="45"/>
      <c r="B71" s="42" t="s">
        <v>124</v>
      </c>
      <c r="H71" s="69"/>
      <c r="I71" s="69"/>
      <c r="J71" s="69"/>
      <c r="K71" s="48"/>
      <c r="L71" s="48"/>
      <c r="M71" s="48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</row>
    <row r="72" ht="21.75" customHeight="1">
      <c r="A72" s="45"/>
      <c r="B72" s="77" t="s">
        <v>60</v>
      </c>
      <c r="C72" s="77" t="s">
        <v>61</v>
      </c>
      <c r="D72" s="77" t="s">
        <v>62</v>
      </c>
      <c r="E72" s="77" t="s">
        <v>125</v>
      </c>
      <c r="F72" s="77" t="s">
        <v>63</v>
      </c>
      <c r="G72" s="78" t="s">
        <v>64</v>
      </c>
      <c r="H72" s="78" t="s">
        <v>65</v>
      </c>
      <c r="I72" s="78" t="s">
        <v>66</v>
      </c>
      <c r="J72" s="78" t="s">
        <v>67</v>
      </c>
      <c r="K72" s="34"/>
      <c r="M72" s="48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</row>
    <row r="73" ht="21.75" customHeight="1">
      <c r="A73" s="45"/>
      <c r="B73" s="77" t="s">
        <v>126</v>
      </c>
      <c r="C73" s="27" t="s">
        <v>127</v>
      </c>
      <c r="D73" s="27" t="s">
        <v>128</v>
      </c>
      <c r="E73" s="79">
        <v>750.0</v>
      </c>
      <c r="F73" s="80">
        <f t="shared" ref="F73:H73" si="8">E73*0.9</f>
        <v>675</v>
      </c>
      <c r="G73" s="80">
        <f t="shared" si="8"/>
        <v>607.5</v>
      </c>
      <c r="H73" s="80">
        <f t="shared" si="8"/>
        <v>546.75</v>
      </c>
      <c r="I73" s="78" t="s">
        <v>71</v>
      </c>
      <c r="J73" s="34" t="s">
        <v>129</v>
      </c>
      <c r="K73" s="34"/>
      <c r="M73" s="48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</row>
    <row r="74" ht="21.75" customHeight="1">
      <c r="A74" s="45"/>
      <c r="B74" s="77" t="s">
        <v>130</v>
      </c>
      <c r="C74" s="27" t="s">
        <v>127</v>
      </c>
      <c r="D74" s="27" t="s">
        <v>131</v>
      </c>
      <c r="E74" s="79">
        <v>150.0</v>
      </c>
      <c r="F74" s="79">
        <v>150.0</v>
      </c>
      <c r="G74" s="79">
        <v>150.0</v>
      </c>
      <c r="H74" s="79">
        <v>150.0</v>
      </c>
      <c r="I74" s="78" t="s">
        <v>71</v>
      </c>
      <c r="J74" s="34" t="s">
        <v>129</v>
      </c>
      <c r="K74" s="34"/>
      <c r="M74" s="48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</row>
    <row r="75" ht="21.75" customHeight="1">
      <c r="A75" s="45"/>
      <c r="B75" s="77" t="s">
        <v>132</v>
      </c>
      <c r="C75" s="27" t="s">
        <v>127</v>
      </c>
      <c r="D75" s="27" t="s">
        <v>133</v>
      </c>
      <c r="E75" s="79">
        <v>200.0</v>
      </c>
      <c r="F75" s="80">
        <f t="shared" ref="F75:H75" si="9">E75*0.9</f>
        <v>180</v>
      </c>
      <c r="G75" s="80">
        <f t="shared" si="9"/>
        <v>162</v>
      </c>
      <c r="H75" s="80">
        <f t="shared" si="9"/>
        <v>145.8</v>
      </c>
      <c r="I75" s="78" t="s">
        <v>71</v>
      </c>
      <c r="J75" s="34" t="s">
        <v>129</v>
      </c>
      <c r="K75" s="34"/>
      <c r="M75" s="48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</row>
    <row r="76" ht="21.75" customHeight="1">
      <c r="A76" s="45"/>
      <c r="B76" s="77" t="s">
        <v>134</v>
      </c>
      <c r="C76" s="27" t="s">
        <v>127</v>
      </c>
      <c r="D76" s="27" t="s">
        <v>135</v>
      </c>
      <c r="E76" s="79">
        <v>200.0</v>
      </c>
      <c r="F76" s="80">
        <f t="shared" ref="F76:H76" si="10">E76*0.9</f>
        <v>180</v>
      </c>
      <c r="G76" s="80">
        <f t="shared" si="10"/>
        <v>162</v>
      </c>
      <c r="H76" s="80">
        <f t="shared" si="10"/>
        <v>145.8</v>
      </c>
      <c r="I76" s="78" t="s">
        <v>71</v>
      </c>
      <c r="J76" s="34" t="s">
        <v>129</v>
      </c>
      <c r="K76" s="34"/>
      <c r="M76" s="48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</row>
    <row r="77" ht="21.75" customHeight="1">
      <c r="A77" s="81"/>
      <c r="B77" s="82" t="s">
        <v>136</v>
      </c>
      <c r="C77" s="55" t="s">
        <v>127</v>
      </c>
      <c r="D77" s="55" t="s">
        <v>137</v>
      </c>
      <c r="E77" s="83">
        <f t="shared" ref="E77:H77" si="11">SUM(E73:E76)</f>
        <v>1300</v>
      </c>
      <c r="F77" s="83">
        <f t="shared" si="11"/>
        <v>1185</v>
      </c>
      <c r="G77" s="83">
        <f t="shared" si="11"/>
        <v>1081.5</v>
      </c>
      <c r="H77" s="83">
        <f t="shared" si="11"/>
        <v>988.35</v>
      </c>
      <c r="I77" s="84" t="s">
        <v>71</v>
      </c>
      <c r="J77" s="85" t="s">
        <v>72</v>
      </c>
      <c r="K77" s="85"/>
      <c r="L77" s="86"/>
      <c r="M77" s="56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</row>
    <row r="78" ht="21.75" customHeight="1">
      <c r="A78" s="45"/>
      <c r="B78" s="87" t="s">
        <v>138</v>
      </c>
      <c r="L78" s="48"/>
      <c r="M78" s="48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</row>
    <row r="79" ht="21.75" customHeight="1">
      <c r="A79" s="45"/>
      <c r="B79" s="74" t="s">
        <v>120</v>
      </c>
      <c r="C79" s="74" t="s">
        <v>121</v>
      </c>
      <c r="D79" s="74" t="s">
        <v>66</v>
      </c>
      <c r="E79" s="74" t="s">
        <v>67</v>
      </c>
      <c r="F79" s="27"/>
      <c r="G79" s="27"/>
      <c r="H79" s="34"/>
      <c r="I79" s="48"/>
      <c r="J79" s="88"/>
      <c r="K79" s="34"/>
      <c r="L79" s="48"/>
      <c r="M79" s="48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</row>
    <row r="80" ht="21.75" customHeight="1">
      <c r="A80" s="45"/>
      <c r="B80" s="75">
        <v>0.0</v>
      </c>
      <c r="C80" s="76">
        <f>E77</f>
        <v>1300</v>
      </c>
      <c r="D80" s="74" t="s">
        <v>71</v>
      </c>
      <c r="E80" s="34" t="s">
        <v>129</v>
      </c>
      <c r="F80" s="27"/>
      <c r="G80" s="27"/>
      <c r="H80" s="34"/>
      <c r="I80" s="69"/>
      <c r="J80" s="88"/>
      <c r="K80" s="34"/>
      <c r="L80" s="48"/>
      <c r="M80" s="48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</row>
    <row r="81" ht="21.75" customHeight="1">
      <c r="A81" s="45"/>
      <c r="B81" s="75">
        <v>500.0</v>
      </c>
      <c r="C81" s="76">
        <f>E77</f>
        <v>1300</v>
      </c>
      <c r="D81" s="74" t="s">
        <v>71</v>
      </c>
      <c r="E81" s="34" t="s">
        <v>129</v>
      </c>
      <c r="F81" s="27"/>
      <c r="G81" s="27"/>
      <c r="H81" s="34"/>
      <c r="I81" s="69"/>
      <c r="J81" s="88"/>
      <c r="K81" s="34"/>
      <c r="L81" s="48"/>
      <c r="M81" s="48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</row>
    <row r="82" ht="21.75" customHeight="1">
      <c r="A82" s="45"/>
      <c r="B82" s="75">
        <v>1000.0</v>
      </c>
      <c r="C82" s="76">
        <f>F77</f>
        <v>1185</v>
      </c>
      <c r="D82" s="74" t="s">
        <v>71</v>
      </c>
      <c r="E82" s="34" t="s">
        <v>129</v>
      </c>
      <c r="F82" s="27"/>
      <c r="G82" s="27"/>
      <c r="H82" s="34"/>
      <c r="I82" s="69"/>
      <c r="J82" s="88"/>
      <c r="K82" s="34"/>
      <c r="L82" s="48"/>
      <c r="M82" s="48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</row>
    <row r="83" ht="21.75" customHeight="1">
      <c r="A83" s="45"/>
      <c r="B83" s="75">
        <v>5000.0</v>
      </c>
      <c r="C83" s="76">
        <f>G77</f>
        <v>1081.5</v>
      </c>
      <c r="D83" s="74" t="s">
        <v>71</v>
      </c>
      <c r="E83" s="34" t="s">
        <v>129</v>
      </c>
      <c r="F83" s="27"/>
      <c r="G83" s="27"/>
      <c r="H83" s="34"/>
      <c r="I83" s="69"/>
      <c r="J83" s="88"/>
      <c r="K83" s="34"/>
      <c r="L83" s="48"/>
      <c r="M83" s="48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</row>
    <row r="84" ht="21.75" customHeight="1">
      <c r="A84" s="45"/>
      <c r="B84" s="75">
        <v>10000.0</v>
      </c>
      <c r="C84" s="76">
        <f>H77</f>
        <v>988.35</v>
      </c>
      <c r="D84" s="74" t="s">
        <v>71</v>
      </c>
      <c r="E84" s="34" t="s">
        <v>129</v>
      </c>
      <c r="F84" s="27"/>
      <c r="G84" s="27"/>
      <c r="H84" s="34"/>
      <c r="I84" s="69"/>
      <c r="J84" s="88"/>
      <c r="K84" s="34"/>
      <c r="L84" s="48"/>
      <c r="M84" s="48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</row>
    <row r="85" ht="21.75" customHeight="1">
      <c r="A85" s="45"/>
      <c r="B85" s="52"/>
      <c r="C85" s="45"/>
      <c r="D85" s="45"/>
      <c r="E85" s="45"/>
      <c r="F85" s="45"/>
      <c r="G85" s="45"/>
      <c r="H85" s="48"/>
      <c r="I85" s="48"/>
      <c r="J85" s="48"/>
      <c r="K85" s="48"/>
      <c r="L85" s="48"/>
      <c r="M85" s="48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</row>
    <row r="86" ht="21.75" customHeight="1">
      <c r="A86" s="45"/>
      <c r="B86" s="52"/>
      <c r="C86" s="45"/>
      <c r="D86" s="45"/>
      <c r="E86" s="45"/>
      <c r="F86" s="45"/>
      <c r="G86" s="45"/>
      <c r="H86" s="48"/>
      <c r="I86" s="48"/>
      <c r="J86" s="48"/>
      <c r="K86" s="48"/>
      <c r="L86" s="48"/>
      <c r="M86" s="48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</row>
    <row r="87" ht="23.25" customHeight="1">
      <c r="A87" s="45"/>
      <c r="B87" s="24" t="s">
        <v>139</v>
      </c>
      <c r="C87" s="25"/>
      <c r="D87" s="25"/>
      <c r="E87" s="24"/>
      <c r="F87" s="24" t="s">
        <v>140</v>
      </c>
      <c r="G87" s="89">
        <v>0.3</v>
      </c>
      <c r="H87" s="90"/>
      <c r="I87" s="24"/>
      <c r="J87" s="91"/>
      <c r="K87" s="26"/>
      <c r="L87" s="25"/>
      <c r="M87" s="2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</row>
    <row r="88" ht="21.75" customHeight="1">
      <c r="A88" s="45"/>
      <c r="B88" s="52"/>
      <c r="C88" s="55" t="s">
        <v>61</v>
      </c>
      <c r="D88" s="81" t="s">
        <v>122</v>
      </c>
      <c r="E88" s="92">
        <v>2026.0</v>
      </c>
      <c r="F88" s="55">
        <v>2027.0</v>
      </c>
      <c r="G88" s="55">
        <v>2028.0</v>
      </c>
      <c r="H88" s="81">
        <v>2029.0</v>
      </c>
      <c r="I88" s="92">
        <v>2030.0</v>
      </c>
      <c r="J88" s="48"/>
      <c r="K88" s="48"/>
      <c r="L88" s="27"/>
      <c r="M88" s="48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</row>
    <row r="89" ht="21.75" customHeight="1">
      <c r="A89" s="45"/>
      <c r="B89" s="93" t="s">
        <v>141</v>
      </c>
      <c r="C89" s="34" t="s">
        <v>142</v>
      </c>
      <c r="D89" s="48" t="s">
        <v>143</v>
      </c>
      <c r="E89" s="79">
        <v>5000.0</v>
      </c>
      <c r="F89" s="80">
        <f t="shared" ref="F89:F94" si="13">$E89*(1+$G$87)</f>
        <v>6500</v>
      </c>
      <c r="G89" s="80">
        <f t="shared" ref="G89:I89" si="12">F89*(1+$G$87)</f>
        <v>8450</v>
      </c>
      <c r="H89" s="80">
        <f t="shared" si="12"/>
        <v>10985</v>
      </c>
      <c r="I89" s="80">
        <f t="shared" si="12"/>
        <v>14280.5</v>
      </c>
      <c r="J89" s="48"/>
      <c r="K89" s="48"/>
      <c r="L89" s="27"/>
      <c r="M89" s="48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</row>
    <row r="90" ht="21.75" customHeight="1">
      <c r="A90" s="45"/>
      <c r="B90" s="93" t="s">
        <v>144</v>
      </c>
      <c r="C90" s="34" t="s">
        <v>142</v>
      </c>
      <c r="D90" s="48" t="s">
        <v>143</v>
      </c>
      <c r="E90" s="79">
        <v>7000.0</v>
      </c>
      <c r="F90" s="80">
        <f t="shared" si="13"/>
        <v>9100</v>
      </c>
      <c r="G90" s="80">
        <f t="shared" ref="G90:I90" si="14">F90*(1+$G$87)</f>
        <v>11830</v>
      </c>
      <c r="H90" s="80">
        <f t="shared" si="14"/>
        <v>15379</v>
      </c>
      <c r="I90" s="80">
        <f t="shared" si="14"/>
        <v>19992.7</v>
      </c>
      <c r="J90" s="48"/>
      <c r="K90" s="48"/>
      <c r="L90" s="27"/>
      <c r="M90" s="48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</row>
    <row r="91" ht="21.75" customHeight="1">
      <c r="A91" s="45"/>
      <c r="B91" s="93" t="s">
        <v>145</v>
      </c>
      <c r="C91" s="34" t="s">
        <v>146</v>
      </c>
      <c r="D91" s="48" t="s">
        <v>143</v>
      </c>
      <c r="E91" s="79">
        <v>14000.0</v>
      </c>
      <c r="F91" s="80">
        <f t="shared" si="13"/>
        <v>18200</v>
      </c>
      <c r="G91" s="80">
        <f t="shared" ref="G91:I91" si="15">F91*(1+$G$87)</f>
        <v>23660</v>
      </c>
      <c r="H91" s="80">
        <f t="shared" si="15"/>
        <v>30758</v>
      </c>
      <c r="I91" s="80">
        <f t="shared" si="15"/>
        <v>39985.4</v>
      </c>
      <c r="J91" s="48"/>
      <c r="K91" s="48"/>
      <c r="L91" s="27"/>
      <c r="M91" s="48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</row>
    <row r="92" ht="21.75" customHeight="1">
      <c r="A92" s="45"/>
      <c r="B92" s="93" t="s">
        <v>147</v>
      </c>
      <c r="C92" s="34" t="s">
        <v>142</v>
      </c>
      <c r="D92" s="48" t="s">
        <v>143</v>
      </c>
      <c r="E92" s="79">
        <v>8000.0</v>
      </c>
      <c r="F92" s="80">
        <f t="shared" si="13"/>
        <v>10400</v>
      </c>
      <c r="G92" s="80">
        <f t="shared" ref="G92:I92" si="16">F92*(1+$G$87)</f>
        <v>13520</v>
      </c>
      <c r="H92" s="80">
        <f t="shared" si="16"/>
        <v>17576</v>
      </c>
      <c r="I92" s="80">
        <f t="shared" si="16"/>
        <v>22848.8</v>
      </c>
      <c r="J92" s="48"/>
      <c r="K92" s="48"/>
      <c r="L92" s="27"/>
      <c r="M92" s="48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</row>
    <row r="93" ht="21.75" customHeight="1">
      <c r="A93" s="45"/>
      <c r="B93" s="93" t="s">
        <v>148</v>
      </c>
      <c r="C93" s="34" t="s">
        <v>149</v>
      </c>
      <c r="D93" s="48" t="s">
        <v>143</v>
      </c>
      <c r="E93" s="79">
        <v>10000.0</v>
      </c>
      <c r="F93" s="80">
        <f t="shared" si="13"/>
        <v>13000</v>
      </c>
      <c r="G93" s="80">
        <f t="shared" ref="G93:I93" si="17">F93*(1+$G$87)</f>
        <v>16900</v>
      </c>
      <c r="H93" s="80">
        <f t="shared" si="17"/>
        <v>21970</v>
      </c>
      <c r="I93" s="80">
        <f t="shared" si="17"/>
        <v>28561</v>
      </c>
      <c r="J93" s="48"/>
      <c r="K93" s="48"/>
      <c r="L93" s="27"/>
      <c r="M93" s="48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</row>
    <row r="94" ht="21.75" customHeight="1">
      <c r="A94" s="45"/>
      <c r="B94" s="94" t="s">
        <v>150</v>
      </c>
      <c r="C94" s="34" t="s">
        <v>149</v>
      </c>
      <c r="D94" s="48" t="s">
        <v>143</v>
      </c>
      <c r="E94" s="79">
        <v>15000.0</v>
      </c>
      <c r="F94" s="80">
        <f t="shared" si="13"/>
        <v>19500</v>
      </c>
      <c r="G94" s="80">
        <f t="shared" ref="G94:I94" si="18">F94*(1+$G$87)</f>
        <v>25350</v>
      </c>
      <c r="H94" s="80">
        <f t="shared" si="18"/>
        <v>32955</v>
      </c>
      <c r="I94" s="80">
        <f t="shared" si="18"/>
        <v>42841.5</v>
      </c>
      <c r="J94" s="48"/>
      <c r="K94" s="48"/>
      <c r="L94" s="27"/>
      <c r="M94" s="48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</row>
    <row r="95" ht="21.75" customHeight="1">
      <c r="A95" s="45"/>
      <c r="B95" s="34" t="s">
        <v>151</v>
      </c>
      <c r="C95" s="34" t="s">
        <v>149</v>
      </c>
      <c r="D95" s="48" t="s">
        <v>152</v>
      </c>
      <c r="E95" s="79">
        <v>168933.0</v>
      </c>
      <c r="F95" s="80"/>
      <c r="G95" s="80"/>
      <c r="H95" s="80"/>
      <c r="I95" s="80"/>
      <c r="J95" s="48"/>
      <c r="K95" s="48"/>
      <c r="L95" s="27"/>
      <c r="M95" s="48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</row>
    <row r="96" ht="21.75" customHeight="1">
      <c r="A96" s="45"/>
      <c r="B96" s="95" t="s">
        <v>153</v>
      </c>
      <c r="C96" s="34" t="s">
        <v>146</v>
      </c>
      <c r="D96" s="48" t="s">
        <v>152</v>
      </c>
      <c r="E96" s="79">
        <v>10000.0</v>
      </c>
      <c r="F96" s="80"/>
      <c r="G96" s="80"/>
      <c r="H96" s="80"/>
      <c r="I96" s="80"/>
      <c r="J96" s="48"/>
      <c r="K96" s="48"/>
      <c r="L96" s="27"/>
      <c r="M96" s="48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</row>
    <row r="97" ht="21.75" customHeight="1">
      <c r="A97" s="45"/>
      <c r="B97" s="96" t="s">
        <v>154</v>
      </c>
      <c r="C97" s="48" t="s">
        <v>146</v>
      </c>
      <c r="D97" s="48" t="s">
        <v>152</v>
      </c>
      <c r="E97" s="79">
        <v>10000.0</v>
      </c>
      <c r="F97" s="80"/>
      <c r="G97" s="80"/>
      <c r="H97" s="80"/>
      <c r="I97" s="80"/>
      <c r="J97" s="48"/>
      <c r="K97" s="48"/>
      <c r="L97" s="27"/>
      <c r="M97" s="48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</row>
    <row r="98" ht="21.75" customHeight="1">
      <c r="A98" s="45"/>
      <c r="B98" s="93" t="s">
        <v>155</v>
      </c>
      <c r="C98" s="34" t="s">
        <v>149</v>
      </c>
      <c r="D98" s="48" t="s">
        <v>152</v>
      </c>
      <c r="E98" s="79">
        <v>100000.0</v>
      </c>
      <c r="F98" s="80"/>
      <c r="G98" s="80"/>
      <c r="H98" s="80"/>
      <c r="I98" s="80"/>
      <c r="J98" s="48"/>
      <c r="K98" s="48"/>
      <c r="L98" s="27"/>
      <c r="M98" s="48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</row>
    <row r="99" ht="21.75" customHeight="1">
      <c r="A99" s="45"/>
      <c r="B99" s="96" t="s">
        <v>156</v>
      </c>
      <c r="C99" s="48" t="s">
        <v>149</v>
      </c>
      <c r="D99" s="48" t="s">
        <v>152</v>
      </c>
      <c r="E99" s="79">
        <v>45000.0</v>
      </c>
      <c r="F99" s="80"/>
      <c r="G99" s="80"/>
      <c r="H99" s="80"/>
      <c r="I99" s="80"/>
      <c r="J99" s="48"/>
      <c r="K99" s="48"/>
      <c r="L99" s="27"/>
      <c r="M99" s="48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</row>
    <row r="100" ht="21.75" customHeight="1">
      <c r="A100" s="27"/>
      <c r="B100" s="27"/>
      <c r="C100" s="27"/>
      <c r="D100" s="27"/>
      <c r="E100" s="27"/>
      <c r="F100" s="27"/>
      <c r="G100" s="27"/>
      <c r="H100" s="34"/>
      <c r="I100" s="34"/>
      <c r="J100" s="34"/>
      <c r="K100" s="34"/>
      <c r="L100" s="27"/>
      <c r="M100" s="34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</row>
    <row r="101" ht="21.75" customHeight="1">
      <c r="A101" s="27"/>
      <c r="B101" s="97"/>
      <c r="C101" s="45"/>
      <c r="D101" s="45"/>
      <c r="E101" s="98"/>
      <c r="F101" s="27"/>
      <c r="G101" s="27"/>
      <c r="H101" s="27"/>
      <c r="I101" s="27"/>
      <c r="J101" s="27"/>
      <c r="K101" s="27"/>
      <c r="L101" s="27"/>
      <c r="M101" s="34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</row>
    <row r="102" ht="21.75" customHeight="1">
      <c r="A102" s="27"/>
      <c r="B102" s="97" t="s">
        <v>157</v>
      </c>
      <c r="C102" s="45"/>
      <c r="D102" s="45"/>
      <c r="E102" s="98"/>
      <c r="F102" s="27"/>
      <c r="G102" s="99" t="s">
        <v>46</v>
      </c>
      <c r="H102" s="100" t="s">
        <v>158</v>
      </c>
      <c r="I102" s="101" t="s">
        <v>159</v>
      </c>
      <c r="J102" s="85" t="s">
        <v>160</v>
      </c>
      <c r="K102" s="34"/>
      <c r="L102" s="27"/>
      <c r="M102" s="34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</row>
    <row r="103" ht="21.75" customHeight="1">
      <c r="A103" s="27"/>
      <c r="B103" s="96" t="s">
        <v>161</v>
      </c>
      <c r="C103" s="48" t="s">
        <v>146</v>
      </c>
      <c r="D103" s="48" t="s">
        <v>162</v>
      </c>
      <c r="E103" s="102">
        <v>400.0</v>
      </c>
      <c r="F103" s="27" t="s">
        <v>163</v>
      </c>
      <c r="G103" s="103">
        <v>0.0</v>
      </c>
      <c r="H103" s="34">
        <v>600.0</v>
      </c>
      <c r="I103" s="104"/>
      <c r="J103" s="34"/>
      <c r="K103" s="27"/>
      <c r="L103" s="27"/>
      <c r="M103" s="34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 ht="21.75" customHeight="1">
      <c r="A104" s="27"/>
      <c r="B104" s="96" t="s">
        <v>164</v>
      </c>
      <c r="C104" s="48" t="s">
        <v>146</v>
      </c>
      <c r="D104" s="48" t="s">
        <v>165</v>
      </c>
      <c r="E104" s="102">
        <v>150.0</v>
      </c>
      <c r="F104" s="27" t="s">
        <v>163</v>
      </c>
      <c r="G104" s="103">
        <v>400.0</v>
      </c>
      <c r="H104" s="105">
        <f>E107</f>
        <v>600</v>
      </c>
      <c r="I104" s="104"/>
      <c r="J104" s="106">
        <f t="shared" ref="J104:J110" si="19">G104*H104</f>
        <v>240000</v>
      </c>
      <c r="K104" s="34"/>
      <c r="L104" s="27"/>
      <c r="M104" s="34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 ht="21.75" customHeight="1">
      <c r="A105" s="27"/>
      <c r="B105" s="96" t="s">
        <v>166</v>
      </c>
      <c r="C105" s="48" t="s">
        <v>146</v>
      </c>
      <c r="D105" s="48"/>
      <c r="E105" s="102">
        <v>50.0</v>
      </c>
      <c r="F105" s="27" t="s">
        <v>163</v>
      </c>
      <c r="G105" s="107">
        <f t="shared" ref="G105:G110" si="20">G104*2</f>
        <v>800</v>
      </c>
      <c r="H105" s="108">
        <f t="shared" ref="H105:H110" si="21">H104*I105</f>
        <v>480</v>
      </c>
      <c r="I105" s="109">
        <v>0.8</v>
      </c>
      <c r="J105" s="106">
        <f t="shared" si="19"/>
        <v>384000</v>
      </c>
      <c r="K105" s="34"/>
      <c r="L105" s="27"/>
      <c r="M105" s="34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 ht="21.75" customHeight="1">
      <c r="A106" s="27"/>
      <c r="B106" s="96"/>
      <c r="C106" s="34"/>
      <c r="D106" s="48"/>
      <c r="E106" s="110"/>
      <c r="F106" s="27"/>
      <c r="G106" s="107">
        <f t="shared" si="20"/>
        <v>1600</v>
      </c>
      <c r="H106" s="108">
        <f t="shared" si="21"/>
        <v>384</v>
      </c>
      <c r="I106" s="109">
        <v>0.8</v>
      </c>
      <c r="J106" s="106">
        <f t="shared" si="19"/>
        <v>614400</v>
      </c>
      <c r="K106" s="34"/>
      <c r="L106" s="27"/>
      <c r="M106" s="34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 ht="21.75" customHeight="1">
      <c r="A107" s="27"/>
      <c r="B107" s="96" t="s">
        <v>167</v>
      </c>
      <c r="C107" s="34" t="s">
        <v>146</v>
      </c>
      <c r="D107" s="48" t="s">
        <v>168</v>
      </c>
      <c r="E107" s="111">
        <f>SUM(E103:E105)</f>
        <v>600</v>
      </c>
      <c r="F107" s="112" t="s">
        <v>169</v>
      </c>
      <c r="G107" s="107">
        <f t="shared" si="20"/>
        <v>3200</v>
      </c>
      <c r="H107" s="108">
        <f t="shared" si="21"/>
        <v>307.2</v>
      </c>
      <c r="I107" s="109">
        <v>0.8</v>
      </c>
      <c r="J107" s="106">
        <f t="shared" si="19"/>
        <v>983040</v>
      </c>
      <c r="K107" s="34"/>
      <c r="L107" s="27"/>
      <c r="M107" s="34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 ht="21.75" customHeight="1">
      <c r="A108" s="27"/>
      <c r="B108" s="27"/>
      <c r="C108" s="113"/>
      <c r="D108" s="27"/>
      <c r="E108" s="27"/>
      <c r="F108" s="27"/>
      <c r="G108" s="107">
        <f t="shared" si="20"/>
        <v>6400</v>
      </c>
      <c r="H108" s="108">
        <f t="shared" si="21"/>
        <v>245.76</v>
      </c>
      <c r="I108" s="109">
        <v>0.8</v>
      </c>
      <c r="J108" s="106">
        <f t="shared" si="19"/>
        <v>1572864</v>
      </c>
      <c r="K108" s="34"/>
      <c r="L108" s="34"/>
      <c r="M108" s="34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 ht="21.75" customHeight="1">
      <c r="A109" s="27"/>
      <c r="B109" s="33"/>
      <c r="C109" s="27"/>
      <c r="D109" s="27"/>
      <c r="E109" s="27"/>
      <c r="F109" s="27"/>
      <c r="G109" s="107">
        <f t="shared" si="20"/>
        <v>12800</v>
      </c>
      <c r="H109" s="108">
        <f t="shared" si="21"/>
        <v>196.608</v>
      </c>
      <c r="I109" s="109">
        <v>0.8</v>
      </c>
      <c r="J109" s="106">
        <f t="shared" si="19"/>
        <v>2516582.4</v>
      </c>
      <c r="K109" s="34"/>
      <c r="L109" s="34"/>
      <c r="M109" s="34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 ht="21.75" customHeight="1">
      <c r="A110" s="27"/>
      <c r="G110" s="114">
        <f t="shared" si="20"/>
        <v>25600</v>
      </c>
      <c r="H110" s="115">
        <f t="shared" si="21"/>
        <v>157.2864</v>
      </c>
      <c r="I110" s="116">
        <v>0.8</v>
      </c>
      <c r="J110" s="106">
        <f t="shared" si="19"/>
        <v>4026531.84</v>
      </c>
      <c r="K110" s="27"/>
      <c r="L110" s="34"/>
      <c r="M110" s="34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 ht="21.75" customHeight="1">
      <c r="A111" s="27"/>
      <c r="K111" s="27"/>
      <c r="L111" s="34"/>
      <c r="M111" s="34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 ht="21.75" customHeight="1">
      <c r="A112" s="27"/>
      <c r="B112" s="117" t="s">
        <v>170</v>
      </c>
      <c r="C112" s="117" t="s">
        <v>171</v>
      </c>
      <c r="D112" s="117" t="s">
        <v>172</v>
      </c>
      <c r="E112" s="118" t="s">
        <v>173</v>
      </c>
      <c r="F112" s="118" t="s">
        <v>174</v>
      </c>
      <c r="G112" s="119" t="s">
        <v>175</v>
      </c>
      <c r="H112" s="119" t="s">
        <v>176</v>
      </c>
      <c r="I112" s="119" t="s">
        <v>177</v>
      </c>
      <c r="J112" s="118" t="s">
        <v>178</v>
      </c>
      <c r="K112" s="27"/>
      <c r="L112" s="34"/>
      <c r="M112" s="34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 ht="21.75" customHeight="1">
      <c r="A113" s="27"/>
      <c r="B113" s="120" t="s">
        <v>179</v>
      </c>
      <c r="C113" s="120" t="s">
        <v>180</v>
      </c>
      <c r="D113" s="120" t="s">
        <v>181</v>
      </c>
      <c r="E113" s="121">
        <v>0.49</v>
      </c>
      <c r="F113" s="122">
        <f>200/1.21</f>
        <v>165.2892562</v>
      </c>
      <c r="G113" s="122">
        <v>80.0</v>
      </c>
      <c r="H113" s="123">
        <f t="shared" ref="H113:H116" si="22">F113-G113</f>
        <v>85.2892562</v>
      </c>
      <c r="I113" s="124">
        <f t="shared" ref="I113:I116" si="23">F113*E113</f>
        <v>80.99173554</v>
      </c>
      <c r="J113" s="125">
        <f t="shared" ref="J113:J116" si="24">H113*E113</f>
        <v>41.79173554</v>
      </c>
      <c r="K113" s="27"/>
      <c r="L113" s="34"/>
      <c r="M113" s="34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 ht="21.75" customHeight="1">
      <c r="A114" s="27"/>
      <c r="B114" s="120" t="s">
        <v>179</v>
      </c>
      <c r="C114" s="120" t="s">
        <v>182</v>
      </c>
      <c r="D114" s="120" t="s">
        <v>181</v>
      </c>
      <c r="E114" s="121">
        <v>0.19</v>
      </c>
      <c r="F114" s="122">
        <f>400/1.21</f>
        <v>330.5785124</v>
      </c>
      <c r="G114" s="122">
        <v>150.0</v>
      </c>
      <c r="H114" s="123">
        <f t="shared" si="22"/>
        <v>180.5785124</v>
      </c>
      <c r="I114" s="124">
        <f t="shared" si="23"/>
        <v>62.80991736</v>
      </c>
      <c r="J114" s="125">
        <f t="shared" si="24"/>
        <v>34.30991736</v>
      </c>
      <c r="K114" s="27"/>
      <c r="L114" s="34"/>
      <c r="M114" s="34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 ht="21.75" customHeight="1">
      <c r="A115" s="27"/>
      <c r="B115" s="120" t="s">
        <v>179</v>
      </c>
      <c r="C115" s="120" t="s">
        <v>183</v>
      </c>
      <c r="D115" s="120" t="s">
        <v>181</v>
      </c>
      <c r="E115" s="121">
        <v>0.79</v>
      </c>
      <c r="F115" s="122">
        <f>550/1.21</f>
        <v>454.5454545</v>
      </c>
      <c r="G115" s="122">
        <v>190.0</v>
      </c>
      <c r="H115" s="123">
        <f t="shared" si="22"/>
        <v>264.5454545</v>
      </c>
      <c r="I115" s="124">
        <f t="shared" si="23"/>
        <v>359.0909091</v>
      </c>
      <c r="J115" s="125">
        <f t="shared" si="24"/>
        <v>208.9909091</v>
      </c>
      <c r="K115" s="27"/>
      <c r="L115" s="34"/>
      <c r="M115" s="34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 ht="21.75" customHeight="1">
      <c r="A116" s="27"/>
      <c r="B116" s="120" t="s">
        <v>179</v>
      </c>
      <c r="C116" s="120" t="s">
        <v>184</v>
      </c>
      <c r="D116" s="120" t="s">
        <v>181</v>
      </c>
      <c r="E116" s="121">
        <v>0.3</v>
      </c>
      <c r="F116" s="122">
        <f>6000/1.21</f>
        <v>4958.677686</v>
      </c>
      <c r="G116" s="122">
        <v>2500.0</v>
      </c>
      <c r="H116" s="123">
        <f t="shared" si="22"/>
        <v>2458.677686</v>
      </c>
      <c r="I116" s="124">
        <f t="shared" si="23"/>
        <v>1487.603306</v>
      </c>
      <c r="J116" s="125">
        <f t="shared" si="24"/>
        <v>737.6033058</v>
      </c>
      <c r="K116" s="27"/>
      <c r="L116" s="34"/>
      <c r="M116" s="34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 ht="21.75" customHeight="1">
      <c r="A117" s="27"/>
      <c r="B117" s="126" t="s">
        <v>185</v>
      </c>
      <c r="D117" s="127"/>
      <c r="E117" s="128"/>
      <c r="F117" s="106">
        <f>SUMPRODUCT(E113:E116,F113:F116)</f>
        <v>1990.495868</v>
      </c>
      <c r="G117" s="106"/>
      <c r="H117" s="129"/>
      <c r="I117" s="129">
        <f t="shared" ref="I117:J117" si="25">sum(I113:I116)</f>
        <v>1990.495868</v>
      </c>
      <c r="J117" s="129">
        <f t="shared" si="25"/>
        <v>1022.695868</v>
      </c>
      <c r="K117" s="27"/>
      <c r="L117" s="34"/>
      <c r="M117" s="34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 ht="21.75" customHeight="1">
      <c r="A118" s="27"/>
      <c r="B118" s="126"/>
      <c r="C118" s="126"/>
      <c r="D118" s="127"/>
      <c r="E118" s="128"/>
      <c r="F118" s="106"/>
      <c r="G118" s="106"/>
      <c r="H118" s="129"/>
      <c r="I118" s="129"/>
      <c r="J118" s="129"/>
      <c r="K118" s="27"/>
      <c r="L118" s="34"/>
      <c r="M118" s="34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</row>
    <row r="119" ht="21.75" customHeight="1">
      <c r="A119" s="34"/>
      <c r="B119" s="130" t="s">
        <v>179</v>
      </c>
      <c r="C119" s="130" t="s">
        <v>186</v>
      </c>
      <c r="D119" s="130" t="s">
        <v>187</v>
      </c>
      <c r="E119" s="121">
        <v>0.34</v>
      </c>
      <c r="F119" s="122">
        <v>60.0</v>
      </c>
      <c r="G119" s="122">
        <v>30.0</v>
      </c>
      <c r="H119" s="131">
        <f t="shared" ref="H119:H120" si="26">F119-G119</f>
        <v>30</v>
      </c>
      <c r="I119" s="125">
        <f t="shared" ref="I119:I120" si="27">F119*E119</f>
        <v>20.4</v>
      </c>
      <c r="J119" s="125">
        <f t="shared" ref="J119:J120" si="28">H119*E119</f>
        <v>10.2</v>
      </c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</row>
    <row r="120" ht="21.75" customHeight="1">
      <c r="A120" s="27"/>
      <c r="B120" s="120" t="s">
        <v>179</v>
      </c>
      <c r="C120" s="120" t="s">
        <v>188</v>
      </c>
      <c r="D120" s="120" t="s">
        <v>187</v>
      </c>
      <c r="E120" s="121">
        <v>0.54</v>
      </c>
      <c r="F120" s="122">
        <v>90.0</v>
      </c>
      <c r="G120" s="122">
        <v>40.0</v>
      </c>
      <c r="H120" s="123">
        <f t="shared" si="26"/>
        <v>50</v>
      </c>
      <c r="I120" s="124">
        <f t="shared" si="27"/>
        <v>48.6</v>
      </c>
      <c r="J120" s="125">
        <f t="shared" si="28"/>
        <v>27</v>
      </c>
      <c r="K120" s="27"/>
      <c r="L120" s="34"/>
      <c r="M120" s="34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</row>
    <row r="121" ht="21.75" customHeight="1">
      <c r="A121" s="27"/>
      <c r="B121" s="127"/>
      <c r="C121" s="127"/>
      <c r="D121" s="127"/>
      <c r="E121" s="127"/>
      <c r="F121" s="132"/>
      <c r="G121" s="132"/>
      <c r="H121" s="132"/>
      <c r="I121" s="125"/>
      <c r="J121" s="125"/>
      <c r="K121" s="27"/>
      <c r="L121" s="34"/>
      <c r="M121" s="34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</row>
    <row r="122" ht="21.75" customHeight="1">
      <c r="A122" s="27"/>
      <c r="B122" s="120" t="s">
        <v>189</v>
      </c>
      <c r="C122" s="120" t="s">
        <v>190</v>
      </c>
      <c r="D122" s="120" t="s">
        <v>181</v>
      </c>
      <c r="E122" s="121">
        <v>0.2</v>
      </c>
      <c r="F122" s="122">
        <v>685.0</v>
      </c>
      <c r="G122" s="122">
        <v>300.0</v>
      </c>
      <c r="H122" s="123">
        <f>F122-G122</f>
        <v>385</v>
      </c>
      <c r="I122" s="124">
        <f>F122*E122</f>
        <v>137</v>
      </c>
      <c r="J122" s="125">
        <f>H122*E122</f>
        <v>77</v>
      </c>
      <c r="K122" s="27"/>
      <c r="L122" s="34"/>
      <c r="M122" s="34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</row>
    <row r="123" ht="15.75" customHeight="1">
      <c r="B123" s="126" t="s">
        <v>191</v>
      </c>
      <c r="H123" s="129">
        <f t="shared" ref="H123:J123" si="29">H122</f>
        <v>385</v>
      </c>
      <c r="I123" s="129">
        <f t="shared" si="29"/>
        <v>137</v>
      </c>
      <c r="J123" s="129">
        <f t="shared" si="29"/>
        <v>77</v>
      </c>
    </row>
    <row r="124" ht="15.75" customHeight="1"/>
    <row r="125" ht="21.75" customHeight="1">
      <c r="A125" s="27"/>
      <c r="D125" s="127"/>
      <c r="E125" s="127"/>
      <c r="F125" s="133"/>
      <c r="G125" s="133"/>
      <c r="K125" s="27"/>
      <c r="L125" s="34"/>
      <c r="M125" s="34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</row>
    <row r="126" ht="21.75" customHeight="1">
      <c r="A126" s="27"/>
      <c r="B126" s="120" t="s">
        <v>189</v>
      </c>
      <c r="C126" s="120" t="s">
        <v>186</v>
      </c>
      <c r="D126" s="120" t="s">
        <v>187</v>
      </c>
      <c r="E126" s="121">
        <v>0.34</v>
      </c>
      <c r="F126" s="122">
        <v>60.0</v>
      </c>
      <c r="G126" s="122">
        <v>30.0</v>
      </c>
      <c r="H126" s="123">
        <f t="shared" ref="H126:H127" si="30">F126-G126</f>
        <v>30</v>
      </c>
      <c r="I126" s="124">
        <f t="shared" ref="I126:I127" si="31">F126*E126</f>
        <v>20.4</v>
      </c>
      <c r="J126" s="125">
        <f t="shared" ref="J126:J127" si="32">H126*E126</f>
        <v>10.2</v>
      </c>
      <c r="K126" s="27"/>
      <c r="L126" s="34"/>
      <c r="M126" s="34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</row>
    <row r="127" ht="21.75" customHeight="1">
      <c r="A127" s="27"/>
      <c r="B127" s="120" t="s">
        <v>189</v>
      </c>
      <c r="C127" s="120" t="s">
        <v>188</v>
      </c>
      <c r="D127" s="120" t="s">
        <v>187</v>
      </c>
      <c r="E127" s="121">
        <v>0.54</v>
      </c>
      <c r="F127" s="122">
        <v>90.0</v>
      </c>
      <c r="G127" s="122">
        <v>40.0</v>
      </c>
      <c r="H127" s="123">
        <f t="shared" si="30"/>
        <v>50</v>
      </c>
      <c r="I127" s="124">
        <f t="shared" si="31"/>
        <v>48.6</v>
      </c>
      <c r="J127" s="125">
        <f t="shared" si="32"/>
        <v>27</v>
      </c>
      <c r="K127" s="27"/>
      <c r="L127" s="34"/>
      <c r="M127" s="34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</row>
    <row r="128" ht="21.75" customHeight="1">
      <c r="A128" s="27"/>
      <c r="B128" s="33"/>
      <c r="C128" s="27"/>
      <c r="D128" s="27"/>
      <c r="E128" s="27"/>
      <c r="F128" s="27"/>
      <c r="G128" s="27"/>
      <c r="H128" s="34"/>
      <c r="I128" s="34"/>
      <c r="J128" s="34"/>
      <c r="K128" s="34"/>
      <c r="L128" s="34"/>
      <c r="M128" s="34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</row>
    <row r="129" ht="21.75" customHeight="1">
      <c r="A129" s="27"/>
      <c r="B129" s="33"/>
      <c r="C129" s="27"/>
      <c r="D129" s="27"/>
      <c r="E129" s="27"/>
      <c r="F129" s="27"/>
      <c r="G129" s="27"/>
      <c r="H129" s="34"/>
      <c r="I129" s="34"/>
      <c r="J129" s="34"/>
      <c r="K129" s="34"/>
      <c r="L129" s="34"/>
      <c r="M129" s="34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</row>
    <row r="130" ht="21.75" customHeight="1">
      <c r="A130" s="27"/>
      <c r="B130" s="33"/>
      <c r="C130" s="27"/>
      <c r="D130" s="27"/>
      <c r="E130" s="27"/>
      <c r="F130" s="27"/>
      <c r="G130" s="27"/>
      <c r="H130" s="34"/>
      <c r="I130" s="34"/>
      <c r="J130" s="34"/>
      <c r="K130" s="34"/>
      <c r="L130" s="34"/>
      <c r="M130" s="34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</row>
    <row r="131" ht="21.75" customHeight="1">
      <c r="A131" s="27"/>
      <c r="B131" s="33"/>
      <c r="C131" s="27"/>
      <c r="D131" s="27"/>
      <c r="E131" s="27"/>
      <c r="F131" s="27"/>
      <c r="G131" s="27"/>
      <c r="H131" s="34"/>
      <c r="I131" s="34"/>
      <c r="J131" s="34"/>
      <c r="K131" s="34"/>
      <c r="L131" s="34"/>
      <c r="M131" s="34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</row>
    <row r="132" ht="21.75" customHeight="1">
      <c r="A132" s="27"/>
      <c r="B132" s="33"/>
      <c r="C132" s="27"/>
      <c r="D132" s="27"/>
      <c r="E132" s="27"/>
      <c r="F132" s="27"/>
      <c r="G132" s="27"/>
      <c r="H132" s="34"/>
      <c r="I132" s="34"/>
      <c r="J132" s="34"/>
      <c r="K132" s="34"/>
      <c r="L132" s="34"/>
      <c r="M132" s="34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</row>
    <row r="133" ht="21.75" customHeight="1">
      <c r="A133" s="27"/>
      <c r="B133" s="33"/>
      <c r="C133" s="27"/>
      <c r="D133" s="27"/>
      <c r="E133" s="27"/>
      <c r="F133" s="27"/>
      <c r="G133" s="27"/>
      <c r="H133" s="34"/>
      <c r="I133" s="34"/>
      <c r="J133" s="34"/>
      <c r="K133" s="34"/>
      <c r="L133" s="34"/>
      <c r="M133" s="34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</row>
    <row r="134" ht="21.75" customHeight="1">
      <c r="A134" s="27"/>
      <c r="B134" s="33"/>
      <c r="C134" s="27"/>
      <c r="D134" s="27"/>
      <c r="E134" s="27"/>
      <c r="F134" s="27"/>
      <c r="G134" s="27"/>
      <c r="H134" s="34"/>
      <c r="I134" s="34"/>
      <c r="J134" s="34"/>
      <c r="K134" s="34"/>
      <c r="L134" s="34"/>
      <c r="M134" s="34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</row>
    <row r="135" ht="21.75" customHeight="1">
      <c r="A135" s="27"/>
      <c r="B135" s="33"/>
      <c r="C135" s="27"/>
      <c r="D135" s="27"/>
      <c r="E135" s="27"/>
      <c r="F135" s="27"/>
      <c r="G135" s="27"/>
      <c r="H135" s="34"/>
      <c r="I135" s="34"/>
      <c r="J135" s="34"/>
      <c r="K135" s="34"/>
      <c r="L135" s="34"/>
      <c r="M135" s="34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</row>
    <row r="136" ht="21.75" customHeight="1">
      <c r="A136" s="27"/>
      <c r="B136" s="33"/>
      <c r="C136" s="27"/>
      <c r="D136" s="27"/>
      <c r="E136" s="27"/>
      <c r="F136" s="27"/>
      <c r="G136" s="27"/>
      <c r="H136" s="34"/>
      <c r="I136" s="34"/>
      <c r="J136" s="34"/>
      <c r="K136" s="34"/>
      <c r="L136" s="34"/>
      <c r="M136" s="34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</row>
    <row r="137" ht="21.75" customHeight="1">
      <c r="A137" s="27"/>
      <c r="B137" s="33"/>
      <c r="C137" s="27"/>
      <c r="D137" s="27"/>
      <c r="E137" s="27"/>
      <c r="F137" s="27"/>
      <c r="G137" s="27"/>
      <c r="H137" s="34"/>
      <c r="I137" s="34"/>
      <c r="J137" s="34"/>
      <c r="K137" s="34"/>
      <c r="L137" s="34"/>
      <c r="M137" s="34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</row>
    <row r="138" ht="21.75" customHeight="1">
      <c r="A138" s="27"/>
      <c r="B138" s="33"/>
      <c r="C138" s="27"/>
      <c r="D138" s="27"/>
      <c r="E138" s="27"/>
      <c r="F138" s="27"/>
      <c r="G138" s="27"/>
      <c r="H138" s="34"/>
      <c r="I138" s="34"/>
      <c r="J138" s="34"/>
      <c r="K138" s="34"/>
      <c r="L138" s="34"/>
      <c r="M138" s="34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</row>
    <row r="139" ht="21.75" customHeight="1">
      <c r="A139" s="27"/>
      <c r="B139" s="33"/>
      <c r="C139" s="27"/>
      <c r="D139" s="27"/>
      <c r="E139" s="27"/>
      <c r="F139" s="27"/>
      <c r="G139" s="27"/>
      <c r="H139" s="34"/>
      <c r="I139" s="34"/>
      <c r="J139" s="34"/>
      <c r="K139" s="34"/>
      <c r="L139" s="34"/>
      <c r="M139" s="34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</row>
    <row r="140" ht="21.75" customHeight="1">
      <c r="A140" s="27"/>
      <c r="B140" s="33"/>
      <c r="C140" s="27"/>
      <c r="D140" s="27"/>
      <c r="E140" s="27"/>
      <c r="F140" s="27"/>
      <c r="G140" s="27"/>
      <c r="H140" s="34"/>
      <c r="I140" s="34"/>
      <c r="J140" s="34"/>
      <c r="K140" s="34"/>
      <c r="L140" s="34"/>
      <c r="M140" s="34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</row>
    <row r="141" ht="21.75" customHeight="1">
      <c r="A141" s="27"/>
      <c r="B141" s="33"/>
      <c r="C141" s="27"/>
      <c r="D141" s="27"/>
      <c r="E141" s="27"/>
      <c r="F141" s="27"/>
      <c r="G141" s="27"/>
      <c r="H141" s="34"/>
      <c r="I141" s="34"/>
      <c r="J141" s="34"/>
      <c r="K141" s="34"/>
      <c r="L141" s="34"/>
      <c r="M141" s="34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</row>
    <row r="142" ht="21.75" customHeight="1">
      <c r="A142" s="27"/>
      <c r="B142" s="33"/>
      <c r="C142" s="27"/>
      <c r="D142" s="27"/>
      <c r="E142" s="27"/>
      <c r="F142" s="27"/>
      <c r="G142" s="27"/>
      <c r="H142" s="34"/>
      <c r="I142" s="34"/>
      <c r="J142" s="34"/>
      <c r="K142" s="34"/>
      <c r="L142" s="34"/>
      <c r="M142" s="34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</row>
    <row r="143" ht="21.75" customHeight="1">
      <c r="A143" s="27"/>
      <c r="B143" s="33"/>
      <c r="C143" s="27"/>
      <c r="D143" s="27"/>
      <c r="E143" s="27"/>
      <c r="F143" s="27"/>
      <c r="G143" s="27"/>
      <c r="H143" s="34"/>
      <c r="I143" s="34"/>
      <c r="J143" s="34"/>
      <c r="K143" s="34"/>
      <c r="L143" s="34"/>
      <c r="M143" s="34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</row>
    <row r="144" ht="21.75" customHeight="1">
      <c r="A144" s="27"/>
      <c r="B144" s="33"/>
      <c r="C144" s="27"/>
      <c r="D144" s="27"/>
      <c r="E144" s="27"/>
      <c r="F144" s="27"/>
      <c r="G144" s="27"/>
      <c r="H144" s="34"/>
      <c r="I144" s="34"/>
      <c r="J144" s="34"/>
      <c r="K144" s="34"/>
      <c r="L144" s="34"/>
      <c r="M144" s="34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</row>
    <row r="145" ht="21.75" customHeight="1">
      <c r="A145" s="27"/>
      <c r="B145" s="33"/>
      <c r="C145" s="27"/>
      <c r="D145" s="27"/>
      <c r="E145" s="27"/>
      <c r="F145" s="27"/>
      <c r="G145" s="27"/>
      <c r="H145" s="34"/>
      <c r="I145" s="34"/>
      <c r="J145" s="34"/>
      <c r="K145" s="34"/>
      <c r="L145" s="34"/>
      <c r="M145" s="34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 ht="21.75" customHeight="1">
      <c r="A146" s="27"/>
      <c r="B146" s="33"/>
      <c r="C146" s="27"/>
      <c r="D146" s="27"/>
      <c r="E146" s="27"/>
      <c r="F146" s="27"/>
      <c r="G146" s="27"/>
      <c r="H146" s="34"/>
      <c r="I146" s="34"/>
      <c r="J146" s="34"/>
      <c r="K146" s="34"/>
      <c r="L146" s="34"/>
      <c r="M146" s="34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</row>
    <row r="147" ht="21.75" customHeight="1">
      <c r="A147" s="27"/>
      <c r="B147" s="33"/>
      <c r="C147" s="27"/>
      <c r="D147" s="27"/>
      <c r="E147" s="27"/>
      <c r="F147" s="27"/>
      <c r="G147" s="27"/>
      <c r="H147" s="34"/>
      <c r="I147" s="34"/>
      <c r="J147" s="34"/>
      <c r="K147" s="34"/>
      <c r="L147" s="34"/>
      <c r="M147" s="34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</row>
    <row r="148" ht="21.75" customHeight="1">
      <c r="A148" s="27"/>
      <c r="B148" s="33"/>
      <c r="C148" s="27"/>
      <c r="D148" s="27"/>
      <c r="E148" s="27"/>
      <c r="F148" s="27"/>
      <c r="G148" s="27"/>
      <c r="H148" s="34"/>
      <c r="I148" s="34"/>
      <c r="J148" s="34"/>
      <c r="K148" s="34"/>
      <c r="L148" s="34"/>
      <c r="M148" s="34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</row>
    <row r="149" ht="21.75" customHeight="1">
      <c r="A149" s="27"/>
      <c r="B149" s="33"/>
      <c r="C149" s="27"/>
      <c r="D149" s="27"/>
      <c r="E149" s="27"/>
      <c r="F149" s="27"/>
      <c r="G149" s="27"/>
      <c r="H149" s="34"/>
      <c r="I149" s="34"/>
      <c r="J149" s="34"/>
      <c r="K149" s="34"/>
      <c r="L149" s="34"/>
      <c r="M149" s="34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</row>
    <row r="150" ht="21.75" customHeight="1">
      <c r="A150" s="27"/>
      <c r="B150" s="33"/>
      <c r="C150" s="27"/>
      <c r="D150" s="27"/>
      <c r="E150" s="27"/>
      <c r="F150" s="27"/>
      <c r="G150" s="27"/>
      <c r="H150" s="34"/>
      <c r="I150" s="34"/>
      <c r="J150" s="34"/>
      <c r="K150" s="34"/>
      <c r="L150" s="34"/>
      <c r="M150" s="34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</row>
    <row r="151" ht="21.75" customHeight="1">
      <c r="A151" s="27"/>
      <c r="B151" s="33"/>
      <c r="C151" s="27"/>
      <c r="D151" s="27"/>
      <c r="E151" s="27"/>
      <c r="F151" s="27"/>
      <c r="G151" s="27"/>
      <c r="H151" s="34"/>
      <c r="I151" s="34"/>
      <c r="J151" s="34"/>
      <c r="K151" s="34"/>
      <c r="L151" s="34"/>
      <c r="M151" s="34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</row>
    <row r="152" ht="21.75" customHeight="1">
      <c r="A152" s="27"/>
      <c r="B152" s="33"/>
      <c r="C152" s="27"/>
      <c r="D152" s="27"/>
      <c r="E152" s="27"/>
      <c r="F152" s="27"/>
      <c r="G152" s="27"/>
      <c r="H152" s="34"/>
      <c r="I152" s="34"/>
      <c r="J152" s="34"/>
      <c r="K152" s="34"/>
      <c r="L152" s="34"/>
      <c r="M152" s="34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 ht="21.75" customHeight="1">
      <c r="A153" s="27"/>
      <c r="B153" s="33"/>
      <c r="C153" s="27"/>
      <c r="D153" s="27"/>
      <c r="E153" s="27"/>
      <c r="F153" s="27"/>
      <c r="G153" s="27"/>
      <c r="H153" s="34"/>
      <c r="I153" s="34"/>
      <c r="J153" s="34"/>
      <c r="K153" s="34"/>
      <c r="L153" s="34"/>
      <c r="M153" s="34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</row>
    <row r="154" ht="21.75" customHeight="1">
      <c r="A154" s="27"/>
      <c r="B154" s="33"/>
      <c r="C154" s="27"/>
      <c r="D154" s="27"/>
      <c r="E154" s="27"/>
      <c r="F154" s="27"/>
      <c r="G154" s="27"/>
      <c r="H154" s="34"/>
      <c r="I154" s="34"/>
      <c r="J154" s="34"/>
      <c r="K154" s="34"/>
      <c r="L154" s="34"/>
      <c r="M154" s="34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</row>
    <row r="155" ht="21.75" customHeight="1">
      <c r="A155" s="27"/>
      <c r="B155" s="33"/>
      <c r="C155" s="27"/>
      <c r="D155" s="27"/>
      <c r="E155" s="27"/>
      <c r="F155" s="27"/>
      <c r="G155" s="27"/>
      <c r="H155" s="34"/>
      <c r="I155" s="34"/>
      <c r="J155" s="34"/>
      <c r="K155" s="34"/>
      <c r="L155" s="34"/>
      <c r="M155" s="34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</row>
    <row r="156" ht="21.75" customHeight="1">
      <c r="A156" s="27"/>
      <c r="B156" s="33"/>
      <c r="C156" s="27"/>
      <c r="D156" s="27"/>
      <c r="E156" s="27"/>
      <c r="F156" s="27"/>
      <c r="G156" s="27"/>
      <c r="H156" s="34"/>
      <c r="I156" s="34"/>
      <c r="J156" s="34"/>
      <c r="K156" s="34"/>
      <c r="L156" s="34"/>
      <c r="M156" s="34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</row>
    <row r="157" ht="21.75" customHeight="1">
      <c r="A157" s="27"/>
      <c r="B157" s="33"/>
      <c r="C157" s="27"/>
      <c r="D157" s="27"/>
      <c r="E157" s="27"/>
      <c r="F157" s="27"/>
      <c r="G157" s="27"/>
      <c r="H157" s="34"/>
      <c r="I157" s="34"/>
      <c r="J157" s="34"/>
      <c r="K157" s="34"/>
      <c r="L157" s="34"/>
      <c r="M157" s="34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</row>
    <row r="158" ht="21.75" customHeight="1">
      <c r="A158" s="27"/>
      <c r="B158" s="33"/>
      <c r="C158" s="27"/>
      <c r="D158" s="27"/>
      <c r="E158" s="27"/>
      <c r="F158" s="27"/>
      <c r="G158" s="27"/>
      <c r="H158" s="34"/>
      <c r="I158" s="34"/>
      <c r="J158" s="34"/>
      <c r="K158" s="34"/>
      <c r="L158" s="34"/>
      <c r="M158" s="34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</row>
    <row r="159" ht="21.75" customHeight="1">
      <c r="A159" s="27"/>
      <c r="B159" s="33"/>
      <c r="C159" s="27"/>
      <c r="D159" s="27"/>
      <c r="E159" s="27"/>
      <c r="F159" s="27"/>
      <c r="G159" s="27"/>
      <c r="H159" s="34"/>
      <c r="I159" s="34"/>
      <c r="J159" s="34"/>
      <c r="K159" s="34"/>
      <c r="L159" s="34"/>
      <c r="M159" s="34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</row>
    <row r="160" ht="21.75" customHeight="1">
      <c r="A160" s="27"/>
      <c r="B160" s="33"/>
      <c r="C160" s="27"/>
      <c r="D160" s="27"/>
      <c r="E160" s="27"/>
      <c r="F160" s="27"/>
      <c r="G160" s="27"/>
      <c r="H160" s="34"/>
      <c r="I160" s="34"/>
      <c r="J160" s="34"/>
      <c r="K160" s="34"/>
      <c r="L160" s="34"/>
      <c r="M160" s="34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</row>
    <row r="161" ht="21.75" customHeight="1">
      <c r="A161" s="27"/>
      <c r="B161" s="33"/>
      <c r="C161" s="27"/>
      <c r="D161" s="27"/>
      <c r="E161" s="27"/>
      <c r="F161" s="27"/>
      <c r="G161" s="27"/>
      <c r="H161" s="34"/>
      <c r="I161" s="34"/>
      <c r="J161" s="34"/>
      <c r="K161" s="34"/>
      <c r="L161" s="34"/>
      <c r="M161" s="34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</row>
    <row r="162" ht="21.75" customHeight="1">
      <c r="A162" s="27"/>
      <c r="B162" s="33"/>
      <c r="C162" s="27"/>
      <c r="D162" s="27"/>
      <c r="E162" s="27"/>
      <c r="F162" s="27"/>
      <c r="G162" s="27"/>
      <c r="H162" s="34"/>
      <c r="I162" s="34"/>
      <c r="J162" s="34"/>
      <c r="K162" s="34"/>
      <c r="L162" s="34"/>
      <c r="M162" s="34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</row>
    <row r="163" ht="21.75" customHeight="1">
      <c r="A163" s="27"/>
      <c r="B163" s="33"/>
      <c r="C163" s="27"/>
      <c r="D163" s="27"/>
      <c r="E163" s="27"/>
      <c r="F163" s="27"/>
      <c r="G163" s="27"/>
      <c r="H163" s="34"/>
      <c r="I163" s="34"/>
      <c r="J163" s="34"/>
      <c r="K163" s="34"/>
      <c r="L163" s="34"/>
      <c r="M163" s="34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</row>
    <row r="164" ht="21.75" customHeight="1">
      <c r="A164" s="27"/>
      <c r="B164" s="33"/>
      <c r="C164" s="27"/>
      <c r="D164" s="27"/>
      <c r="E164" s="27"/>
      <c r="F164" s="27"/>
      <c r="G164" s="27"/>
      <c r="H164" s="34"/>
      <c r="I164" s="34"/>
      <c r="J164" s="34"/>
      <c r="K164" s="34"/>
      <c r="L164" s="34"/>
      <c r="M164" s="34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</row>
    <row r="165" ht="21.75" customHeight="1">
      <c r="A165" s="27"/>
      <c r="B165" s="33"/>
      <c r="C165" s="27"/>
      <c r="D165" s="27"/>
      <c r="E165" s="27"/>
      <c r="F165" s="27"/>
      <c r="G165" s="27"/>
      <c r="H165" s="34"/>
      <c r="I165" s="34"/>
      <c r="J165" s="34"/>
      <c r="K165" s="34"/>
      <c r="L165" s="34"/>
      <c r="M165" s="34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</row>
    <row r="166" ht="21.75" customHeight="1">
      <c r="A166" s="27"/>
      <c r="B166" s="33"/>
      <c r="C166" s="27"/>
      <c r="D166" s="27"/>
      <c r="E166" s="27"/>
      <c r="F166" s="27"/>
      <c r="G166" s="27"/>
      <c r="H166" s="34"/>
      <c r="I166" s="34"/>
      <c r="J166" s="34"/>
      <c r="K166" s="34"/>
      <c r="L166" s="34"/>
      <c r="M166" s="34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</row>
    <row r="167" ht="21.75" customHeight="1">
      <c r="A167" s="27"/>
      <c r="B167" s="33"/>
      <c r="C167" s="27"/>
      <c r="D167" s="27"/>
      <c r="E167" s="27"/>
      <c r="F167" s="27"/>
      <c r="G167" s="27"/>
      <c r="H167" s="34"/>
      <c r="I167" s="34"/>
      <c r="J167" s="34"/>
      <c r="K167" s="34"/>
      <c r="L167" s="34"/>
      <c r="M167" s="34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</row>
    <row r="168" ht="21.75" customHeight="1">
      <c r="A168" s="27"/>
      <c r="B168" s="33"/>
      <c r="C168" s="27"/>
      <c r="D168" s="27"/>
      <c r="E168" s="27"/>
      <c r="F168" s="27"/>
      <c r="G168" s="27"/>
      <c r="H168" s="34"/>
      <c r="I168" s="34"/>
      <c r="J168" s="34"/>
      <c r="K168" s="34"/>
      <c r="L168" s="34"/>
      <c r="M168" s="34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</row>
    <row r="169" ht="21.75" customHeight="1">
      <c r="A169" s="27"/>
      <c r="B169" s="33"/>
      <c r="C169" s="27"/>
      <c r="D169" s="27"/>
      <c r="E169" s="27"/>
      <c r="F169" s="27"/>
      <c r="G169" s="27"/>
      <c r="H169" s="34"/>
      <c r="I169" s="34"/>
      <c r="J169" s="34"/>
      <c r="K169" s="34"/>
      <c r="L169" s="34"/>
      <c r="M169" s="34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</row>
    <row r="170" ht="21.75" customHeight="1">
      <c r="A170" s="27"/>
      <c r="B170" s="33"/>
      <c r="C170" s="27"/>
      <c r="D170" s="27"/>
      <c r="E170" s="27"/>
      <c r="F170" s="27"/>
      <c r="G170" s="27"/>
      <c r="H170" s="34"/>
      <c r="I170" s="34"/>
      <c r="J170" s="34"/>
      <c r="K170" s="34"/>
      <c r="L170" s="34"/>
      <c r="M170" s="34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</row>
    <row r="171" ht="21.75" customHeight="1">
      <c r="A171" s="27"/>
      <c r="B171" s="33"/>
      <c r="C171" s="27"/>
      <c r="D171" s="27"/>
      <c r="E171" s="27"/>
      <c r="F171" s="27"/>
      <c r="G171" s="27"/>
      <c r="H171" s="34"/>
      <c r="I171" s="34"/>
      <c r="J171" s="34"/>
      <c r="K171" s="34"/>
      <c r="L171" s="34"/>
      <c r="M171" s="34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34"/>
      <c r="I172" s="34"/>
      <c r="J172" s="34"/>
      <c r="K172" s="34"/>
      <c r="L172" s="34"/>
      <c r="M172" s="34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34"/>
      <c r="I173" s="34"/>
      <c r="J173" s="34"/>
      <c r="K173" s="34"/>
      <c r="L173" s="34"/>
      <c r="M173" s="34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34"/>
      <c r="I174" s="34"/>
      <c r="J174" s="34"/>
      <c r="K174" s="34"/>
      <c r="L174" s="34"/>
      <c r="M174" s="34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34"/>
      <c r="I175" s="34"/>
      <c r="J175" s="34"/>
      <c r="K175" s="34"/>
      <c r="L175" s="34"/>
      <c r="M175" s="34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34"/>
      <c r="I176" s="34"/>
      <c r="J176" s="34"/>
      <c r="K176" s="34"/>
      <c r="L176" s="34"/>
      <c r="M176" s="34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34"/>
      <c r="I177" s="34"/>
      <c r="J177" s="34"/>
      <c r="K177" s="34"/>
      <c r="L177" s="34"/>
      <c r="M177" s="34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34"/>
      <c r="I178" s="34"/>
      <c r="J178" s="34"/>
      <c r="K178" s="34"/>
      <c r="L178" s="34"/>
      <c r="M178" s="34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34"/>
      <c r="I179" s="34"/>
      <c r="J179" s="34"/>
      <c r="K179" s="34"/>
      <c r="L179" s="34"/>
      <c r="M179" s="34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34"/>
      <c r="I180" s="34"/>
      <c r="J180" s="34"/>
      <c r="K180" s="34"/>
      <c r="L180" s="34"/>
      <c r="M180" s="34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34"/>
      <c r="I181" s="34"/>
      <c r="J181" s="34"/>
      <c r="K181" s="34"/>
      <c r="L181" s="34"/>
      <c r="M181" s="34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34"/>
      <c r="I182" s="34"/>
      <c r="J182" s="34"/>
      <c r="K182" s="34"/>
      <c r="L182" s="34"/>
      <c r="M182" s="34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34"/>
      <c r="I183" s="34"/>
      <c r="J183" s="34"/>
      <c r="K183" s="34"/>
      <c r="L183" s="34"/>
      <c r="M183" s="34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34"/>
      <c r="I184" s="34"/>
      <c r="J184" s="34"/>
      <c r="K184" s="34"/>
      <c r="L184" s="34"/>
      <c r="M184" s="34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34"/>
      <c r="I185" s="34"/>
      <c r="J185" s="34"/>
      <c r="K185" s="34"/>
      <c r="L185" s="34"/>
      <c r="M185" s="34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34"/>
      <c r="I186" s="34"/>
      <c r="J186" s="34"/>
      <c r="K186" s="34"/>
      <c r="L186" s="34"/>
      <c r="M186" s="34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34"/>
      <c r="I187" s="34"/>
      <c r="J187" s="34"/>
      <c r="K187" s="34"/>
      <c r="L187" s="34"/>
      <c r="M187" s="34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34"/>
      <c r="I188" s="34"/>
      <c r="J188" s="34"/>
      <c r="K188" s="34"/>
      <c r="L188" s="34"/>
      <c r="M188" s="34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34"/>
      <c r="I189" s="34"/>
      <c r="J189" s="34"/>
      <c r="K189" s="34"/>
      <c r="L189" s="34"/>
      <c r="M189" s="34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34"/>
      <c r="I190" s="34"/>
      <c r="J190" s="34"/>
      <c r="K190" s="34"/>
      <c r="L190" s="34"/>
      <c r="M190" s="34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34"/>
      <c r="I191" s="34"/>
      <c r="J191" s="34"/>
      <c r="K191" s="34"/>
      <c r="L191" s="34"/>
      <c r="M191" s="34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34"/>
      <c r="I192" s="34"/>
      <c r="J192" s="34"/>
      <c r="K192" s="34"/>
      <c r="L192" s="34"/>
      <c r="M192" s="34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34"/>
      <c r="I193" s="34"/>
      <c r="J193" s="34"/>
      <c r="K193" s="34"/>
      <c r="L193" s="34"/>
      <c r="M193" s="34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34"/>
      <c r="I194" s="34"/>
      <c r="J194" s="34"/>
      <c r="K194" s="34"/>
      <c r="L194" s="34"/>
      <c r="M194" s="34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34"/>
      <c r="I195" s="34"/>
      <c r="J195" s="34"/>
      <c r="K195" s="34"/>
      <c r="L195" s="34"/>
      <c r="M195" s="34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34"/>
      <c r="I196" s="34"/>
      <c r="J196" s="34"/>
      <c r="K196" s="34"/>
      <c r="L196" s="34"/>
      <c r="M196" s="34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34"/>
      <c r="I197" s="34"/>
      <c r="J197" s="34"/>
      <c r="K197" s="34"/>
      <c r="L197" s="34"/>
      <c r="M197" s="34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34"/>
      <c r="I198" s="34"/>
      <c r="J198" s="34"/>
      <c r="K198" s="34"/>
      <c r="L198" s="34"/>
      <c r="M198" s="34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34"/>
      <c r="I199" s="34"/>
      <c r="J199" s="34"/>
      <c r="K199" s="34"/>
      <c r="L199" s="34"/>
      <c r="M199" s="34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34"/>
      <c r="I200" s="34"/>
      <c r="J200" s="34"/>
      <c r="K200" s="34"/>
      <c r="L200" s="34"/>
      <c r="M200" s="34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34"/>
      <c r="I201" s="34"/>
      <c r="J201" s="34"/>
      <c r="K201" s="34"/>
      <c r="L201" s="34"/>
      <c r="M201" s="34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34"/>
      <c r="I202" s="34"/>
      <c r="J202" s="34"/>
      <c r="K202" s="34"/>
      <c r="L202" s="34"/>
      <c r="M202" s="34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34"/>
      <c r="I203" s="34"/>
      <c r="J203" s="34"/>
      <c r="K203" s="34"/>
      <c r="L203" s="34"/>
      <c r="M203" s="34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34"/>
      <c r="I204" s="34"/>
      <c r="J204" s="34"/>
      <c r="K204" s="34"/>
      <c r="L204" s="34"/>
      <c r="M204" s="34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34"/>
      <c r="I205" s="34"/>
      <c r="J205" s="34"/>
      <c r="K205" s="34"/>
      <c r="L205" s="34"/>
      <c r="M205" s="34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34"/>
      <c r="I206" s="34"/>
      <c r="J206" s="34"/>
      <c r="K206" s="34"/>
      <c r="L206" s="34"/>
      <c r="M206" s="34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34"/>
      <c r="I207" s="34"/>
      <c r="J207" s="34"/>
      <c r="K207" s="34"/>
      <c r="L207" s="34"/>
      <c r="M207" s="34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34"/>
      <c r="I208" s="34"/>
      <c r="J208" s="34"/>
      <c r="K208" s="34"/>
      <c r="L208" s="34"/>
      <c r="M208" s="34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34"/>
      <c r="I209" s="34"/>
      <c r="J209" s="34"/>
      <c r="K209" s="34"/>
      <c r="L209" s="34"/>
      <c r="M209" s="34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34"/>
      <c r="I210" s="34"/>
      <c r="J210" s="34"/>
      <c r="K210" s="34"/>
      <c r="L210" s="34"/>
      <c r="M210" s="34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34"/>
      <c r="I211" s="34"/>
      <c r="J211" s="34"/>
      <c r="K211" s="34"/>
      <c r="L211" s="34"/>
      <c r="M211" s="34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34"/>
      <c r="I212" s="34"/>
      <c r="J212" s="34"/>
      <c r="K212" s="34"/>
      <c r="L212" s="34"/>
      <c r="M212" s="34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34"/>
      <c r="I213" s="34"/>
      <c r="J213" s="34"/>
      <c r="K213" s="34"/>
      <c r="L213" s="34"/>
      <c r="M213" s="34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34"/>
      <c r="I214" s="34"/>
      <c r="J214" s="34"/>
      <c r="K214" s="34"/>
      <c r="L214" s="34"/>
      <c r="M214" s="34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34"/>
      <c r="I215" s="34"/>
      <c r="J215" s="34"/>
      <c r="K215" s="34"/>
      <c r="L215" s="34"/>
      <c r="M215" s="34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34"/>
      <c r="I216" s="34"/>
      <c r="J216" s="34"/>
      <c r="K216" s="34"/>
      <c r="L216" s="34"/>
      <c r="M216" s="34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34"/>
      <c r="I217" s="34"/>
      <c r="J217" s="34"/>
      <c r="K217" s="34"/>
      <c r="L217" s="34"/>
      <c r="M217" s="34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34"/>
      <c r="I218" s="34"/>
      <c r="J218" s="34"/>
      <c r="K218" s="34"/>
      <c r="L218" s="34"/>
      <c r="M218" s="34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34"/>
      <c r="I219" s="34"/>
      <c r="J219" s="34"/>
      <c r="K219" s="34"/>
      <c r="L219" s="34"/>
      <c r="M219" s="34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34"/>
      <c r="I220" s="34"/>
      <c r="J220" s="34"/>
      <c r="K220" s="34"/>
      <c r="L220" s="34"/>
      <c r="M220" s="34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34"/>
      <c r="I221" s="34"/>
      <c r="J221" s="34"/>
      <c r="K221" s="34"/>
      <c r="L221" s="34"/>
      <c r="M221" s="34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34"/>
      <c r="I222" s="34"/>
      <c r="J222" s="34"/>
      <c r="K222" s="34"/>
      <c r="L222" s="34"/>
      <c r="M222" s="34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34"/>
      <c r="I223" s="34"/>
      <c r="J223" s="34"/>
      <c r="K223" s="34"/>
      <c r="L223" s="34"/>
      <c r="M223" s="34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34"/>
      <c r="I224" s="34"/>
      <c r="J224" s="34"/>
      <c r="K224" s="34"/>
      <c r="L224" s="34"/>
      <c r="M224" s="34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34"/>
      <c r="I225" s="34"/>
      <c r="J225" s="34"/>
      <c r="K225" s="34"/>
      <c r="L225" s="34"/>
      <c r="M225" s="34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34"/>
      <c r="I226" s="34"/>
      <c r="J226" s="34"/>
      <c r="K226" s="34"/>
      <c r="L226" s="34"/>
      <c r="M226" s="34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34"/>
      <c r="I227" s="34"/>
      <c r="J227" s="34"/>
      <c r="K227" s="34"/>
      <c r="L227" s="34"/>
      <c r="M227" s="34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34"/>
      <c r="I228" s="34"/>
      <c r="J228" s="34"/>
      <c r="K228" s="34"/>
      <c r="L228" s="34"/>
      <c r="M228" s="34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34"/>
      <c r="I229" s="34"/>
      <c r="J229" s="34"/>
      <c r="K229" s="34"/>
      <c r="L229" s="34"/>
      <c r="M229" s="34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34"/>
      <c r="I230" s="34"/>
      <c r="J230" s="34"/>
      <c r="K230" s="34"/>
      <c r="L230" s="34"/>
      <c r="M230" s="34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34"/>
      <c r="I231" s="34"/>
      <c r="J231" s="34"/>
      <c r="K231" s="34"/>
      <c r="L231" s="34"/>
      <c r="M231" s="34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34"/>
      <c r="I232" s="34"/>
      <c r="J232" s="34"/>
      <c r="K232" s="34"/>
      <c r="L232" s="34"/>
      <c r="M232" s="34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34"/>
      <c r="I233" s="34"/>
      <c r="J233" s="34"/>
      <c r="K233" s="34"/>
      <c r="L233" s="34"/>
      <c r="M233" s="34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34"/>
      <c r="I234" s="34"/>
      <c r="J234" s="34"/>
      <c r="K234" s="34"/>
      <c r="L234" s="34"/>
      <c r="M234" s="34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34"/>
      <c r="I235" s="34"/>
      <c r="J235" s="34"/>
      <c r="K235" s="34"/>
      <c r="L235" s="34"/>
      <c r="M235" s="34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34"/>
      <c r="I236" s="34"/>
      <c r="J236" s="34"/>
      <c r="K236" s="34"/>
      <c r="L236" s="34"/>
      <c r="M236" s="34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34"/>
      <c r="I237" s="34"/>
      <c r="J237" s="34"/>
      <c r="K237" s="34"/>
      <c r="L237" s="34"/>
      <c r="M237" s="34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34"/>
      <c r="I238" s="34"/>
      <c r="J238" s="34"/>
      <c r="K238" s="34"/>
      <c r="L238" s="34"/>
      <c r="M238" s="34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34"/>
      <c r="I239" s="34"/>
      <c r="J239" s="34"/>
      <c r="K239" s="34"/>
      <c r="L239" s="34"/>
      <c r="M239" s="34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34"/>
      <c r="I240" s="34"/>
      <c r="J240" s="34"/>
      <c r="K240" s="34"/>
      <c r="L240" s="34"/>
      <c r="M240" s="34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34"/>
      <c r="I241" s="34"/>
      <c r="J241" s="34"/>
      <c r="K241" s="34"/>
      <c r="L241" s="34"/>
      <c r="M241" s="34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34"/>
      <c r="I242" s="34"/>
      <c r="J242" s="34"/>
      <c r="K242" s="34"/>
      <c r="L242" s="34"/>
      <c r="M242" s="34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34"/>
      <c r="I243" s="34"/>
      <c r="J243" s="34"/>
      <c r="K243" s="34"/>
      <c r="L243" s="34"/>
      <c r="M243" s="34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34"/>
      <c r="I244" s="34"/>
      <c r="J244" s="34"/>
      <c r="K244" s="34"/>
      <c r="L244" s="34"/>
      <c r="M244" s="34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34"/>
      <c r="I245" s="34"/>
      <c r="J245" s="34"/>
      <c r="K245" s="34"/>
      <c r="L245" s="34"/>
      <c r="M245" s="34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34"/>
      <c r="I246" s="34"/>
      <c r="J246" s="34"/>
      <c r="K246" s="34"/>
      <c r="L246" s="34"/>
      <c r="M246" s="34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34"/>
      <c r="I247" s="34"/>
      <c r="J247" s="34"/>
      <c r="K247" s="34"/>
      <c r="L247" s="34"/>
      <c r="M247" s="34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34"/>
      <c r="I248" s="34"/>
      <c r="J248" s="34"/>
      <c r="K248" s="34"/>
      <c r="L248" s="34"/>
      <c r="M248" s="34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34"/>
      <c r="I249" s="34"/>
      <c r="J249" s="34"/>
      <c r="K249" s="34"/>
      <c r="L249" s="34"/>
      <c r="M249" s="34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34"/>
      <c r="I250" s="34"/>
      <c r="J250" s="34"/>
      <c r="K250" s="34"/>
      <c r="L250" s="34"/>
      <c r="M250" s="34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34"/>
      <c r="I251" s="34"/>
      <c r="J251" s="34"/>
      <c r="K251" s="34"/>
      <c r="L251" s="34"/>
      <c r="M251" s="34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34"/>
      <c r="I252" s="34"/>
      <c r="J252" s="34"/>
      <c r="K252" s="34"/>
      <c r="L252" s="34"/>
      <c r="M252" s="34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34"/>
      <c r="I253" s="34"/>
      <c r="J253" s="34"/>
      <c r="K253" s="34"/>
      <c r="L253" s="34"/>
      <c r="M253" s="34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34"/>
      <c r="I254" s="34"/>
      <c r="J254" s="34"/>
      <c r="K254" s="34"/>
      <c r="L254" s="34"/>
      <c r="M254" s="34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34"/>
      <c r="I255" s="34"/>
      <c r="J255" s="34"/>
      <c r="K255" s="34"/>
      <c r="L255" s="34"/>
      <c r="M255" s="34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34"/>
      <c r="I256" s="34"/>
      <c r="J256" s="34"/>
      <c r="K256" s="34"/>
      <c r="L256" s="34"/>
      <c r="M256" s="34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34"/>
      <c r="I257" s="34"/>
      <c r="J257" s="34"/>
      <c r="K257" s="34"/>
      <c r="L257" s="34"/>
      <c r="M257" s="34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34"/>
      <c r="I258" s="34"/>
      <c r="J258" s="34"/>
      <c r="K258" s="34"/>
      <c r="L258" s="34"/>
      <c r="M258" s="34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34"/>
      <c r="I259" s="34"/>
      <c r="J259" s="34"/>
      <c r="K259" s="34"/>
      <c r="L259" s="34"/>
      <c r="M259" s="34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34"/>
      <c r="I260" s="34"/>
      <c r="J260" s="34"/>
      <c r="K260" s="34"/>
      <c r="L260" s="34"/>
      <c r="M260" s="34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34"/>
      <c r="I261" s="34"/>
      <c r="J261" s="34"/>
      <c r="K261" s="34"/>
      <c r="L261" s="34"/>
      <c r="M261" s="34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34"/>
      <c r="I262" s="34"/>
      <c r="J262" s="34"/>
      <c r="K262" s="34"/>
      <c r="L262" s="34"/>
      <c r="M262" s="34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34"/>
      <c r="I263" s="34"/>
      <c r="J263" s="34"/>
      <c r="K263" s="34"/>
      <c r="L263" s="34"/>
      <c r="M263" s="34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34"/>
      <c r="I264" s="34"/>
      <c r="J264" s="34"/>
      <c r="K264" s="34"/>
      <c r="L264" s="34"/>
      <c r="M264" s="34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34"/>
      <c r="I265" s="34"/>
      <c r="J265" s="34"/>
      <c r="K265" s="34"/>
      <c r="L265" s="34"/>
      <c r="M265" s="34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34"/>
      <c r="I266" s="34"/>
      <c r="J266" s="34"/>
      <c r="K266" s="34"/>
      <c r="L266" s="34"/>
      <c r="M266" s="34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34"/>
      <c r="I267" s="34"/>
      <c r="J267" s="34"/>
      <c r="K267" s="34"/>
      <c r="L267" s="34"/>
      <c r="M267" s="34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34"/>
      <c r="I268" s="34"/>
      <c r="J268" s="34"/>
      <c r="K268" s="34"/>
      <c r="L268" s="34"/>
      <c r="M268" s="34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34"/>
      <c r="I269" s="34"/>
      <c r="J269" s="34"/>
      <c r="K269" s="34"/>
      <c r="L269" s="34"/>
      <c r="M269" s="34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34"/>
      <c r="I270" s="34"/>
      <c r="J270" s="34"/>
      <c r="K270" s="34"/>
      <c r="L270" s="34"/>
      <c r="M270" s="34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34"/>
      <c r="I271" s="34"/>
      <c r="J271" s="34"/>
      <c r="K271" s="34"/>
      <c r="L271" s="34"/>
      <c r="M271" s="34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34"/>
      <c r="I272" s="34"/>
      <c r="J272" s="34"/>
      <c r="K272" s="34"/>
      <c r="L272" s="34"/>
      <c r="M272" s="34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34"/>
      <c r="I273" s="34"/>
      <c r="J273" s="34"/>
      <c r="K273" s="34"/>
      <c r="L273" s="34"/>
      <c r="M273" s="34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34"/>
      <c r="I274" s="34"/>
      <c r="J274" s="34"/>
      <c r="K274" s="34"/>
      <c r="L274" s="34"/>
      <c r="M274" s="34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34"/>
      <c r="I275" s="34"/>
      <c r="J275" s="34"/>
      <c r="K275" s="34"/>
      <c r="L275" s="34"/>
      <c r="M275" s="34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34"/>
      <c r="I276" s="34"/>
      <c r="J276" s="34"/>
      <c r="K276" s="34"/>
      <c r="L276" s="34"/>
      <c r="M276" s="34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34"/>
      <c r="I277" s="34"/>
      <c r="J277" s="34"/>
      <c r="K277" s="34"/>
      <c r="L277" s="34"/>
      <c r="M277" s="34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34"/>
      <c r="I278" s="34"/>
      <c r="J278" s="34"/>
      <c r="K278" s="34"/>
      <c r="L278" s="34"/>
      <c r="M278" s="34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34"/>
      <c r="I279" s="34"/>
      <c r="J279" s="34"/>
      <c r="K279" s="34"/>
      <c r="L279" s="34"/>
      <c r="M279" s="34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34"/>
      <c r="I280" s="34"/>
      <c r="J280" s="34"/>
      <c r="K280" s="34"/>
      <c r="L280" s="34"/>
      <c r="M280" s="34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34"/>
      <c r="I281" s="34"/>
      <c r="J281" s="34"/>
      <c r="K281" s="34"/>
      <c r="L281" s="34"/>
      <c r="M281" s="34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34"/>
      <c r="I282" s="34"/>
      <c r="J282" s="34"/>
      <c r="K282" s="34"/>
      <c r="L282" s="34"/>
      <c r="M282" s="34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34"/>
      <c r="I283" s="34"/>
      <c r="J283" s="34"/>
      <c r="K283" s="34"/>
      <c r="L283" s="34"/>
      <c r="M283" s="34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34"/>
      <c r="I284" s="34"/>
      <c r="J284" s="34"/>
      <c r="K284" s="34"/>
      <c r="L284" s="34"/>
      <c r="M284" s="34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34"/>
      <c r="I285" s="34"/>
      <c r="J285" s="34"/>
      <c r="K285" s="34"/>
      <c r="L285" s="34"/>
      <c r="M285" s="34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34"/>
      <c r="I286" s="34"/>
      <c r="J286" s="34"/>
      <c r="K286" s="34"/>
      <c r="L286" s="34"/>
      <c r="M286" s="34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34"/>
      <c r="I287" s="34"/>
      <c r="J287" s="34"/>
      <c r="K287" s="34"/>
      <c r="L287" s="34"/>
      <c r="M287" s="34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34"/>
      <c r="I288" s="34"/>
      <c r="J288" s="34"/>
      <c r="K288" s="34"/>
      <c r="L288" s="34"/>
      <c r="M288" s="34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34"/>
      <c r="I289" s="34"/>
      <c r="J289" s="34"/>
      <c r="K289" s="34"/>
      <c r="L289" s="34"/>
      <c r="M289" s="34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34"/>
      <c r="I290" s="34"/>
      <c r="J290" s="34"/>
      <c r="K290" s="34"/>
      <c r="L290" s="34"/>
      <c r="M290" s="34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34"/>
      <c r="I291" s="34"/>
      <c r="J291" s="34"/>
      <c r="K291" s="34"/>
      <c r="L291" s="34"/>
      <c r="M291" s="34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34"/>
      <c r="I292" s="34"/>
      <c r="J292" s="34"/>
      <c r="K292" s="34"/>
      <c r="L292" s="34"/>
      <c r="M292" s="34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34"/>
      <c r="I293" s="34"/>
      <c r="J293" s="34"/>
      <c r="K293" s="34"/>
      <c r="L293" s="34"/>
      <c r="M293" s="34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34"/>
      <c r="I294" s="34"/>
      <c r="J294" s="34"/>
      <c r="K294" s="34"/>
      <c r="L294" s="34"/>
      <c r="M294" s="34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34"/>
      <c r="I295" s="34"/>
      <c r="J295" s="34"/>
      <c r="K295" s="34"/>
      <c r="L295" s="34"/>
      <c r="M295" s="34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34"/>
      <c r="I296" s="34"/>
      <c r="J296" s="34"/>
      <c r="K296" s="34"/>
      <c r="L296" s="34"/>
      <c r="M296" s="34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34"/>
      <c r="I297" s="34"/>
      <c r="J297" s="34"/>
      <c r="K297" s="34"/>
      <c r="L297" s="34"/>
      <c r="M297" s="34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34"/>
      <c r="I298" s="34"/>
      <c r="J298" s="34"/>
      <c r="K298" s="34"/>
      <c r="L298" s="34"/>
      <c r="M298" s="34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34"/>
      <c r="I299" s="34"/>
      <c r="J299" s="34"/>
      <c r="K299" s="34"/>
      <c r="L299" s="34"/>
      <c r="M299" s="34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34"/>
      <c r="I300" s="34"/>
      <c r="J300" s="34"/>
      <c r="K300" s="34"/>
      <c r="L300" s="34"/>
      <c r="M300" s="34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34"/>
      <c r="I301" s="34"/>
      <c r="J301" s="34"/>
      <c r="K301" s="34"/>
      <c r="L301" s="34"/>
      <c r="M301" s="34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34"/>
      <c r="I302" s="34"/>
      <c r="J302" s="34"/>
      <c r="K302" s="34"/>
      <c r="L302" s="34"/>
      <c r="M302" s="34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34"/>
      <c r="I303" s="34"/>
      <c r="J303" s="34"/>
      <c r="K303" s="34"/>
      <c r="L303" s="34"/>
      <c r="M303" s="34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34"/>
      <c r="I304" s="34"/>
      <c r="J304" s="34"/>
      <c r="K304" s="34"/>
      <c r="L304" s="34"/>
      <c r="M304" s="34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34"/>
      <c r="I305" s="34"/>
      <c r="J305" s="34"/>
      <c r="K305" s="34"/>
      <c r="L305" s="34"/>
      <c r="M305" s="34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34"/>
      <c r="I306" s="34"/>
      <c r="J306" s="34"/>
      <c r="K306" s="34"/>
      <c r="L306" s="34"/>
      <c r="M306" s="34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34"/>
      <c r="I307" s="34"/>
      <c r="J307" s="34"/>
      <c r="K307" s="34"/>
      <c r="L307" s="34"/>
      <c r="M307" s="34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34"/>
      <c r="I308" s="34"/>
      <c r="J308" s="34"/>
      <c r="K308" s="34"/>
      <c r="L308" s="34"/>
      <c r="M308" s="34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34"/>
      <c r="I309" s="34"/>
      <c r="J309" s="34"/>
      <c r="K309" s="34"/>
      <c r="L309" s="34"/>
      <c r="M309" s="34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34"/>
      <c r="I310" s="34"/>
      <c r="J310" s="34"/>
      <c r="K310" s="34"/>
      <c r="L310" s="34"/>
      <c r="M310" s="34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34"/>
      <c r="I311" s="34"/>
      <c r="J311" s="34"/>
      <c r="K311" s="34"/>
      <c r="L311" s="34"/>
      <c r="M311" s="34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34"/>
      <c r="I312" s="34"/>
      <c r="J312" s="34"/>
      <c r="K312" s="34"/>
      <c r="L312" s="34"/>
      <c r="M312" s="34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34"/>
      <c r="I313" s="34"/>
      <c r="J313" s="34"/>
      <c r="K313" s="34"/>
      <c r="L313" s="34"/>
      <c r="M313" s="34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34"/>
      <c r="I314" s="34"/>
      <c r="J314" s="34"/>
      <c r="K314" s="34"/>
      <c r="L314" s="34"/>
      <c r="M314" s="34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34"/>
      <c r="I315" s="34"/>
      <c r="J315" s="34"/>
      <c r="K315" s="34"/>
      <c r="L315" s="34"/>
      <c r="M315" s="34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34"/>
      <c r="I316" s="34"/>
      <c r="J316" s="34"/>
      <c r="K316" s="34"/>
      <c r="L316" s="34"/>
      <c r="M316" s="34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34"/>
      <c r="I317" s="34"/>
      <c r="J317" s="34"/>
      <c r="K317" s="34"/>
      <c r="L317" s="34"/>
      <c r="M317" s="34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34"/>
      <c r="I318" s="34"/>
      <c r="J318" s="34"/>
      <c r="K318" s="34"/>
      <c r="L318" s="34"/>
      <c r="M318" s="34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34"/>
      <c r="I319" s="34"/>
      <c r="J319" s="34"/>
      <c r="K319" s="34"/>
      <c r="L319" s="34"/>
      <c r="M319" s="34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34"/>
      <c r="I320" s="34"/>
      <c r="J320" s="34"/>
      <c r="K320" s="34"/>
      <c r="L320" s="34"/>
      <c r="M320" s="34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34"/>
      <c r="I321" s="34"/>
      <c r="J321" s="34"/>
      <c r="K321" s="34"/>
      <c r="L321" s="34"/>
      <c r="M321" s="34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34"/>
      <c r="I322" s="34"/>
      <c r="J322" s="34"/>
      <c r="K322" s="34"/>
      <c r="L322" s="34"/>
      <c r="M322" s="34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34"/>
      <c r="I323" s="34"/>
      <c r="J323" s="34"/>
      <c r="K323" s="34"/>
      <c r="L323" s="34"/>
      <c r="M323" s="34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34"/>
      <c r="I324" s="34"/>
      <c r="J324" s="34"/>
      <c r="K324" s="34"/>
      <c r="L324" s="34"/>
      <c r="M324" s="34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34"/>
      <c r="I325" s="34"/>
      <c r="J325" s="34"/>
      <c r="K325" s="34"/>
      <c r="L325" s="34"/>
      <c r="M325" s="34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34"/>
      <c r="I326" s="34"/>
      <c r="J326" s="34"/>
      <c r="K326" s="34"/>
      <c r="L326" s="34"/>
      <c r="M326" s="34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34"/>
      <c r="I327" s="34"/>
      <c r="J327" s="34"/>
      <c r="K327" s="34"/>
      <c r="L327" s="34"/>
      <c r="M327" s="34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</row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3:D3"/>
    <mergeCell ref="B5:D5"/>
    <mergeCell ref="E5:G5"/>
    <mergeCell ref="H5:J5"/>
    <mergeCell ref="K5:M5"/>
    <mergeCell ref="B12:D12"/>
    <mergeCell ref="B35:D35"/>
    <mergeCell ref="K35:M35"/>
    <mergeCell ref="B117:C117"/>
    <mergeCell ref="B123:C123"/>
    <mergeCell ref="E35:G35"/>
    <mergeCell ref="H35:J35"/>
    <mergeCell ref="B65:G65"/>
    <mergeCell ref="B71:G71"/>
    <mergeCell ref="B78:K78"/>
    <mergeCell ref="B87:D87"/>
    <mergeCell ref="K87:M8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 outlineLevelCol="1"/>
  <cols>
    <col customWidth="1" min="1" max="1" width="5.29"/>
    <col customWidth="1" min="2" max="2" width="10.86"/>
    <col customWidth="1" min="3" max="3" width="34.71"/>
    <col customWidth="1" min="4" max="4" width="10.86"/>
    <col customWidth="1" min="5" max="5" width="9.71" outlineLevel="1"/>
    <col customWidth="1" min="6" max="6" width="9.57" outlineLevel="1"/>
    <col customWidth="1" min="7" max="7" width="9.86" outlineLevel="1"/>
    <col customWidth="1" min="8" max="8" width="9.43" outlineLevel="1"/>
    <col customWidth="1" min="9" max="9" width="10.0" outlineLevel="1"/>
    <col customWidth="1" min="10" max="10" width="9.71" outlineLevel="1"/>
    <col customWidth="1" min="11" max="11" width="9.14" outlineLevel="1"/>
    <col customWidth="1" min="12" max="12" width="9.86" outlineLevel="1"/>
    <col customWidth="1" min="13" max="13" width="10.0" outlineLevel="1"/>
    <col customWidth="1" min="14" max="15" width="10.14" outlineLevel="1"/>
    <col customWidth="1" min="16" max="16" width="9.86" outlineLevel="1"/>
    <col customWidth="1" min="17" max="17" width="9.71"/>
    <col customWidth="1" min="18" max="18" width="9.57"/>
    <col customWidth="1" min="19" max="19" width="9.71"/>
    <col customWidth="1" min="20" max="20" width="9.43"/>
    <col customWidth="1" min="21" max="21" width="10.0"/>
    <col customWidth="1" min="22" max="22" width="10.43"/>
    <col customWidth="1" min="23" max="23" width="9.43"/>
    <col customWidth="1" min="24" max="24" width="10.0"/>
    <col customWidth="1" min="25" max="25" width="11.14"/>
    <col customWidth="1" min="26" max="26" width="11.29"/>
    <col customWidth="1" min="27" max="28" width="10.57"/>
    <col customWidth="1" min="29" max="29" width="11.0"/>
    <col customWidth="1" min="30" max="30" width="10.57"/>
    <col customWidth="1" min="31" max="31" width="10.71"/>
    <col customWidth="1" min="32" max="32" width="10.57"/>
    <col customWidth="1" min="33" max="34" width="10.86"/>
    <col customWidth="1" min="35" max="35" width="10.57"/>
    <col customWidth="1" min="36" max="36" width="10.86"/>
    <col customWidth="1" min="37" max="37" width="11.14"/>
    <col customWidth="1" min="38" max="39" width="11.0"/>
    <col customWidth="1" min="40" max="40" width="10.86"/>
    <col customWidth="1" min="41" max="42" width="10.57"/>
    <col customWidth="1" min="43" max="44" width="10.86"/>
    <col customWidth="1" min="45" max="45" width="11.0"/>
    <col customWidth="1" min="46" max="46" width="10.86"/>
    <col customWidth="1" min="47" max="47" width="11.0"/>
    <col customWidth="1" min="48" max="48" width="10.86"/>
    <col customWidth="1" min="49" max="49" width="10.57"/>
    <col customWidth="1" min="50" max="50" width="11.0"/>
    <col customWidth="1" min="51" max="51" width="11.57"/>
    <col customWidth="1" min="52" max="52" width="11.29"/>
    <col customWidth="1" min="53" max="54" width="10.86"/>
    <col customWidth="1" min="55" max="55" width="11.29"/>
    <col customWidth="1" min="56" max="56" width="12.14"/>
    <col customWidth="1" min="57" max="57" width="11.57"/>
    <col customWidth="1" min="58" max="58" width="12.57" outlineLevel="1"/>
    <col customWidth="1" min="59" max="59" width="10.86"/>
  </cols>
  <sheetData>
    <row r="1" ht="15.75" customHeight="1">
      <c r="A1" s="134" t="s">
        <v>192</v>
      </c>
      <c r="B1" s="135" t="s">
        <v>193</v>
      </c>
      <c r="C1" s="136"/>
      <c r="D1" s="137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9"/>
      <c r="S1" s="140"/>
      <c r="T1" s="141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9"/>
      <c r="BA1" s="34"/>
      <c r="BB1" s="139"/>
      <c r="BC1" s="139"/>
      <c r="BD1" s="139"/>
      <c r="BE1" s="139"/>
      <c r="BF1" s="139"/>
      <c r="BG1" s="142"/>
    </row>
    <row r="2" ht="13.5" customHeight="1">
      <c r="A2" s="143"/>
      <c r="B2" s="144"/>
      <c r="C2" s="144"/>
      <c r="D2" s="144"/>
      <c r="E2" s="145" t="s">
        <v>194</v>
      </c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 t="s">
        <v>195</v>
      </c>
      <c r="R2" s="146"/>
      <c r="S2" s="147"/>
      <c r="T2" s="148"/>
      <c r="U2" s="145"/>
      <c r="V2" s="145"/>
      <c r="W2" s="145"/>
      <c r="X2" s="145"/>
      <c r="Y2" s="145"/>
      <c r="Z2" s="145"/>
      <c r="AA2" s="145"/>
      <c r="AB2" s="145"/>
      <c r="AC2" s="145" t="s">
        <v>196</v>
      </c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9" t="s">
        <v>197</v>
      </c>
      <c r="AP2" s="149"/>
      <c r="AQ2" s="149"/>
      <c r="AR2" s="149"/>
      <c r="AS2" s="149"/>
      <c r="AT2" s="149"/>
      <c r="AU2" s="149"/>
      <c r="AV2" s="149"/>
      <c r="AW2" s="149"/>
      <c r="AX2" s="149"/>
      <c r="AY2" s="149"/>
      <c r="AZ2" s="150"/>
      <c r="BA2" s="151"/>
      <c r="BB2" s="150"/>
      <c r="BC2" s="150"/>
      <c r="BD2" s="150"/>
      <c r="BE2" s="150"/>
      <c r="BF2" s="150"/>
      <c r="BG2" s="152"/>
    </row>
    <row r="3" ht="13.5" customHeight="1">
      <c r="A3" s="143"/>
      <c r="B3" s="144"/>
      <c r="C3" s="144"/>
      <c r="D3" s="144"/>
      <c r="E3" s="153">
        <v>45658.0</v>
      </c>
      <c r="F3" s="153">
        <v>45689.0</v>
      </c>
      <c r="G3" s="153">
        <v>45717.0</v>
      </c>
      <c r="H3" s="153">
        <v>45748.0</v>
      </c>
      <c r="I3" s="153">
        <v>45778.0</v>
      </c>
      <c r="J3" s="153">
        <v>45809.0</v>
      </c>
      <c r="K3" s="153">
        <v>45839.0</v>
      </c>
      <c r="L3" s="153">
        <v>45870.0</v>
      </c>
      <c r="M3" s="153">
        <v>45901.0</v>
      </c>
      <c r="N3" s="153">
        <v>45931.0</v>
      </c>
      <c r="O3" s="153">
        <v>45962.0</v>
      </c>
      <c r="P3" s="153">
        <v>45992.0</v>
      </c>
      <c r="Q3" s="153">
        <v>46023.0</v>
      </c>
      <c r="R3" s="153">
        <v>46054.0</v>
      </c>
      <c r="S3" s="153">
        <v>46082.0</v>
      </c>
      <c r="T3" s="153">
        <v>46113.0</v>
      </c>
      <c r="U3" s="153">
        <v>46143.0</v>
      </c>
      <c r="V3" s="153">
        <v>46174.0</v>
      </c>
      <c r="W3" s="153">
        <v>46204.0</v>
      </c>
      <c r="X3" s="153">
        <v>46235.0</v>
      </c>
      <c r="Y3" s="153">
        <v>46266.0</v>
      </c>
      <c r="Z3" s="153">
        <v>46296.0</v>
      </c>
      <c r="AA3" s="153">
        <v>46327.0</v>
      </c>
      <c r="AB3" s="153">
        <v>46357.0</v>
      </c>
      <c r="AC3" s="153">
        <v>46388.0</v>
      </c>
      <c r="AD3" s="153">
        <v>46419.0</v>
      </c>
      <c r="AE3" s="153">
        <v>46447.0</v>
      </c>
      <c r="AF3" s="153">
        <v>46478.0</v>
      </c>
      <c r="AG3" s="153">
        <v>46508.0</v>
      </c>
      <c r="AH3" s="153">
        <v>46539.0</v>
      </c>
      <c r="AI3" s="153">
        <v>46569.0</v>
      </c>
      <c r="AJ3" s="153">
        <v>46600.0</v>
      </c>
      <c r="AK3" s="153">
        <v>46631.0</v>
      </c>
      <c r="AL3" s="153">
        <v>46661.0</v>
      </c>
      <c r="AM3" s="153">
        <v>46692.0</v>
      </c>
      <c r="AN3" s="153">
        <v>46722.0</v>
      </c>
      <c r="AO3" s="153">
        <v>46753.0</v>
      </c>
      <c r="AP3" s="153">
        <v>46784.0</v>
      </c>
      <c r="AQ3" s="153">
        <v>46813.0</v>
      </c>
      <c r="AR3" s="153">
        <v>46844.0</v>
      </c>
      <c r="AS3" s="153">
        <v>46874.0</v>
      </c>
      <c r="AT3" s="153">
        <v>46905.0</v>
      </c>
      <c r="AU3" s="153">
        <v>46935.0</v>
      </c>
      <c r="AV3" s="153">
        <v>46966.0</v>
      </c>
      <c r="AW3" s="153">
        <v>46997.0</v>
      </c>
      <c r="AX3" s="153">
        <v>47027.0</v>
      </c>
      <c r="AY3" s="153">
        <v>47058.0</v>
      </c>
      <c r="AZ3" s="153">
        <v>47088.0</v>
      </c>
      <c r="BA3" s="151"/>
      <c r="BB3" s="154">
        <v>2025.0</v>
      </c>
      <c r="BC3" s="154">
        <v>2026.0</v>
      </c>
      <c r="BD3" s="154">
        <v>2027.0</v>
      </c>
      <c r="BE3" s="154">
        <v>2028.0</v>
      </c>
      <c r="BF3" s="154">
        <v>2029.0</v>
      </c>
      <c r="BG3" s="155"/>
    </row>
    <row r="4">
      <c r="A4" s="10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05"/>
      <c r="BB4" s="156"/>
      <c r="BC4" s="156"/>
      <c r="BD4" s="156"/>
      <c r="BE4" s="156"/>
      <c r="BF4" s="156"/>
      <c r="BG4" s="105"/>
    </row>
    <row r="5" ht="15.75" customHeight="1">
      <c r="A5" s="157"/>
      <c r="B5" s="158" t="s">
        <v>198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7"/>
      <c r="BD5" s="157"/>
      <c r="BE5" s="157"/>
      <c r="BF5" s="157"/>
      <c r="BG5" s="157"/>
    </row>
    <row r="6" ht="13.5" customHeight="1">
      <c r="A6" s="159"/>
      <c r="B6" s="160" t="s">
        <v>199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2"/>
      <c r="S6" s="163"/>
      <c r="T6" s="164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2"/>
      <c r="BA6" s="105"/>
      <c r="BB6" s="162"/>
      <c r="BC6" s="162"/>
      <c r="BD6" s="162"/>
      <c r="BE6" s="162"/>
      <c r="BF6" s="162"/>
      <c r="BG6" s="105"/>
    </row>
    <row r="7" ht="15.0" customHeight="1">
      <c r="A7" s="105"/>
      <c r="B7" s="156" t="s">
        <v>200</v>
      </c>
      <c r="C7" s="156"/>
      <c r="D7" s="156" t="s">
        <v>201</v>
      </c>
      <c r="E7" s="157"/>
      <c r="F7" s="157"/>
      <c r="G7" s="157"/>
      <c r="H7" s="157"/>
      <c r="I7" s="157"/>
      <c r="J7" s="157"/>
      <c r="K7" s="157"/>
      <c r="L7" s="157"/>
      <c r="M7" s="157" t="str">
        <f>'Revenue Forecast'!M9</f>
        <v/>
      </c>
      <c r="N7" s="157" t="str">
        <f>'Revenue Forecast'!N9</f>
        <v/>
      </c>
      <c r="O7" s="157" t="str">
        <f>'Revenue Forecast'!O9</f>
        <v/>
      </c>
      <c r="P7" s="157" t="str">
        <f>'Revenue Forecast'!P9</f>
        <v/>
      </c>
      <c r="Q7" s="157">
        <f>'Revenue Forecast'!Q9</f>
        <v>0</v>
      </c>
      <c r="R7" s="157">
        <f>'Revenue Forecast'!R9</f>
        <v>0</v>
      </c>
      <c r="S7" s="157">
        <f>'Revenue Forecast'!S9</f>
        <v>0</v>
      </c>
      <c r="T7" s="157">
        <f>'Revenue Forecast'!T9</f>
        <v>0</v>
      </c>
      <c r="U7" s="157">
        <f>'Revenue Forecast'!U9</f>
        <v>0</v>
      </c>
      <c r="V7" s="157">
        <f>'Revenue Forecast'!V9</f>
        <v>0</v>
      </c>
      <c r="W7" s="157">
        <f>'Revenue Forecast'!W9</f>
        <v>0</v>
      </c>
      <c r="X7" s="157">
        <f>'Revenue Forecast'!X9</f>
        <v>0</v>
      </c>
      <c r="Y7" s="157">
        <f>'Revenue Forecast'!Y9</f>
        <v>0</v>
      </c>
      <c r="Z7" s="157">
        <f>'Revenue Forecast'!Z9</f>
        <v>0</v>
      </c>
      <c r="AA7" s="157">
        <f>'Revenue Forecast'!AA9</f>
        <v>0</v>
      </c>
      <c r="AB7" s="157">
        <f>'Revenue Forecast'!AB9</f>
        <v>0</v>
      </c>
      <c r="AC7" s="157">
        <f>'Revenue Forecast'!AC9</f>
        <v>484304.1322</v>
      </c>
      <c r="AD7" s="157">
        <f>'Revenue Forecast'!AD9</f>
        <v>534752.4793</v>
      </c>
      <c r="AE7" s="157">
        <f>'Revenue Forecast'!AE9</f>
        <v>585200.8264</v>
      </c>
      <c r="AF7" s="157">
        <f>'Revenue Forecast'!AF9</f>
        <v>645738.843</v>
      </c>
      <c r="AG7" s="157">
        <f>'Revenue Forecast'!AG9</f>
        <v>706276.8595</v>
      </c>
      <c r="AH7" s="157">
        <f>'Revenue Forecast'!AH9</f>
        <v>766814.876</v>
      </c>
      <c r="AI7" s="157">
        <f>'Revenue Forecast'!AI9</f>
        <v>837442.562</v>
      </c>
      <c r="AJ7" s="157">
        <f>'Revenue Forecast'!AJ9</f>
        <v>918159.9174</v>
      </c>
      <c r="AK7" s="157">
        <f>'Revenue Forecast'!AK9</f>
        <v>1008966.942</v>
      </c>
      <c r="AL7" s="157">
        <f>'Revenue Forecast'!AL9</f>
        <v>1109863.636</v>
      </c>
      <c r="AM7" s="157">
        <f>'Revenue Forecast'!AM9</f>
        <v>1210760.331</v>
      </c>
      <c r="AN7" s="157">
        <f>'Revenue Forecast'!AN9</f>
        <v>1331836.364</v>
      </c>
      <c r="AO7" s="157">
        <f>'Revenue Forecast'!AO9</f>
        <v>1452912.397</v>
      </c>
      <c r="AP7" s="157">
        <f>'Revenue Forecast'!AP9</f>
        <v>1594167.769</v>
      </c>
      <c r="AQ7" s="157">
        <f>'Revenue Forecast'!AQ9</f>
        <v>1745512.81</v>
      </c>
      <c r="AR7" s="157">
        <f>'Revenue Forecast'!AR9</f>
        <v>1906947.521</v>
      </c>
      <c r="AS7" s="157">
        <f>'Revenue Forecast'!AS9</f>
        <v>2088561.57</v>
      </c>
      <c r="AT7" s="157">
        <f>'Revenue Forecast'!AT9</f>
        <v>2290354.959</v>
      </c>
      <c r="AU7" s="157">
        <f>'Revenue Forecast'!AU9</f>
        <v>2512327.686</v>
      </c>
      <c r="AV7" s="157">
        <f>'Revenue Forecast'!AV9</f>
        <v>2754479.752</v>
      </c>
      <c r="AW7" s="157">
        <f>'Revenue Forecast'!AW9</f>
        <v>3016811.157</v>
      </c>
      <c r="AX7" s="157">
        <f>'Revenue Forecast'!AX9</f>
        <v>3309411.57</v>
      </c>
      <c r="AY7" s="157">
        <f>'Revenue Forecast'!AY9</f>
        <v>3622191.322</v>
      </c>
      <c r="AZ7" s="157">
        <f>'Revenue Forecast'!AZ9</f>
        <v>3975329.752</v>
      </c>
      <c r="BA7" s="105"/>
      <c r="BB7" s="157">
        <f t="shared" ref="BB7:BB11" si="1">sum(E7:P7)</f>
        <v>0</v>
      </c>
      <c r="BC7" s="157">
        <f t="shared" ref="BC7:BC11" si="2">sum(Q7:AB7)</f>
        <v>0</v>
      </c>
      <c r="BD7" s="157">
        <f t="shared" ref="BD7:BD9" si="3">sum(AC7:AN7)</f>
        <v>10140117.77</v>
      </c>
      <c r="BE7" s="157">
        <f t="shared" ref="BE7:BE9" si="4">sum(AO7:AZ7)</f>
        <v>30269008.26</v>
      </c>
      <c r="BF7" s="157">
        <f>'Revenue Forecast'!BF9</f>
        <v>60538016.53</v>
      </c>
      <c r="BG7" s="39"/>
    </row>
    <row r="8" ht="15.0" customHeight="1">
      <c r="A8" s="105"/>
      <c r="B8" s="156" t="s">
        <v>48</v>
      </c>
      <c r="C8" s="156"/>
      <c r="D8" s="156" t="s">
        <v>201</v>
      </c>
      <c r="E8" s="157"/>
      <c r="F8" s="157"/>
      <c r="G8" s="157"/>
      <c r="H8" s="157"/>
      <c r="I8" s="157"/>
      <c r="J8" s="157"/>
      <c r="K8" s="157"/>
      <c r="L8" s="157"/>
      <c r="M8" s="157" t="str">
        <f>'Revenue Forecast'!M15</f>
        <v/>
      </c>
      <c r="N8" s="157" t="str">
        <f>'Revenue Forecast'!N15</f>
        <v/>
      </c>
      <c r="O8" s="157" t="str">
        <f>'Revenue Forecast'!O15</f>
        <v/>
      </c>
      <c r="P8" s="157" t="str">
        <f>'Revenue Forecast'!P15</f>
        <v/>
      </c>
      <c r="Q8" s="157">
        <f>'Revenue Forecast'!Q15</f>
        <v>0</v>
      </c>
      <c r="R8" s="157">
        <f>'Revenue Forecast'!R15</f>
        <v>0</v>
      </c>
      <c r="S8" s="157">
        <f>'Revenue Forecast'!S15</f>
        <v>0</v>
      </c>
      <c r="T8" s="157">
        <f>'Revenue Forecast'!T15</f>
        <v>0</v>
      </c>
      <c r="U8" s="157">
        <f>'Revenue Forecast'!U15</f>
        <v>0</v>
      </c>
      <c r="V8" s="157">
        <f>'Revenue Forecast'!V15</f>
        <v>0</v>
      </c>
      <c r="W8" s="157">
        <f>'Revenue Forecast'!W15</f>
        <v>0</v>
      </c>
      <c r="X8" s="157">
        <f>'Revenue Forecast'!X15</f>
        <v>0</v>
      </c>
      <c r="Y8" s="157">
        <f>'Revenue Forecast'!Y15</f>
        <v>0</v>
      </c>
      <c r="Z8" s="157">
        <f>'Revenue Forecast'!Z15</f>
        <v>0</v>
      </c>
      <c r="AA8" s="157">
        <f>'Revenue Forecast'!AA15</f>
        <v>0</v>
      </c>
      <c r="AB8" s="157">
        <f>'Revenue Forecast'!AB15</f>
        <v>0</v>
      </c>
      <c r="AC8" s="157">
        <f>'Revenue Forecast'!AC15</f>
        <v>58111.90083</v>
      </c>
      <c r="AD8" s="157">
        <f>'Revenue Forecast'!AD15</f>
        <v>66828.68595</v>
      </c>
      <c r="AE8" s="157">
        <f>'Revenue Forecast'!AE15</f>
        <v>75545.47107</v>
      </c>
      <c r="AF8" s="157">
        <f>'Revenue Forecast'!AF15</f>
        <v>84262.2562</v>
      </c>
      <c r="AG8" s="157">
        <f>'Revenue Forecast'!AG15</f>
        <v>92979.04132</v>
      </c>
      <c r="AH8" s="157">
        <f>'Revenue Forecast'!AH15</f>
        <v>104601.4215</v>
      </c>
      <c r="AI8" s="157">
        <f>'Revenue Forecast'!AI15</f>
        <v>119129.3967</v>
      </c>
      <c r="AJ8" s="157">
        <f>'Revenue Forecast'!AJ15</f>
        <v>133657.3719</v>
      </c>
      <c r="AK8" s="157">
        <f>'Revenue Forecast'!AK15</f>
        <v>148185.3471</v>
      </c>
      <c r="AL8" s="157">
        <f>'Revenue Forecast'!AL15</f>
        <v>168524.5124</v>
      </c>
      <c r="AM8" s="157">
        <f>'Revenue Forecast'!AM15</f>
        <v>188863.6777</v>
      </c>
      <c r="AN8" s="157">
        <f>'Revenue Forecast'!AN15</f>
        <v>212108.438</v>
      </c>
      <c r="AO8" s="157">
        <f>'Revenue Forecast'!AO15</f>
        <v>238258.7934</v>
      </c>
      <c r="AP8" s="157">
        <f>'Revenue Forecast'!AP15</f>
        <v>267314.7438</v>
      </c>
      <c r="AQ8" s="157">
        <f>'Revenue Forecast'!AQ15</f>
        <v>299276.2893</v>
      </c>
      <c r="AR8" s="157">
        <f>'Revenue Forecast'!AR15</f>
        <v>334143.4298</v>
      </c>
      <c r="AS8" s="157">
        <f>'Revenue Forecast'!AS15</f>
        <v>377727.3554</v>
      </c>
      <c r="AT8" s="157">
        <f>'Revenue Forecast'!AT15</f>
        <v>421311.281</v>
      </c>
      <c r="AU8" s="157">
        <f>'Revenue Forecast'!AU15</f>
        <v>473611.9917</v>
      </c>
      <c r="AV8" s="157">
        <f>'Revenue Forecast'!AV15</f>
        <v>531723.8926</v>
      </c>
      <c r="AW8" s="157">
        <f>'Revenue Forecast'!AW15</f>
        <v>598552.5785</v>
      </c>
      <c r="AX8" s="157">
        <f>'Revenue Forecast'!AX15</f>
        <v>671192.4545</v>
      </c>
      <c r="AY8" s="157">
        <f>'Revenue Forecast'!AY15</f>
        <v>752549.1157</v>
      </c>
      <c r="AZ8" s="157">
        <f>'Revenue Forecast'!AZ15</f>
        <v>845528.157</v>
      </c>
      <c r="BA8" s="105"/>
      <c r="BB8" s="157">
        <f t="shared" si="1"/>
        <v>0</v>
      </c>
      <c r="BC8" s="157">
        <f t="shared" si="2"/>
        <v>0</v>
      </c>
      <c r="BD8" s="157">
        <f t="shared" si="3"/>
        <v>1452797.521</v>
      </c>
      <c r="BE8" s="157">
        <f t="shared" si="4"/>
        <v>5811190.083</v>
      </c>
      <c r="BF8" s="157">
        <f>'Revenue Forecast'!BF15</f>
        <v>11622380.17</v>
      </c>
      <c r="BG8" s="39"/>
    </row>
    <row r="9" ht="15.0" customHeight="1">
      <c r="A9" s="105"/>
      <c r="B9" s="156" t="s">
        <v>202</v>
      </c>
      <c r="C9" s="156"/>
      <c r="D9" s="165"/>
      <c r="E9" s="157"/>
      <c r="F9" s="157"/>
      <c r="G9" s="157"/>
      <c r="H9" s="157"/>
      <c r="I9" s="157"/>
      <c r="J9" s="157"/>
      <c r="K9" s="157"/>
      <c r="L9" s="157"/>
      <c r="M9" s="157">
        <f>'Revenue Forecast'!M19+'Revenue Forecast'!M24</f>
        <v>0</v>
      </c>
      <c r="N9" s="157">
        <f>'Revenue Forecast'!N19+'Revenue Forecast'!N24</f>
        <v>0</v>
      </c>
      <c r="O9" s="157">
        <f>'Revenue Forecast'!O19+'Revenue Forecast'!O24</f>
        <v>0</v>
      </c>
      <c r="P9" s="157">
        <f>'Revenue Forecast'!P19+'Revenue Forecast'!P24</f>
        <v>0</v>
      </c>
      <c r="Q9" s="157">
        <f>'Revenue Forecast'!Q19+'Revenue Forecast'!Q24</f>
        <v>0</v>
      </c>
      <c r="R9" s="157">
        <f>'Revenue Forecast'!R19+'Revenue Forecast'!R24</f>
        <v>0</v>
      </c>
      <c r="S9" s="157">
        <f>'Revenue Forecast'!S19+'Revenue Forecast'!S24</f>
        <v>0</v>
      </c>
      <c r="T9" s="157">
        <f>'Revenue Forecast'!T19+'Revenue Forecast'!T24</f>
        <v>0</v>
      </c>
      <c r="U9" s="157">
        <f>'Revenue Forecast'!U19+'Revenue Forecast'!U24</f>
        <v>0</v>
      </c>
      <c r="V9" s="157">
        <f>'Revenue Forecast'!V19+'Revenue Forecast'!V24</f>
        <v>0</v>
      </c>
      <c r="W9" s="157">
        <f>'Revenue Forecast'!W19+'Revenue Forecast'!W24</f>
        <v>0</v>
      </c>
      <c r="X9" s="157">
        <f>'Revenue Forecast'!X19+'Revenue Forecast'!X24</f>
        <v>0</v>
      </c>
      <c r="Y9" s="157">
        <f>'Revenue Forecast'!Y19+'Revenue Forecast'!Y24</f>
        <v>0</v>
      </c>
      <c r="Z9" s="157">
        <f>'Revenue Forecast'!Z19+'Revenue Forecast'!Z24</f>
        <v>0</v>
      </c>
      <c r="AA9" s="157">
        <f>'Revenue Forecast'!AA19+'Revenue Forecast'!AA24</f>
        <v>0</v>
      </c>
      <c r="AB9" s="157">
        <f>'Revenue Forecast'!AB19+'Revenue Forecast'!AB24</f>
        <v>0</v>
      </c>
      <c r="AC9" s="157">
        <f>'Revenue Forecast'!AC19+'Revenue Forecast'!AC24</f>
        <v>222292</v>
      </c>
      <c r="AD9" s="157">
        <f>'Revenue Forecast'!AD19+'Revenue Forecast'!AD24</f>
        <v>248444</v>
      </c>
      <c r="AE9" s="157">
        <f>'Revenue Forecast'!AE19+'Revenue Forecast'!AE24</f>
        <v>274596</v>
      </c>
      <c r="AF9" s="157">
        <f>'Revenue Forecast'!AF19+'Revenue Forecast'!AF24</f>
        <v>304017</v>
      </c>
      <c r="AG9" s="157">
        <f>'Revenue Forecast'!AG19+'Revenue Forecast'!AG24</f>
        <v>333438</v>
      </c>
      <c r="AH9" s="157">
        <f>'Revenue Forecast'!AH19+'Revenue Forecast'!AH24</f>
        <v>366128</v>
      </c>
      <c r="AI9" s="157">
        <f>'Revenue Forecast'!AI19+'Revenue Forecast'!AI24</f>
        <v>405356</v>
      </c>
      <c r="AJ9" s="157">
        <f>'Revenue Forecast'!AJ19+'Revenue Forecast'!AJ24</f>
        <v>447853</v>
      </c>
      <c r="AK9" s="157">
        <f>'Revenue Forecast'!AK19+'Revenue Forecast'!AK24</f>
        <v>493619</v>
      </c>
      <c r="AL9" s="157">
        <f>'Revenue Forecast'!AL19+'Revenue Forecast'!AL24</f>
        <v>549192</v>
      </c>
      <c r="AM9" s="157">
        <f>'Revenue Forecast'!AM19+'Revenue Forecast'!AM24</f>
        <v>604765</v>
      </c>
      <c r="AN9" s="157">
        <f>'Revenue Forecast'!AN19+'Revenue Forecast'!AN24</f>
        <v>670145</v>
      </c>
      <c r="AO9" s="157">
        <f>'Revenue Forecast'!AO19+'Revenue Forecast'!AO24</f>
        <v>743486</v>
      </c>
      <c r="AP9" s="157">
        <f>'Revenue Forecast'!AP19+'Revenue Forecast'!AP24</f>
        <v>822494</v>
      </c>
      <c r="AQ9" s="157">
        <f>'Revenue Forecast'!AQ19+'Revenue Forecast'!AQ24</f>
        <v>908040</v>
      </c>
      <c r="AR9" s="157">
        <f>'Revenue Forecast'!AR19+'Revenue Forecast'!AR24</f>
        <v>1000193</v>
      </c>
      <c r="AS9" s="157">
        <f>'Revenue Forecast'!AS19+'Revenue Forecast'!AS24</f>
        <v>1108691</v>
      </c>
      <c r="AT9" s="157">
        <f>'Revenue Forecast'!AT19+'Revenue Forecast'!AT24</f>
        <v>1223796</v>
      </c>
      <c r="AU9" s="157">
        <f>'Revenue Forecast'!AU19+'Revenue Forecast'!AU24</f>
        <v>1355384</v>
      </c>
      <c r="AV9" s="157">
        <f>'Revenue Forecast'!AV19+'Revenue Forecast'!AV24</f>
        <v>1500117</v>
      </c>
      <c r="AW9" s="157">
        <f>'Revenue Forecast'!AW19+'Revenue Forecast'!AW24</f>
        <v>1661264</v>
      </c>
      <c r="AX9" s="157">
        <f>'Revenue Forecast'!AX19+'Revenue Forecast'!AX24</f>
        <v>1838963</v>
      </c>
      <c r="AY9" s="157">
        <f>'Revenue Forecast'!AY19+'Revenue Forecast'!AY24</f>
        <v>2033007</v>
      </c>
      <c r="AZ9" s="157">
        <f>'Revenue Forecast'!AZ19+'Revenue Forecast'!AZ24</f>
        <v>2253410</v>
      </c>
      <c r="BA9" s="105"/>
      <c r="BB9" s="157">
        <f t="shared" si="1"/>
        <v>0</v>
      </c>
      <c r="BC9" s="157">
        <f t="shared" si="2"/>
        <v>0</v>
      </c>
      <c r="BD9" s="157">
        <f t="shared" si="3"/>
        <v>4919845</v>
      </c>
      <c r="BE9" s="157">
        <f t="shared" si="4"/>
        <v>16448845</v>
      </c>
      <c r="BF9" s="157">
        <f>'Revenue Forecast'!BF19+'Revenue Forecast'!BF24</f>
        <v>33346535</v>
      </c>
      <c r="BG9" s="39"/>
    </row>
    <row r="10" ht="15.0" customHeight="1">
      <c r="A10" s="105"/>
      <c r="B10" s="157" t="s">
        <v>203</v>
      </c>
      <c r="C10" s="156"/>
      <c r="D10" s="156" t="s">
        <v>201</v>
      </c>
      <c r="E10" s="157"/>
      <c r="F10" s="157"/>
      <c r="G10" s="157"/>
      <c r="H10" s="157"/>
      <c r="I10" s="157"/>
      <c r="J10" s="157"/>
      <c r="K10" s="157"/>
      <c r="L10" s="157"/>
      <c r="M10" s="157">
        <f>'Revenue Forecast'!M28</f>
        <v>0</v>
      </c>
      <c r="N10" s="157">
        <f>'Revenue Forecast'!N28</f>
        <v>19480</v>
      </c>
      <c r="O10" s="157">
        <f>'Revenue Forecast'!O28</f>
        <v>78000</v>
      </c>
      <c r="P10" s="157">
        <f>'Revenue Forecast'!P28</f>
        <v>0</v>
      </c>
      <c r="Q10" s="157">
        <f>'Revenue Forecast'!Q28</f>
        <v>0</v>
      </c>
      <c r="R10" s="157">
        <f>'Revenue Forecast'!R28</f>
        <v>0</v>
      </c>
      <c r="S10" s="157">
        <f>'Revenue Forecast'!S28</f>
        <v>0</v>
      </c>
      <c r="T10" s="157">
        <v>0.0</v>
      </c>
      <c r="U10" s="157">
        <f>'Revenue Forecast'!U28</f>
        <v>0</v>
      </c>
      <c r="V10" s="157">
        <v>106782.0</v>
      </c>
      <c r="W10" s="157">
        <f>'Revenue Forecast'!W28</f>
        <v>0</v>
      </c>
      <c r="X10" s="157">
        <f>'Revenue Forecast'!X28</f>
        <v>0</v>
      </c>
      <c r="Y10" s="157">
        <f>'Revenue Forecast'!Y28</f>
        <v>0</v>
      </c>
      <c r="Z10" s="157">
        <f>'Revenue Forecast'!Z28</f>
        <v>0</v>
      </c>
      <c r="AA10" s="157">
        <f>'Revenue Forecast'!AA28</f>
        <v>0</v>
      </c>
      <c r="AB10" s="157">
        <f>'Revenue Forecast'!AB28</f>
        <v>0</v>
      </c>
      <c r="AC10" s="157">
        <f>'Revenue Forecast'!AC28</f>
        <v>0</v>
      </c>
      <c r="AD10" s="157">
        <f>'Revenue Forecast'!AD28</f>
        <v>0</v>
      </c>
      <c r="AE10" s="157">
        <f>'Revenue Forecast'!AE28</f>
        <v>0</v>
      </c>
      <c r="AF10" s="157">
        <f>'Revenue Forecast'!AF28</f>
        <v>0</v>
      </c>
      <c r="AG10" s="157">
        <f>'Revenue Forecast'!AG28</f>
        <v>0</v>
      </c>
      <c r="AH10" s="157">
        <f>'Revenue Forecast'!AH28</f>
        <v>0</v>
      </c>
      <c r="AI10" s="157">
        <f>'Revenue Forecast'!AI28</f>
        <v>0</v>
      </c>
      <c r="AJ10" s="157">
        <f>'Revenue Forecast'!AJ28</f>
        <v>0</v>
      </c>
      <c r="AK10" s="157">
        <f>'Revenue Forecast'!AK28</f>
        <v>0</v>
      </c>
      <c r="AL10" s="157">
        <f>'Revenue Forecast'!AL28</f>
        <v>0</v>
      </c>
      <c r="AM10" s="157">
        <f>'Revenue Forecast'!AM28</f>
        <v>0</v>
      </c>
      <c r="AN10" s="157">
        <f>'Revenue Forecast'!AN28</f>
        <v>0</v>
      </c>
      <c r="AO10" s="157">
        <f>'Revenue Forecast'!AO28</f>
        <v>0</v>
      </c>
      <c r="AP10" s="157">
        <f>'Revenue Forecast'!AP28</f>
        <v>0</v>
      </c>
      <c r="AQ10" s="157">
        <f>'Revenue Forecast'!AQ28</f>
        <v>0</v>
      </c>
      <c r="AR10" s="157">
        <f>'Revenue Forecast'!AR28</f>
        <v>0</v>
      </c>
      <c r="AS10" s="157">
        <f>'Revenue Forecast'!AS28</f>
        <v>0</v>
      </c>
      <c r="AT10" s="157">
        <f>'Revenue Forecast'!AT28</f>
        <v>0</v>
      </c>
      <c r="AU10" s="157">
        <f>'Revenue Forecast'!AU28</f>
        <v>0</v>
      </c>
      <c r="AV10" s="157">
        <f>'Revenue Forecast'!AV28</f>
        <v>0</v>
      </c>
      <c r="AW10" s="157">
        <f>'Revenue Forecast'!AW28</f>
        <v>0</v>
      </c>
      <c r="AX10" s="157">
        <f>'Revenue Forecast'!AX28</f>
        <v>0</v>
      </c>
      <c r="AY10" s="157">
        <f>'Revenue Forecast'!AY28</f>
        <v>0</v>
      </c>
      <c r="AZ10" s="157">
        <f>'Revenue Forecast'!AZ28</f>
        <v>0</v>
      </c>
      <c r="BA10" s="105"/>
      <c r="BB10" s="157">
        <f t="shared" si="1"/>
        <v>97480</v>
      </c>
      <c r="BC10" s="157">
        <f t="shared" si="2"/>
        <v>106782</v>
      </c>
      <c r="BD10" s="166" t="s">
        <v>204</v>
      </c>
      <c r="BE10" s="166" t="s">
        <v>204</v>
      </c>
      <c r="BF10" s="166" t="s">
        <v>204</v>
      </c>
      <c r="BG10" s="39"/>
    </row>
    <row r="11" ht="12.75" customHeight="1">
      <c r="A11" s="167"/>
      <c r="B11" s="168" t="s">
        <v>205</v>
      </c>
      <c r="C11" s="169"/>
      <c r="D11" s="168" t="s">
        <v>201</v>
      </c>
      <c r="E11" s="168"/>
      <c r="F11" s="168"/>
      <c r="G11" s="168"/>
      <c r="H11" s="168"/>
      <c r="I11" s="168"/>
      <c r="J11" s="168"/>
      <c r="K11" s="168"/>
      <c r="L11" s="168"/>
      <c r="M11" s="168">
        <f>'Revenue Forecast'!M30</f>
        <v>0</v>
      </c>
      <c r="N11" s="168">
        <f>'Revenue Forecast'!N30</f>
        <v>19480</v>
      </c>
      <c r="O11" s="168">
        <f>'Revenue Forecast'!O30</f>
        <v>78000</v>
      </c>
      <c r="P11" s="168">
        <f>'Revenue Forecast'!P30</f>
        <v>0</v>
      </c>
      <c r="Q11" s="168">
        <f>'Revenue Forecast'!Q30</f>
        <v>0</v>
      </c>
      <c r="R11" s="168">
        <f>'Revenue Forecast'!R30</f>
        <v>0</v>
      </c>
      <c r="S11" s="168">
        <f>'Revenue Forecast'!S30</f>
        <v>0</v>
      </c>
      <c r="T11" s="168">
        <f>'Revenue Forecast'!T30</f>
        <v>0</v>
      </c>
      <c r="U11" s="168">
        <f>'Revenue Forecast'!U30</f>
        <v>0</v>
      </c>
      <c r="V11" s="168">
        <f>'Revenue Forecast'!V30</f>
        <v>106782</v>
      </c>
      <c r="W11" s="168">
        <f>'Revenue Forecast'!W30</f>
        <v>0</v>
      </c>
      <c r="X11" s="168">
        <f>'Revenue Forecast'!X30</f>
        <v>0</v>
      </c>
      <c r="Y11" s="168">
        <f>'Revenue Forecast'!Y30</f>
        <v>0</v>
      </c>
      <c r="Z11" s="168">
        <f>'Revenue Forecast'!Z30</f>
        <v>0</v>
      </c>
      <c r="AA11" s="168">
        <f>'Revenue Forecast'!AA30</f>
        <v>0</v>
      </c>
      <c r="AB11" s="168">
        <f>'Revenue Forecast'!AB30</f>
        <v>0</v>
      </c>
      <c r="AC11" s="168">
        <f>'Revenue Forecast'!AC30</f>
        <v>764708.0331</v>
      </c>
      <c r="AD11" s="168">
        <f>'Revenue Forecast'!AD30</f>
        <v>850025.1653</v>
      </c>
      <c r="AE11" s="168">
        <f>'Revenue Forecast'!AE30</f>
        <v>935342.2975</v>
      </c>
      <c r="AF11" s="168">
        <f>'Revenue Forecast'!AF30</f>
        <v>1034018.099</v>
      </c>
      <c r="AG11" s="168">
        <f>'Revenue Forecast'!AG30</f>
        <v>1132693.901</v>
      </c>
      <c r="AH11" s="168">
        <f>'Revenue Forecast'!AH30</f>
        <v>1237544.298</v>
      </c>
      <c r="AI11" s="168">
        <f>'Revenue Forecast'!AI30</f>
        <v>1361927.959</v>
      </c>
      <c r="AJ11" s="168">
        <f>'Revenue Forecast'!AJ30</f>
        <v>1499670.289</v>
      </c>
      <c r="AK11" s="168">
        <f>'Revenue Forecast'!AK30</f>
        <v>1650771.289</v>
      </c>
      <c r="AL11" s="168">
        <f>'Revenue Forecast'!AL30</f>
        <v>1827580.149</v>
      </c>
      <c r="AM11" s="168">
        <f>'Revenue Forecast'!AM30</f>
        <v>2004389.008</v>
      </c>
      <c r="AN11" s="168">
        <f>'Revenue Forecast'!AN30</f>
        <v>2214089.802</v>
      </c>
      <c r="AO11" s="168">
        <f>'Revenue Forecast'!AO30</f>
        <v>2434657.19</v>
      </c>
      <c r="AP11" s="168">
        <f>'Revenue Forecast'!AP30</f>
        <v>2683976.512</v>
      </c>
      <c r="AQ11" s="168">
        <f>'Revenue Forecast'!AQ30</f>
        <v>2952829.099</v>
      </c>
      <c r="AR11" s="168">
        <f>'Revenue Forecast'!AR30</f>
        <v>3241283.95</v>
      </c>
      <c r="AS11" s="168">
        <f>'Revenue Forecast'!AS30</f>
        <v>3574979.926</v>
      </c>
      <c r="AT11" s="168">
        <f>'Revenue Forecast'!AT30</f>
        <v>3935462.24</v>
      </c>
      <c r="AU11" s="168">
        <f>'Revenue Forecast'!AU30</f>
        <v>4341323.678</v>
      </c>
      <c r="AV11" s="168">
        <f>'Revenue Forecast'!AV30</f>
        <v>4786320.645</v>
      </c>
      <c r="AW11" s="168">
        <f>'Revenue Forecast'!AW30</f>
        <v>5276627.736</v>
      </c>
      <c r="AX11" s="168">
        <f>'Revenue Forecast'!AX30</f>
        <v>5819567.025</v>
      </c>
      <c r="AY11" s="168">
        <f>'Revenue Forecast'!AY30</f>
        <v>6407747.438</v>
      </c>
      <c r="AZ11" s="168">
        <f>'Revenue Forecast'!AZ30</f>
        <v>7074267.909</v>
      </c>
      <c r="BA11" s="170"/>
      <c r="BB11" s="171">
        <f t="shared" si="1"/>
        <v>97480</v>
      </c>
      <c r="BC11" s="171">
        <f t="shared" si="2"/>
        <v>106782</v>
      </c>
      <c r="BD11" s="171">
        <f>sum(AC11:AN11)</f>
        <v>16512760.29</v>
      </c>
      <c r="BE11" s="171">
        <f>sum(AO11:AZ11)</f>
        <v>52529043.35</v>
      </c>
      <c r="BF11" s="171">
        <f>sum(BF7:BF10)</f>
        <v>105506931.7</v>
      </c>
      <c r="BG11" s="172"/>
    </row>
    <row r="12" ht="15.0" customHeight="1">
      <c r="A12" s="105"/>
      <c r="B12" s="165"/>
      <c r="C12" s="156"/>
      <c r="D12" s="165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05"/>
      <c r="BB12" s="156"/>
      <c r="BC12" s="156"/>
      <c r="BD12" s="156"/>
      <c r="BE12" s="156"/>
      <c r="BF12" s="156"/>
      <c r="BG12" s="105"/>
    </row>
    <row r="13" ht="13.5" customHeight="1">
      <c r="A13" s="159"/>
      <c r="B13" s="160" t="s">
        <v>206</v>
      </c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2"/>
      <c r="S13" s="163"/>
      <c r="T13" s="164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1"/>
      <c r="AN13" s="161"/>
      <c r="AO13" s="161"/>
      <c r="AP13" s="161"/>
      <c r="AQ13" s="161"/>
      <c r="AR13" s="161"/>
      <c r="AS13" s="161"/>
      <c r="AT13" s="161"/>
      <c r="AU13" s="161"/>
      <c r="AV13" s="161"/>
      <c r="AW13" s="161"/>
      <c r="AX13" s="161"/>
      <c r="AY13" s="161"/>
      <c r="AZ13" s="162"/>
      <c r="BA13" s="105"/>
      <c r="BB13" s="162"/>
      <c r="BC13" s="162"/>
      <c r="BD13" s="162"/>
      <c r="BE13" s="162"/>
      <c r="BF13" s="162"/>
      <c r="BG13" s="105"/>
    </row>
    <row r="14" ht="15.0" customHeight="1">
      <c r="A14" s="105"/>
      <c r="B14" s="157" t="s">
        <v>47</v>
      </c>
      <c r="C14" s="156"/>
      <c r="D14" s="156" t="s">
        <v>201</v>
      </c>
      <c r="E14" s="157" t="str">
        <f>COGS!E9</f>
        <v/>
      </c>
      <c r="F14" s="157" t="str">
        <f>COGS!F9</f>
        <v/>
      </c>
      <c r="G14" s="157" t="str">
        <f>COGS!G9</f>
        <v/>
      </c>
      <c r="H14" s="157" t="str">
        <f>COGS!H9</f>
        <v/>
      </c>
      <c r="I14" s="157" t="str">
        <f>COGS!I9</f>
        <v/>
      </c>
      <c r="J14" s="157" t="str">
        <f>COGS!J9</f>
        <v/>
      </c>
      <c r="K14" s="157" t="str">
        <f>COGS!K9</f>
        <v/>
      </c>
      <c r="L14" s="157" t="str">
        <f>COGS!L9</f>
        <v/>
      </c>
      <c r="M14" s="157" t="str">
        <f>COGS!M9</f>
        <v/>
      </c>
      <c r="N14" s="157" t="str">
        <f>COGS!N9</f>
        <v/>
      </c>
      <c r="O14" s="157" t="str">
        <f>COGS!O9</f>
        <v/>
      </c>
      <c r="P14" s="157" t="str">
        <f>COGS!P9</f>
        <v/>
      </c>
      <c r="Q14" s="157">
        <f>COGS!Q9</f>
        <v>0</v>
      </c>
      <c r="R14" s="157">
        <f>COGS!R9</f>
        <v>0</v>
      </c>
      <c r="S14" s="157">
        <f>COGS!S9</f>
        <v>0</v>
      </c>
      <c r="T14" s="157">
        <f>COGS!T9</f>
        <v>0</v>
      </c>
      <c r="U14" s="157">
        <f>COGS!U9</f>
        <v>0</v>
      </c>
      <c r="V14" s="157">
        <f>COGS!V9</f>
        <v>0</v>
      </c>
      <c r="W14" s="157">
        <f>COGS!W9</f>
        <v>0</v>
      </c>
      <c r="X14" s="157">
        <f>COGS!X9</f>
        <v>0</v>
      </c>
      <c r="Y14" s="157">
        <f>COGS!Y9</f>
        <v>0</v>
      </c>
      <c r="Z14" s="157">
        <f>COGS!Z9</f>
        <v>0</v>
      </c>
      <c r="AA14" s="157">
        <f>COGS!AA9</f>
        <v>0</v>
      </c>
      <c r="AB14" s="157">
        <f>COGS!AB9</f>
        <v>0</v>
      </c>
      <c r="AC14" s="157">
        <f>COGS!AC9</f>
        <v>526402.56</v>
      </c>
      <c r="AD14" s="157">
        <f>COGS!AD9</f>
        <v>581236.16</v>
      </c>
      <c r="AE14" s="157">
        <f>COGS!AE9</f>
        <v>636069.76</v>
      </c>
      <c r="AF14" s="157">
        <f>COGS!AF9</f>
        <v>701870.08</v>
      </c>
      <c r="AG14" s="157">
        <f>COGS!AG9</f>
        <v>767670.4</v>
      </c>
      <c r="AH14" s="157">
        <f>COGS!AH9</f>
        <v>833470.72</v>
      </c>
      <c r="AI14" s="157">
        <f>COGS!AI9</f>
        <v>910237.76</v>
      </c>
      <c r="AJ14" s="157">
        <f>COGS!AJ9</f>
        <v>997971.52</v>
      </c>
      <c r="AK14" s="157">
        <f>COGS!AK9</f>
        <v>1096672</v>
      </c>
      <c r="AL14" s="157">
        <f>COGS!AL9</f>
        <v>1206339.2</v>
      </c>
      <c r="AM14" s="157">
        <f>COGS!AM9</f>
        <v>1316006.4</v>
      </c>
      <c r="AN14" s="157">
        <f>COGS!AN9</f>
        <v>1447607.04</v>
      </c>
      <c r="AO14" s="157">
        <f>COGS!AO9</f>
        <v>1158803.136</v>
      </c>
      <c r="AP14" s="157">
        <f>COGS!AP9</f>
        <v>1271464.552</v>
      </c>
      <c r="AQ14" s="157">
        <f>COGS!AQ9</f>
        <v>1392173.212</v>
      </c>
      <c r="AR14" s="157">
        <f>COGS!AR9</f>
        <v>1520929.116</v>
      </c>
      <c r="AS14" s="157">
        <f>COGS!AS9</f>
        <v>1665779.508</v>
      </c>
      <c r="AT14" s="157">
        <f>COGS!AT9</f>
        <v>1826724.388</v>
      </c>
      <c r="AU14" s="157">
        <f>COGS!AU9</f>
        <v>2003763.756</v>
      </c>
      <c r="AV14" s="157">
        <f>COGS!AV9</f>
        <v>2196897.612</v>
      </c>
      <c r="AW14" s="157">
        <f>COGS!AW9</f>
        <v>2406125.956</v>
      </c>
      <c r="AX14" s="157">
        <f>COGS!AX9</f>
        <v>2639496.032</v>
      </c>
      <c r="AY14" s="157">
        <f>COGS!AY9</f>
        <v>2888960.596</v>
      </c>
      <c r="AZ14" s="157">
        <f>COGS!AZ9</f>
        <v>3170614.136</v>
      </c>
      <c r="BA14" s="105"/>
      <c r="BB14" s="157">
        <f t="shared" ref="BB14:BB17" si="5">sum(E14:P14)</f>
        <v>0</v>
      </c>
      <c r="BC14" s="157">
        <f t="shared" ref="BC14:BC17" si="6">sum(Q14:AB14)</f>
        <v>0</v>
      </c>
      <c r="BD14" s="157">
        <f t="shared" ref="BD14:BD17" si="7">sum(AC14:AN14)</f>
        <v>11021553.6</v>
      </c>
      <c r="BE14" s="157">
        <f t="shared" ref="BE14:BE17" si="8">sum(AO14:AZ14)</f>
        <v>24141732</v>
      </c>
      <c r="BF14" s="157">
        <f>COGS!BF9</f>
        <v>35806800</v>
      </c>
      <c r="BG14" s="39"/>
    </row>
    <row r="15" ht="15.0" customHeight="1">
      <c r="A15" s="105"/>
      <c r="B15" s="157" t="s">
        <v>48</v>
      </c>
      <c r="C15" s="156"/>
      <c r="D15" s="156" t="s">
        <v>201</v>
      </c>
      <c r="E15" s="157" t="str">
        <f>COGS!E14</f>
        <v/>
      </c>
      <c r="F15" s="157" t="str">
        <f>COGS!F14</f>
        <v/>
      </c>
      <c r="G15" s="157" t="str">
        <f>COGS!G14</f>
        <v/>
      </c>
      <c r="H15" s="157" t="str">
        <f>COGS!H14</f>
        <v/>
      </c>
      <c r="I15" s="157" t="str">
        <f>COGS!I14</f>
        <v/>
      </c>
      <c r="J15" s="157" t="str">
        <f>COGS!J14</f>
        <v/>
      </c>
      <c r="K15" s="157" t="str">
        <f>COGS!K14</f>
        <v/>
      </c>
      <c r="L15" s="157" t="str">
        <f>COGS!L14</f>
        <v/>
      </c>
      <c r="M15" s="157" t="str">
        <f>COGS!M14</f>
        <v/>
      </c>
      <c r="N15" s="157" t="str">
        <f>COGS!N14</f>
        <v/>
      </c>
      <c r="O15" s="157" t="str">
        <f>COGS!O14</f>
        <v/>
      </c>
      <c r="P15" s="157" t="str">
        <f>COGS!P14</f>
        <v/>
      </c>
      <c r="Q15" s="157">
        <f>COGS!Q14</f>
        <v>0</v>
      </c>
      <c r="R15" s="157">
        <f>COGS!R14</f>
        <v>0</v>
      </c>
      <c r="S15" s="157">
        <f>COGS!S14</f>
        <v>0</v>
      </c>
      <c r="T15" s="157">
        <f>COGS!T14</f>
        <v>0</v>
      </c>
      <c r="U15" s="157">
        <f>COGS!U14</f>
        <v>0</v>
      </c>
      <c r="V15" s="157">
        <f>COGS!V14</f>
        <v>0</v>
      </c>
      <c r="W15" s="157">
        <f>COGS!W14</f>
        <v>0</v>
      </c>
      <c r="X15" s="157">
        <f>COGS!X14</f>
        <v>0</v>
      </c>
      <c r="Y15" s="157">
        <f>COGS!Y14</f>
        <v>0</v>
      </c>
      <c r="Z15" s="157">
        <f>COGS!Z14</f>
        <v>0</v>
      </c>
      <c r="AA15" s="157">
        <f>COGS!AA14</f>
        <v>0</v>
      </c>
      <c r="AB15" s="157">
        <f>COGS!AB14</f>
        <v>0</v>
      </c>
      <c r="AC15" s="157">
        <f>COGS!AC14</f>
        <v>27200</v>
      </c>
      <c r="AD15" s="157">
        <f>COGS!AD14</f>
        <v>31280</v>
      </c>
      <c r="AE15" s="157">
        <f>COGS!AE14</f>
        <v>35360</v>
      </c>
      <c r="AF15" s="157">
        <f>COGS!AF14</f>
        <v>39440</v>
      </c>
      <c r="AG15" s="157">
        <f>COGS!AG14</f>
        <v>43520</v>
      </c>
      <c r="AH15" s="157">
        <f>COGS!AH14</f>
        <v>48960</v>
      </c>
      <c r="AI15" s="157">
        <f>COGS!AI14</f>
        <v>55760</v>
      </c>
      <c r="AJ15" s="157">
        <f>COGS!AJ14</f>
        <v>62560</v>
      </c>
      <c r="AK15" s="157">
        <f>COGS!AK14</f>
        <v>69360</v>
      </c>
      <c r="AL15" s="157">
        <f>COGS!AL14</f>
        <v>78880</v>
      </c>
      <c r="AM15" s="157">
        <f>COGS!AM14</f>
        <v>88400</v>
      </c>
      <c r="AN15" s="157">
        <f>COGS!AN14</f>
        <v>99280</v>
      </c>
      <c r="AO15" s="157">
        <f>COGS!AO14</f>
        <v>111520</v>
      </c>
      <c r="AP15" s="157">
        <f>COGS!AP14</f>
        <v>125120</v>
      </c>
      <c r="AQ15" s="157">
        <f>COGS!AQ14</f>
        <v>140080</v>
      </c>
      <c r="AR15" s="157">
        <f>COGS!AR14</f>
        <v>156400</v>
      </c>
      <c r="AS15" s="157">
        <f>COGS!AS14</f>
        <v>176800</v>
      </c>
      <c r="AT15" s="157">
        <f>COGS!AT14</f>
        <v>197200</v>
      </c>
      <c r="AU15" s="157">
        <f>COGS!AU14</f>
        <v>221680</v>
      </c>
      <c r="AV15" s="157">
        <f>COGS!AV14</f>
        <v>248880</v>
      </c>
      <c r="AW15" s="157">
        <f>COGS!AW14</f>
        <v>280160</v>
      </c>
      <c r="AX15" s="157">
        <f>COGS!AX14</f>
        <v>314160</v>
      </c>
      <c r="AY15" s="157">
        <f>COGS!AY14</f>
        <v>352240</v>
      </c>
      <c r="AZ15" s="157">
        <f>COGS!AZ14</f>
        <v>395760</v>
      </c>
      <c r="BA15" s="105"/>
      <c r="BB15" s="157">
        <f t="shared" si="5"/>
        <v>0</v>
      </c>
      <c r="BC15" s="157">
        <f t="shared" si="6"/>
        <v>0</v>
      </c>
      <c r="BD15" s="157">
        <f t="shared" si="7"/>
        <v>680000</v>
      </c>
      <c r="BE15" s="157">
        <f t="shared" si="8"/>
        <v>2720000</v>
      </c>
      <c r="BF15" s="157">
        <f>COGS!BF14</f>
        <v>4193400</v>
      </c>
      <c r="BG15" s="39"/>
    </row>
    <row r="16" ht="15.0" customHeight="1">
      <c r="A16" s="105"/>
      <c r="B16" s="157" t="s">
        <v>207</v>
      </c>
      <c r="C16" s="156"/>
      <c r="D16" s="156"/>
      <c r="E16" s="157" t="str">
        <f>COGS!E17</f>
        <v/>
      </c>
      <c r="F16" s="157" t="str">
        <f>COGS!F17</f>
        <v/>
      </c>
      <c r="G16" s="157" t="str">
        <f>COGS!G17</f>
        <v/>
      </c>
      <c r="H16" s="157" t="str">
        <f>COGS!H17</f>
        <v/>
      </c>
      <c r="I16" s="157" t="str">
        <f>COGS!I17</f>
        <v/>
      </c>
      <c r="J16" s="157" t="str">
        <f>COGS!J17</f>
        <v/>
      </c>
      <c r="K16" s="157" t="str">
        <f>COGS!K17</f>
        <v/>
      </c>
      <c r="L16" s="157" t="str">
        <f>COGS!L17</f>
        <v/>
      </c>
      <c r="M16" s="157" t="str">
        <f>COGS!M17</f>
        <v/>
      </c>
      <c r="N16" s="157" t="str">
        <f>COGS!N17</f>
        <v/>
      </c>
      <c r="O16" s="157" t="str">
        <f>COGS!O17</f>
        <v/>
      </c>
      <c r="P16" s="157" t="str">
        <f>COGS!P17</f>
        <v/>
      </c>
      <c r="Q16" s="157">
        <f>COGS!Q17+COGS!Q22</f>
        <v>0</v>
      </c>
      <c r="R16" s="157">
        <f>COGS!R17+COGS!R22</f>
        <v>0</v>
      </c>
      <c r="S16" s="157">
        <f>COGS!S17+COGS!S22</f>
        <v>0</v>
      </c>
      <c r="T16" s="157">
        <f>COGS!T17+COGS!T22</f>
        <v>0</v>
      </c>
      <c r="U16" s="157">
        <f>COGS!U17+COGS!U22</f>
        <v>0</v>
      </c>
      <c r="V16" s="157">
        <f>COGS!V17+COGS!V22</f>
        <v>0</v>
      </c>
      <c r="W16" s="157">
        <f>COGS!W17+COGS!W22</f>
        <v>0</v>
      </c>
      <c r="X16" s="157">
        <f>COGS!X17+COGS!X22</f>
        <v>0</v>
      </c>
      <c r="Y16" s="157">
        <f>COGS!Y17+COGS!Y22</f>
        <v>0</v>
      </c>
      <c r="Z16" s="157">
        <f>COGS!Z17+COGS!Z22</f>
        <v>0</v>
      </c>
      <c r="AA16" s="157">
        <f>COGS!AA17+COGS!AA22</f>
        <v>0</v>
      </c>
      <c r="AB16" s="157">
        <f>COGS!AB17+COGS!AB22</f>
        <v>0</v>
      </c>
      <c r="AC16" s="157">
        <f>COGS!AC17+COGS!AC22</f>
        <v>219762.4</v>
      </c>
      <c r="AD16" s="157">
        <f>COGS!AD17+COGS!AD22</f>
        <v>245616.8</v>
      </c>
      <c r="AE16" s="157">
        <f>COGS!AE17+COGS!AE22</f>
        <v>271471.2</v>
      </c>
      <c r="AF16" s="157">
        <f>COGS!AF17+COGS!AF22</f>
        <v>300557.4</v>
      </c>
      <c r="AG16" s="157">
        <f>COGS!AG17+COGS!AG22</f>
        <v>329643.6</v>
      </c>
      <c r="AH16" s="157">
        <f>COGS!AH17+COGS!AH22</f>
        <v>361961.6</v>
      </c>
      <c r="AI16" s="157">
        <f>COGS!AI17+COGS!AI22</f>
        <v>400743.2</v>
      </c>
      <c r="AJ16" s="157">
        <f>COGS!AJ17+COGS!AJ22</f>
        <v>442756.6</v>
      </c>
      <c r="AK16" s="157">
        <f>COGS!AK17+COGS!AK22</f>
        <v>488001.8</v>
      </c>
      <c r="AL16" s="157">
        <f>COGS!AL17+COGS!AL22</f>
        <v>542942.4</v>
      </c>
      <c r="AM16" s="157">
        <f>COGS!AM17+COGS!AM22</f>
        <v>597883</v>
      </c>
      <c r="AN16" s="157">
        <f>COGS!AN17+COGS!AN22</f>
        <v>662519</v>
      </c>
      <c r="AO16" s="157">
        <f>COGS!AO17+COGS!AO22</f>
        <v>732549.2</v>
      </c>
      <c r="AP16" s="157">
        <f>COGS!AP17+COGS!AP22</f>
        <v>810366.8</v>
      </c>
      <c r="AQ16" s="157">
        <f>COGS!AQ17+COGS!AQ22</f>
        <v>894648</v>
      </c>
      <c r="AR16" s="157">
        <f>COGS!AR17+COGS!AR22</f>
        <v>985424.6</v>
      </c>
      <c r="AS16" s="157">
        <f>COGS!AS17+COGS!AS22</f>
        <v>1092360.2</v>
      </c>
      <c r="AT16" s="157">
        <f>COGS!AT17+COGS!AT22</f>
        <v>1205791.2</v>
      </c>
      <c r="AU16" s="157">
        <f>COGS!AU17+COGS!AU22</f>
        <v>1335444.8</v>
      </c>
      <c r="AV16" s="157">
        <f>COGS!AV17+COGS!AV22</f>
        <v>1478057.4</v>
      </c>
      <c r="AW16" s="157">
        <f>COGS!AW17+COGS!AW22</f>
        <v>1636860.8</v>
      </c>
      <c r="AX16" s="157">
        <f>COGS!AX17+COGS!AX22</f>
        <v>1811918.6</v>
      </c>
      <c r="AY16" s="157">
        <f>COGS!AY17+COGS!AY22</f>
        <v>2003135.4</v>
      </c>
      <c r="AZ16" s="157">
        <f>COGS!AZ17+COGS!AZ22</f>
        <v>2220302</v>
      </c>
      <c r="BA16" s="105"/>
      <c r="BB16" s="157">
        <f t="shared" si="5"/>
        <v>0</v>
      </c>
      <c r="BC16" s="157">
        <f t="shared" si="6"/>
        <v>0</v>
      </c>
      <c r="BD16" s="157">
        <f t="shared" si="7"/>
        <v>4863859</v>
      </c>
      <c r="BE16" s="157">
        <f t="shared" si="8"/>
        <v>16206859</v>
      </c>
      <c r="BF16" s="157">
        <f>COGS!BF17</f>
        <v>32000000</v>
      </c>
      <c r="BG16" s="39"/>
    </row>
    <row r="17" ht="12.75" customHeight="1">
      <c r="A17" s="167"/>
      <c r="B17" s="168" t="s">
        <v>208</v>
      </c>
      <c r="C17" s="169"/>
      <c r="D17" s="168" t="s">
        <v>201</v>
      </c>
      <c r="E17" s="168"/>
      <c r="F17" s="168"/>
      <c r="G17" s="168"/>
      <c r="H17" s="168"/>
      <c r="I17" s="168"/>
      <c r="J17" s="168"/>
      <c r="K17" s="168"/>
      <c r="L17" s="168"/>
      <c r="M17" s="168">
        <f>COGS!M24</f>
        <v>0</v>
      </c>
      <c r="N17" s="168">
        <f>COGS!N24</f>
        <v>0</v>
      </c>
      <c r="O17" s="168">
        <f>COGS!O24</f>
        <v>0</v>
      </c>
      <c r="P17" s="168">
        <f>COGS!P24</f>
        <v>0</v>
      </c>
      <c r="Q17" s="168">
        <f>COGS!Q24</f>
        <v>0</v>
      </c>
      <c r="R17" s="168">
        <f>COGS!R24</f>
        <v>0</v>
      </c>
      <c r="S17" s="168">
        <f>COGS!S24</f>
        <v>0</v>
      </c>
      <c r="T17" s="168">
        <f>COGS!T24</f>
        <v>0</v>
      </c>
      <c r="U17" s="168">
        <f>COGS!U24</f>
        <v>0</v>
      </c>
      <c r="V17" s="168">
        <f>COGS!V24</f>
        <v>0</v>
      </c>
      <c r="W17" s="168">
        <f>COGS!W24</f>
        <v>0</v>
      </c>
      <c r="X17" s="168">
        <f>COGS!X24</f>
        <v>0</v>
      </c>
      <c r="Y17" s="168">
        <f>COGS!Y24</f>
        <v>0</v>
      </c>
      <c r="Z17" s="168">
        <f>COGS!Z24</f>
        <v>0</v>
      </c>
      <c r="AA17" s="168">
        <f>COGS!AA24</f>
        <v>0</v>
      </c>
      <c r="AB17" s="168">
        <f>COGS!AB24</f>
        <v>0</v>
      </c>
      <c r="AC17" s="168">
        <f>COGS!AC24</f>
        <v>773364.96</v>
      </c>
      <c r="AD17" s="168">
        <f>COGS!AD24</f>
        <v>858132.96</v>
      </c>
      <c r="AE17" s="168">
        <f>COGS!AE24</f>
        <v>942900.96</v>
      </c>
      <c r="AF17" s="168">
        <f>COGS!AF24</f>
        <v>1041867.48</v>
      </c>
      <c r="AG17" s="168">
        <f>COGS!AG24</f>
        <v>1140834</v>
      </c>
      <c r="AH17" s="168">
        <f>COGS!AH24</f>
        <v>1244392.32</v>
      </c>
      <c r="AI17" s="168">
        <f>COGS!AI24</f>
        <v>1366740.96</v>
      </c>
      <c r="AJ17" s="168">
        <f>COGS!AJ24</f>
        <v>1503288.12</v>
      </c>
      <c r="AK17" s="168">
        <f>COGS!AK24</f>
        <v>1654033.8</v>
      </c>
      <c r="AL17" s="168">
        <f>COGS!AL24</f>
        <v>1828161.6</v>
      </c>
      <c r="AM17" s="168">
        <f>COGS!AM24</f>
        <v>2002289.4</v>
      </c>
      <c r="AN17" s="168">
        <f>COGS!AN24</f>
        <v>2209406.04</v>
      </c>
      <c r="AO17" s="168">
        <f>COGS!AO24</f>
        <v>2002872.336</v>
      </c>
      <c r="AP17" s="168">
        <f>COGS!AP24</f>
        <v>2206951.352</v>
      </c>
      <c r="AQ17" s="168">
        <f>COGS!AQ24</f>
        <v>2426901.212</v>
      </c>
      <c r="AR17" s="168">
        <f>COGS!AR24</f>
        <v>2662753.716</v>
      </c>
      <c r="AS17" s="168">
        <f>COGS!AS24</f>
        <v>2934939.708</v>
      </c>
      <c r="AT17" s="168">
        <f>COGS!AT24</f>
        <v>3229715.588</v>
      </c>
      <c r="AU17" s="168">
        <f>COGS!AU24</f>
        <v>3560888.556</v>
      </c>
      <c r="AV17" s="168">
        <f>COGS!AV24</f>
        <v>3923835.012</v>
      </c>
      <c r="AW17" s="168">
        <f>COGS!AW24</f>
        <v>4323146.756</v>
      </c>
      <c r="AX17" s="168">
        <f>COGS!AX24</f>
        <v>4765574.632</v>
      </c>
      <c r="AY17" s="168">
        <f>COGS!AY24</f>
        <v>5244335.996</v>
      </c>
      <c r="AZ17" s="168">
        <f>COGS!AZ24</f>
        <v>5786676.136</v>
      </c>
      <c r="BA17" s="170"/>
      <c r="BB17" s="171">
        <f t="shared" si="5"/>
        <v>0</v>
      </c>
      <c r="BC17" s="171">
        <f t="shared" si="6"/>
        <v>0</v>
      </c>
      <c r="BD17" s="171">
        <f t="shared" si="7"/>
        <v>16565412.6</v>
      </c>
      <c r="BE17" s="171">
        <f t="shared" si="8"/>
        <v>43068591</v>
      </c>
      <c r="BF17" s="171">
        <f>sum(BF14:BF16)</f>
        <v>72000200</v>
      </c>
      <c r="BG17" s="172"/>
    </row>
    <row r="18" ht="12.75" customHeight="1">
      <c r="A18" s="159"/>
      <c r="B18" s="173"/>
      <c r="C18" s="156"/>
      <c r="D18" s="156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173"/>
      <c r="AH18" s="173"/>
      <c r="AI18" s="173"/>
      <c r="AJ18" s="173"/>
      <c r="AK18" s="173"/>
      <c r="AL18" s="173"/>
      <c r="AM18" s="173"/>
      <c r="AN18" s="173"/>
      <c r="AO18" s="173"/>
      <c r="AP18" s="173"/>
      <c r="AQ18" s="173"/>
      <c r="AR18" s="173"/>
      <c r="AS18" s="173"/>
      <c r="AT18" s="173"/>
      <c r="AU18" s="173"/>
      <c r="AV18" s="173"/>
      <c r="AW18" s="173"/>
      <c r="AX18" s="173"/>
      <c r="AY18" s="173"/>
      <c r="AZ18" s="173"/>
      <c r="BA18" s="105"/>
      <c r="BB18" s="173"/>
      <c r="BC18" s="173"/>
      <c r="BD18" s="173"/>
      <c r="BE18" s="173"/>
      <c r="BF18" s="173"/>
      <c r="BG18" s="174"/>
    </row>
    <row r="19" ht="12.75" customHeight="1">
      <c r="A19" s="167"/>
      <c r="B19" s="168" t="s">
        <v>209</v>
      </c>
      <c r="C19" s="169"/>
      <c r="D19" s="169"/>
      <c r="E19" s="168"/>
      <c r="F19" s="168"/>
      <c r="G19" s="168"/>
      <c r="H19" s="168"/>
      <c r="I19" s="168"/>
      <c r="J19" s="168"/>
      <c r="K19" s="168"/>
      <c r="L19" s="168"/>
      <c r="M19" s="168">
        <f t="shared" ref="M19:AZ19" si="9">M11-M17</f>
        <v>0</v>
      </c>
      <c r="N19" s="168">
        <f t="shared" si="9"/>
        <v>19480</v>
      </c>
      <c r="O19" s="168">
        <f t="shared" si="9"/>
        <v>78000</v>
      </c>
      <c r="P19" s="168">
        <f t="shared" si="9"/>
        <v>0</v>
      </c>
      <c r="Q19" s="168">
        <f t="shared" si="9"/>
        <v>0</v>
      </c>
      <c r="R19" s="168">
        <f t="shared" si="9"/>
        <v>0</v>
      </c>
      <c r="S19" s="168">
        <f t="shared" si="9"/>
        <v>0</v>
      </c>
      <c r="T19" s="168">
        <f t="shared" si="9"/>
        <v>0</v>
      </c>
      <c r="U19" s="168">
        <f t="shared" si="9"/>
        <v>0</v>
      </c>
      <c r="V19" s="168">
        <f t="shared" si="9"/>
        <v>106782</v>
      </c>
      <c r="W19" s="168">
        <f t="shared" si="9"/>
        <v>0</v>
      </c>
      <c r="X19" s="168">
        <f t="shared" si="9"/>
        <v>0</v>
      </c>
      <c r="Y19" s="168">
        <f t="shared" si="9"/>
        <v>0</v>
      </c>
      <c r="Z19" s="168">
        <f t="shared" si="9"/>
        <v>0</v>
      </c>
      <c r="AA19" s="168">
        <f t="shared" si="9"/>
        <v>0</v>
      </c>
      <c r="AB19" s="168">
        <f t="shared" si="9"/>
        <v>0</v>
      </c>
      <c r="AC19" s="168">
        <f t="shared" si="9"/>
        <v>-8656.926942</v>
      </c>
      <c r="AD19" s="168">
        <f t="shared" si="9"/>
        <v>-8107.794711</v>
      </c>
      <c r="AE19" s="168">
        <f t="shared" si="9"/>
        <v>-7558.662479</v>
      </c>
      <c r="AF19" s="168">
        <f t="shared" si="9"/>
        <v>-7849.380826</v>
      </c>
      <c r="AG19" s="168">
        <f t="shared" si="9"/>
        <v>-8140.099174</v>
      </c>
      <c r="AH19" s="168">
        <f t="shared" si="9"/>
        <v>-6848.022479</v>
      </c>
      <c r="AI19" s="168">
        <f t="shared" si="9"/>
        <v>-4813.001322</v>
      </c>
      <c r="AJ19" s="168">
        <f t="shared" si="9"/>
        <v>-3617.830744</v>
      </c>
      <c r="AK19" s="168">
        <f t="shared" si="9"/>
        <v>-3262.510744</v>
      </c>
      <c r="AL19" s="168">
        <f t="shared" si="9"/>
        <v>-581.4512397</v>
      </c>
      <c r="AM19" s="168">
        <f t="shared" si="9"/>
        <v>2099.608264</v>
      </c>
      <c r="AN19" s="168">
        <f t="shared" si="9"/>
        <v>4683.761653</v>
      </c>
      <c r="AO19" s="168">
        <f t="shared" si="9"/>
        <v>431784.8541</v>
      </c>
      <c r="AP19" s="168">
        <f t="shared" si="9"/>
        <v>477025.1604</v>
      </c>
      <c r="AQ19" s="168">
        <f t="shared" si="9"/>
        <v>525927.8872</v>
      </c>
      <c r="AR19" s="168">
        <f t="shared" si="9"/>
        <v>578530.2344</v>
      </c>
      <c r="AS19" s="168">
        <f t="shared" si="9"/>
        <v>640040.2176</v>
      </c>
      <c r="AT19" s="168">
        <f t="shared" si="9"/>
        <v>705746.6517</v>
      </c>
      <c r="AU19" s="168">
        <f t="shared" si="9"/>
        <v>780435.1217</v>
      </c>
      <c r="AV19" s="168">
        <f t="shared" si="9"/>
        <v>862485.6326</v>
      </c>
      <c r="AW19" s="168">
        <f t="shared" si="9"/>
        <v>953480.9795</v>
      </c>
      <c r="AX19" s="168">
        <f t="shared" si="9"/>
        <v>1053992.393</v>
      </c>
      <c r="AY19" s="168">
        <f t="shared" si="9"/>
        <v>1163411.442</v>
      </c>
      <c r="AZ19" s="171">
        <f t="shared" si="9"/>
        <v>1287591.773</v>
      </c>
      <c r="BA19" s="170"/>
      <c r="BB19" s="171">
        <f>sum(E19:P19)</f>
        <v>97480</v>
      </c>
      <c r="BC19" s="171">
        <f>sum(Q19:AB19)</f>
        <v>106782</v>
      </c>
      <c r="BD19" s="171">
        <f>sum(AC19:AN19)</f>
        <v>-52652.31074</v>
      </c>
      <c r="BE19" s="171">
        <f>sum(AO19:AZ19)</f>
        <v>9460452.347</v>
      </c>
      <c r="BF19" s="171">
        <f>BF11-BF17</f>
        <v>33506731.69</v>
      </c>
      <c r="BG19" s="172"/>
    </row>
    <row r="20" ht="15.0" customHeight="1">
      <c r="A20" s="175"/>
      <c r="B20" s="176" t="s">
        <v>210</v>
      </c>
      <c r="C20" s="177"/>
      <c r="D20" s="176" t="s">
        <v>44</v>
      </c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  <c r="AS20" s="176"/>
      <c r="AT20" s="176"/>
      <c r="AU20" s="176"/>
      <c r="AV20" s="176"/>
      <c r="AW20" s="176"/>
      <c r="AX20" s="176"/>
      <c r="AY20" s="176"/>
      <c r="AZ20" s="176"/>
      <c r="BA20" s="176"/>
      <c r="BB20" s="176"/>
      <c r="BC20" s="176"/>
      <c r="BD20" s="176"/>
      <c r="BE20" s="176">
        <f t="shared" ref="BE20:BF20" si="10">BE19/BE11</f>
        <v>0.1800994601</v>
      </c>
      <c r="BF20" s="176">
        <f t="shared" si="10"/>
        <v>0.3175784866</v>
      </c>
      <c r="BG20" s="178"/>
    </row>
    <row r="21" ht="15.75" customHeight="1">
      <c r="A21" s="10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05"/>
      <c r="BB21" s="156"/>
      <c r="BC21" s="156"/>
      <c r="BD21" s="156"/>
      <c r="BE21" s="156"/>
      <c r="BF21" s="156"/>
      <c r="BG21" s="105"/>
    </row>
    <row r="22" ht="13.5" customHeight="1">
      <c r="A22" s="159"/>
      <c r="B22" s="160" t="s">
        <v>211</v>
      </c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2"/>
      <c r="S22" s="163"/>
      <c r="T22" s="164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  <c r="AQ22" s="161"/>
      <c r="AR22" s="161"/>
      <c r="AS22" s="161"/>
      <c r="AT22" s="161"/>
      <c r="AU22" s="161"/>
      <c r="AV22" s="161"/>
      <c r="AW22" s="161"/>
      <c r="AX22" s="161"/>
      <c r="AY22" s="161"/>
      <c r="AZ22" s="162"/>
      <c r="BA22" s="105"/>
      <c r="BB22" s="162"/>
      <c r="BC22" s="162"/>
      <c r="BD22" s="162"/>
      <c r="BE22" s="162"/>
      <c r="BF22" s="162"/>
      <c r="BG22" s="105"/>
    </row>
    <row r="23" ht="15.0" customHeight="1">
      <c r="A23" s="105"/>
      <c r="B23" s="157" t="s">
        <v>149</v>
      </c>
      <c r="C23" s="156"/>
      <c r="D23" s="156" t="s">
        <v>201</v>
      </c>
      <c r="E23" s="157"/>
      <c r="F23" s="157"/>
      <c r="G23" s="157"/>
      <c r="H23" s="157"/>
      <c r="I23" s="157"/>
      <c r="J23" s="157"/>
      <c r="K23" s="157"/>
      <c r="L23" s="157"/>
      <c r="M23" s="157">
        <f>OPEX!O38</f>
        <v>47500</v>
      </c>
      <c r="N23" s="157">
        <f>OPEX!P38</f>
        <v>47500</v>
      </c>
      <c r="O23" s="157">
        <f>OPEX!Q38</f>
        <v>47500</v>
      </c>
      <c r="P23" s="157">
        <f>OPEX!R38</f>
        <v>216433</v>
      </c>
      <c r="Q23" s="157">
        <f>OPEX!S38</f>
        <v>75700</v>
      </c>
      <c r="R23" s="157">
        <f>OPEX!T38</f>
        <v>75700</v>
      </c>
      <c r="S23" s="157">
        <f>OPEX!U38</f>
        <v>75700</v>
      </c>
      <c r="T23" s="157">
        <f>OPEX!V38</f>
        <v>75700</v>
      </c>
      <c r="U23" s="157">
        <f>OPEX!W38</f>
        <v>75700</v>
      </c>
      <c r="V23" s="157">
        <f>OPEX!X38</f>
        <v>75700</v>
      </c>
      <c r="W23" s="157">
        <f>OPEX!Y38</f>
        <v>83700</v>
      </c>
      <c r="X23" s="157">
        <f>OPEX!Z38</f>
        <v>89700</v>
      </c>
      <c r="Y23" s="157">
        <f>OPEX!AA38</f>
        <v>93700</v>
      </c>
      <c r="Z23" s="157">
        <f>OPEX!AB38</f>
        <v>194620</v>
      </c>
      <c r="AA23" s="157">
        <f>OPEX!AC38</f>
        <v>139620</v>
      </c>
      <c r="AB23" s="157">
        <f>OPEX!AD38</f>
        <v>94620</v>
      </c>
      <c r="AC23" s="157">
        <f>OPEX!AE38</f>
        <v>127069.6</v>
      </c>
      <c r="AD23" s="157">
        <f>OPEX!AF38</f>
        <v>127069.6</v>
      </c>
      <c r="AE23" s="157">
        <f>OPEX!AG38</f>
        <v>127069.6</v>
      </c>
      <c r="AF23" s="157">
        <f>OPEX!AH38</f>
        <v>127069.6</v>
      </c>
      <c r="AG23" s="157">
        <f>OPEX!AI38</f>
        <v>127069.6</v>
      </c>
      <c r="AH23" s="157">
        <f>OPEX!AJ38</f>
        <v>133569.6</v>
      </c>
      <c r="AI23" s="157">
        <f>OPEX!AK38</f>
        <v>134209.6</v>
      </c>
      <c r="AJ23" s="157">
        <f>OPEX!AL38</f>
        <v>134689.6</v>
      </c>
      <c r="AK23" s="157">
        <f>OPEX!AM38</f>
        <v>134689.6</v>
      </c>
      <c r="AL23" s="157">
        <f>OPEX!AN38</f>
        <v>134689.6</v>
      </c>
      <c r="AM23" s="157">
        <f>OPEX!AO38</f>
        <v>134689.6</v>
      </c>
      <c r="AN23" s="157">
        <f>OPEX!AP38</f>
        <v>134689.6</v>
      </c>
      <c r="AO23" s="157">
        <f>OPEX!AQ38</f>
        <v>150885.168</v>
      </c>
      <c r="AP23" s="157">
        <f>OPEX!AR38</f>
        <v>150885.168</v>
      </c>
      <c r="AQ23" s="157">
        <f>OPEX!AS38</f>
        <v>150885.168</v>
      </c>
      <c r="AR23" s="157">
        <f>OPEX!AT38</f>
        <v>150885.168</v>
      </c>
      <c r="AS23" s="157">
        <f>OPEX!AU38</f>
        <v>150885.168</v>
      </c>
      <c r="AT23" s="157">
        <f>OPEX!AV38</f>
        <v>151405.168</v>
      </c>
      <c r="AU23" s="157">
        <f>OPEX!AW38</f>
        <v>152096.368</v>
      </c>
      <c r="AV23" s="157">
        <f>OPEX!AX38</f>
        <v>152614.768</v>
      </c>
      <c r="AW23" s="157">
        <f>OPEX!AY38</f>
        <v>152614.768</v>
      </c>
      <c r="AX23" s="157">
        <f>OPEX!AZ38</f>
        <v>152614.768</v>
      </c>
      <c r="AY23" s="157">
        <f>OPEX!BA38</f>
        <v>152614.768</v>
      </c>
      <c r="AZ23" s="157">
        <f>OPEX!BB38</f>
        <v>152614.768</v>
      </c>
      <c r="BA23" s="105"/>
      <c r="BB23" s="157">
        <f t="shared" ref="BB23:BB26" si="11">sum(E23:P23)</f>
        <v>358933</v>
      </c>
      <c r="BC23" s="157">
        <f t="shared" ref="BC23:BC26" si="12">sum(Q23:AB23)</f>
        <v>1150160</v>
      </c>
      <c r="BD23" s="157">
        <f t="shared" ref="BD23:BD26" si="13">sum(AC23:AN23)</f>
        <v>1576575.2</v>
      </c>
      <c r="BE23" s="157">
        <f t="shared" ref="BE23:BE26" si="14">sum(AO23:AZ23)</f>
        <v>1821001.216</v>
      </c>
      <c r="BF23" s="157">
        <f>OPEX!BH38</f>
        <v>3055465.943</v>
      </c>
      <c r="BG23" s="39"/>
    </row>
    <row r="24" ht="15.75" customHeight="1">
      <c r="A24" s="105"/>
      <c r="B24" s="157" t="s">
        <v>146</v>
      </c>
      <c r="C24" s="156"/>
      <c r="D24" s="156" t="s">
        <v>201</v>
      </c>
      <c r="E24" s="157"/>
      <c r="F24" s="157"/>
      <c r="G24" s="157"/>
      <c r="H24" s="157"/>
      <c r="I24" s="157"/>
      <c r="J24" s="157"/>
      <c r="K24" s="157"/>
      <c r="L24" s="157"/>
      <c r="M24" s="157">
        <f>OPEX!O39</f>
        <v>0</v>
      </c>
      <c r="N24" s="157">
        <f>OPEX!P39</f>
        <v>0</v>
      </c>
      <c r="O24" s="157">
        <f>OPEX!Q39</f>
        <v>0</v>
      </c>
      <c r="P24" s="157">
        <f>OPEX!R39</f>
        <v>20000</v>
      </c>
      <c r="Q24" s="157">
        <f>OPEX!S39</f>
        <v>21000</v>
      </c>
      <c r="R24" s="157">
        <f>OPEX!T39</f>
        <v>31800</v>
      </c>
      <c r="S24" s="157">
        <f>OPEX!U39</f>
        <v>31800</v>
      </c>
      <c r="T24" s="157">
        <f>OPEX!V39</f>
        <v>31800</v>
      </c>
      <c r="U24" s="157">
        <f>OPEX!W39</f>
        <v>41800</v>
      </c>
      <c r="V24" s="157">
        <f>OPEX!X39</f>
        <v>41800</v>
      </c>
      <c r="W24" s="157">
        <f>OPEX!Y39</f>
        <v>31800</v>
      </c>
      <c r="X24" s="157">
        <f>OPEX!Z39</f>
        <v>40800</v>
      </c>
      <c r="Y24" s="157">
        <f>OPEX!AA39</f>
        <v>40800</v>
      </c>
      <c r="Z24" s="157">
        <f>OPEX!AB39</f>
        <v>50300</v>
      </c>
      <c r="AA24" s="157">
        <f>OPEX!AC39</f>
        <v>50300</v>
      </c>
      <c r="AB24" s="157">
        <f>OPEX!AD39</f>
        <v>50300</v>
      </c>
      <c r="AC24" s="157">
        <f>OPEX!AE39</f>
        <v>86164</v>
      </c>
      <c r="AD24" s="157">
        <f>OPEX!AF39</f>
        <v>90964</v>
      </c>
      <c r="AE24" s="157">
        <f>OPEX!AG39</f>
        <v>95764</v>
      </c>
      <c r="AF24" s="157">
        <f>OPEX!AH39</f>
        <v>101164</v>
      </c>
      <c r="AG24" s="157">
        <f>OPEX!AI39</f>
        <v>106564</v>
      </c>
      <c r="AH24" s="157">
        <f>OPEX!AJ39</f>
        <v>112564</v>
      </c>
      <c r="AI24" s="157">
        <f>OPEX!AK39</f>
        <v>119764</v>
      </c>
      <c r="AJ24" s="157">
        <f>OPEX!AL39</f>
        <v>128284</v>
      </c>
      <c r="AK24" s="157">
        <f>OPEX!AM39</f>
        <v>118564</v>
      </c>
      <c r="AL24" s="157">
        <f>OPEX!AN39</f>
        <v>127244</v>
      </c>
      <c r="AM24" s="157">
        <f>OPEX!AO39</f>
        <v>135404</v>
      </c>
      <c r="AN24" s="157">
        <f>OPEX!AP39</f>
        <v>145004</v>
      </c>
      <c r="AO24" s="157">
        <f>OPEX!AQ39</f>
        <v>154781.12</v>
      </c>
      <c r="AP24" s="157">
        <f>OPEX!AR39</f>
        <v>171497.12</v>
      </c>
      <c r="AQ24" s="157">
        <f>OPEX!AS39</f>
        <v>181481.12</v>
      </c>
      <c r="AR24" s="157">
        <f>OPEX!AT39</f>
        <v>192233.12</v>
      </c>
      <c r="AS24" s="157">
        <f>OPEX!AU39</f>
        <v>204905.12</v>
      </c>
      <c r="AT24" s="157">
        <f>OPEX!AV39</f>
        <v>189775.52</v>
      </c>
      <c r="AU24" s="157">
        <f>OPEX!AW39</f>
        <v>202063.52</v>
      </c>
      <c r="AV24" s="157">
        <f>OPEX!AX39</f>
        <v>216357.92</v>
      </c>
      <c r="AW24" s="157">
        <f>OPEX!AY39</f>
        <v>231410.72</v>
      </c>
      <c r="AX24" s="157">
        <f>OPEX!AZ39</f>
        <v>248561.12</v>
      </c>
      <c r="AY24" s="157">
        <f>OPEX!BA39</f>
        <v>266685.92</v>
      </c>
      <c r="AZ24" s="157">
        <f>OPEX!BB39</f>
        <v>245181.92</v>
      </c>
      <c r="BA24" s="105"/>
      <c r="BB24" s="157">
        <f t="shared" si="11"/>
        <v>20000</v>
      </c>
      <c r="BC24" s="157">
        <f t="shared" si="12"/>
        <v>464300</v>
      </c>
      <c r="BD24" s="157">
        <f t="shared" si="13"/>
        <v>1367448</v>
      </c>
      <c r="BE24" s="157">
        <f t="shared" si="14"/>
        <v>2504934.24</v>
      </c>
      <c r="BF24" s="157">
        <f>OPEX!BH39</f>
        <v>4019540.182</v>
      </c>
      <c r="BG24" s="39"/>
    </row>
    <row r="25" ht="15.75" customHeight="1">
      <c r="A25" s="105"/>
      <c r="B25" s="157" t="s">
        <v>142</v>
      </c>
      <c r="C25" s="156"/>
      <c r="D25" s="156" t="s">
        <v>201</v>
      </c>
      <c r="E25" s="157"/>
      <c r="F25" s="157"/>
      <c r="G25" s="157"/>
      <c r="H25" s="157"/>
      <c r="I25" s="157"/>
      <c r="J25" s="157"/>
      <c r="K25" s="157"/>
      <c r="L25" s="157"/>
      <c r="M25" s="157">
        <f>OPEX!O40</f>
        <v>11500</v>
      </c>
      <c r="N25" s="157">
        <f>OPEX!P40</f>
        <v>11500</v>
      </c>
      <c r="O25" s="157">
        <f>OPEX!Q40</f>
        <v>11500</v>
      </c>
      <c r="P25" s="157">
        <f>OPEX!R40</f>
        <v>11500</v>
      </c>
      <c r="Q25" s="157">
        <f>OPEX!S40</f>
        <v>31820</v>
      </c>
      <c r="R25" s="157">
        <f>OPEX!T40</f>
        <v>31820</v>
      </c>
      <c r="S25" s="157">
        <f>OPEX!U40</f>
        <v>31820</v>
      </c>
      <c r="T25" s="157">
        <f>OPEX!V40</f>
        <v>31820</v>
      </c>
      <c r="U25" s="157">
        <f>OPEX!W40</f>
        <v>31820</v>
      </c>
      <c r="V25" s="157">
        <f>OPEX!X40</f>
        <v>31820</v>
      </c>
      <c r="W25" s="157">
        <f>OPEX!Y40</f>
        <v>31820</v>
      </c>
      <c r="X25" s="157">
        <f>OPEX!Z40</f>
        <v>40820</v>
      </c>
      <c r="Y25" s="157">
        <f>OPEX!AA40</f>
        <v>45740</v>
      </c>
      <c r="Z25" s="157">
        <f>OPEX!AB40</f>
        <v>50920</v>
      </c>
      <c r="AA25" s="157">
        <f>OPEX!AC40</f>
        <v>50920</v>
      </c>
      <c r="AB25" s="157">
        <f>OPEX!AD40</f>
        <v>50920</v>
      </c>
      <c r="AC25" s="157">
        <f>OPEX!AE40</f>
        <v>68913.6</v>
      </c>
      <c r="AD25" s="157">
        <f>OPEX!AF40</f>
        <v>68913.6</v>
      </c>
      <c r="AE25" s="157">
        <f>OPEX!AG40</f>
        <v>68913.6</v>
      </c>
      <c r="AF25" s="157">
        <f>OPEX!AH40</f>
        <v>68913.6</v>
      </c>
      <c r="AG25" s="157">
        <f>OPEX!AI40</f>
        <v>68913.6</v>
      </c>
      <c r="AH25" s="157">
        <f>OPEX!AJ40</f>
        <v>68913.6</v>
      </c>
      <c r="AI25" s="157">
        <f>OPEX!AK40</f>
        <v>68913.6</v>
      </c>
      <c r="AJ25" s="157">
        <f>OPEX!AL40</f>
        <v>69633.6</v>
      </c>
      <c r="AK25" s="157">
        <f>OPEX!AM40</f>
        <v>69633.6</v>
      </c>
      <c r="AL25" s="157">
        <f>OPEX!AN40</f>
        <v>70393.6</v>
      </c>
      <c r="AM25" s="157">
        <f>OPEX!AO40</f>
        <v>70393.6</v>
      </c>
      <c r="AN25" s="157">
        <f>OPEX!AP40</f>
        <v>70393.6</v>
      </c>
      <c r="AO25" s="157">
        <f>OPEX!AQ40</f>
        <v>80146.688</v>
      </c>
      <c r="AP25" s="157">
        <f>OPEX!AR40</f>
        <v>87646.688</v>
      </c>
      <c r="AQ25" s="157">
        <f>OPEX!AS40</f>
        <v>87646.688</v>
      </c>
      <c r="AR25" s="157">
        <f>OPEX!AT40</f>
        <v>87646.688</v>
      </c>
      <c r="AS25" s="157">
        <f>OPEX!AU40</f>
        <v>87646.688</v>
      </c>
      <c r="AT25" s="157">
        <f>OPEX!AV40</f>
        <v>87646.688</v>
      </c>
      <c r="AU25" s="157">
        <f>OPEX!AW40</f>
        <v>87646.688</v>
      </c>
      <c r="AV25" s="157">
        <f>OPEX!AX40</f>
        <v>88424.288</v>
      </c>
      <c r="AW25" s="157">
        <f>OPEX!AY40</f>
        <v>88424.288</v>
      </c>
      <c r="AX25" s="157">
        <f>OPEX!AZ40</f>
        <v>89245.088</v>
      </c>
      <c r="AY25" s="157">
        <f>OPEX!BA40</f>
        <v>89245.088</v>
      </c>
      <c r="AZ25" s="157">
        <f>OPEX!BB40</f>
        <v>89245.088</v>
      </c>
      <c r="BA25" s="105"/>
      <c r="BB25" s="157">
        <f t="shared" si="11"/>
        <v>46000</v>
      </c>
      <c r="BC25" s="157">
        <f t="shared" si="12"/>
        <v>462060</v>
      </c>
      <c r="BD25" s="157">
        <f t="shared" si="13"/>
        <v>832843.2</v>
      </c>
      <c r="BE25" s="157">
        <f t="shared" si="14"/>
        <v>1050610.656</v>
      </c>
      <c r="BF25" s="157">
        <f>OPEX!BH40</f>
        <v>1307473.333</v>
      </c>
      <c r="BG25" s="39"/>
    </row>
    <row r="26" ht="12.75" customHeight="1">
      <c r="A26" s="159"/>
      <c r="B26" s="179" t="s">
        <v>212</v>
      </c>
      <c r="C26" s="180"/>
      <c r="D26" s="181" t="s">
        <v>201</v>
      </c>
      <c r="E26" s="179"/>
      <c r="F26" s="179"/>
      <c r="G26" s="179"/>
      <c r="H26" s="179"/>
      <c r="I26" s="179"/>
      <c r="J26" s="179"/>
      <c r="K26" s="179"/>
      <c r="L26" s="179"/>
      <c r="M26" s="179">
        <f t="shared" ref="M26:AZ26" si="15">(M25+M24+M23)</f>
        <v>59000</v>
      </c>
      <c r="N26" s="179">
        <f t="shared" si="15"/>
        <v>59000</v>
      </c>
      <c r="O26" s="179">
        <f t="shared" si="15"/>
        <v>59000</v>
      </c>
      <c r="P26" s="179">
        <f t="shared" si="15"/>
        <v>247933</v>
      </c>
      <c r="Q26" s="179">
        <f t="shared" si="15"/>
        <v>128520</v>
      </c>
      <c r="R26" s="182">
        <f t="shared" si="15"/>
        <v>139320</v>
      </c>
      <c r="S26" s="183">
        <f t="shared" si="15"/>
        <v>139320</v>
      </c>
      <c r="T26" s="184">
        <f t="shared" si="15"/>
        <v>139320</v>
      </c>
      <c r="U26" s="179">
        <f t="shared" si="15"/>
        <v>149320</v>
      </c>
      <c r="V26" s="179">
        <f t="shared" si="15"/>
        <v>149320</v>
      </c>
      <c r="W26" s="179">
        <f t="shared" si="15"/>
        <v>147320</v>
      </c>
      <c r="X26" s="179">
        <f t="shared" si="15"/>
        <v>171320</v>
      </c>
      <c r="Y26" s="179">
        <f t="shared" si="15"/>
        <v>180240</v>
      </c>
      <c r="Z26" s="179">
        <f t="shared" si="15"/>
        <v>295840</v>
      </c>
      <c r="AA26" s="179">
        <f t="shared" si="15"/>
        <v>240840</v>
      </c>
      <c r="AB26" s="179">
        <f t="shared" si="15"/>
        <v>195840</v>
      </c>
      <c r="AC26" s="179">
        <f t="shared" si="15"/>
        <v>282147.2</v>
      </c>
      <c r="AD26" s="179">
        <f t="shared" si="15"/>
        <v>286947.2</v>
      </c>
      <c r="AE26" s="179">
        <f t="shared" si="15"/>
        <v>291747.2</v>
      </c>
      <c r="AF26" s="179">
        <f t="shared" si="15"/>
        <v>297147.2</v>
      </c>
      <c r="AG26" s="179">
        <f t="shared" si="15"/>
        <v>302547.2</v>
      </c>
      <c r="AH26" s="179">
        <f t="shared" si="15"/>
        <v>315047.2</v>
      </c>
      <c r="AI26" s="179">
        <f t="shared" si="15"/>
        <v>322887.2</v>
      </c>
      <c r="AJ26" s="179">
        <f t="shared" si="15"/>
        <v>332607.2</v>
      </c>
      <c r="AK26" s="179">
        <f t="shared" si="15"/>
        <v>322887.2</v>
      </c>
      <c r="AL26" s="179">
        <f t="shared" si="15"/>
        <v>332327.2</v>
      </c>
      <c r="AM26" s="179">
        <f t="shared" si="15"/>
        <v>340487.2</v>
      </c>
      <c r="AN26" s="179">
        <f t="shared" si="15"/>
        <v>350087.2</v>
      </c>
      <c r="AO26" s="179">
        <f t="shared" si="15"/>
        <v>385812.976</v>
      </c>
      <c r="AP26" s="179">
        <f t="shared" si="15"/>
        <v>410028.976</v>
      </c>
      <c r="AQ26" s="179">
        <f t="shared" si="15"/>
        <v>420012.976</v>
      </c>
      <c r="AR26" s="179">
        <f t="shared" si="15"/>
        <v>430764.976</v>
      </c>
      <c r="AS26" s="179">
        <f t="shared" si="15"/>
        <v>443436.976</v>
      </c>
      <c r="AT26" s="179">
        <f t="shared" si="15"/>
        <v>428827.376</v>
      </c>
      <c r="AU26" s="179">
        <f t="shared" si="15"/>
        <v>441806.576</v>
      </c>
      <c r="AV26" s="179">
        <f t="shared" si="15"/>
        <v>457396.976</v>
      </c>
      <c r="AW26" s="179">
        <f t="shared" si="15"/>
        <v>472449.776</v>
      </c>
      <c r="AX26" s="179">
        <f t="shared" si="15"/>
        <v>490420.976</v>
      </c>
      <c r="AY26" s="179">
        <f t="shared" si="15"/>
        <v>508545.776</v>
      </c>
      <c r="AZ26" s="182">
        <f t="shared" si="15"/>
        <v>487041.776</v>
      </c>
      <c r="BA26" s="105"/>
      <c r="BB26" s="182">
        <f t="shared" si="11"/>
        <v>424933</v>
      </c>
      <c r="BC26" s="182">
        <f t="shared" si="12"/>
        <v>2076520</v>
      </c>
      <c r="BD26" s="182">
        <f t="shared" si="13"/>
        <v>3776866.4</v>
      </c>
      <c r="BE26" s="182">
        <f t="shared" si="14"/>
        <v>5376546.112</v>
      </c>
      <c r="BF26" s="182">
        <f>sum(BF23:BF25)</f>
        <v>8382479.459</v>
      </c>
      <c r="BG26" s="174"/>
    </row>
    <row r="27" ht="15.75" customHeight="1">
      <c r="A27" s="10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05"/>
      <c r="BB27" s="156"/>
      <c r="BC27" s="156"/>
      <c r="BD27" s="156"/>
      <c r="BE27" s="156"/>
      <c r="BF27" s="156"/>
      <c r="BG27" s="105"/>
    </row>
    <row r="28" ht="12.75" customHeight="1">
      <c r="A28" s="167"/>
      <c r="B28" s="168" t="s">
        <v>213</v>
      </c>
      <c r="C28" s="169"/>
      <c r="D28" s="168" t="s">
        <v>201</v>
      </c>
      <c r="E28" s="168"/>
      <c r="F28" s="168"/>
      <c r="G28" s="168"/>
      <c r="H28" s="168"/>
      <c r="I28" s="168"/>
      <c r="J28" s="168"/>
      <c r="K28" s="168"/>
      <c r="L28" s="168"/>
      <c r="M28" s="168">
        <f t="shared" ref="M28:AZ28" si="16">M19-M26</f>
        <v>-59000</v>
      </c>
      <c r="N28" s="168">
        <f t="shared" si="16"/>
        <v>-39520</v>
      </c>
      <c r="O28" s="168">
        <f t="shared" si="16"/>
        <v>19000</v>
      </c>
      <c r="P28" s="168">
        <f t="shared" si="16"/>
        <v>-247933</v>
      </c>
      <c r="Q28" s="168">
        <f t="shared" si="16"/>
        <v>-128520</v>
      </c>
      <c r="R28" s="168">
        <f t="shared" si="16"/>
        <v>-139320</v>
      </c>
      <c r="S28" s="168">
        <f t="shared" si="16"/>
        <v>-139320</v>
      </c>
      <c r="T28" s="168">
        <f t="shared" si="16"/>
        <v>-139320</v>
      </c>
      <c r="U28" s="168">
        <f t="shared" si="16"/>
        <v>-149320</v>
      </c>
      <c r="V28" s="168">
        <f t="shared" si="16"/>
        <v>-42538</v>
      </c>
      <c r="W28" s="168">
        <f t="shared" si="16"/>
        <v>-147320</v>
      </c>
      <c r="X28" s="168">
        <f t="shared" si="16"/>
        <v>-171320</v>
      </c>
      <c r="Y28" s="168">
        <f t="shared" si="16"/>
        <v>-180240</v>
      </c>
      <c r="Z28" s="168">
        <f t="shared" si="16"/>
        <v>-295840</v>
      </c>
      <c r="AA28" s="168">
        <f t="shared" si="16"/>
        <v>-240840</v>
      </c>
      <c r="AB28" s="168">
        <f t="shared" si="16"/>
        <v>-195840</v>
      </c>
      <c r="AC28" s="168">
        <f t="shared" si="16"/>
        <v>-290804.1269</v>
      </c>
      <c r="AD28" s="168">
        <f t="shared" si="16"/>
        <v>-295054.9947</v>
      </c>
      <c r="AE28" s="168">
        <f t="shared" si="16"/>
        <v>-299305.8625</v>
      </c>
      <c r="AF28" s="168">
        <f t="shared" si="16"/>
        <v>-304996.5808</v>
      </c>
      <c r="AG28" s="168">
        <f t="shared" si="16"/>
        <v>-310687.2992</v>
      </c>
      <c r="AH28" s="168">
        <f t="shared" si="16"/>
        <v>-321895.2225</v>
      </c>
      <c r="AI28" s="168">
        <f t="shared" si="16"/>
        <v>-327700.2013</v>
      </c>
      <c r="AJ28" s="168">
        <f t="shared" si="16"/>
        <v>-336225.0307</v>
      </c>
      <c r="AK28" s="168">
        <f t="shared" si="16"/>
        <v>-326149.7107</v>
      </c>
      <c r="AL28" s="168">
        <f t="shared" si="16"/>
        <v>-332908.6512</v>
      </c>
      <c r="AM28" s="168">
        <f t="shared" si="16"/>
        <v>-338387.5917</v>
      </c>
      <c r="AN28" s="168">
        <f t="shared" si="16"/>
        <v>-345403.4383</v>
      </c>
      <c r="AO28" s="168">
        <f t="shared" si="16"/>
        <v>45971.87808</v>
      </c>
      <c r="AP28" s="168">
        <f t="shared" si="16"/>
        <v>66996.1844</v>
      </c>
      <c r="AQ28" s="168">
        <f t="shared" si="16"/>
        <v>105914.9112</v>
      </c>
      <c r="AR28" s="168">
        <f t="shared" si="16"/>
        <v>147765.2584</v>
      </c>
      <c r="AS28" s="168">
        <f t="shared" si="16"/>
        <v>196603.2416</v>
      </c>
      <c r="AT28" s="168">
        <f t="shared" si="16"/>
        <v>276919.2757</v>
      </c>
      <c r="AU28" s="168">
        <f t="shared" si="16"/>
        <v>338628.5457</v>
      </c>
      <c r="AV28" s="168">
        <f t="shared" si="16"/>
        <v>405088.6566</v>
      </c>
      <c r="AW28" s="168">
        <f t="shared" si="16"/>
        <v>481031.2035</v>
      </c>
      <c r="AX28" s="168">
        <f t="shared" si="16"/>
        <v>563571.4168</v>
      </c>
      <c r="AY28" s="168">
        <f t="shared" si="16"/>
        <v>654865.666</v>
      </c>
      <c r="AZ28" s="171">
        <f t="shared" si="16"/>
        <v>800549.9971</v>
      </c>
      <c r="BA28" s="170"/>
      <c r="BB28" s="171">
        <f>sum(E28:P28)</f>
        <v>-327453</v>
      </c>
      <c r="BC28" s="171">
        <f>sum(Q28:AB28)</f>
        <v>-1969738</v>
      </c>
      <c r="BD28" s="171">
        <f>sum(AC28:AN28)</f>
        <v>-3829518.711</v>
      </c>
      <c r="BE28" s="171">
        <f>sum(AO28:AZ28)</f>
        <v>4083906.235</v>
      </c>
      <c r="BF28" s="171">
        <f>BF19-BF26</f>
        <v>25124252.24</v>
      </c>
      <c r="BG28" s="172"/>
    </row>
    <row r="29" ht="15.75" customHeight="1">
      <c r="A29" s="175"/>
      <c r="B29" s="176" t="s">
        <v>214</v>
      </c>
      <c r="C29" s="177"/>
      <c r="D29" s="176" t="s">
        <v>44</v>
      </c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  <c r="AO29" s="176"/>
      <c r="AP29" s="176"/>
      <c r="AQ29" s="176"/>
      <c r="AR29" s="176"/>
      <c r="AS29" s="176"/>
      <c r="AT29" s="176"/>
      <c r="AU29" s="176"/>
      <c r="AV29" s="176"/>
      <c r="AW29" s="176"/>
      <c r="AX29" s="176"/>
      <c r="AY29" s="176"/>
      <c r="AZ29" s="176"/>
      <c r="BA29" s="175"/>
      <c r="BB29" s="176"/>
      <c r="BC29" s="176"/>
      <c r="BD29" s="176"/>
      <c r="BE29" s="176">
        <f t="shared" ref="BE29:BF29" si="17">BE28/BE11</f>
        <v>0.07774568077</v>
      </c>
      <c r="BF29" s="176">
        <f t="shared" si="17"/>
        <v>0.2381289251</v>
      </c>
      <c r="BG29" s="178"/>
    </row>
    <row r="30" ht="15.75" customHeight="1">
      <c r="A30" s="185"/>
      <c r="B30" s="186"/>
      <c r="C30" s="187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5"/>
      <c r="BB30" s="186"/>
      <c r="BC30" s="186"/>
      <c r="BD30" s="186"/>
      <c r="BE30" s="186"/>
      <c r="BF30" s="186"/>
      <c r="BG30" s="188"/>
    </row>
    <row r="31" ht="15.75" customHeight="1">
      <c r="A31" s="105"/>
      <c r="B31" s="157" t="s">
        <v>215</v>
      </c>
      <c r="C31" s="156"/>
      <c r="D31" s="156" t="s">
        <v>201</v>
      </c>
      <c r="E31" s="157"/>
      <c r="F31" s="157"/>
      <c r="G31" s="157"/>
      <c r="H31" s="157"/>
      <c r="I31" s="157"/>
      <c r="J31" s="157"/>
      <c r="K31" s="157"/>
      <c r="L31" s="157"/>
      <c r="M31" s="157">
        <v>0.0</v>
      </c>
      <c r="N31" s="157">
        <v>0.0</v>
      </c>
      <c r="O31" s="157">
        <v>0.0</v>
      </c>
      <c r="P31" s="157">
        <v>0.0</v>
      </c>
      <c r="Q31" s="157">
        <v>0.0</v>
      </c>
      <c r="R31" s="157">
        <v>0.0</v>
      </c>
      <c r="S31" s="157">
        <v>0.0</v>
      </c>
      <c r="T31" s="157">
        <v>0.0</v>
      </c>
      <c r="U31" s="157">
        <v>0.0</v>
      </c>
      <c r="V31" s="157">
        <v>0.0</v>
      </c>
      <c r="W31" s="157">
        <v>0.0</v>
      </c>
      <c r="X31" s="157">
        <v>0.0</v>
      </c>
      <c r="Y31" s="157">
        <v>0.0</v>
      </c>
      <c r="Z31" s="157">
        <v>0.0</v>
      </c>
      <c r="AA31" s="157">
        <v>0.0</v>
      </c>
      <c r="AB31" s="157">
        <v>0.0</v>
      </c>
      <c r="AC31" s="157">
        <v>0.0</v>
      </c>
      <c r="AD31" s="157">
        <v>0.0</v>
      </c>
      <c r="AE31" s="157">
        <v>0.0</v>
      </c>
      <c r="AF31" s="157">
        <v>0.0</v>
      </c>
      <c r="AG31" s="157">
        <v>0.0</v>
      </c>
      <c r="AH31" s="157">
        <v>0.0</v>
      </c>
      <c r="AI31" s="157">
        <v>0.0</v>
      </c>
      <c r="AJ31" s="157">
        <v>0.0</v>
      </c>
      <c r="AK31" s="157">
        <v>0.0</v>
      </c>
      <c r="AL31" s="157">
        <v>0.0</v>
      </c>
      <c r="AM31" s="157">
        <v>0.0</v>
      </c>
      <c r="AN31" s="157">
        <v>0.0</v>
      </c>
      <c r="AO31" s="157">
        <v>0.0</v>
      </c>
      <c r="AP31" s="157">
        <v>0.0</v>
      </c>
      <c r="AQ31" s="157">
        <v>0.0</v>
      </c>
      <c r="AR31" s="157">
        <v>0.0</v>
      </c>
      <c r="AS31" s="157">
        <v>0.0</v>
      </c>
      <c r="AT31" s="157">
        <v>0.0</v>
      </c>
      <c r="AU31" s="157">
        <v>0.0</v>
      </c>
      <c r="AV31" s="157">
        <v>0.0</v>
      </c>
      <c r="AW31" s="157">
        <v>0.0</v>
      </c>
      <c r="AX31" s="157">
        <v>0.0</v>
      </c>
      <c r="AY31" s="157">
        <v>0.0</v>
      </c>
      <c r="AZ31" s="157">
        <v>0.0</v>
      </c>
      <c r="BA31" s="105"/>
      <c r="BB31" s="157">
        <f t="shared" ref="BB31:BB33" si="18">sum(E31:P31)</f>
        <v>0</v>
      </c>
      <c r="BC31" s="157">
        <f t="shared" ref="BC31:BC33" si="19">sum(Q31:AB31)</f>
        <v>0</v>
      </c>
      <c r="BD31" s="157">
        <f t="shared" ref="BD31:BD33" si="20">sum(AC31:AN31)</f>
        <v>0</v>
      </c>
      <c r="BE31" s="157">
        <f t="shared" ref="BE31:BE33" si="21">sum(AO31:AZ31)</f>
        <v>0</v>
      </c>
      <c r="BF31" s="157">
        <v>0.0</v>
      </c>
      <c r="BG31" s="39"/>
    </row>
    <row r="32" ht="15.75" customHeight="1">
      <c r="A32" s="105"/>
      <c r="B32" s="157" t="s">
        <v>216</v>
      </c>
      <c r="C32" s="156"/>
      <c r="D32" s="156" t="s">
        <v>201</v>
      </c>
      <c r="E32" s="157"/>
      <c r="F32" s="157"/>
      <c r="G32" s="157"/>
      <c r="H32" s="157"/>
      <c r="I32" s="157"/>
      <c r="J32" s="157"/>
      <c r="K32" s="157"/>
      <c r="L32" s="157"/>
      <c r="M32" s="157">
        <v>0.0</v>
      </c>
      <c r="N32" s="157">
        <v>0.0</v>
      </c>
      <c r="O32" s="157">
        <v>0.0</v>
      </c>
      <c r="P32" s="157">
        <v>0.0</v>
      </c>
      <c r="Q32" s="157">
        <v>0.0</v>
      </c>
      <c r="R32" s="157">
        <v>0.0</v>
      </c>
      <c r="S32" s="157">
        <v>0.0</v>
      </c>
      <c r="T32" s="157">
        <v>0.0</v>
      </c>
      <c r="U32" s="157">
        <v>0.0</v>
      </c>
      <c r="V32" s="157">
        <v>0.0</v>
      </c>
      <c r="W32" s="157">
        <v>0.0</v>
      </c>
      <c r="X32" s="157">
        <v>0.0</v>
      </c>
      <c r="Y32" s="157">
        <v>0.0</v>
      </c>
      <c r="Z32" s="157">
        <v>0.0</v>
      </c>
      <c r="AA32" s="157">
        <v>0.0</v>
      </c>
      <c r="AB32" s="157">
        <v>0.0</v>
      </c>
      <c r="AC32" s="157">
        <v>0.0</v>
      </c>
      <c r="AD32" s="157">
        <v>0.0</v>
      </c>
      <c r="AE32" s="157">
        <v>0.0</v>
      </c>
      <c r="AF32" s="157">
        <v>0.0</v>
      </c>
      <c r="AG32" s="157">
        <v>0.0</v>
      </c>
      <c r="AH32" s="157">
        <v>0.0</v>
      </c>
      <c r="AI32" s="157">
        <v>0.0</v>
      </c>
      <c r="AJ32" s="157">
        <v>0.0</v>
      </c>
      <c r="AK32" s="157">
        <v>0.0</v>
      </c>
      <c r="AL32" s="157">
        <v>0.0</v>
      </c>
      <c r="AM32" s="157">
        <v>0.0</v>
      </c>
      <c r="AN32" s="157">
        <v>0.0</v>
      </c>
      <c r="AO32" s="157">
        <v>0.0</v>
      </c>
      <c r="AP32" s="157">
        <v>0.0</v>
      </c>
      <c r="AQ32" s="157">
        <v>0.0</v>
      </c>
      <c r="AR32" s="157">
        <v>0.0</v>
      </c>
      <c r="AS32" s="157">
        <v>0.0</v>
      </c>
      <c r="AT32" s="157">
        <v>0.0</v>
      </c>
      <c r="AU32" s="157">
        <v>0.0</v>
      </c>
      <c r="AV32" s="157">
        <v>0.0</v>
      </c>
      <c r="AW32" s="157">
        <v>0.0</v>
      </c>
      <c r="AX32" s="157">
        <v>0.0</v>
      </c>
      <c r="AY32" s="157">
        <v>0.0</v>
      </c>
      <c r="AZ32" s="157">
        <v>0.0</v>
      </c>
      <c r="BA32" s="105"/>
      <c r="BB32" s="156">
        <f t="shared" si="18"/>
        <v>0</v>
      </c>
      <c r="BC32" s="156">
        <f t="shared" si="19"/>
        <v>0</v>
      </c>
      <c r="BD32" s="156">
        <f t="shared" si="20"/>
        <v>0</v>
      </c>
      <c r="BE32" s="156">
        <f t="shared" si="21"/>
        <v>0</v>
      </c>
      <c r="BF32" s="156">
        <v>0.0</v>
      </c>
      <c r="BG32" s="105"/>
    </row>
    <row r="33" ht="12.75" customHeight="1">
      <c r="A33" s="167"/>
      <c r="B33" s="168" t="s">
        <v>217</v>
      </c>
      <c r="C33" s="169"/>
      <c r="D33" s="168" t="s">
        <v>201</v>
      </c>
      <c r="E33" s="171"/>
      <c r="F33" s="171"/>
      <c r="G33" s="171"/>
      <c r="H33" s="171"/>
      <c r="I33" s="171"/>
      <c r="J33" s="171"/>
      <c r="K33" s="171"/>
      <c r="L33" s="171"/>
      <c r="M33" s="171">
        <f t="shared" ref="M33:AZ33" si="22">M28-sum(M31:M32)</f>
        <v>-59000</v>
      </c>
      <c r="N33" s="171">
        <f t="shared" si="22"/>
        <v>-39520</v>
      </c>
      <c r="O33" s="171">
        <f t="shared" si="22"/>
        <v>19000</v>
      </c>
      <c r="P33" s="171">
        <f t="shared" si="22"/>
        <v>-247933</v>
      </c>
      <c r="Q33" s="171">
        <f t="shared" si="22"/>
        <v>-128520</v>
      </c>
      <c r="R33" s="171">
        <f t="shared" si="22"/>
        <v>-139320</v>
      </c>
      <c r="S33" s="171">
        <f t="shared" si="22"/>
        <v>-139320</v>
      </c>
      <c r="T33" s="171">
        <f t="shared" si="22"/>
        <v>-139320</v>
      </c>
      <c r="U33" s="171">
        <f t="shared" si="22"/>
        <v>-149320</v>
      </c>
      <c r="V33" s="171">
        <f t="shared" si="22"/>
        <v>-42538</v>
      </c>
      <c r="W33" s="171">
        <f t="shared" si="22"/>
        <v>-147320</v>
      </c>
      <c r="X33" s="171">
        <f t="shared" si="22"/>
        <v>-171320</v>
      </c>
      <c r="Y33" s="171">
        <f t="shared" si="22"/>
        <v>-180240</v>
      </c>
      <c r="Z33" s="171">
        <f t="shared" si="22"/>
        <v>-295840</v>
      </c>
      <c r="AA33" s="171">
        <f t="shared" si="22"/>
        <v>-240840</v>
      </c>
      <c r="AB33" s="171">
        <f t="shared" si="22"/>
        <v>-195840</v>
      </c>
      <c r="AC33" s="171">
        <f t="shared" si="22"/>
        <v>-290804.1269</v>
      </c>
      <c r="AD33" s="171">
        <f t="shared" si="22"/>
        <v>-295054.9947</v>
      </c>
      <c r="AE33" s="171">
        <f t="shared" si="22"/>
        <v>-299305.8625</v>
      </c>
      <c r="AF33" s="171">
        <f t="shared" si="22"/>
        <v>-304996.5808</v>
      </c>
      <c r="AG33" s="171">
        <f t="shared" si="22"/>
        <v>-310687.2992</v>
      </c>
      <c r="AH33" s="171">
        <f t="shared" si="22"/>
        <v>-321895.2225</v>
      </c>
      <c r="AI33" s="171">
        <f t="shared" si="22"/>
        <v>-327700.2013</v>
      </c>
      <c r="AJ33" s="171">
        <f t="shared" si="22"/>
        <v>-336225.0307</v>
      </c>
      <c r="AK33" s="171">
        <f t="shared" si="22"/>
        <v>-326149.7107</v>
      </c>
      <c r="AL33" s="171">
        <f t="shared" si="22"/>
        <v>-332908.6512</v>
      </c>
      <c r="AM33" s="171">
        <f t="shared" si="22"/>
        <v>-338387.5917</v>
      </c>
      <c r="AN33" s="171">
        <f t="shared" si="22"/>
        <v>-345403.4383</v>
      </c>
      <c r="AO33" s="171">
        <f t="shared" si="22"/>
        <v>45971.87808</v>
      </c>
      <c r="AP33" s="171">
        <f t="shared" si="22"/>
        <v>66996.1844</v>
      </c>
      <c r="AQ33" s="171">
        <f t="shared" si="22"/>
        <v>105914.9112</v>
      </c>
      <c r="AR33" s="171">
        <f t="shared" si="22"/>
        <v>147765.2584</v>
      </c>
      <c r="AS33" s="171">
        <f t="shared" si="22"/>
        <v>196603.2416</v>
      </c>
      <c r="AT33" s="171">
        <f t="shared" si="22"/>
        <v>276919.2757</v>
      </c>
      <c r="AU33" s="171">
        <f t="shared" si="22"/>
        <v>338628.5457</v>
      </c>
      <c r="AV33" s="171">
        <f t="shared" si="22"/>
        <v>405088.6566</v>
      </c>
      <c r="AW33" s="171">
        <f t="shared" si="22"/>
        <v>481031.2035</v>
      </c>
      <c r="AX33" s="171">
        <f t="shared" si="22"/>
        <v>563571.4168</v>
      </c>
      <c r="AY33" s="171">
        <f t="shared" si="22"/>
        <v>654865.666</v>
      </c>
      <c r="AZ33" s="171">
        <f t="shared" si="22"/>
        <v>800549.9971</v>
      </c>
      <c r="BA33" s="170"/>
      <c r="BB33" s="171">
        <f t="shared" si="18"/>
        <v>-327453</v>
      </c>
      <c r="BC33" s="171">
        <f t="shared" si="19"/>
        <v>-1969738</v>
      </c>
      <c r="BD33" s="171">
        <f t="shared" si="20"/>
        <v>-3829518.711</v>
      </c>
      <c r="BE33" s="171">
        <f t="shared" si="21"/>
        <v>4083906.235</v>
      </c>
      <c r="BF33" s="171">
        <f>BF28-sum(BF31:BF32)</f>
        <v>25124252.24</v>
      </c>
      <c r="BG33" s="172"/>
    </row>
    <row r="34" ht="15.75" customHeight="1">
      <c r="A34" s="105"/>
      <c r="B34" s="157"/>
      <c r="C34" s="156"/>
      <c r="D34" s="165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05"/>
      <c r="BB34" s="176"/>
      <c r="BC34" s="176"/>
      <c r="BD34" s="176"/>
      <c r="BE34" s="176">
        <f t="shared" ref="BE34:BF34" si="23">BE33/BE11</f>
        <v>0.07774568077</v>
      </c>
      <c r="BF34" s="176">
        <f t="shared" si="23"/>
        <v>0.2381289251</v>
      </c>
      <c r="BG34" s="39"/>
    </row>
    <row r="35" ht="15.75" customHeight="1">
      <c r="A35" s="105"/>
      <c r="B35" s="157"/>
      <c r="C35" s="156"/>
      <c r="D35" s="165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7"/>
      <c r="AX35" s="157"/>
      <c r="AY35" s="157"/>
      <c r="AZ35" s="157"/>
      <c r="BA35" s="105"/>
      <c r="BB35" s="176"/>
      <c r="BC35" s="176"/>
      <c r="BD35" s="176"/>
      <c r="BE35" s="176"/>
      <c r="BF35" s="176"/>
      <c r="BG35" s="39"/>
    </row>
    <row r="36" ht="15.75" customHeight="1">
      <c r="A36" s="105"/>
      <c r="B36" s="157" t="s">
        <v>218</v>
      </c>
      <c r="C36" s="156"/>
      <c r="D36" s="156" t="s">
        <v>201</v>
      </c>
      <c r="E36" s="157"/>
      <c r="F36" s="157"/>
      <c r="G36" s="157"/>
      <c r="H36" s="157"/>
      <c r="I36" s="157"/>
      <c r="J36" s="157"/>
      <c r="K36" s="157"/>
      <c r="L36" s="157"/>
      <c r="M36" s="157">
        <v>0.0</v>
      </c>
      <c r="N36" s="157">
        <v>0.0</v>
      </c>
      <c r="O36" s="157">
        <v>0.0</v>
      </c>
      <c r="P36" s="157">
        <v>0.0</v>
      </c>
      <c r="Q36" s="157">
        <v>0.0</v>
      </c>
      <c r="R36" s="157">
        <v>0.0</v>
      </c>
      <c r="S36" s="157">
        <v>0.0</v>
      </c>
      <c r="T36" s="157">
        <v>0.0</v>
      </c>
      <c r="U36" s="157">
        <v>0.0</v>
      </c>
      <c r="V36" s="157">
        <v>0.0</v>
      </c>
      <c r="W36" s="157">
        <v>0.0</v>
      </c>
      <c r="X36" s="157">
        <v>0.0</v>
      </c>
      <c r="Y36" s="157">
        <v>0.0</v>
      </c>
      <c r="Z36" s="157">
        <v>0.0</v>
      </c>
      <c r="AA36" s="157">
        <v>0.0</v>
      </c>
      <c r="AB36" s="157">
        <v>0.0</v>
      </c>
      <c r="AC36" s="157">
        <v>0.0</v>
      </c>
      <c r="AD36" s="157">
        <v>0.0</v>
      </c>
      <c r="AE36" s="157">
        <v>0.0</v>
      </c>
      <c r="AF36" s="157">
        <v>0.0</v>
      </c>
      <c r="AG36" s="157">
        <v>0.0</v>
      </c>
      <c r="AH36" s="157">
        <v>0.0</v>
      </c>
      <c r="AI36" s="157">
        <v>0.0</v>
      </c>
      <c r="AJ36" s="157">
        <v>0.0</v>
      </c>
      <c r="AK36" s="157">
        <v>0.0</v>
      </c>
      <c r="AL36" s="157">
        <v>0.0</v>
      </c>
      <c r="AM36" s="157">
        <v>0.0</v>
      </c>
      <c r="AN36" s="157">
        <v>0.0</v>
      </c>
      <c r="AO36" s="157">
        <v>0.0</v>
      </c>
      <c r="AP36" s="157">
        <v>0.0</v>
      </c>
      <c r="AQ36" s="157">
        <v>0.0</v>
      </c>
      <c r="AR36" s="157">
        <v>0.0</v>
      </c>
      <c r="AS36" s="157">
        <v>0.0</v>
      </c>
      <c r="AT36" s="157">
        <v>0.0</v>
      </c>
      <c r="AU36" s="157">
        <v>0.0</v>
      </c>
      <c r="AV36" s="157">
        <v>0.0</v>
      </c>
      <c r="AW36" s="157">
        <v>0.0</v>
      </c>
      <c r="AX36" s="157">
        <v>0.0</v>
      </c>
      <c r="AY36" s="157">
        <v>0.0</v>
      </c>
      <c r="AZ36" s="157">
        <v>0.0</v>
      </c>
      <c r="BA36" s="105"/>
      <c r="BB36" s="157">
        <f t="shared" ref="BB36:BB37" si="25">sum(E36:P36)</f>
        <v>0</v>
      </c>
      <c r="BC36" s="157">
        <f t="shared" ref="BC36:BC37" si="26">sum(Q36:AB36)</f>
        <v>0</v>
      </c>
      <c r="BD36" s="157">
        <f t="shared" ref="BD36:BD37" si="27">sum(AC36:AN36)</f>
        <v>0</v>
      </c>
      <c r="BE36" s="157">
        <f t="shared" ref="BE36:BE37" si="28">sum(AO36:AZ36)</f>
        <v>0</v>
      </c>
      <c r="BF36" s="157">
        <f>(BF33-AZ40)*Assumptions!$C$10</f>
        <v>6322081.52</v>
      </c>
      <c r="BG36" s="39"/>
    </row>
    <row r="37" ht="12.75" customHeight="1">
      <c r="A37" s="167"/>
      <c r="B37" s="168" t="s">
        <v>219</v>
      </c>
      <c r="C37" s="169"/>
      <c r="D37" s="168" t="s">
        <v>201</v>
      </c>
      <c r="E37" s="171"/>
      <c r="F37" s="171"/>
      <c r="G37" s="171"/>
      <c r="H37" s="171"/>
      <c r="I37" s="171"/>
      <c r="J37" s="171"/>
      <c r="K37" s="171"/>
      <c r="L37" s="171"/>
      <c r="M37" s="171">
        <f t="shared" ref="M37:AZ37" si="24">M33-M36</f>
        <v>-59000</v>
      </c>
      <c r="N37" s="171">
        <f t="shared" si="24"/>
        <v>-39520</v>
      </c>
      <c r="O37" s="171">
        <f t="shared" si="24"/>
        <v>19000</v>
      </c>
      <c r="P37" s="171">
        <f t="shared" si="24"/>
        <v>-247933</v>
      </c>
      <c r="Q37" s="171">
        <f t="shared" si="24"/>
        <v>-128520</v>
      </c>
      <c r="R37" s="171">
        <f t="shared" si="24"/>
        <v>-139320</v>
      </c>
      <c r="S37" s="171">
        <f t="shared" si="24"/>
        <v>-139320</v>
      </c>
      <c r="T37" s="171">
        <f t="shared" si="24"/>
        <v>-139320</v>
      </c>
      <c r="U37" s="171">
        <f t="shared" si="24"/>
        <v>-149320</v>
      </c>
      <c r="V37" s="171">
        <f t="shared" si="24"/>
        <v>-42538</v>
      </c>
      <c r="W37" s="171">
        <f t="shared" si="24"/>
        <v>-147320</v>
      </c>
      <c r="X37" s="171">
        <f t="shared" si="24"/>
        <v>-171320</v>
      </c>
      <c r="Y37" s="171">
        <f t="shared" si="24"/>
        <v>-180240</v>
      </c>
      <c r="Z37" s="171">
        <f t="shared" si="24"/>
        <v>-295840</v>
      </c>
      <c r="AA37" s="171">
        <f t="shared" si="24"/>
        <v>-240840</v>
      </c>
      <c r="AB37" s="171">
        <f t="shared" si="24"/>
        <v>-195840</v>
      </c>
      <c r="AC37" s="171">
        <f t="shared" si="24"/>
        <v>-290804.1269</v>
      </c>
      <c r="AD37" s="171">
        <f t="shared" si="24"/>
        <v>-295054.9947</v>
      </c>
      <c r="AE37" s="171">
        <f t="shared" si="24"/>
        <v>-299305.8625</v>
      </c>
      <c r="AF37" s="171">
        <f t="shared" si="24"/>
        <v>-304996.5808</v>
      </c>
      <c r="AG37" s="171">
        <f t="shared" si="24"/>
        <v>-310687.2992</v>
      </c>
      <c r="AH37" s="171">
        <f t="shared" si="24"/>
        <v>-321895.2225</v>
      </c>
      <c r="AI37" s="171">
        <f t="shared" si="24"/>
        <v>-327700.2013</v>
      </c>
      <c r="AJ37" s="171">
        <f t="shared" si="24"/>
        <v>-336225.0307</v>
      </c>
      <c r="AK37" s="171">
        <f t="shared" si="24"/>
        <v>-326149.7107</v>
      </c>
      <c r="AL37" s="171">
        <f t="shared" si="24"/>
        <v>-332908.6512</v>
      </c>
      <c r="AM37" s="171">
        <f t="shared" si="24"/>
        <v>-338387.5917</v>
      </c>
      <c r="AN37" s="171">
        <f t="shared" si="24"/>
        <v>-345403.4383</v>
      </c>
      <c r="AO37" s="171">
        <f t="shared" si="24"/>
        <v>45971.87808</v>
      </c>
      <c r="AP37" s="171">
        <f t="shared" si="24"/>
        <v>66996.1844</v>
      </c>
      <c r="AQ37" s="171">
        <f t="shared" si="24"/>
        <v>105914.9112</v>
      </c>
      <c r="AR37" s="171">
        <f t="shared" si="24"/>
        <v>147765.2584</v>
      </c>
      <c r="AS37" s="171">
        <f t="shared" si="24"/>
        <v>196603.2416</v>
      </c>
      <c r="AT37" s="171">
        <f t="shared" si="24"/>
        <v>276919.2757</v>
      </c>
      <c r="AU37" s="171">
        <f t="shared" si="24"/>
        <v>338628.5457</v>
      </c>
      <c r="AV37" s="171">
        <f t="shared" si="24"/>
        <v>405088.6566</v>
      </c>
      <c r="AW37" s="171">
        <f t="shared" si="24"/>
        <v>481031.2035</v>
      </c>
      <c r="AX37" s="171">
        <f t="shared" si="24"/>
        <v>563571.4168</v>
      </c>
      <c r="AY37" s="171">
        <f t="shared" si="24"/>
        <v>654865.666</v>
      </c>
      <c r="AZ37" s="171">
        <f t="shared" si="24"/>
        <v>800549.9971</v>
      </c>
      <c r="BA37" s="170"/>
      <c r="BB37" s="171">
        <f t="shared" si="25"/>
        <v>-327453</v>
      </c>
      <c r="BC37" s="171">
        <f t="shared" si="26"/>
        <v>-1969738</v>
      </c>
      <c r="BD37" s="171">
        <f t="shared" si="27"/>
        <v>-3829518.711</v>
      </c>
      <c r="BE37" s="171">
        <f t="shared" si="28"/>
        <v>4083906.235</v>
      </c>
      <c r="BF37" s="171">
        <f>BF33-BF36</f>
        <v>18802170.72</v>
      </c>
      <c r="BG37" s="172"/>
    </row>
    <row r="38" ht="15.75" customHeight="1">
      <c r="A38" s="105"/>
      <c r="B38" s="189" t="s">
        <v>220</v>
      </c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  <c r="AM38" s="156"/>
      <c r="AN38" s="156"/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6"/>
      <c r="AZ38" s="156"/>
      <c r="BA38" s="105"/>
      <c r="BB38" s="156"/>
      <c r="BC38" s="156"/>
      <c r="BD38" s="177"/>
      <c r="BE38" s="176">
        <f t="shared" ref="BE38:BF38" si="29">BE37/BE11</f>
        <v>0.07774568077</v>
      </c>
      <c r="BF38" s="176">
        <f t="shared" si="29"/>
        <v>0.1782079188</v>
      </c>
      <c r="BG38" s="105"/>
    </row>
    <row r="39" ht="15.75" customHeight="1">
      <c r="A39" s="10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  <c r="AM39" s="156"/>
      <c r="AN39" s="156"/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6"/>
      <c r="AZ39" s="156"/>
      <c r="BA39" s="105"/>
      <c r="BB39" s="156"/>
      <c r="BC39" s="156"/>
      <c r="BD39" s="156"/>
      <c r="BE39" s="156"/>
      <c r="BF39" s="156"/>
      <c r="BG39" s="105"/>
    </row>
    <row r="40" ht="15.75" customHeight="1">
      <c r="A40" s="190"/>
      <c r="B40" s="190" t="s">
        <v>221</v>
      </c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1">
        <v>108239.0</v>
      </c>
      <c r="N40" s="191">
        <f>M40+(-N37*Assumptions!$C$10)</f>
        <v>118435.16</v>
      </c>
      <c r="O40" s="191">
        <f>N40+(-O37*Assumptions!$C$10)</f>
        <v>113533.16</v>
      </c>
      <c r="P40" s="191">
        <f>O40+(-P37*Assumptions!$C$10)</f>
        <v>177499.874</v>
      </c>
      <c r="Q40" s="191">
        <f>P40+(-Q37*Assumptions!$C$10)</f>
        <v>210658.034</v>
      </c>
      <c r="R40" s="191">
        <f>Q40+(-R37*Assumptions!$C$10)</f>
        <v>246602.594</v>
      </c>
      <c r="S40" s="191">
        <f>R40+(-S37*Assumptions!$C$10)</f>
        <v>282547.154</v>
      </c>
      <c r="T40" s="191">
        <f>S40+(-T37*Assumptions!$C$10)</f>
        <v>318491.714</v>
      </c>
      <c r="U40" s="191">
        <f>T40+(-U37*Assumptions!$C$10)</f>
        <v>357016.274</v>
      </c>
      <c r="V40" s="191">
        <f>U40+(-V37*Assumptions!$C$10)</f>
        <v>367991.078</v>
      </c>
      <c r="W40" s="191">
        <f>V40+(-W37*Assumptions!$C$10)</f>
        <v>405999.638</v>
      </c>
      <c r="X40" s="191">
        <f>W40+(-X37*Assumptions!$C$10)</f>
        <v>450200.198</v>
      </c>
      <c r="Y40" s="191">
        <f>X40+(-Y37*Assumptions!$C$10)</f>
        <v>496702.118</v>
      </c>
      <c r="Z40" s="191">
        <f>Y40+(-Z37*Assumptions!$C$10)</f>
        <v>573028.838</v>
      </c>
      <c r="AA40" s="191">
        <f>Z40+(-AA37*Assumptions!$C$10)</f>
        <v>635165.558</v>
      </c>
      <c r="AB40" s="191">
        <f>AA40+(-AB37*Assumptions!$C$10)</f>
        <v>685692.278</v>
      </c>
      <c r="AC40" s="191">
        <f>AB40+(-AC37*Assumptions!$C$10)</f>
        <v>760719.7428</v>
      </c>
      <c r="AD40" s="191">
        <f>AC40+(-AD37*Assumptions!$C$10)</f>
        <v>836843.9314</v>
      </c>
      <c r="AE40" s="191">
        <f>AD40+(-AE37*Assumptions!$C$10)</f>
        <v>914064.8439</v>
      </c>
      <c r="AF40" s="191">
        <f>AE40+(-AF37*Assumptions!$C$10)</f>
        <v>992753.9618</v>
      </c>
      <c r="AG40" s="191">
        <f>AF40+(-AG37*Assumptions!$C$10)</f>
        <v>1072911.285</v>
      </c>
      <c r="AH40" s="191">
        <f>AG40+(-AH37*Assumptions!$C$10)</f>
        <v>1155960.252</v>
      </c>
      <c r="AI40" s="191">
        <f>AH40+(-AI37*Assumptions!$C$10)</f>
        <v>1240506.904</v>
      </c>
      <c r="AJ40" s="191">
        <f>AI40+(-AJ37*Assumptions!$C$10)</f>
        <v>1327252.962</v>
      </c>
      <c r="AK40" s="191">
        <f>AJ40+(-AK37*Assumptions!$C$10)</f>
        <v>1411399.588</v>
      </c>
      <c r="AL40" s="191">
        <f>AK40+(-AL37*Assumptions!$C$10)</f>
        <v>1497290.02</v>
      </c>
      <c r="AM40" s="191">
        <f>AL40+(-AM37*Assumptions!$C$10)</f>
        <v>1584594.018</v>
      </c>
      <c r="AN40" s="191">
        <f>AM40+(-AN37*Assumptions!$C$10)</f>
        <v>1673708.105</v>
      </c>
      <c r="AO40" s="191">
        <f>AN40+(-AO37*Assumptions!$C$10)</f>
        <v>1661847.361</v>
      </c>
      <c r="AP40" s="191">
        <f>AO40+(-AP37*Assumptions!$C$10)</f>
        <v>1644562.345</v>
      </c>
      <c r="AQ40" s="191">
        <f>AP40+(-AQ37*Assumptions!$C$10)</f>
        <v>1617236.298</v>
      </c>
      <c r="AR40" s="191">
        <f>AQ40+(-AR37*Assumptions!$C$10)</f>
        <v>1579112.861</v>
      </c>
      <c r="AS40" s="191">
        <f>AR40+(-AS37*Assumptions!$C$10)</f>
        <v>1528389.225</v>
      </c>
      <c r="AT40" s="191">
        <f>AS40+(-AT37*Assumptions!$C$10)</f>
        <v>1456944.052</v>
      </c>
      <c r="AU40" s="191">
        <f>AT40+(-AU37*Assumptions!$C$10)</f>
        <v>1369577.887</v>
      </c>
      <c r="AV40" s="191">
        <f>AU40+(-AV37*Assumptions!$C$10)</f>
        <v>1265065.014</v>
      </c>
      <c r="AW40" s="191">
        <f>AV40+(-AW37*Assumptions!$C$10)</f>
        <v>1140958.963</v>
      </c>
      <c r="AX40" s="191">
        <f>AW40+(-AX37*Assumptions!$C$10)</f>
        <v>995557.5378</v>
      </c>
      <c r="AY40" s="191">
        <f>AX40+(-AY37*Assumptions!$C$10)</f>
        <v>826602.196</v>
      </c>
      <c r="AZ40" s="191">
        <f>AY40+(-AZ37*Assumptions!$C$10)</f>
        <v>620060.2967</v>
      </c>
      <c r="BA40" s="190"/>
      <c r="BB40" s="191"/>
      <c r="BC40" s="191"/>
      <c r="BD40" s="191"/>
      <c r="BE40" s="191"/>
      <c r="BF40" s="191"/>
      <c r="BG40" s="190"/>
    </row>
    <row r="41" ht="15.75" customHeight="1">
      <c r="A41" s="10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  <c r="AM41" s="156"/>
      <c r="AN41" s="156"/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156"/>
      <c r="AZ41" s="156"/>
      <c r="BA41" s="105"/>
      <c r="BB41" s="156"/>
      <c r="BC41" s="156"/>
      <c r="BD41" s="156"/>
      <c r="BE41" s="156"/>
      <c r="BF41" s="156"/>
      <c r="BG41" s="105"/>
    </row>
    <row r="42" ht="15.75" customHeight="1">
      <c r="A42" s="157"/>
      <c r="B42" s="173" t="s">
        <v>222</v>
      </c>
      <c r="C42" s="157"/>
      <c r="D42" s="157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  <c r="AG42" s="173"/>
      <c r="AH42" s="173"/>
      <c r="AI42" s="173"/>
      <c r="AJ42" s="173"/>
      <c r="AK42" s="173"/>
      <c r="AL42" s="173"/>
      <c r="AM42" s="173"/>
      <c r="AN42" s="173"/>
      <c r="AO42" s="173"/>
      <c r="AP42" s="173"/>
      <c r="AQ42" s="173"/>
      <c r="AR42" s="173"/>
      <c r="AS42" s="173"/>
      <c r="AT42" s="173"/>
      <c r="AU42" s="173"/>
      <c r="AV42" s="173"/>
      <c r="AW42" s="173"/>
      <c r="AX42" s="173"/>
      <c r="AY42" s="173"/>
      <c r="AZ42" s="173"/>
      <c r="BA42" s="157"/>
      <c r="BB42" s="173"/>
      <c r="BC42" s="173"/>
      <c r="BD42" s="173"/>
      <c r="BE42" s="173"/>
      <c r="BF42" s="173"/>
      <c r="BG42" s="173"/>
    </row>
    <row r="43" ht="15.75" customHeight="1">
      <c r="A43" s="105"/>
      <c r="B43" s="157" t="s">
        <v>223</v>
      </c>
      <c r="C43" s="156"/>
      <c r="D43" s="156" t="s">
        <v>201</v>
      </c>
      <c r="E43" s="192"/>
      <c r="F43" s="192"/>
      <c r="G43" s="192"/>
      <c r="H43" s="192"/>
      <c r="I43" s="192"/>
      <c r="J43" s="192"/>
      <c r="K43" s="192"/>
      <c r="L43" s="192"/>
      <c r="M43" s="157">
        <f t="shared" ref="M43:AZ43" si="30">M37</f>
        <v>-59000</v>
      </c>
      <c r="N43" s="157">
        <f t="shared" si="30"/>
        <v>-39520</v>
      </c>
      <c r="O43" s="157">
        <f t="shared" si="30"/>
        <v>19000</v>
      </c>
      <c r="P43" s="157">
        <f t="shared" si="30"/>
        <v>-247933</v>
      </c>
      <c r="Q43" s="157">
        <f t="shared" si="30"/>
        <v>-128520</v>
      </c>
      <c r="R43" s="157">
        <f t="shared" si="30"/>
        <v>-139320</v>
      </c>
      <c r="S43" s="157">
        <f t="shared" si="30"/>
        <v>-139320</v>
      </c>
      <c r="T43" s="157">
        <f t="shared" si="30"/>
        <v>-139320</v>
      </c>
      <c r="U43" s="157">
        <f t="shared" si="30"/>
        <v>-149320</v>
      </c>
      <c r="V43" s="157">
        <f t="shared" si="30"/>
        <v>-42538</v>
      </c>
      <c r="W43" s="157">
        <f t="shared" si="30"/>
        <v>-147320</v>
      </c>
      <c r="X43" s="157">
        <f t="shared" si="30"/>
        <v>-171320</v>
      </c>
      <c r="Y43" s="157">
        <f t="shared" si="30"/>
        <v>-180240</v>
      </c>
      <c r="Z43" s="157">
        <f t="shared" si="30"/>
        <v>-295840</v>
      </c>
      <c r="AA43" s="157">
        <f t="shared" si="30"/>
        <v>-240840</v>
      </c>
      <c r="AB43" s="157">
        <f t="shared" si="30"/>
        <v>-195840</v>
      </c>
      <c r="AC43" s="157">
        <f t="shared" si="30"/>
        <v>-290804.1269</v>
      </c>
      <c r="AD43" s="157">
        <f t="shared" si="30"/>
        <v>-295054.9947</v>
      </c>
      <c r="AE43" s="157">
        <f t="shared" si="30"/>
        <v>-299305.8625</v>
      </c>
      <c r="AF43" s="157">
        <f t="shared" si="30"/>
        <v>-304996.5808</v>
      </c>
      <c r="AG43" s="157">
        <f t="shared" si="30"/>
        <v>-310687.2992</v>
      </c>
      <c r="AH43" s="157">
        <f t="shared" si="30"/>
        <v>-321895.2225</v>
      </c>
      <c r="AI43" s="157">
        <f t="shared" si="30"/>
        <v>-327700.2013</v>
      </c>
      <c r="AJ43" s="157">
        <f t="shared" si="30"/>
        <v>-336225.0307</v>
      </c>
      <c r="AK43" s="157">
        <f t="shared" si="30"/>
        <v>-326149.7107</v>
      </c>
      <c r="AL43" s="157">
        <f t="shared" si="30"/>
        <v>-332908.6512</v>
      </c>
      <c r="AM43" s="157">
        <f t="shared" si="30"/>
        <v>-338387.5917</v>
      </c>
      <c r="AN43" s="157">
        <f t="shared" si="30"/>
        <v>-345403.4383</v>
      </c>
      <c r="AO43" s="157">
        <f t="shared" si="30"/>
        <v>45971.87808</v>
      </c>
      <c r="AP43" s="157">
        <f t="shared" si="30"/>
        <v>66996.1844</v>
      </c>
      <c r="AQ43" s="157">
        <f t="shared" si="30"/>
        <v>105914.9112</v>
      </c>
      <c r="AR43" s="157">
        <f t="shared" si="30"/>
        <v>147765.2584</v>
      </c>
      <c r="AS43" s="157">
        <f t="shared" si="30"/>
        <v>196603.2416</v>
      </c>
      <c r="AT43" s="157">
        <f t="shared" si="30"/>
        <v>276919.2757</v>
      </c>
      <c r="AU43" s="157">
        <f t="shared" si="30"/>
        <v>338628.5457</v>
      </c>
      <c r="AV43" s="157">
        <f t="shared" si="30"/>
        <v>405088.6566</v>
      </c>
      <c r="AW43" s="157">
        <f t="shared" si="30"/>
        <v>481031.2035</v>
      </c>
      <c r="AX43" s="157">
        <f t="shared" si="30"/>
        <v>563571.4168</v>
      </c>
      <c r="AY43" s="157">
        <f t="shared" si="30"/>
        <v>654865.666</v>
      </c>
      <c r="AZ43" s="157">
        <f t="shared" si="30"/>
        <v>800549.9971</v>
      </c>
      <c r="BA43" s="105"/>
      <c r="BB43" s="157">
        <f t="shared" ref="BB43:BB53" si="31">sum(E43:P43)</f>
        <v>-327453</v>
      </c>
      <c r="BC43" s="157">
        <f t="shared" ref="BC43:BC53" si="32">sum(Q43:AB43)</f>
        <v>-1969738</v>
      </c>
      <c r="BD43" s="157">
        <f t="shared" ref="BD43:BD53" si="33">sum(AC43:AN43)</f>
        <v>-3829518.711</v>
      </c>
      <c r="BE43" s="157">
        <f t="shared" ref="BE43:BE53" si="34">sum(AO43:AZ43)</f>
        <v>4083906.235</v>
      </c>
      <c r="BF43" s="157">
        <f>BF37</f>
        <v>18802170.72</v>
      </c>
      <c r="BG43" s="39"/>
    </row>
    <row r="44" ht="15.75" customHeight="1">
      <c r="A44" s="105"/>
      <c r="B44" s="157" t="s">
        <v>224</v>
      </c>
      <c r="C44" s="156"/>
      <c r="D44" s="156" t="s">
        <v>201</v>
      </c>
      <c r="E44" s="192"/>
      <c r="F44" s="192"/>
      <c r="G44" s="192"/>
      <c r="H44" s="192"/>
      <c r="I44" s="192"/>
      <c r="J44" s="192"/>
      <c r="K44" s="192"/>
      <c r="L44" s="192"/>
      <c r="M44" s="157">
        <v>0.0</v>
      </c>
      <c r="N44" s="157">
        <v>0.0</v>
      </c>
      <c r="O44" s="157">
        <v>0.0</v>
      </c>
      <c r="P44" s="157">
        <v>0.0</v>
      </c>
      <c r="Q44" s="157">
        <v>0.0</v>
      </c>
      <c r="R44" s="157">
        <v>0.0</v>
      </c>
      <c r="S44" s="157">
        <v>0.0</v>
      </c>
      <c r="T44" s="157">
        <v>0.0</v>
      </c>
      <c r="U44" s="157">
        <v>0.0</v>
      </c>
      <c r="V44" s="157">
        <v>0.0</v>
      </c>
      <c r="W44" s="157">
        <v>0.0</v>
      </c>
      <c r="X44" s="157">
        <v>0.0</v>
      </c>
      <c r="Y44" s="157">
        <v>0.0</v>
      </c>
      <c r="Z44" s="157">
        <v>0.0</v>
      </c>
      <c r="AA44" s="157">
        <v>0.0</v>
      </c>
      <c r="AB44" s="157">
        <v>0.0</v>
      </c>
      <c r="AC44" s="157">
        <v>0.0</v>
      </c>
      <c r="AD44" s="157">
        <v>0.0</v>
      </c>
      <c r="AE44" s="157">
        <v>0.0</v>
      </c>
      <c r="AF44" s="157">
        <v>0.0</v>
      </c>
      <c r="AG44" s="157">
        <v>0.0</v>
      </c>
      <c r="AH44" s="157">
        <v>0.0</v>
      </c>
      <c r="AI44" s="157">
        <v>0.0</v>
      </c>
      <c r="AJ44" s="157">
        <v>0.0</v>
      </c>
      <c r="AK44" s="157">
        <v>0.0</v>
      </c>
      <c r="AL44" s="157">
        <v>0.0</v>
      </c>
      <c r="AM44" s="157">
        <v>0.0</v>
      </c>
      <c r="AN44" s="157">
        <v>0.0</v>
      </c>
      <c r="AO44" s="157">
        <v>0.0</v>
      </c>
      <c r="AP44" s="157">
        <v>0.0</v>
      </c>
      <c r="AQ44" s="157">
        <v>0.0</v>
      </c>
      <c r="AR44" s="157">
        <v>0.0</v>
      </c>
      <c r="AS44" s="157">
        <v>0.0</v>
      </c>
      <c r="AT44" s="157">
        <v>0.0</v>
      </c>
      <c r="AU44" s="157">
        <v>0.0</v>
      </c>
      <c r="AV44" s="157">
        <v>0.0</v>
      </c>
      <c r="AW44" s="157">
        <v>0.0</v>
      </c>
      <c r="AX44" s="157">
        <v>0.0</v>
      </c>
      <c r="AY44" s="157">
        <v>0.0</v>
      </c>
      <c r="AZ44" s="157">
        <v>0.0</v>
      </c>
      <c r="BA44" s="105"/>
      <c r="BB44" s="157">
        <f t="shared" si="31"/>
        <v>0</v>
      </c>
      <c r="BC44" s="157">
        <f t="shared" si="32"/>
        <v>0</v>
      </c>
      <c r="BD44" s="157">
        <f t="shared" si="33"/>
        <v>0</v>
      </c>
      <c r="BE44" s="157">
        <f t="shared" si="34"/>
        <v>0</v>
      </c>
      <c r="BF44" s="157">
        <f>BF31</f>
        <v>0</v>
      </c>
      <c r="BG44" s="39"/>
    </row>
    <row r="45" ht="15.75" customHeight="1">
      <c r="A45" s="105"/>
      <c r="B45" s="157" t="s">
        <v>225</v>
      </c>
      <c r="C45" s="157"/>
      <c r="D45" s="156" t="s">
        <v>201</v>
      </c>
      <c r="E45" s="157"/>
      <c r="F45" s="157"/>
      <c r="G45" s="157"/>
      <c r="H45" s="157"/>
      <c r="I45" s="157"/>
      <c r="J45" s="157"/>
      <c r="K45" s="157"/>
      <c r="L45" s="157"/>
      <c r="M45" s="157">
        <v>0.0</v>
      </c>
      <c r="N45" s="157">
        <f t="shared" ref="N45:AZ45" si="35">-(N63-M63)</f>
        <v>-12986.66667</v>
      </c>
      <c r="O45" s="157">
        <f t="shared" si="35"/>
        <v>-39013.33333</v>
      </c>
      <c r="P45" s="157">
        <f t="shared" si="35"/>
        <v>52000</v>
      </c>
      <c r="Q45" s="157">
        <f t="shared" si="35"/>
        <v>0</v>
      </c>
      <c r="R45" s="157">
        <f t="shared" si="35"/>
        <v>0</v>
      </c>
      <c r="S45" s="157">
        <f t="shared" si="35"/>
        <v>0</v>
      </c>
      <c r="T45" s="157">
        <f t="shared" si="35"/>
        <v>0</v>
      </c>
      <c r="U45" s="157">
        <f t="shared" si="35"/>
        <v>0</v>
      </c>
      <c r="V45" s="157">
        <f t="shared" si="35"/>
        <v>-71188</v>
      </c>
      <c r="W45" s="157">
        <f t="shared" si="35"/>
        <v>71188</v>
      </c>
      <c r="X45" s="157">
        <f t="shared" si="35"/>
        <v>0</v>
      </c>
      <c r="Y45" s="157">
        <f t="shared" si="35"/>
        <v>0</v>
      </c>
      <c r="Z45" s="157">
        <f t="shared" si="35"/>
        <v>0</v>
      </c>
      <c r="AA45" s="157">
        <f t="shared" si="35"/>
        <v>0</v>
      </c>
      <c r="AB45" s="157">
        <f t="shared" si="35"/>
        <v>0</v>
      </c>
      <c r="AC45" s="157">
        <f t="shared" si="35"/>
        <v>-509805.3554</v>
      </c>
      <c r="AD45" s="157">
        <f t="shared" si="35"/>
        <v>-56878.08815</v>
      </c>
      <c r="AE45" s="157">
        <f t="shared" si="35"/>
        <v>-56878.08815</v>
      </c>
      <c r="AF45" s="157">
        <f t="shared" si="35"/>
        <v>-65783.86777</v>
      </c>
      <c r="AG45" s="157">
        <f t="shared" si="35"/>
        <v>-65783.86777</v>
      </c>
      <c r="AH45" s="157">
        <f t="shared" si="35"/>
        <v>-69900.26446</v>
      </c>
      <c r="AI45" s="157">
        <f t="shared" si="35"/>
        <v>-82922.44077</v>
      </c>
      <c r="AJ45" s="157">
        <f t="shared" si="35"/>
        <v>-91828.22039</v>
      </c>
      <c r="AK45" s="157">
        <f t="shared" si="35"/>
        <v>-100734</v>
      </c>
      <c r="AL45" s="157">
        <f t="shared" si="35"/>
        <v>-117872.573</v>
      </c>
      <c r="AM45" s="157">
        <f t="shared" si="35"/>
        <v>-117872.573</v>
      </c>
      <c r="AN45" s="157">
        <f t="shared" si="35"/>
        <v>-139800.5289</v>
      </c>
      <c r="AO45" s="157">
        <f t="shared" si="35"/>
        <v>-147044.9256</v>
      </c>
      <c r="AP45" s="157">
        <f t="shared" si="35"/>
        <v>-166212.8815</v>
      </c>
      <c r="AQ45" s="157">
        <f t="shared" si="35"/>
        <v>-179235.0579</v>
      </c>
      <c r="AR45" s="157">
        <f t="shared" si="35"/>
        <v>-192303.2342</v>
      </c>
      <c r="AS45" s="157">
        <f t="shared" si="35"/>
        <v>-222463.9835</v>
      </c>
      <c r="AT45" s="157">
        <f t="shared" si="35"/>
        <v>-240321.5427</v>
      </c>
      <c r="AU45" s="157">
        <f t="shared" si="35"/>
        <v>-270574.292</v>
      </c>
      <c r="AV45" s="157">
        <f t="shared" si="35"/>
        <v>-296664.6446</v>
      </c>
      <c r="AW45" s="157">
        <f t="shared" si="35"/>
        <v>-326871.3939</v>
      </c>
      <c r="AX45" s="157">
        <f t="shared" si="35"/>
        <v>-361959.5262</v>
      </c>
      <c r="AY45" s="157">
        <f t="shared" si="35"/>
        <v>-392120.2755</v>
      </c>
      <c r="AZ45" s="157">
        <f t="shared" si="35"/>
        <v>-444346.9807</v>
      </c>
      <c r="BA45" s="105"/>
      <c r="BB45" s="157">
        <f t="shared" si="31"/>
        <v>0</v>
      </c>
      <c r="BC45" s="157">
        <f t="shared" si="32"/>
        <v>0</v>
      </c>
      <c r="BD45" s="157">
        <f t="shared" si="33"/>
        <v>-1476059.868</v>
      </c>
      <c r="BE45" s="157">
        <f t="shared" si="34"/>
        <v>-3240118.738</v>
      </c>
      <c r="BF45" s="157">
        <f>-(BF63-BE63)</f>
        <v>-1065023.131</v>
      </c>
      <c r="BG45" s="39"/>
    </row>
    <row r="46" ht="15.75" customHeight="1">
      <c r="A46" s="105"/>
      <c r="B46" s="157" t="s">
        <v>226</v>
      </c>
      <c r="C46" s="156"/>
      <c r="D46" s="156" t="s">
        <v>201</v>
      </c>
      <c r="E46" s="157"/>
      <c r="F46" s="157"/>
      <c r="G46" s="157"/>
      <c r="H46" s="157"/>
      <c r="I46" s="157"/>
      <c r="J46" s="157"/>
      <c r="K46" s="157"/>
      <c r="L46" s="157"/>
      <c r="M46" s="157">
        <v>0.0</v>
      </c>
      <c r="N46" s="157">
        <f t="shared" ref="N46:AZ46" si="36">(N72-M72)</f>
        <v>0</v>
      </c>
      <c r="O46" s="157">
        <f t="shared" si="36"/>
        <v>0</v>
      </c>
      <c r="P46" s="157">
        <f t="shared" si="36"/>
        <v>0</v>
      </c>
      <c r="Q46" s="157">
        <f t="shared" si="36"/>
        <v>0</v>
      </c>
      <c r="R46" s="157">
        <f t="shared" si="36"/>
        <v>0</v>
      </c>
      <c r="S46" s="157">
        <f t="shared" si="36"/>
        <v>0</v>
      </c>
      <c r="T46" s="157">
        <f t="shared" si="36"/>
        <v>0</v>
      </c>
      <c r="U46" s="157">
        <f t="shared" si="36"/>
        <v>0</v>
      </c>
      <c r="V46" s="157">
        <f t="shared" si="36"/>
        <v>0</v>
      </c>
      <c r="W46" s="157">
        <f t="shared" si="36"/>
        <v>0</v>
      </c>
      <c r="X46" s="157">
        <f t="shared" si="36"/>
        <v>0</v>
      </c>
      <c r="Y46" s="157">
        <f t="shared" si="36"/>
        <v>0</v>
      </c>
      <c r="Z46" s="157">
        <f t="shared" si="36"/>
        <v>0</v>
      </c>
      <c r="AA46" s="157">
        <f t="shared" si="36"/>
        <v>0</v>
      </c>
      <c r="AB46" s="157">
        <f t="shared" si="36"/>
        <v>0</v>
      </c>
      <c r="AC46" s="157">
        <f t="shared" si="36"/>
        <v>1160047.44</v>
      </c>
      <c r="AD46" s="157">
        <f t="shared" si="36"/>
        <v>127152</v>
      </c>
      <c r="AE46" s="157">
        <f t="shared" si="36"/>
        <v>127152</v>
      </c>
      <c r="AF46" s="157">
        <f t="shared" si="36"/>
        <v>148449.78</v>
      </c>
      <c r="AG46" s="157">
        <f t="shared" si="36"/>
        <v>148449.78</v>
      </c>
      <c r="AH46" s="157">
        <f t="shared" si="36"/>
        <v>155337.48</v>
      </c>
      <c r="AI46" s="157">
        <f t="shared" si="36"/>
        <v>183522.96</v>
      </c>
      <c r="AJ46" s="157">
        <f t="shared" si="36"/>
        <v>204820.74</v>
      </c>
      <c r="AK46" s="157">
        <f t="shared" si="36"/>
        <v>226118.52</v>
      </c>
      <c r="AL46" s="157">
        <f t="shared" si="36"/>
        <v>261191.7</v>
      </c>
      <c r="AM46" s="157">
        <f t="shared" si="36"/>
        <v>261191.7</v>
      </c>
      <c r="AN46" s="157">
        <f t="shared" si="36"/>
        <v>310674.96</v>
      </c>
      <c r="AO46" s="157">
        <f t="shared" si="36"/>
        <v>-309800.556</v>
      </c>
      <c r="AP46" s="157">
        <f t="shared" si="36"/>
        <v>306118.524</v>
      </c>
      <c r="AQ46" s="157">
        <f t="shared" si="36"/>
        <v>329924.79</v>
      </c>
      <c r="AR46" s="157">
        <f t="shared" si="36"/>
        <v>353778.756</v>
      </c>
      <c r="AS46" s="157">
        <f t="shared" si="36"/>
        <v>408278.988</v>
      </c>
      <c r="AT46" s="157">
        <f t="shared" si="36"/>
        <v>442163.82</v>
      </c>
      <c r="AU46" s="157">
        <f t="shared" si="36"/>
        <v>496759.452</v>
      </c>
      <c r="AV46" s="157">
        <f t="shared" si="36"/>
        <v>544419.684</v>
      </c>
      <c r="AW46" s="157">
        <f t="shared" si="36"/>
        <v>598967.616</v>
      </c>
      <c r="AX46" s="157">
        <f t="shared" si="36"/>
        <v>663641.814</v>
      </c>
      <c r="AY46" s="157">
        <f t="shared" si="36"/>
        <v>718142.046</v>
      </c>
      <c r="AZ46" s="157">
        <f t="shared" si="36"/>
        <v>813510.21</v>
      </c>
      <c r="BA46" s="39"/>
      <c r="BB46" s="157">
        <f t="shared" si="31"/>
        <v>0</v>
      </c>
      <c r="BC46" s="157">
        <f t="shared" si="32"/>
        <v>0</v>
      </c>
      <c r="BD46" s="157">
        <f t="shared" si="33"/>
        <v>3314109.06</v>
      </c>
      <c r="BE46" s="157">
        <f t="shared" si="34"/>
        <v>5365905.144</v>
      </c>
      <c r="BF46" s="157">
        <f>BF72-BE72</f>
        <v>196722.7823</v>
      </c>
      <c r="BG46" s="39"/>
    </row>
    <row r="47" ht="15.75" customHeight="1">
      <c r="A47" s="105"/>
      <c r="B47" s="157" t="s">
        <v>227</v>
      </c>
      <c r="C47" s="156"/>
      <c r="D47" s="156" t="s">
        <v>201</v>
      </c>
      <c r="E47" s="157"/>
      <c r="F47" s="157"/>
      <c r="G47" s="157"/>
      <c r="H47" s="157"/>
      <c r="I47" s="157"/>
      <c r="J47" s="157"/>
      <c r="K47" s="157"/>
      <c r="L47" s="157"/>
      <c r="M47" s="157">
        <v>0.0</v>
      </c>
      <c r="N47" s="157">
        <f t="shared" ref="N47:AZ47" si="37">-(N64-M64)</f>
        <v>0</v>
      </c>
      <c r="O47" s="157">
        <f t="shared" si="37"/>
        <v>0</v>
      </c>
      <c r="P47" s="157">
        <f t="shared" si="37"/>
        <v>0</v>
      </c>
      <c r="Q47" s="157">
        <f t="shared" si="37"/>
        <v>0</v>
      </c>
      <c r="R47" s="157">
        <f t="shared" si="37"/>
        <v>0</v>
      </c>
      <c r="S47" s="157">
        <f t="shared" si="37"/>
        <v>0</v>
      </c>
      <c r="T47" s="157">
        <f t="shared" si="37"/>
        <v>0</v>
      </c>
      <c r="U47" s="157">
        <f t="shared" si="37"/>
        <v>0</v>
      </c>
      <c r="V47" s="157">
        <f t="shared" si="37"/>
        <v>0</v>
      </c>
      <c r="W47" s="157">
        <f t="shared" si="37"/>
        <v>0</v>
      </c>
      <c r="X47" s="157">
        <f t="shared" si="37"/>
        <v>0</v>
      </c>
      <c r="Y47" s="157">
        <f t="shared" si="37"/>
        <v>0</v>
      </c>
      <c r="Z47" s="157">
        <f t="shared" si="37"/>
        <v>0</v>
      </c>
      <c r="AA47" s="157">
        <f t="shared" si="37"/>
        <v>0</v>
      </c>
      <c r="AB47" s="157">
        <f t="shared" si="37"/>
        <v>0</v>
      </c>
      <c r="AC47" s="157">
        <f t="shared" si="37"/>
        <v>0</v>
      </c>
      <c r="AD47" s="157">
        <f t="shared" si="37"/>
        <v>0</v>
      </c>
      <c r="AE47" s="157">
        <f t="shared" si="37"/>
        <v>0</v>
      </c>
      <c r="AF47" s="157">
        <f t="shared" si="37"/>
        <v>0</v>
      </c>
      <c r="AG47" s="157">
        <f t="shared" si="37"/>
        <v>0</v>
      </c>
      <c r="AH47" s="157">
        <f t="shared" si="37"/>
        <v>0</v>
      </c>
      <c r="AI47" s="157">
        <f t="shared" si="37"/>
        <v>0</v>
      </c>
      <c r="AJ47" s="157">
        <f t="shared" si="37"/>
        <v>0</v>
      </c>
      <c r="AK47" s="157">
        <f t="shared" si="37"/>
        <v>0</v>
      </c>
      <c r="AL47" s="157">
        <f t="shared" si="37"/>
        <v>0</v>
      </c>
      <c r="AM47" s="157">
        <f t="shared" si="37"/>
        <v>0</v>
      </c>
      <c r="AN47" s="157">
        <f t="shared" si="37"/>
        <v>0</v>
      </c>
      <c r="AO47" s="157">
        <f t="shared" si="37"/>
        <v>0</v>
      </c>
      <c r="AP47" s="157">
        <f t="shared" si="37"/>
        <v>0</v>
      </c>
      <c r="AQ47" s="157">
        <f t="shared" si="37"/>
        <v>0</v>
      </c>
      <c r="AR47" s="157">
        <f t="shared" si="37"/>
        <v>0</v>
      </c>
      <c r="AS47" s="157">
        <f t="shared" si="37"/>
        <v>0</v>
      </c>
      <c r="AT47" s="157">
        <f t="shared" si="37"/>
        <v>0</v>
      </c>
      <c r="AU47" s="157">
        <f t="shared" si="37"/>
        <v>0</v>
      </c>
      <c r="AV47" s="157">
        <f t="shared" si="37"/>
        <v>0</v>
      </c>
      <c r="AW47" s="157">
        <f t="shared" si="37"/>
        <v>0</v>
      </c>
      <c r="AX47" s="157">
        <f t="shared" si="37"/>
        <v>0</v>
      </c>
      <c r="AY47" s="157">
        <f t="shared" si="37"/>
        <v>0</v>
      </c>
      <c r="AZ47" s="157">
        <f t="shared" si="37"/>
        <v>0</v>
      </c>
      <c r="BA47" s="105"/>
      <c r="BB47" s="157">
        <f t="shared" si="31"/>
        <v>0</v>
      </c>
      <c r="BC47" s="157">
        <f t="shared" si="32"/>
        <v>0</v>
      </c>
      <c r="BD47" s="157">
        <f t="shared" si="33"/>
        <v>0</v>
      </c>
      <c r="BE47" s="157">
        <f t="shared" si="34"/>
        <v>0</v>
      </c>
      <c r="BF47" s="157">
        <v>0.0</v>
      </c>
      <c r="BG47" s="39"/>
    </row>
    <row r="48" ht="12.75" customHeight="1">
      <c r="A48" s="159"/>
      <c r="B48" s="179" t="s">
        <v>228</v>
      </c>
      <c r="C48" s="180"/>
      <c r="D48" s="181" t="s">
        <v>201</v>
      </c>
      <c r="E48" s="179"/>
      <c r="F48" s="179"/>
      <c r="G48" s="179"/>
      <c r="H48" s="179"/>
      <c r="I48" s="179"/>
      <c r="J48" s="179"/>
      <c r="K48" s="179"/>
      <c r="L48" s="179"/>
      <c r="M48" s="179">
        <f t="shared" ref="M48:AZ48" si="38">sum(M43:M47)</f>
        <v>-59000</v>
      </c>
      <c r="N48" s="179">
        <f t="shared" si="38"/>
        <v>-52506.66667</v>
      </c>
      <c r="O48" s="179">
        <f t="shared" si="38"/>
        <v>-20013.33333</v>
      </c>
      <c r="P48" s="179">
        <f t="shared" si="38"/>
        <v>-195933</v>
      </c>
      <c r="Q48" s="179">
        <f t="shared" si="38"/>
        <v>-128520</v>
      </c>
      <c r="R48" s="179">
        <f t="shared" si="38"/>
        <v>-139320</v>
      </c>
      <c r="S48" s="179">
        <f t="shared" si="38"/>
        <v>-139320</v>
      </c>
      <c r="T48" s="179">
        <f t="shared" si="38"/>
        <v>-139320</v>
      </c>
      <c r="U48" s="179">
        <f t="shared" si="38"/>
        <v>-149320</v>
      </c>
      <c r="V48" s="179">
        <f t="shared" si="38"/>
        <v>-113726</v>
      </c>
      <c r="W48" s="179">
        <f t="shared" si="38"/>
        <v>-76132</v>
      </c>
      <c r="X48" s="179">
        <f t="shared" si="38"/>
        <v>-171320</v>
      </c>
      <c r="Y48" s="179">
        <f t="shared" si="38"/>
        <v>-180240</v>
      </c>
      <c r="Z48" s="179">
        <f t="shared" si="38"/>
        <v>-295840</v>
      </c>
      <c r="AA48" s="179">
        <f t="shared" si="38"/>
        <v>-240840</v>
      </c>
      <c r="AB48" s="179">
        <f t="shared" si="38"/>
        <v>-195840</v>
      </c>
      <c r="AC48" s="179">
        <f t="shared" si="38"/>
        <v>359437.9577</v>
      </c>
      <c r="AD48" s="179">
        <f t="shared" si="38"/>
        <v>-224781.0829</v>
      </c>
      <c r="AE48" s="179">
        <f t="shared" si="38"/>
        <v>-229031.9506</v>
      </c>
      <c r="AF48" s="179">
        <f t="shared" si="38"/>
        <v>-222330.6686</v>
      </c>
      <c r="AG48" s="179">
        <f t="shared" si="38"/>
        <v>-228021.3869</v>
      </c>
      <c r="AH48" s="179">
        <f t="shared" si="38"/>
        <v>-236458.0069</v>
      </c>
      <c r="AI48" s="179">
        <f t="shared" si="38"/>
        <v>-227099.6821</v>
      </c>
      <c r="AJ48" s="179">
        <f t="shared" si="38"/>
        <v>-223232.5111</v>
      </c>
      <c r="AK48" s="179">
        <f t="shared" si="38"/>
        <v>-200765.1907</v>
      </c>
      <c r="AL48" s="179">
        <f t="shared" si="38"/>
        <v>-189589.5242</v>
      </c>
      <c r="AM48" s="179">
        <f t="shared" si="38"/>
        <v>-195068.4647</v>
      </c>
      <c r="AN48" s="179">
        <f t="shared" si="38"/>
        <v>-174529.0073</v>
      </c>
      <c r="AO48" s="179">
        <f t="shared" si="38"/>
        <v>-410873.6035</v>
      </c>
      <c r="AP48" s="179">
        <f t="shared" si="38"/>
        <v>206901.8269</v>
      </c>
      <c r="AQ48" s="179">
        <f t="shared" si="38"/>
        <v>256604.6433</v>
      </c>
      <c r="AR48" s="179">
        <f t="shared" si="38"/>
        <v>309240.7803</v>
      </c>
      <c r="AS48" s="179">
        <f t="shared" si="38"/>
        <v>382418.2461</v>
      </c>
      <c r="AT48" s="179">
        <f t="shared" si="38"/>
        <v>478761.553</v>
      </c>
      <c r="AU48" s="179">
        <f t="shared" si="38"/>
        <v>564813.7057</v>
      </c>
      <c r="AV48" s="179">
        <f t="shared" si="38"/>
        <v>652843.696</v>
      </c>
      <c r="AW48" s="179">
        <f t="shared" si="38"/>
        <v>753127.4256</v>
      </c>
      <c r="AX48" s="179">
        <f t="shared" si="38"/>
        <v>865253.7046</v>
      </c>
      <c r="AY48" s="179">
        <f t="shared" si="38"/>
        <v>980887.4365</v>
      </c>
      <c r="AZ48" s="179">
        <f t="shared" si="38"/>
        <v>1169713.226</v>
      </c>
      <c r="BA48" s="105"/>
      <c r="BB48" s="182">
        <f t="shared" si="31"/>
        <v>-327453</v>
      </c>
      <c r="BC48" s="182">
        <f t="shared" si="32"/>
        <v>-1969738</v>
      </c>
      <c r="BD48" s="182">
        <f t="shared" si="33"/>
        <v>-1991469.519</v>
      </c>
      <c r="BE48" s="182">
        <f t="shared" si="34"/>
        <v>6209692.641</v>
      </c>
      <c r="BF48" s="182">
        <f>sum(BF43:BF47)</f>
        <v>17933870.37</v>
      </c>
      <c r="BG48" s="174"/>
    </row>
    <row r="49" ht="15.75" customHeight="1">
      <c r="A49" s="105"/>
      <c r="B49" s="156" t="s">
        <v>229</v>
      </c>
      <c r="C49" s="157"/>
      <c r="D49" s="156" t="s">
        <v>201</v>
      </c>
      <c r="E49" s="192"/>
      <c r="F49" s="192"/>
      <c r="G49" s="192"/>
      <c r="H49" s="192"/>
      <c r="I49" s="192"/>
      <c r="J49" s="192"/>
      <c r="K49" s="192"/>
      <c r="L49" s="192"/>
      <c r="M49" s="157">
        <v>0.0</v>
      </c>
      <c r="N49" s="157">
        <v>0.0</v>
      </c>
      <c r="O49" s="157">
        <v>0.0</v>
      </c>
      <c r="P49" s="157">
        <v>0.0</v>
      </c>
      <c r="Q49" s="157">
        <v>0.0</v>
      </c>
      <c r="R49" s="157">
        <v>0.0</v>
      </c>
      <c r="S49" s="157">
        <v>0.0</v>
      </c>
      <c r="T49" s="157">
        <v>0.0</v>
      </c>
      <c r="U49" s="157">
        <v>0.0</v>
      </c>
      <c r="V49" s="157">
        <v>0.0</v>
      </c>
      <c r="W49" s="157">
        <v>0.0</v>
      </c>
      <c r="X49" s="157">
        <v>0.0</v>
      </c>
      <c r="Y49" s="157">
        <v>0.0</v>
      </c>
      <c r="Z49" s="157">
        <v>0.0</v>
      </c>
      <c r="AA49" s="157">
        <v>0.0</v>
      </c>
      <c r="AB49" s="157">
        <v>0.0</v>
      </c>
      <c r="AC49" s="157">
        <v>0.0</v>
      </c>
      <c r="AD49" s="157">
        <v>0.0</v>
      </c>
      <c r="AE49" s="157">
        <v>0.0</v>
      </c>
      <c r="AF49" s="157">
        <v>0.0</v>
      </c>
      <c r="AG49" s="157">
        <v>0.0</v>
      </c>
      <c r="AH49" s="157">
        <v>0.0</v>
      </c>
      <c r="AI49" s="157">
        <v>0.0</v>
      </c>
      <c r="AJ49" s="157">
        <v>0.0</v>
      </c>
      <c r="AK49" s="157">
        <v>0.0</v>
      </c>
      <c r="AL49" s="157">
        <v>0.0</v>
      </c>
      <c r="AM49" s="157">
        <v>0.0</v>
      </c>
      <c r="AN49" s="157">
        <v>0.0</v>
      </c>
      <c r="AO49" s="157">
        <v>0.0</v>
      </c>
      <c r="AP49" s="157">
        <v>0.0</v>
      </c>
      <c r="AQ49" s="157">
        <v>0.0</v>
      </c>
      <c r="AR49" s="157">
        <v>0.0</v>
      </c>
      <c r="AS49" s="157">
        <v>0.0</v>
      </c>
      <c r="AT49" s="157">
        <v>0.0</v>
      </c>
      <c r="AU49" s="157">
        <v>0.0</v>
      </c>
      <c r="AV49" s="157">
        <v>0.0</v>
      </c>
      <c r="AW49" s="157">
        <v>0.0</v>
      </c>
      <c r="AX49" s="157">
        <v>0.0</v>
      </c>
      <c r="AY49" s="157">
        <v>0.0</v>
      </c>
      <c r="AZ49" s="157">
        <v>0.0</v>
      </c>
      <c r="BA49" s="105"/>
      <c r="BB49" s="157">
        <f t="shared" si="31"/>
        <v>0</v>
      </c>
      <c r="BC49" s="157">
        <f t="shared" si="32"/>
        <v>0</v>
      </c>
      <c r="BD49" s="157">
        <f t="shared" si="33"/>
        <v>0</v>
      </c>
      <c r="BE49" s="157">
        <f t="shared" si="34"/>
        <v>0</v>
      </c>
      <c r="BF49" s="157">
        <v>0.0</v>
      </c>
      <c r="BG49" s="39"/>
    </row>
    <row r="50" ht="12.75" customHeight="1">
      <c r="A50" s="159"/>
      <c r="B50" s="179" t="s">
        <v>230</v>
      </c>
      <c r="C50" s="180"/>
      <c r="D50" s="180"/>
      <c r="E50" s="179"/>
      <c r="F50" s="179"/>
      <c r="G50" s="179"/>
      <c r="H50" s="179"/>
      <c r="I50" s="179"/>
      <c r="J50" s="179"/>
      <c r="K50" s="179"/>
      <c r="L50" s="179"/>
      <c r="M50" s="179">
        <f t="shared" ref="M50:AZ50" si="39">M49</f>
        <v>0</v>
      </c>
      <c r="N50" s="179">
        <f t="shared" si="39"/>
        <v>0</v>
      </c>
      <c r="O50" s="179">
        <f t="shared" si="39"/>
        <v>0</v>
      </c>
      <c r="P50" s="179">
        <f t="shared" si="39"/>
        <v>0</v>
      </c>
      <c r="Q50" s="179">
        <f t="shared" si="39"/>
        <v>0</v>
      </c>
      <c r="R50" s="182">
        <f t="shared" si="39"/>
        <v>0</v>
      </c>
      <c r="S50" s="183">
        <f t="shared" si="39"/>
        <v>0</v>
      </c>
      <c r="T50" s="184">
        <f t="shared" si="39"/>
        <v>0</v>
      </c>
      <c r="U50" s="179">
        <f t="shared" si="39"/>
        <v>0</v>
      </c>
      <c r="V50" s="179">
        <f t="shared" si="39"/>
        <v>0</v>
      </c>
      <c r="W50" s="179">
        <f t="shared" si="39"/>
        <v>0</v>
      </c>
      <c r="X50" s="179">
        <f t="shared" si="39"/>
        <v>0</v>
      </c>
      <c r="Y50" s="179">
        <f t="shared" si="39"/>
        <v>0</v>
      </c>
      <c r="Z50" s="179">
        <f t="shared" si="39"/>
        <v>0</v>
      </c>
      <c r="AA50" s="179">
        <f t="shared" si="39"/>
        <v>0</v>
      </c>
      <c r="AB50" s="179">
        <f t="shared" si="39"/>
        <v>0</v>
      </c>
      <c r="AC50" s="179">
        <f t="shared" si="39"/>
        <v>0</v>
      </c>
      <c r="AD50" s="179">
        <f t="shared" si="39"/>
        <v>0</v>
      </c>
      <c r="AE50" s="179">
        <f t="shared" si="39"/>
        <v>0</v>
      </c>
      <c r="AF50" s="179">
        <f t="shared" si="39"/>
        <v>0</v>
      </c>
      <c r="AG50" s="179">
        <f t="shared" si="39"/>
        <v>0</v>
      </c>
      <c r="AH50" s="179">
        <f t="shared" si="39"/>
        <v>0</v>
      </c>
      <c r="AI50" s="179">
        <f t="shared" si="39"/>
        <v>0</v>
      </c>
      <c r="AJ50" s="179">
        <f t="shared" si="39"/>
        <v>0</v>
      </c>
      <c r="AK50" s="179">
        <f t="shared" si="39"/>
        <v>0</v>
      </c>
      <c r="AL50" s="179">
        <f t="shared" si="39"/>
        <v>0</v>
      </c>
      <c r="AM50" s="179">
        <f t="shared" si="39"/>
        <v>0</v>
      </c>
      <c r="AN50" s="179">
        <f t="shared" si="39"/>
        <v>0</v>
      </c>
      <c r="AO50" s="179">
        <f t="shared" si="39"/>
        <v>0</v>
      </c>
      <c r="AP50" s="179">
        <f t="shared" si="39"/>
        <v>0</v>
      </c>
      <c r="AQ50" s="179">
        <f t="shared" si="39"/>
        <v>0</v>
      </c>
      <c r="AR50" s="179">
        <f t="shared" si="39"/>
        <v>0</v>
      </c>
      <c r="AS50" s="179">
        <f t="shared" si="39"/>
        <v>0</v>
      </c>
      <c r="AT50" s="179">
        <f t="shared" si="39"/>
        <v>0</v>
      </c>
      <c r="AU50" s="179">
        <f t="shared" si="39"/>
        <v>0</v>
      </c>
      <c r="AV50" s="179">
        <f t="shared" si="39"/>
        <v>0</v>
      </c>
      <c r="AW50" s="179">
        <f t="shared" si="39"/>
        <v>0</v>
      </c>
      <c r="AX50" s="179">
        <f t="shared" si="39"/>
        <v>0</v>
      </c>
      <c r="AY50" s="179">
        <f t="shared" si="39"/>
        <v>0</v>
      </c>
      <c r="AZ50" s="182">
        <f t="shared" si="39"/>
        <v>0</v>
      </c>
      <c r="BA50" s="105"/>
      <c r="BB50" s="182">
        <f t="shared" si="31"/>
        <v>0</v>
      </c>
      <c r="BC50" s="182">
        <f t="shared" si="32"/>
        <v>0</v>
      </c>
      <c r="BD50" s="182">
        <f t="shared" si="33"/>
        <v>0</v>
      </c>
      <c r="BE50" s="182">
        <f t="shared" si="34"/>
        <v>0</v>
      </c>
      <c r="BF50" s="182">
        <f>BF49</f>
        <v>0</v>
      </c>
      <c r="BG50" s="174"/>
    </row>
    <row r="51" ht="15.75" customHeight="1">
      <c r="A51" s="105"/>
      <c r="B51" s="157" t="s">
        <v>231</v>
      </c>
      <c r="C51" s="157"/>
      <c r="D51" s="157" t="s">
        <v>201</v>
      </c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>
        <v>0.0</v>
      </c>
      <c r="T51" s="193"/>
      <c r="U51" s="193">
        <v>300000.0</v>
      </c>
      <c r="V51" s="193"/>
      <c r="W51" s="193"/>
      <c r="X51" s="193"/>
      <c r="Y51" s="193"/>
      <c r="Z51" s="193">
        <v>3250000.0</v>
      </c>
      <c r="AA51" s="193"/>
      <c r="AB51" s="193"/>
      <c r="AC51" s="193"/>
      <c r="AD51" s="193"/>
      <c r="AE51" s="193"/>
      <c r="AF51" s="193"/>
      <c r="AG51" s="193"/>
      <c r="AH51" s="193"/>
      <c r="AI51" s="193"/>
      <c r="AJ51" s="193"/>
      <c r="AK51" s="193"/>
      <c r="AL51" s="193"/>
      <c r="AM51" s="193"/>
      <c r="AN51" s="193"/>
      <c r="AO51" s="193"/>
      <c r="AP51" s="193"/>
      <c r="AQ51" s="193"/>
      <c r="AR51" s="193"/>
      <c r="AS51" s="193"/>
      <c r="AT51" s="193"/>
      <c r="AU51" s="193"/>
      <c r="AV51" s="193"/>
      <c r="AW51" s="193"/>
      <c r="AX51" s="193"/>
      <c r="AY51" s="193"/>
      <c r="AZ51" s="193"/>
      <c r="BA51" s="105"/>
      <c r="BB51" s="157">
        <f t="shared" si="31"/>
        <v>0</v>
      </c>
      <c r="BC51" s="157">
        <f t="shared" si="32"/>
        <v>3550000</v>
      </c>
      <c r="BD51" s="157">
        <f t="shared" si="33"/>
        <v>0</v>
      </c>
      <c r="BE51" s="157">
        <f t="shared" si="34"/>
        <v>0</v>
      </c>
      <c r="BF51" s="157">
        <v>0.0</v>
      </c>
      <c r="BG51" s="39"/>
    </row>
    <row r="52" ht="15.75" customHeight="1">
      <c r="A52" s="105"/>
      <c r="B52" s="157" t="s">
        <v>232</v>
      </c>
      <c r="C52" s="157"/>
      <c r="D52" s="157" t="s">
        <v>201</v>
      </c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>
        <v>300000.0</v>
      </c>
      <c r="W52" s="193"/>
      <c r="X52" s="193"/>
      <c r="Y52" s="193"/>
      <c r="Z52" s="193"/>
      <c r="AA52" s="193"/>
      <c r="AB52" s="193"/>
      <c r="AC52" s="194"/>
      <c r="AD52" s="193"/>
      <c r="AE52" s="193"/>
      <c r="AF52" s="193"/>
      <c r="AG52" s="193"/>
      <c r="AH52" s="193"/>
      <c r="AI52" s="193"/>
      <c r="AJ52" s="193"/>
      <c r="AK52" s="193"/>
      <c r="AL52" s="193"/>
      <c r="AM52" s="193"/>
      <c r="AN52" s="193"/>
      <c r="AO52" s="193"/>
      <c r="AP52" s="193"/>
      <c r="AQ52" s="193"/>
      <c r="AR52" s="193"/>
      <c r="AS52" s="193"/>
      <c r="AT52" s="193"/>
      <c r="AU52" s="193"/>
      <c r="AV52" s="193"/>
      <c r="AW52" s="193"/>
      <c r="AX52" s="193"/>
      <c r="AY52" s="193"/>
      <c r="AZ52" s="193"/>
      <c r="BA52" s="105"/>
      <c r="BB52" s="157">
        <f t="shared" si="31"/>
        <v>0</v>
      </c>
      <c r="BC52" s="157">
        <f t="shared" si="32"/>
        <v>300000</v>
      </c>
      <c r="BD52" s="157">
        <f t="shared" si="33"/>
        <v>0</v>
      </c>
      <c r="BE52" s="157">
        <f t="shared" si="34"/>
        <v>0</v>
      </c>
      <c r="BF52" s="157">
        <v>0.0</v>
      </c>
      <c r="BG52" s="39"/>
    </row>
    <row r="53" ht="12.75" customHeight="1">
      <c r="A53" s="159"/>
      <c r="B53" s="179" t="s">
        <v>233</v>
      </c>
      <c r="C53" s="180"/>
      <c r="D53" s="181" t="s">
        <v>201</v>
      </c>
      <c r="E53" s="179"/>
      <c r="F53" s="179"/>
      <c r="G53" s="179"/>
      <c r="H53" s="179"/>
      <c r="I53" s="179"/>
      <c r="J53" s="179"/>
      <c r="K53" s="179"/>
      <c r="L53" s="179"/>
      <c r="M53" s="179">
        <f t="shared" ref="M53:AZ53" si="40">M51+M52</f>
        <v>0</v>
      </c>
      <c r="N53" s="179">
        <f t="shared" si="40"/>
        <v>0</v>
      </c>
      <c r="O53" s="179">
        <f t="shared" si="40"/>
        <v>0</v>
      </c>
      <c r="P53" s="179">
        <f t="shared" si="40"/>
        <v>0</v>
      </c>
      <c r="Q53" s="179">
        <f t="shared" si="40"/>
        <v>0</v>
      </c>
      <c r="R53" s="182">
        <f t="shared" si="40"/>
        <v>0</v>
      </c>
      <c r="S53" s="183">
        <f t="shared" si="40"/>
        <v>0</v>
      </c>
      <c r="T53" s="184">
        <f t="shared" si="40"/>
        <v>0</v>
      </c>
      <c r="U53" s="179">
        <f t="shared" si="40"/>
        <v>300000</v>
      </c>
      <c r="V53" s="179">
        <f t="shared" si="40"/>
        <v>300000</v>
      </c>
      <c r="W53" s="179">
        <f t="shared" si="40"/>
        <v>0</v>
      </c>
      <c r="X53" s="179">
        <f t="shared" si="40"/>
        <v>0</v>
      </c>
      <c r="Y53" s="179">
        <f t="shared" si="40"/>
        <v>0</v>
      </c>
      <c r="Z53" s="179">
        <f t="shared" si="40"/>
        <v>3250000</v>
      </c>
      <c r="AA53" s="179">
        <f t="shared" si="40"/>
        <v>0</v>
      </c>
      <c r="AB53" s="179">
        <f t="shared" si="40"/>
        <v>0</v>
      </c>
      <c r="AC53" s="179">
        <f t="shared" si="40"/>
        <v>0</v>
      </c>
      <c r="AD53" s="179">
        <f t="shared" si="40"/>
        <v>0</v>
      </c>
      <c r="AE53" s="179">
        <f t="shared" si="40"/>
        <v>0</v>
      </c>
      <c r="AF53" s="179">
        <f t="shared" si="40"/>
        <v>0</v>
      </c>
      <c r="AG53" s="179">
        <f t="shared" si="40"/>
        <v>0</v>
      </c>
      <c r="AH53" s="179">
        <f t="shared" si="40"/>
        <v>0</v>
      </c>
      <c r="AI53" s="179">
        <f t="shared" si="40"/>
        <v>0</v>
      </c>
      <c r="AJ53" s="179">
        <f t="shared" si="40"/>
        <v>0</v>
      </c>
      <c r="AK53" s="179">
        <f t="shared" si="40"/>
        <v>0</v>
      </c>
      <c r="AL53" s="179">
        <f t="shared" si="40"/>
        <v>0</v>
      </c>
      <c r="AM53" s="179">
        <f t="shared" si="40"/>
        <v>0</v>
      </c>
      <c r="AN53" s="179">
        <f t="shared" si="40"/>
        <v>0</v>
      </c>
      <c r="AO53" s="179">
        <f t="shared" si="40"/>
        <v>0</v>
      </c>
      <c r="AP53" s="179">
        <f t="shared" si="40"/>
        <v>0</v>
      </c>
      <c r="AQ53" s="179">
        <f t="shared" si="40"/>
        <v>0</v>
      </c>
      <c r="AR53" s="179">
        <f t="shared" si="40"/>
        <v>0</v>
      </c>
      <c r="AS53" s="179">
        <f t="shared" si="40"/>
        <v>0</v>
      </c>
      <c r="AT53" s="179">
        <f t="shared" si="40"/>
        <v>0</v>
      </c>
      <c r="AU53" s="179">
        <f t="shared" si="40"/>
        <v>0</v>
      </c>
      <c r="AV53" s="179">
        <f t="shared" si="40"/>
        <v>0</v>
      </c>
      <c r="AW53" s="179">
        <f t="shared" si="40"/>
        <v>0</v>
      </c>
      <c r="AX53" s="179">
        <f t="shared" si="40"/>
        <v>0</v>
      </c>
      <c r="AY53" s="179">
        <f t="shared" si="40"/>
        <v>0</v>
      </c>
      <c r="AZ53" s="182">
        <f t="shared" si="40"/>
        <v>0</v>
      </c>
      <c r="BA53" s="105"/>
      <c r="BB53" s="182">
        <f t="shared" si="31"/>
        <v>0</v>
      </c>
      <c r="BC53" s="182">
        <f t="shared" si="32"/>
        <v>3850000</v>
      </c>
      <c r="BD53" s="182">
        <f t="shared" si="33"/>
        <v>0</v>
      </c>
      <c r="BE53" s="182">
        <f t="shared" si="34"/>
        <v>0</v>
      </c>
      <c r="BF53" s="182">
        <v>0.0</v>
      </c>
      <c r="BG53" s="174"/>
    </row>
    <row r="54" ht="15.75" customHeight="1">
      <c r="A54" s="10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56"/>
      <c r="AP54" s="156"/>
      <c r="AQ54" s="156"/>
      <c r="AR54" s="156"/>
      <c r="AS54" s="156"/>
      <c r="AT54" s="156"/>
      <c r="AU54" s="156"/>
      <c r="AV54" s="156"/>
      <c r="AW54" s="156"/>
      <c r="AX54" s="156"/>
      <c r="AY54" s="156"/>
      <c r="AZ54" s="156"/>
      <c r="BA54" s="105"/>
      <c r="BB54" s="156"/>
      <c r="BC54" s="156"/>
      <c r="BD54" s="156"/>
      <c r="BE54" s="156"/>
      <c r="BF54" s="156"/>
      <c r="BG54" s="105"/>
    </row>
    <row r="55" ht="12.75" customHeight="1">
      <c r="A55" s="159"/>
      <c r="B55" s="179" t="s">
        <v>234</v>
      </c>
      <c r="C55" s="180"/>
      <c r="D55" s="181" t="s">
        <v>201</v>
      </c>
      <c r="E55" s="179"/>
      <c r="F55" s="179"/>
      <c r="G55" s="179"/>
      <c r="H55" s="179"/>
      <c r="I55" s="179"/>
      <c r="J55" s="179"/>
      <c r="K55" s="179"/>
      <c r="L55" s="179"/>
      <c r="M55" s="179">
        <f t="shared" ref="M55:AZ55" si="41">M48+M50+M53</f>
        <v>-59000</v>
      </c>
      <c r="N55" s="179">
        <f t="shared" si="41"/>
        <v>-52506.66667</v>
      </c>
      <c r="O55" s="179">
        <f t="shared" si="41"/>
        <v>-20013.33333</v>
      </c>
      <c r="P55" s="179">
        <f t="shared" si="41"/>
        <v>-195933</v>
      </c>
      <c r="Q55" s="179">
        <f t="shared" si="41"/>
        <v>-128520</v>
      </c>
      <c r="R55" s="182">
        <f t="shared" si="41"/>
        <v>-139320</v>
      </c>
      <c r="S55" s="183">
        <f t="shared" si="41"/>
        <v>-139320</v>
      </c>
      <c r="T55" s="184">
        <f t="shared" si="41"/>
        <v>-139320</v>
      </c>
      <c r="U55" s="179">
        <f t="shared" si="41"/>
        <v>150680</v>
      </c>
      <c r="V55" s="179">
        <f t="shared" si="41"/>
        <v>186274</v>
      </c>
      <c r="W55" s="179">
        <f t="shared" si="41"/>
        <v>-76132</v>
      </c>
      <c r="X55" s="179">
        <f t="shared" si="41"/>
        <v>-171320</v>
      </c>
      <c r="Y55" s="179">
        <f t="shared" si="41"/>
        <v>-180240</v>
      </c>
      <c r="Z55" s="179">
        <f t="shared" si="41"/>
        <v>2954160</v>
      </c>
      <c r="AA55" s="179">
        <f t="shared" si="41"/>
        <v>-240840</v>
      </c>
      <c r="AB55" s="179">
        <f t="shared" si="41"/>
        <v>-195840</v>
      </c>
      <c r="AC55" s="179">
        <f t="shared" si="41"/>
        <v>359437.9577</v>
      </c>
      <c r="AD55" s="179">
        <f t="shared" si="41"/>
        <v>-224781.0829</v>
      </c>
      <c r="AE55" s="179">
        <f t="shared" si="41"/>
        <v>-229031.9506</v>
      </c>
      <c r="AF55" s="179">
        <f t="shared" si="41"/>
        <v>-222330.6686</v>
      </c>
      <c r="AG55" s="179">
        <f t="shared" si="41"/>
        <v>-228021.3869</v>
      </c>
      <c r="AH55" s="179">
        <f t="shared" si="41"/>
        <v>-236458.0069</v>
      </c>
      <c r="AI55" s="179">
        <f t="shared" si="41"/>
        <v>-227099.6821</v>
      </c>
      <c r="AJ55" s="179">
        <f t="shared" si="41"/>
        <v>-223232.5111</v>
      </c>
      <c r="AK55" s="179">
        <f t="shared" si="41"/>
        <v>-200765.1907</v>
      </c>
      <c r="AL55" s="179">
        <f t="shared" si="41"/>
        <v>-189589.5242</v>
      </c>
      <c r="AM55" s="179">
        <f t="shared" si="41"/>
        <v>-195068.4647</v>
      </c>
      <c r="AN55" s="179">
        <f t="shared" si="41"/>
        <v>-174529.0073</v>
      </c>
      <c r="AO55" s="179">
        <f t="shared" si="41"/>
        <v>-410873.6035</v>
      </c>
      <c r="AP55" s="179">
        <f t="shared" si="41"/>
        <v>206901.8269</v>
      </c>
      <c r="AQ55" s="179">
        <f t="shared" si="41"/>
        <v>256604.6433</v>
      </c>
      <c r="AR55" s="179">
        <f t="shared" si="41"/>
        <v>309240.7803</v>
      </c>
      <c r="AS55" s="179">
        <f t="shared" si="41"/>
        <v>382418.2461</v>
      </c>
      <c r="AT55" s="179">
        <f t="shared" si="41"/>
        <v>478761.553</v>
      </c>
      <c r="AU55" s="179">
        <f t="shared" si="41"/>
        <v>564813.7057</v>
      </c>
      <c r="AV55" s="179">
        <f t="shared" si="41"/>
        <v>652843.696</v>
      </c>
      <c r="AW55" s="179">
        <f t="shared" si="41"/>
        <v>753127.4256</v>
      </c>
      <c r="AX55" s="179">
        <f t="shared" si="41"/>
        <v>865253.7046</v>
      </c>
      <c r="AY55" s="179">
        <f t="shared" si="41"/>
        <v>980887.4365</v>
      </c>
      <c r="AZ55" s="182">
        <f t="shared" si="41"/>
        <v>1169713.226</v>
      </c>
      <c r="BA55" s="105"/>
      <c r="BB55" s="182">
        <f t="shared" ref="BB55:BF55" si="42">BB53+BB50+BB48</f>
        <v>-327453</v>
      </c>
      <c r="BC55" s="182">
        <f t="shared" si="42"/>
        <v>1880262</v>
      </c>
      <c r="BD55" s="182">
        <f t="shared" si="42"/>
        <v>-1991469.519</v>
      </c>
      <c r="BE55" s="182">
        <f t="shared" si="42"/>
        <v>6209692.641</v>
      </c>
      <c r="BF55" s="182">
        <f t="shared" si="42"/>
        <v>17933870.37</v>
      </c>
      <c r="BG55" s="174"/>
    </row>
    <row r="56" ht="15.75" customHeight="1">
      <c r="A56" s="105"/>
      <c r="B56" s="157" t="s">
        <v>235</v>
      </c>
      <c r="C56" s="156"/>
      <c r="D56" s="157" t="s">
        <v>201</v>
      </c>
      <c r="E56" s="192"/>
      <c r="F56" s="192"/>
      <c r="G56" s="192"/>
      <c r="H56" s="192"/>
      <c r="I56" s="192"/>
      <c r="J56" s="192"/>
      <c r="K56" s="192"/>
      <c r="L56" s="192"/>
      <c r="M56" s="192">
        <v>1111108.0</v>
      </c>
      <c r="N56" s="157">
        <f t="shared" ref="N56:AZ56" si="43">M57</f>
        <v>1052108</v>
      </c>
      <c r="O56" s="157">
        <f t="shared" si="43"/>
        <v>999601.3333</v>
      </c>
      <c r="P56" s="157">
        <f t="shared" si="43"/>
        <v>979588</v>
      </c>
      <c r="Q56" s="157">
        <f t="shared" si="43"/>
        <v>783655</v>
      </c>
      <c r="R56" s="157">
        <f t="shared" si="43"/>
        <v>655135</v>
      </c>
      <c r="S56" s="157">
        <f t="shared" si="43"/>
        <v>515815</v>
      </c>
      <c r="T56" s="157">
        <f t="shared" si="43"/>
        <v>376495</v>
      </c>
      <c r="U56" s="157">
        <f t="shared" si="43"/>
        <v>237175</v>
      </c>
      <c r="V56" s="157">
        <f t="shared" si="43"/>
        <v>387855</v>
      </c>
      <c r="W56" s="157">
        <f t="shared" si="43"/>
        <v>574129</v>
      </c>
      <c r="X56" s="157">
        <f t="shared" si="43"/>
        <v>497997</v>
      </c>
      <c r="Y56" s="157">
        <f t="shared" si="43"/>
        <v>326677</v>
      </c>
      <c r="Z56" s="157">
        <f t="shared" si="43"/>
        <v>146437</v>
      </c>
      <c r="AA56" s="157">
        <f t="shared" si="43"/>
        <v>3100597</v>
      </c>
      <c r="AB56" s="157">
        <f t="shared" si="43"/>
        <v>2859757</v>
      </c>
      <c r="AC56" s="157">
        <f t="shared" si="43"/>
        <v>2663917</v>
      </c>
      <c r="AD56" s="157">
        <f t="shared" si="43"/>
        <v>3023354.958</v>
      </c>
      <c r="AE56" s="157">
        <f t="shared" si="43"/>
        <v>2798573.875</v>
      </c>
      <c r="AF56" s="157">
        <f t="shared" si="43"/>
        <v>2569541.924</v>
      </c>
      <c r="AG56" s="157">
        <f t="shared" si="43"/>
        <v>2347211.256</v>
      </c>
      <c r="AH56" s="157">
        <f t="shared" si="43"/>
        <v>2119189.869</v>
      </c>
      <c r="AI56" s="157">
        <f t="shared" si="43"/>
        <v>1882731.862</v>
      </c>
      <c r="AJ56" s="157">
        <f t="shared" si="43"/>
        <v>1655632.18</v>
      </c>
      <c r="AK56" s="157">
        <f t="shared" si="43"/>
        <v>1432399.668</v>
      </c>
      <c r="AL56" s="157">
        <f t="shared" si="43"/>
        <v>1231634.478</v>
      </c>
      <c r="AM56" s="157">
        <f t="shared" si="43"/>
        <v>1042044.953</v>
      </c>
      <c r="AN56" s="157">
        <f t="shared" si="43"/>
        <v>846976.4888</v>
      </c>
      <c r="AO56" s="157">
        <f t="shared" si="43"/>
        <v>672447.4815</v>
      </c>
      <c r="AP56" s="157">
        <f t="shared" si="43"/>
        <v>261573.878</v>
      </c>
      <c r="AQ56" s="157">
        <f t="shared" si="43"/>
        <v>468475.7048</v>
      </c>
      <c r="AR56" s="157">
        <f t="shared" si="43"/>
        <v>725080.3481</v>
      </c>
      <c r="AS56" s="157">
        <f t="shared" si="43"/>
        <v>1034321.128</v>
      </c>
      <c r="AT56" s="157">
        <f t="shared" si="43"/>
        <v>1416739.375</v>
      </c>
      <c r="AU56" s="157">
        <f t="shared" si="43"/>
        <v>1895500.927</v>
      </c>
      <c r="AV56" s="157">
        <f t="shared" si="43"/>
        <v>2460314.633</v>
      </c>
      <c r="AW56" s="157">
        <f t="shared" si="43"/>
        <v>3113158.329</v>
      </c>
      <c r="AX56" s="157">
        <f t="shared" si="43"/>
        <v>3866285.755</v>
      </c>
      <c r="AY56" s="157">
        <f t="shared" si="43"/>
        <v>4731539.459</v>
      </c>
      <c r="AZ56" s="157">
        <f t="shared" si="43"/>
        <v>5712426.896</v>
      </c>
      <c r="BA56" s="105"/>
      <c r="BB56" s="157">
        <f>BB55+BB57</f>
        <v>456202</v>
      </c>
      <c r="BC56" s="157">
        <f>Q56</f>
        <v>783655</v>
      </c>
      <c r="BD56" s="157">
        <f>AC56</f>
        <v>2663917</v>
      </c>
      <c r="BE56" s="157">
        <f>AO56</f>
        <v>672447.4815</v>
      </c>
      <c r="BF56" s="157">
        <f>AZ57</f>
        <v>6882140.122</v>
      </c>
      <c r="BG56" s="39"/>
    </row>
    <row r="57" ht="15.75" customHeight="1">
      <c r="A57" s="167"/>
      <c r="B57" s="168" t="s">
        <v>236</v>
      </c>
      <c r="C57" s="169"/>
      <c r="D57" s="168" t="s">
        <v>201</v>
      </c>
      <c r="E57" s="168"/>
      <c r="F57" s="168"/>
      <c r="G57" s="168"/>
      <c r="H57" s="168"/>
      <c r="I57" s="168"/>
      <c r="J57" s="168"/>
      <c r="K57" s="168"/>
      <c r="L57" s="168"/>
      <c r="M57" s="168">
        <f>M55+M56</f>
        <v>1052108</v>
      </c>
      <c r="N57" s="168">
        <f t="shared" ref="N57:AZ57" si="44">N56+N55</f>
        <v>999601.3333</v>
      </c>
      <c r="O57" s="168">
        <f t="shared" si="44"/>
        <v>979588</v>
      </c>
      <c r="P57" s="168">
        <f t="shared" si="44"/>
        <v>783655</v>
      </c>
      <c r="Q57" s="168">
        <f t="shared" si="44"/>
        <v>655135</v>
      </c>
      <c r="R57" s="168">
        <f t="shared" si="44"/>
        <v>515815</v>
      </c>
      <c r="S57" s="168">
        <f t="shared" si="44"/>
        <v>376495</v>
      </c>
      <c r="T57" s="168">
        <f t="shared" si="44"/>
        <v>237175</v>
      </c>
      <c r="U57" s="168">
        <f t="shared" si="44"/>
        <v>387855</v>
      </c>
      <c r="V57" s="168">
        <f t="shared" si="44"/>
        <v>574129</v>
      </c>
      <c r="W57" s="168">
        <f t="shared" si="44"/>
        <v>497997</v>
      </c>
      <c r="X57" s="168">
        <f t="shared" si="44"/>
        <v>326677</v>
      </c>
      <c r="Y57" s="168">
        <f t="shared" si="44"/>
        <v>146437</v>
      </c>
      <c r="Z57" s="168">
        <f t="shared" si="44"/>
        <v>3100597</v>
      </c>
      <c r="AA57" s="168">
        <f t="shared" si="44"/>
        <v>2859757</v>
      </c>
      <c r="AB57" s="168">
        <f t="shared" si="44"/>
        <v>2663917</v>
      </c>
      <c r="AC57" s="168">
        <f t="shared" si="44"/>
        <v>3023354.958</v>
      </c>
      <c r="AD57" s="168">
        <f t="shared" si="44"/>
        <v>2798573.875</v>
      </c>
      <c r="AE57" s="168">
        <f t="shared" si="44"/>
        <v>2569541.924</v>
      </c>
      <c r="AF57" s="168">
        <f t="shared" si="44"/>
        <v>2347211.256</v>
      </c>
      <c r="AG57" s="168">
        <f t="shared" si="44"/>
        <v>2119189.869</v>
      </c>
      <c r="AH57" s="168">
        <f t="shared" si="44"/>
        <v>1882731.862</v>
      </c>
      <c r="AI57" s="168">
        <f t="shared" si="44"/>
        <v>1655632.18</v>
      </c>
      <c r="AJ57" s="168">
        <f t="shared" si="44"/>
        <v>1432399.668</v>
      </c>
      <c r="AK57" s="168">
        <f t="shared" si="44"/>
        <v>1231634.478</v>
      </c>
      <c r="AL57" s="168">
        <f t="shared" si="44"/>
        <v>1042044.953</v>
      </c>
      <c r="AM57" s="168">
        <f t="shared" si="44"/>
        <v>846976.4888</v>
      </c>
      <c r="AN57" s="168">
        <f t="shared" si="44"/>
        <v>672447.4815</v>
      </c>
      <c r="AO57" s="168">
        <f t="shared" si="44"/>
        <v>261573.878</v>
      </c>
      <c r="AP57" s="168">
        <f t="shared" si="44"/>
        <v>468475.7048</v>
      </c>
      <c r="AQ57" s="168">
        <f t="shared" si="44"/>
        <v>725080.3481</v>
      </c>
      <c r="AR57" s="168">
        <f t="shared" si="44"/>
        <v>1034321.128</v>
      </c>
      <c r="AS57" s="168">
        <f t="shared" si="44"/>
        <v>1416739.375</v>
      </c>
      <c r="AT57" s="168">
        <f t="shared" si="44"/>
        <v>1895500.927</v>
      </c>
      <c r="AU57" s="168">
        <f t="shared" si="44"/>
        <v>2460314.633</v>
      </c>
      <c r="AV57" s="168">
        <f t="shared" si="44"/>
        <v>3113158.329</v>
      </c>
      <c r="AW57" s="168">
        <f t="shared" si="44"/>
        <v>3866285.755</v>
      </c>
      <c r="AX57" s="168">
        <f t="shared" si="44"/>
        <v>4731539.459</v>
      </c>
      <c r="AY57" s="168">
        <f t="shared" si="44"/>
        <v>5712426.896</v>
      </c>
      <c r="AZ57" s="171">
        <f t="shared" si="44"/>
        <v>6882140.122</v>
      </c>
      <c r="BA57" s="170"/>
      <c r="BB57" s="171">
        <f>P57</f>
        <v>783655</v>
      </c>
      <c r="BC57" s="171">
        <f t="shared" ref="BC57:BF57" si="45">BC55+BC56</f>
        <v>2663917</v>
      </c>
      <c r="BD57" s="171">
        <f t="shared" si="45"/>
        <v>672447.4815</v>
      </c>
      <c r="BE57" s="171">
        <f t="shared" si="45"/>
        <v>6882140.122</v>
      </c>
      <c r="BF57" s="171">
        <f t="shared" si="45"/>
        <v>24816010.49</v>
      </c>
      <c r="BG57" s="172"/>
    </row>
    <row r="58" ht="15.75" customHeight="1">
      <c r="A58" s="10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  <c r="AH58" s="156"/>
      <c r="AI58" s="156"/>
      <c r="AJ58" s="156"/>
      <c r="AK58" s="156"/>
      <c r="AL58" s="156"/>
      <c r="AM58" s="156"/>
      <c r="AN58" s="156"/>
      <c r="AO58" s="156"/>
      <c r="AP58" s="156"/>
      <c r="AQ58" s="156"/>
      <c r="AR58" s="156"/>
      <c r="AS58" s="156"/>
      <c r="AT58" s="156"/>
      <c r="AU58" s="156"/>
      <c r="AV58" s="156"/>
      <c r="AW58" s="156"/>
      <c r="AX58" s="156"/>
      <c r="AY58" s="156"/>
      <c r="AZ58" s="156"/>
      <c r="BA58" s="105"/>
      <c r="BB58" s="156"/>
      <c r="BC58" s="156"/>
      <c r="BD58" s="156"/>
      <c r="BE58" s="156"/>
      <c r="BF58" s="156"/>
      <c r="BG58" s="105"/>
    </row>
    <row r="59" ht="15.75" customHeight="1">
      <c r="A59" s="157"/>
      <c r="B59" s="173" t="s">
        <v>237</v>
      </c>
      <c r="C59" s="157"/>
      <c r="D59" s="157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3"/>
      <c r="AF59" s="173"/>
      <c r="AG59" s="173"/>
      <c r="AH59" s="173"/>
      <c r="AI59" s="173"/>
      <c r="AJ59" s="173"/>
      <c r="AK59" s="173"/>
      <c r="AL59" s="173"/>
      <c r="AM59" s="173"/>
      <c r="AN59" s="173"/>
      <c r="AO59" s="173"/>
      <c r="AP59" s="173"/>
      <c r="AQ59" s="173"/>
      <c r="AR59" s="173"/>
      <c r="AS59" s="173"/>
      <c r="AT59" s="173"/>
      <c r="AU59" s="173"/>
      <c r="AV59" s="173"/>
      <c r="AW59" s="173"/>
      <c r="AX59" s="173"/>
      <c r="AY59" s="173"/>
      <c r="AZ59" s="173"/>
      <c r="BA59" s="157"/>
      <c r="BB59" s="173"/>
      <c r="BC59" s="173"/>
      <c r="BD59" s="173"/>
      <c r="BE59" s="173"/>
      <c r="BF59" s="173"/>
      <c r="BG59" s="173"/>
    </row>
    <row r="60" ht="13.5" customHeight="1">
      <c r="A60" s="159"/>
      <c r="B60" s="160" t="s">
        <v>238</v>
      </c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2"/>
      <c r="S60" s="163"/>
      <c r="T60" s="164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61"/>
      <c r="AL60" s="161"/>
      <c r="AM60" s="161"/>
      <c r="AN60" s="161"/>
      <c r="AO60" s="161"/>
      <c r="AP60" s="161"/>
      <c r="AQ60" s="161"/>
      <c r="AR60" s="161"/>
      <c r="AS60" s="161"/>
      <c r="AT60" s="161"/>
      <c r="AU60" s="161"/>
      <c r="AV60" s="161"/>
      <c r="AW60" s="161"/>
      <c r="AX60" s="161"/>
      <c r="AY60" s="161"/>
      <c r="AZ60" s="162"/>
      <c r="BA60" s="105"/>
      <c r="BB60" s="162"/>
      <c r="BC60" s="162"/>
      <c r="BD60" s="162"/>
      <c r="BE60" s="162"/>
      <c r="BF60" s="162"/>
      <c r="BG60" s="105"/>
    </row>
    <row r="61" ht="15.75" customHeight="1">
      <c r="A61" s="105"/>
      <c r="B61" s="157" t="s">
        <v>239</v>
      </c>
      <c r="C61" s="156"/>
      <c r="D61" s="157" t="s">
        <v>201</v>
      </c>
      <c r="E61" s="157"/>
      <c r="F61" s="157"/>
      <c r="G61" s="157"/>
      <c r="H61" s="157"/>
      <c r="I61" s="157"/>
      <c r="J61" s="157"/>
      <c r="K61" s="157"/>
      <c r="L61" s="157"/>
      <c r="M61" s="157">
        <f t="shared" ref="M61:AZ61" si="46">M57</f>
        <v>1052108</v>
      </c>
      <c r="N61" s="157">
        <f t="shared" si="46"/>
        <v>999601.3333</v>
      </c>
      <c r="O61" s="157">
        <f t="shared" si="46"/>
        <v>979588</v>
      </c>
      <c r="P61" s="157">
        <f t="shared" si="46"/>
        <v>783655</v>
      </c>
      <c r="Q61" s="157">
        <f t="shared" si="46"/>
        <v>655135</v>
      </c>
      <c r="R61" s="157">
        <f t="shared" si="46"/>
        <v>515815</v>
      </c>
      <c r="S61" s="157">
        <f t="shared" si="46"/>
        <v>376495</v>
      </c>
      <c r="T61" s="157">
        <f t="shared" si="46"/>
        <v>237175</v>
      </c>
      <c r="U61" s="157">
        <f t="shared" si="46"/>
        <v>387855</v>
      </c>
      <c r="V61" s="157">
        <f t="shared" si="46"/>
        <v>574129</v>
      </c>
      <c r="W61" s="157">
        <f t="shared" si="46"/>
        <v>497997</v>
      </c>
      <c r="X61" s="157">
        <f t="shared" si="46"/>
        <v>326677</v>
      </c>
      <c r="Y61" s="157">
        <f t="shared" si="46"/>
        <v>146437</v>
      </c>
      <c r="Z61" s="157">
        <f t="shared" si="46"/>
        <v>3100597</v>
      </c>
      <c r="AA61" s="157">
        <f t="shared" si="46"/>
        <v>2859757</v>
      </c>
      <c r="AB61" s="157">
        <f t="shared" si="46"/>
        <v>2663917</v>
      </c>
      <c r="AC61" s="157">
        <f t="shared" si="46"/>
        <v>3023354.958</v>
      </c>
      <c r="AD61" s="157">
        <f t="shared" si="46"/>
        <v>2798573.875</v>
      </c>
      <c r="AE61" s="157">
        <f t="shared" si="46"/>
        <v>2569541.924</v>
      </c>
      <c r="AF61" s="157">
        <f t="shared" si="46"/>
        <v>2347211.256</v>
      </c>
      <c r="AG61" s="157">
        <f t="shared" si="46"/>
        <v>2119189.869</v>
      </c>
      <c r="AH61" s="157">
        <f t="shared" si="46"/>
        <v>1882731.862</v>
      </c>
      <c r="AI61" s="157">
        <f t="shared" si="46"/>
        <v>1655632.18</v>
      </c>
      <c r="AJ61" s="157">
        <f t="shared" si="46"/>
        <v>1432399.668</v>
      </c>
      <c r="AK61" s="157">
        <f t="shared" si="46"/>
        <v>1231634.478</v>
      </c>
      <c r="AL61" s="157">
        <f t="shared" si="46"/>
        <v>1042044.953</v>
      </c>
      <c r="AM61" s="157">
        <f t="shared" si="46"/>
        <v>846976.4888</v>
      </c>
      <c r="AN61" s="157">
        <f t="shared" si="46"/>
        <v>672447.4815</v>
      </c>
      <c r="AO61" s="157">
        <f t="shared" si="46"/>
        <v>261573.878</v>
      </c>
      <c r="AP61" s="157">
        <f t="shared" si="46"/>
        <v>468475.7048</v>
      </c>
      <c r="AQ61" s="157">
        <f t="shared" si="46"/>
        <v>725080.3481</v>
      </c>
      <c r="AR61" s="157">
        <f t="shared" si="46"/>
        <v>1034321.128</v>
      </c>
      <c r="AS61" s="157">
        <f t="shared" si="46"/>
        <v>1416739.375</v>
      </c>
      <c r="AT61" s="157">
        <f t="shared" si="46"/>
        <v>1895500.927</v>
      </c>
      <c r="AU61" s="157">
        <f t="shared" si="46"/>
        <v>2460314.633</v>
      </c>
      <c r="AV61" s="157">
        <f t="shared" si="46"/>
        <v>3113158.329</v>
      </c>
      <c r="AW61" s="157">
        <f t="shared" si="46"/>
        <v>3866285.755</v>
      </c>
      <c r="AX61" s="157">
        <f t="shared" si="46"/>
        <v>4731539.459</v>
      </c>
      <c r="AY61" s="157">
        <f t="shared" si="46"/>
        <v>5712426.896</v>
      </c>
      <c r="AZ61" s="157">
        <f t="shared" si="46"/>
        <v>6882140.122</v>
      </c>
      <c r="BA61" s="105"/>
      <c r="BB61" s="157">
        <f t="shared" ref="BB61:BB65" si="48">P61</f>
        <v>783655</v>
      </c>
      <c r="BC61" s="157">
        <f t="shared" ref="BC61:BC65" si="49">AB61</f>
        <v>2663917</v>
      </c>
      <c r="BD61" s="157">
        <f t="shared" ref="BD61:BD65" si="50">AN61</f>
        <v>672447.4815</v>
      </c>
      <c r="BE61" s="157">
        <f t="shared" ref="BE61:BE65" si="51">AZ61</f>
        <v>6882140.122</v>
      </c>
      <c r="BF61" s="157">
        <f>BF57</f>
        <v>24816010.49</v>
      </c>
      <c r="BG61" s="39"/>
    </row>
    <row r="62" ht="15.75" customHeight="1">
      <c r="A62" s="105"/>
      <c r="B62" s="157" t="s">
        <v>240</v>
      </c>
      <c r="C62" s="156"/>
      <c r="D62" s="157" t="s">
        <v>201</v>
      </c>
      <c r="E62" s="157"/>
      <c r="F62" s="157"/>
      <c r="G62" s="157"/>
      <c r="H62" s="157"/>
      <c r="I62" s="157"/>
      <c r="J62" s="157"/>
      <c r="K62" s="157"/>
      <c r="L62" s="157"/>
      <c r="M62" s="157">
        <f t="shared" ref="M62:AZ62" si="47">M40</f>
        <v>108239</v>
      </c>
      <c r="N62" s="157">
        <f t="shared" si="47"/>
        <v>118435.16</v>
      </c>
      <c r="O62" s="157">
        <f t="shared" si="47"/>
        <v>113533.16</v>
      </c>
      <c r="P62" s="157">
        <f t="shared" si="47"/>
        <v>177499.874</v>
      </c>
      <c r="Q62" s="157">
        <f t="shared" si="47"/>
        <v>210658.034</v>
      </c>
      <c r="R62" s="157">
        <f t="shared" si="47"/>
        <v>246602.594</v>
      </c>
      <c r="S62" s="157">
        <f t="shared" si="47"/>
        <v>282547.154</v>
      </c>
      <c r="T62" s="157">
        <f t="shared" si="47"/>
        <v>318491.714</v>
      </c>
      <c r="U62" s="157">
        <f t="shared" si="47"/>
        <v>357016.274</v>
      </c>
      <c r="V62" s="157">
        <f t="shared" si="47"/>
        <v>367991.078</v>
      </c>
      <c r="W62" s="157">
        <f t="shared" si="47"/>
        <v>405999.638</v>
      </c>
      <c r="X62" s="157">
        <f t="shared" si="47"/>
        <v>450200.198</v>
      </c>
      <c r="Y62" s="157">
        <f t="shared" si="47"/>
        <v>496702.118</v>
      </c>
      <c r="Z62" s="157">
        <f t="shared" si="47"/>
        <v>573028.838</v>
      </c>
      <c r="AA62" s="157">
        <f t="shared" si="47"/>
        <v>635165.558</v>
      </c>
      <c r="AB62" s="157">
        <f t="shared" si="47"/>
        <v>685692.278</v>
      </c>
      <c r="AC62" s="157">
        <f t="shared" si="47"/>
        <v>760719.7428</v>
      </c>
      <c r="AD62" s="157">
        <f t="shared" si="47"/>
        <v>836843.9314</v>
      </c>
      <c r="AE62" s="157">
        <f t="shared" si="47"/>
        <v>914064.8439</v>
      </c>
      <c r="AF62" s="157">
        <f t="shared" si="47"/>
        <v>992753.9618</v>
      </c>
      <c r="AG62" s="157">
        <f t="shared" si="47"/>
        <v>1072911.285</v>
      </c>
      <c r="AH62" s="157">
        <f t="shared" si="47"/>
        <v>1155960.252</v>
      </c>
      <c r="AI62" s="157">
        <f t="shared" si="47"/>
        <v>1240506.904</v>
      </c>
      <c r="AJ62" s="157">
        <f t="shared" si="47"/>
        <v>1327252.962</v>
      </c>
      <c r="AK62" s="157">
        <f t="shared" si="47"/>
        <v>1411399.588</v>
      </c>
      <c r="AL62" s="157">
        <f t="shared" si="47"/>
        <v>1497290.02</v>
      </c>
      <c r="AM62" s="157">
        <f t="shared" si="47"/>
        <v>1584594.018</v>
      </c>
      <c r="AN62" s="157">
        <f t="shared" si="47"/>
        <v>1673708.105</v>
      </c>
      <c r="AO62" s="157">
        <f t="shared" si="47"/>
        <v>1661847.361</v>
      </c>
      <c r="AP62" s="157">
        <f t="shared" si="47"/>
        <v>1644562.345</v>
      </c>
      <c r="AQ62" s="157">
        <f t="shared" si="47"/>
        <v>1617236.298</v>
      </c>
      <c r="AR62" s="157">
        <f t="shared" si="47"/>
        <v>1579112.861</v>
      </c>
      <c r="AS62" s="157">
        <f t="shared" si="47"/>
        <v>1528389.225</v>
      </c>
      <c r="AT62" s="157">
        <f t="shared" si="47"/>
        <v>1456944.052</v>
      </c>
      <c r="AU62" s="157">
        <f t="shared" si="47"/>
        <v>1369577.887</v>
      </c>
      <c r="AV62" s="157">
        <f t="shared" si="47"/>
        <v>1265065.014</v>
      </c>
      <c r="AW62" s="157">
        <f t="shared" si="47"/>
        <v>1140958.963</v>
      </c>
      <c r="AX62" s="157">
        <f t="shared" si="47"/>
        <v>995557.5378</v>
      </c>
      <c r="AY62" s="157">
        <f t="shared" si="47"/>
        <v>826602.196</v>
      </c>
      <c r="AZ62" s="157">
        <f t="shared" si="47"/>
        <v>620060.2967</v>
      </c>
      <c r="BA62" s="105"/>
      <c r="BB62" s="157">
        <f t="shared" si="48"/>
        <v>177499.874</v>
      </c>
      <c r="BC62" s="157">
        <f t="shared" si="49"/>
        <v>685692.278</v>
      </c>
      <c r="BD62" s="157">
        <f t="shared" si="50"/>
        <v>1673708.105</v>
      </c>
      <c r="BE62" s="157">
        <f t="shared" si="51"/>
        <v>620060.2967</v>
      </c>
      <c r="BF62" s="157">
        <v>0.0</v>
      </c>
      <c r="BG62" s="39"/>
    </row>
    <row r="63" ht="15.75" customHeight="1">
      <c r="A63" s="105"/>
      <c r="B63" s="157" t="s">
        <v>241</v>
      </c>
      <c r="C63" s="156"/>
      <c r="D63" s="157" t="s">
        <v>201</v>
      </c>
      <c r="E63" s="157"/>
      <c r="F63" s="157"/>
      <c r="G63" s="157"/>
      <c r="H63" s="157"/>
      <c r="I63" s="157"/>
      <c r="J63" s="157"/>
      <c r="K63" s="157"/>
      <c r="L63" s="157"/>
      <c r="M63" s="157">
        <f>ABS(Assumptions!$D$14*(M11/30))</f>
        <v>0</v>
      </c>
      <c r="N63" s="157">
        <f>ABS(Assumptions!$D$14*(N11/30))</f>
        <v>12986.66667</v>
      </c>
      <c r="O63" s="157">
        <f>ABS(Assumptions!$D$14*(O11/30))</f>
        <v>52000</v>
      </c>
      <c r="P63" s="157">
        <f>ABS(Assumptions!$D$14*(P11/30))</f>
        <v>0</v>
      </c>
      <c r="Q63" s="157">
        <f>ABS(Assumptions!$D$14*(Q11/30))</f>
        <v>0</v>
      </c>
      <c r="R63" s="157">
        <f>ABS(Assumptions!$D$14*(R11/30))</f>
        <v>0</v>
      </c>
      <c r="S63" s="157">
        <f>ABS(Assumptions!$D$14*(S11/30))</f>
        <v>0</v>
      </c>
      <c r="T63" s="157">
        <f>ABS(Assumptions!$D$14*(T11/30))</f>
        <v>0</v>
      </c>
      <c r="U63" s="157">
        <f>ABS(Assumptions!$D$14*(U11/30))</f>
        <v>0</v>
      </c>
      <c r="V63" s="157">
        <f>ABS(Assumptions!$D$14*(V11/30))</f>
        <v>71188</v>
      </c>
      <c r="W63" s="157">
        <f>ABS(Assumptions!$D$14*(W11/30))</f>
        <v>0</v>
      </c>
      <c r="X63" s="157">
        <f>ABS(Assumptions!$D$14*(X11/30))</f>
        <v>0</v>
      </c>
      <c r="Y63" s="157">
        <f>ABS(Assumptions!$D$14*(Y11/30))</f>
        <v>0</v>
      </c>
      <c r="Z63" s="157">
        <f>ABS(Assumptions!$D$14*(Z11/30))</f>
        <v>0</v>
      </c>
      <c r="AA63" s="157">
        <f>ABS(Assumptions!$D$14*(AA11/30))</f>
        <v>0</v>
      </c>
      <c r="AB63" s="157">
        <f>ABS(Assumptions!$D$14*(AB11/30))</f>
        <v>0</v>
      </c>
      <c r="AC63" s="157">
        <f>ABS(Assumptions!$D$14*(AC11/30))</f>
        <v>509805.3554</v>
      </c>
      <c r="AD63" s="157">
        <f>ABS(Assumptions!$D$14*(AD11/30))</f>
        <v>566683.4435</v>
      </c>
      <c r="AE63" s="157">
        <f>ABS(Assumptions!$D$14*(AE11/30))</f>
        <v>623561.5317</v>
      </c>
      <c r="AF63" s="157">
        <f>ABS(Assumptions!$D$14*(AF11/30))</f>
        <v>689345.3994</v>
      </c>
      <c r="AG63" s="157">
        <f>ABS(Assumptions!$D$14*(AG11/30))</f>
        <v>755129.2672</v>
      </c>
      <c r="AH63" s="157">
        <f>ABS(Assumptions!$D$14*(AH11/30))</f>
        <v>825029.5317</v>
      </c>
      <c r="AI63" s="157">
        <f>ABS(Assumptions!$D$14*(AI11/30))</f>
        <v>907951.9725</v>
      </c>
      <c r="AJ63" s="157">
        <f>ABS(Assumptions!$D$14*(AJ11/30))</f>
        <v>999780.1928</v>
      </c>
      <c r="AK63" s="157">
        <f>ABS(Assumptions!$D$14*(AK11/30))</f>
        <v>1100514.193</v>
      </c>
      <c r="AL63" s="157">
        <f>ABS(Assumptions!$D$14*(AL11/30))</f>
        <v>1218386.766</v>
      </c>
      <c r="AM63" s="157">
        <f>ABS(Assumptions!$D$14*(AM11/30))</f>
        <v>1336259.339</v>
      </c>
      <c r="AN63" s="157">
        <f>ABS(Assumptions!$D$14*(AN11/30))</f>
        <v>1476059.868</v>
      </c>
      <c r="AO63" s="157">
        <f>ABS(Assumptions!$D$14*(AO11/30))</f>
        <v>1623104.793</v>
      </c>
      <c r="AP63" s="157">
        <f>ABS(Assumptions!$D$14*(AP11/30))</f>
        <v>1789317.675</v>
      </c>
      <c r="AQ63" s="157">
        <f>ABS(Assumptions!$D$14*(AQ11/30))</f>
        <v>1968552.733</v>
      </c>
      <c r="AR63" s="157">
        <f>ABS(Assumptions!$D$14*(AR11/30))</f>
        <v>2160855.967</v>
      </c>
      <c r="AS63" s="157">
        <f>ABS(Assumptions!$D$14*(AS11/30))</f>
        <v>2383319.95</v>
      </c>
      <c r="AT63" s="157">
        <f>ABS(Assumptions!$D$14*(AT11/30))</f>
        <v>2623641.493</v>
      </c>
      <c r="AU63" s="157">
        <f>ABS(Assumptions!$D$14*(AU11/30))</f>
        <v>2894215.785</v>
      </c>
      <c r="AV63" s="157">
        <f>ABS(Assumptions!$D$14*(AV11/30))</f>
        <v>3190880.43</v>
      </c>
      <c r="AW63" s="157">
        <f>ABS(Assumptions!$D$14*(AW11/30))</f>
        <v>3517751.824</v>
      </c>
      <c r="AX63" s="157">
        <f>ABS(Assumptions!$D$14*(AX11/30))</f>
        <v>3879711.35</v>
      </c>
      <c r="AY63" s="157">
        <f>ABS(Assumptions!$D$14*(AY11/30))</f>
        <v>4271831.625</v>
      </c>
      <c r="AZ63" s="157">
        <f>ABS(Assumptions!$D$14*(AZ11/30))</f>
        <v>4716178.606</v>
      </c>
      <c r="BA63" s="105"/>
      <c r="BB63" s="157">
        <f t="shared" si="48"/>
        <v>0</v>
      </c>
      <c r="BC63" s="157">
        <f t="shared" si="49"/>
        <v>0</v>
      </c>
      <c r="BD63" s="157">
        <f t="shared" si="50"/>
        <v>1476059.868</v>
      </c>
      <c r="BE63" s="157">
        <f t="shared" si="51"/>
        <v>4716178.606</v>
      </c>
      <c r="BF63" s="157">
        <f>Assumptions!$D$14/365*BF11</f>
        <v>5781201.737</v>
      </c>
      <c r="BG63" s="39"/>
    </row>
    <row r="64" ht="15.75" customHeight="1">
      <c r="A64" s="105"/>
      <c r="B64" s="157" t="s">
        <v>242</v>
      </c>
      <c r="C64" s="156"/>
      <c r="D64" s="157" t="s">
        <v>201</v>
      </c>
      <c r="E64" s="157"/>
      <c r="F64" s="157"/>
      <c r="G64" s="157"/>
      <c r="H64" s="157"/>
      <c r="I64" s="157"/>
      <c r="J64" s="157"/>
      <c r="K64" s="157"/>
      <c r="L64" s="157"/>
      <c r="M64" s="157">
        <f>ABS(Assumptions!$D$16*(M17/30))</f>
        <v>0</v>
      </c>
      <c r="N64" s="157">
        <f>ABS(Assumptions!$D$16*(N17/30))</f>
        <v>0</v>
      </c>
      <c r="O64" s="157">
        <f>ABS(Assumptions!$D$16*(O17/30))</f>
        <v>0</v>
      </c>
      <c r="P64" s="157">
        <f>ABS(Assumptions!$D$16*(P17/30))</f>
        <v>0</v>
      </c>
      <c r="Q64" s="157">
        <f>ABS(Assumptions!$D$16*(Q17/30))</f>
        <v>0</v>
      </c>
      <c r="R64" s="157">
        <f>ABS(Assumptions!$D$16*(R17/30))</f>
        <v>0</v>
      </c>
      <c r="S64" s="157">
        <f>ABS(Assumptions!$D$16*(S17/30))</f>
        <v>0</v>
      </c>
      <c r="T64" s="157">
        <f>ABS(Assumptions!$D$16*(T17/30))</f>
        <v>0</v>
      </c>
      <c r="U64" s="157">
        <f>ABS(Assumptions!$D$16*(U17/30))</f>
        <v>0</v>
      </c>
      <c r="V64" s="157">
        <f>ABS(Assumptions!$D$16*(V17/30))</f>
        <v>0</v>
      </c>
      <c r="W64" s="157">
        <f>ABS(Assumptions!$D$16*(W17/30))</f>
        <v>0</v>
      </c>
      <c r="X64" s="157">
        <f>ABS(Assumptions!$D$16*(X17/30))</f>
        <v>0</v>
      </c>
      <c r="Y64" s="157">
        <f>ABS(Assumptions!$D$16*(Y17/30))</f>
        <v>0</v>
      </c>
      <c r="Z64" s="157">
        <f>ABS(Assumptions!$D$16*(Z17/30))</f>
        <v>0</v>
      </c>
      <c r="AA64" s="157">
        <f>ABS(Assumptions!$D$16*(AA17/30))</f>
        <v>0</v>
      </c>
      <c r="AB64" s="157">
        <f>ABS(Assumptions!$D$16*(AB17/30))</f>
        <v>0</v>
      </c>
      <c r="AC64" s="157">
        <f>ABS(Assumptions!$D$16*(AC17/30))</f>
        <v>0</v>
      </c>
      <c r="AD64" s="157">
        <f>ABS(Assumptions!$D$16*(AD17/30))</f>
        <v>0</v>
      </c>
      <c r="AE64" s="157">
        <f>ABS(Assumptions!$D$16*(AE17/30))</f>
        <v>0</v>
      </c>
      <c r="AF64" s="157">
        <f>ABS(Assumptions!$D$16*(AF17/30))</f>
        <v>0</v>
      </c>
      <c r="AG64" s="157">
        <f>ABS(Assumptions!$D$16*(AG17/30))</f>
        <v>0</v>
      </c>
      <c r="AH64" s="157">
        <f>ABS(Assumptions!$D$16*(AH17/30))</f>
        <v>0</v>
      </c>
      <c r="AI64" s="157">
        <f>ABS(Assumptions!$D$16*(AI17/30))</f>
        <v>0</v>
      </c>
      <c r="AJ64" s="157">
        <f>ABS(Assumptions!$D$16*(AJ17/30))</f>
        <v>0</v>
      </c>
      <c r="AK64" s="157">
        <f>ABS(Assumptions!$D$16*(AK17/30))</f>
        <v>0</v>
      </c>
      <c r="AL64" s="157">
        <f>ABS(Assumptions!$D$16*(AL17/30))</f>
        <v>0</v>
      </c>
      <c r="AM64" s="157">
        <f>ABS(Assumptions!$D$16*(AM17/30))</f>
        <v>0</v>
      </c>
      <c r="AN64" s="157">
        <f>ABS(Assumptions!$D$16*(AN17/30))</f>
        <v>0</v>
      </c>
      <c r="AO64" s="157">
        <f>ABS(Assumptions!$D$16*(AO17/30))</f>
        <v>0</v>
      </c>
      <c r="AP64" s="157">
        <f>ABS(Assumptions!$D$16*(AP17/30))</f>
        <v>0</v>
      </c>
      <c r="AQ64" s="157">
        <f>ABS(Assumptions!$D$16*(AQ17/30))</f>
        <v>0</v>
      </c>
      <c r="AR64" s="157">
        <f>ABS(Assumptions!$D$16*(AR17/30))</f>
        <v>0</v>
      </c>
      <c r="AS64" s="157">
        <f>ABS(Assumptions!$D$16*(AS17/30))</f>
        <v>0</v>
      </c>
      <c r="AT64" s="157">
        <f>ABS(Assumptions!$D$16*(AT17/30))</f>
        <v>0</v>
      </c>
      <c r="AU64" s="157">
        <f>ABS(Assumptions!$D$16*(AU17/30))</f>
        <v>0</v>
      </c>
      <c r="AV64" s="157">
        <f>ABS(Assumptions!$D$16*(AV17/30))</f>
        <v>0</v>
      </c>
      <c r="AW64" s="157">
        <f>ABS(Assumptions!$D$16*(AW17/30))</f>
        <v>0</v>
      </c>
      <c r="AX64" s="157">
        <f>ABS(Assumptions!$D$16*(AX17/30))</f>
        <v>0</v>
      </c>
      <c r="AY64" s="157">
        <f>ABS(Assumptions!$D$16*(AY17/30))</f>
        <v>0</v>
      </c>
      <c r="AZ64" s="157">
        <f>ABS(Assumptions!$D$16*(AZ17/30))</f>
        <v>0</v>
      </c>
      <c r="BA64" s="105"/>
      <c r="BB64" s="157">
        <f t="shared" si="48"/>
        <v>0</v>
      </c>
      <c r="BC64" s="157">
        <f t="shared" si="49"/>
        <v>0</v>
      </c>
      <c r="BD64" s="157">
        <f t="shared" si="50"/>
        <v>0</v>
      </c>
      <c r="BE64" s="157">
        <f t="shared" si="51"/>
        <v>0</v>
      </c>
      <c r="BF64" s="157">
        <v>0.0</v>
      </c>
      <c r="BG64" s="39"/>
    </row>
    <row r="65" ht="12.75" customHeight="1">
      <c r="A65" s="159"/>
      <c r="B65" s="179" t="s">
        <v>243</v>
      </c>
      <c r="C65" s="180"/>
      <c r="D65" s="181" t="s">
        <v>201</v>
      </c>
      <c r="E65" s="179"/>
      <c r="F65" s="179"/>
      <c r="G65" s="179"/>
      <c r="H65" s="179"/>
      <c r="I65" s="179"/>
      <c r="J65" s="179"/>
      <c r="K65" s="179"/>
      <c r="L65" s="179"/>
      <c r="M65" s="179">
        <f t="shared" ref="M65:AZ65" si="52">sum(M61:M64)</f>
        <v>1160347</v>
      </c>
      <c r="N65" s="179">
        <f t="shared" si="52"/>
        <v>1131023.16</v>
      </c>
      <c r="O65" s="179">
        <f t="shared" si="52"/>
        <v>1145121.16</v>
      </c>
      <c r="P65" s="179">
        <f t="shared" si="52"/>
        <v>961154.874</v>
      </c>
      <c r="Q65" s="179">
        <f t="shared" si="52"/>
        <v>865793.034</v>
      </c>
      <c r="R65" s="179">
        <f t="shared" si="52"/>
        <v>762417.594</v>
      </c>
      <c r="S65" s="179">
        <f t="shared" si="52"/>
        <v>659042.154</v>
      </c>
      <c r="T65" s="179">
        <f t="shared" si="52"/>
        <v>555666.714</v>
      </c>
      <c r="U65" s="179">
        <f t="shared" si="52"/>
        <v>744871.274</v>
      </c>
      <c r="V65" s="179">
        <f t="shared" si="52"/>
        <v>1013308.078</v>
      </c>
      <c r="W65" s="179">
        <f t="shared" si="52"/>
        <v>903996.638</v>
      </c>
      <c r="X65" s="179">
        <f t="shared" si="52"/>
        <v>776877.198</v>
      </c>
      <c r="Y65" s="179">
        <f t="shared" si="52"/>
        <v>643139.118</v>
      </c>
      <c r="Z65" s="179">
        <f t="shared" si="52"/>
        <v>3673625.838</v>
      </c>
      <c r="AA65" s="179">
        <f t="shared" si="52"/>
        <v>3494922.558</v>
      </c>
      <c r="AB65" s="179">
        <f t="shared" si="52"/>
        <v>3349609.278</v>
      </c>
      <c r="AC65" s="179">
        <f t="shared" si="52"/>
        <v>4293880.056</v>
      </c>
      <c r="AD65" s="179">
        <f t="shared" si="52"/>
        <v>4202101.25</v>
      </c>
      <c r="AE65" s="179">
        <f t="shared" si="52"/>
        <v>4107168.3</v>
      </c>
      <c r="AF65" s="179">
        <f t="shared" si="52"/>
        <v>4029310.617</v>
      </c>
      <c r="AG65" s="179">
        <f t="shared" si="52"/>
        <v>3947230.421</v>
      </c>
      <c r="AH65" s="179">
        <f t="shared" si="52"/>
        <v>3863721.646</v>
      </c>
      <c r="AI65" s="179">
        <f t="shared" si="52"/>
        <v>3804091.056</v>
      </c>
      <c r="AJ65" s="179">
        <f t="shared" si="52"/>
        <v>3759432.824</v>
      </c>
      <c r="AK65" s="179">
        <f t="shared" si="52"/>
        <v>3743548.258</v>
      </c>
      <c r="AL65" s="179">
        <f t="shared" si="52"/>
        <v>3757721.739</v>
      </c>
      <c r="AM65" s="179">
        <f t="shared" si="52"/>
        <v>3767829.846</v>
      </c>
      <c r="AN65" s="179">
        <f t="shared" si="52"/>
        <v>3822215.455</v>
      </c>
      <c r="AO65" s="179">
        <f t="shared" si="52"/>
        <v>3546526.032</v>
      </c>
      <c r="AP65" s="179">
        <f t="shared" si="52"/>
        <v>3902355.725</v>
      </c>
      <c r="AQ65" s="179">
        <f t="shared" si="52"/>
        <v>4310869.379</v>
      </c>
      <c r="AR65" s="179">
        <f t="shared" si="52"/>
        <v>4774289.957</v>
      </c>
      <c r="AS65" s="179">
        <f t="shared" si="52"/>
        <v>5328448.55</v>
      </c>
      <c r="AT65" s="179">
        <f t="shared" si="52"/>
        <v>5976086.473</v>
      </c>
      <c r="AU65" s="179">
        <f t="shared" si="52"/>
        <v>6724108.306</v>
      </c>
      <c r="AV65" s="179">
        <f t="shared" si="52"/>
        <v>7569103.773</v>
      </c>
      <c r="AW65" s="179">
        <f t="shared" si="52"/>
        <v>8524996.542</v>
      </c>
      <c r="AX65" s="179">
        <f t="shared" si="52"/>
        <v>9606808.347</v>
      </c>
      <c r="AY65" s="179">
        <f t="shared" si="52"/>
        <v>10810860.72</v>
      </c>
      <c r="AZ65" s="179">
        <f t="shared" si="52"/>
        <v>12218379.03</v>
      </c>
      <c r="BA65" s="105"/>
      <c r="BB65" s="182">
        <f t="shared" si="48"/>
        <v>961154.874</v>
      </c>
      <c r="BC65" s="182">
        <f t="shared" si="49"/>
        <v>3349609.278</v>
      </c>
      <c r="BD65" s="182">
        <f t="shared" si="50"/>
        <v>3822215.455</v>
      </c>
      <c r="BE65" s="182">
        <f t="shared" si="51"/>
        <v>12218379.03</v>
      </c>
      <c r="BF65" s="182">
        <f>BF61+BF63+BF64</f>
        <v>30597212.23</v>
      </c>
      <c r="BG65" s="174"/>
    </row>
    <row r="66" ht="15.75" customHeight="1">
      <c r="A66" s="10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  <c r="AK66" s="156"/>
      <c r="AL66" s="156"/>
      <c r="AM66" s="156"/>
      <c r="AN66" s="156"/>
      <c r="AO66" s="156"/>
      <c r="AP66" s="156"/>
      <c r="AQ66" s="156"/>
      <c r="AR66" s="156"/>
      <c r="AS66" s="156"/>
      <c r="AT66" s="156"/>
      <c r="AU66" s="156"/>
      <c r="AV66" s="156"/>
      <c r="AW66" s="156"/>
      <c r="AX66" s="156"/>
      <c r="AY66" s="156"/>
      <c r="AZ66" s="156"/>
      <c r="BA66" s="105"/>
      <c r="BB66" s="156"/>
      <c r="BC66" s="156"/>
      <c r="BD66" s="156"/>
      <c r="BE66" s="156"/>
      <c r="BF66" s="156"/>
      <c r="BG66" s="105"/>
    </row>
    <row r="67" ht="15.75" customHeight="1">
      <c r="A67" s="105"/>
      <c r="B67" s="157" t="s">
        <v>244</v>
      </c>
      <c r="C67" s="156"/>
      <c r="D67" s="157" t="s">
        <v>201</v>
      </c>
      <c r="E67" s="157"/>
      <c r="F67" s="157"/>
      <c r="G67" s="157"/>
      <c r="H67" s="157"/>
      <c r="I67" s="157"/>
      <c r="J67" s="157"/>
      <c r="K67" s="157"/>
      <c r="L67" s="157"/>
      <c r="M67" s="157">
        <v>0.0</v>
      </c>
      <c r="N67" s="157">
        <v>0.0</v>
      </c>
      <c r="O67" s="157">
        <v>0.0</v>
      </c>
      <c r="P67" s="157">
        <v>0.0</v>
      </c>
      <c r="Q67" s="157">
        <v>0.0</v>
      </c>
      <c r="R67" s="157">
        <v>0.0</v>
      </c>
      <c r="S67" s="157">
        <v>0.0</v>
      </c>
      <c r="T67" s="157">
        <v>0.0</v>
      </c>
      <c r="U67" s="157">
        <v>0.0</v>
      </c>
      <c r="V67" s="157">
        <v>0.0</v>
      </c>
      <c r="W67" s="157">
        <v>0.0</v>
      </c>
      <c r="X67" s="157">
        <v>0.0</v>
      </c>
      <c r="Y67" s="157">
        <v>0.0</v>
      </c>
      <c r="Z67" s="157">
        <v>0.0</v>
      </c>
      <c r="AA67" s="157">
        <v>0.0</v>
      </c>
      <c r="AB67" s="157">
        <v>0.0</v>
      </c>
      <c r="AC67" s="157">
        <v>0.0</v>
      </c>
      <c r="AD67" s="157">
        <v>0.0</v>
      </c>
      <c r="AE67" s="157">
        <v>0.0</v>
      </c>
      <c r="AF67" s="157">
        <v>0.0</v>
      </c>
      <c r="AG67" s="157">
        <v>0.0</v>
      </c>
      <c r="AH67" s="157">
        <v>0.0</v>
      </c>
      <c r="AI67" s="157">
        <v>0.0</v>
      </c>
      <c r="AJ67" s="157">
        <v>0.0</v>
      </c>
      <c r="AK67" s="157">
        <v>0.0</v>
      </c>
      <c r="AL67" s="157">
        <v>0.0</v>
      </c>
      <c r="AM67" s="157">
        <v>0.0</v>
      </c>
      <c r="AN67" s="157">
        <v>0.0</v>
      </c>
      <c r="AO67" s="157">
        <v>0.0</v>
      </c>
      <c r="AP67" s="157">
        <v>0.0</v>
      </c>
      <c r="AQ67" s="157">
        <v>0.0</v>
      </c>
      <c r="AR67" s="157">
        <v>0.0</v>
      </c>
      <c r="AS67" s="157">
        <v>0.0</v>
      </c>
      <c r="AT67" s="157">
        <v>0.0</v>
      </c>
      <c r="AU67" s="157">
        <v>0.0</v>
      </c>
      <c r="AV67" s="157">
        <v>0.0</v>
      </c>
      <c r="AW67" s="157">
        <v>0.0</v>
      </c>
      <c r="AX67" s="157">
        <v>0.0</v>
      </c>
      <c r="AY67" s="157">
        <v>0.0</v>
      </c>
      <c r="AZ67" s="157">
        <v>0.0</v>
      </c>
      <c r="BA67" s="105"/>
      <c r="BB67" s="157">
        <f t="shared" ref="BB67:BB69" si="54">P67</f>
        <v>0</v>
      </c>
      <c r="BC67" s="157">
        <f t="shared" ref="BC67:BC69" si="55">AB67</f>
        <v>0</v>
      </c>
      <c r="BD67" s="157">
        <f t="shared" ref="BD67:BD69" si="56">AN67</f>
        <v>0</v>
      </c>
      <c r="BE67" s="157">
        <f t="shared" ref="BE67:BE69" si="57">AZ67</f>
        <v>0</v>
      </c>
      <c r="BF67" s="157">
        <v>0.0</v>
      </c>
      <c r="BG67" s="39"/>
    </row>
    <row r="68" ht="12.75" customHeight="1">
      <c r="A68" s="159"/>
      <c r="B68" s="179" t="s">
        <v>245</v>
      </c>
      <c r="C68" s="180"/>
      <c r="D68" s="181" t="s">
        <v>201</v>
      </c>
      <c r="E68" s="179"/>
      <c r="F68" s="179"/>
      <c r="G68" s="179"/>
      <c r="H68" s="179"/>
      <c r="I68" s="179"/>
      <c r="J68" s="179"/>
      <c r="K68" s="179"/>
      <c r="L68" s="179"/>
      <c r="M68" s="179">
        <f t="shared" ref="M68:AZ68" si="53">M67</f>
        <v>0</v>
      </c>
      <c r="N68" s="179">
        <f t="shared" si="53"/>
        <v>0</v>
      </c>
      <c r="O68" s="179">
        <f t="shared" si="53"/>
        <v>0</v>
      </c>
      <c r="P68" s="179">
        <f t="shared" si="53"/>
        <v>0</v>
      </c>
      <c r="Q68" s="179">
        <f t="shared" si="53"/>
        <v>0</v>
      </c>
      <c r="R68" s="182">
        <f t="shared" si="53"/>
        <v>0</v>
      </c>
      <c r="S68" s="183">
        <f t="shared" si="53"/>
        <v>0</v>
      </c>
      <c r="T68" s="184">
        <f t="shared" si="53"/>
        <v>0</v>
      </c>
      <c r="U68" s="179">
        <f t="shared" si="53"/>
        <v>0</v>
      </c>
      <c r="V68" s="179">
        <f t="shared" si="53"/>
        <v>0</v>
      </c>
      <c r="W68" s="179">
        <f t="shared" si="53"/>
        <v>0</v>
      </c>
      <c r="X68" s="179">
        <f t="shared" si="53"/>
        <v>0</v>
      </c>
      <c r="Y68" s="179">
        <f t="shared" si="53"/>
        <v>0</v>
      </c>
      <c r="Z68" s="179">
        <f t="shared" si="53"/>
        <v>0</v>
      </c>
      <c r="AA68" s="179">
        <f t="shared" si="53"/>
        <v>0</v>
      </c>
      <c r="AB68" s="179">
        <f t="shared" si="53"/>
        <v>0</v>
      </c>
      <c r="AC68" s="179">
        <f t="shared" si="53"/>
        <v>0</v>
      </c>
      <c r="AD68" s="179">
        <f t="shared" si="53"/>
        <v>0</v>
      </c>
      <c r="AE68" s="179">
        <f t="shared" si="53"/>
        <v>0</v>
      </c>
      <c r="AF68" s="179">
        <f t="shared" si="53"/>
        <v>0</v>
      </c>
      <c r="AG68" s="179">
        <f t="shared" si="53"/>
        <v>0</v>
      </c>
      <c r="AH68" s="179">
        <f t="shared" si="53"/>
        <v>0</v>
      </c>
      <c r="AI68" s="179">
        <f t="shared" si="53"/>
        <v>0</v>
      </c>
      <c r="AJ68" s="179">
        <f t="shared" si="53"/>
        <v>0</v>
      </c>
      <c r="AK68" s="179">
        <f t="shared" si="53"/>
        <v>0</v>
      </c>
      <c r="AL68" s="179">
        <f t="shared" si="53"/>
        <v>0</v>
      </c>
      <c r="AM68" s="179">
        <f t="shared" si="53"/>
        <v>0</v>
      </c>
      <c r="AN68" s="179">
        <f t="shared" si="53"/>
        <v>0</v>
      </c>
      <c r="AO68" s="179">
        <f t="shared" si="53"/>
        <v>0</v>
      </c>
      <c r="AP68" s="179">
        <f t="shared" si="53"/>
        <v>0</v>
      </c>
      <c r="AQ68" s="179">
        <f t="shared" si="53"/>
        <v>0</v>
      </c>
      <c r="AR68" s="179">
        <f t="shared" si="53"/>
        <v>0</v>
      </c>
      <c r="AS68" s="179">
        <f t="shared" si="53"/>
        <v>0</v>
      </c>
      <c r="AT68" s="179">
        <f t="shared" si="53"/>
        <v>0</v>
      </c>
      <c r="AU68" s="179">
        <f t="shared" si="53"/>
        <v>0</v>
      </c>
      <c r="AV68" s="179">
        <f t="shared" si="53"/>
        <v>0</v>
      </c>
      <c r="AW68" s="179">
        <f t="shared" si="53"/>
        <v>0</v>
      </c>
      <c r="AX68" s="179">
        <f t="shared" si="53"/>
        <v>0</v>
      </c>
      <c r="AY68" s="179">
        <f t="shared" si="53"/>
        <v>0</v>
      </c>
      <c r="AZ68" s="182">
        <f t="shared" si="53"/>
        <v>0</v>
      </c>
      <c r="BA68" s="105"/>
      <c r="BB68" s="182">
        <f t="shared" si="54"/>
        <v>0</v>
      </c>
      <c r="BC68" s="182">
        <f t="shared" si="55"/>
        <v>0</v>
      </c>
      <c r="BD68" s="182">
        <f t="shared" si="56"/>
        <v>0</v>
      </c>
      <c r="BE68" s="182">
        <f t="shared" si="57"/>
        <v>0</v>
      </c>
      <c r="BF68" s="182">
        <f>BF67</f>
        <v>0</v>
      </c>
      <c r="BG68" s="174"/>
    </row>
    <row r="69" ht="15.75" customHeight="1">
      <c r="A69" s="167"/>
      <c r="B69" s="168" t="s">
        <v>246</v>
      </c>
      <c r="C69" s="169"/>
      <c r="D69" s="168" t="s">
        <v>201</v>
      </c>
      <c r="E69" s="168"/>
      <c r="F69" s="168"/>
      <c r="G69" s="168"/>
      <c r="H69" s="168"/>
      <c r="I69" s="168"/>
      <c r="J69" s="168"/>
      <c r="K69" s="168"/>
      <c r="L69" s="168"/>
      <c r="M69" s="168">
        <f t="shared" ref="M69:AZ69" si="58">M65+M68</f>
        <v>1160347</v>
      </c>
      <c r="N69" s="168">
        <f t="shared" si="58"/>
        <v>1131023.16</v>
      </c>
      <c r="O69" s="168">
        <f t="shared" si="58"/>
        <v>1145121.16</v>
      </c>
      <c r="P69" s="168">
        <f t="shared" si="58"/>
        <v>961154.874</v>
      </c>
      <c r="Q69" s="168">
        <f t="shared" si="58"/>
        <v>865793.034</v>
      </c>
      <c r="R69" s="168">
        <f t="shared" si="58"/>
        <v>762417.594</v>
      </c>
      <c r="S69" s="168">
        <f t="shared" si="58"/>
        <v>659042.154</v>
      </c>
      <c r="T69" s="168">
        <f t="shared" si="58"/>
        <v>555666.714</v>
      </c>
      <c r="U69" s="168">
        <f t="shared" si="58"/>
        <v>744871.274</v>
      </c>
      <c r="V69" s="168">
        <f t="shared" si="58"/>
        <v>1013308.078</v>
      </c>
      <c r="W69" s="168">
        <f t="shared" si="58"/>
        <v>903996.638</v>
      </c>
      <c r="X69" s="168">
        <f t="shared" si="58"/>
        <v>776877.198</v>
      </c>
      <c r="Y69" s="168">
        <f t="shared" si="58"/>
        <v>643139.118</v>
      </c>
      <c r="Z69" s="168">
        <f t="shared" si="58"/>
        <v>3673625.838</v>
      </c>
      <c r="AA69" s="168">
        <f t="shared" si="58"/>
        <v>3494922.558</v>
      </c>
      <c r="AB69" s="168">
        <f t="shared" si="58"/>
        <v>3349609.278</v>
      </c>
      <c r="AC69" s="168">
        <f t="shared" si="58"/>
        <v>4293880.056</v>
      </c>
      <c r="AD69" s="168">
        <f t="shared" si="58"/>
        <v>4202101.25</v>
      </c>
      <c r="AE69" s="168">
        <f t="shared" si="58"/>
        <v>4107168.3</v>
      </c>
      <c r="AF69" s="168">
        <f t="shared" si="58"/>
        <v>4029310.617</v>
      </c>
      <c r="AG69" s="168">
        <f t="shared" si="58"/>
        <v>3947230.421</v>
      </c>
      <c r="AH69" s="168">
        <f t="shared" si="58"/>
        <v>3863721.646</v>
      </c>
      <c r="AI69" s="168">
        <f t="shared" si="58"/>
        <v>3804091.056</v>
      </c>
      <c r="AJ69" s="168">
        <f t="shared" si="58"/>
        <v>3759432.824</v>
      </c>
      <c r="AK69" s="168">
        <f t="shared" si="58"/>
        <v>3743548.258</v>
      </c>
      <c r="AL69" s="168">
        <f t="shared" si="58"/>
        <v>3757721.739</v>
      </c>
      <c r="AM69" s="168">
        <f t="shared" si="58"/>
        <v>3767829.846</v>
      </c>
      <c r="AN69" s="168">
        <f t="shared" si="58"/>
        <v>3822215.455</v>
      </c>
      <c r="AO69" s="168">
        <f t="shared" si="58"/>
        <v>3546526.032</v>
      </c>
      <c r="AP69" s="168">
        <f t="shared" si="58"/>
        <v>3902355.725</v>
      </c>
      <c r="AQ69" s="168">
        <f t="shared" si="58"/>
        <v>4310869.379</v>
      </c>
      <c r="AR69" s="168">
        <f t="shared" si="58"/>
        <v>4774289.957</v>
      </c>
      <c r="AS69" s="168">
        <f t="shared" si="58"/>
        <v>5328448.55</v>
      </c>
      <c r="AT69" s="168">
        <f t="shared" si="58"/>
        <v>5976086.473</v>
      </c>
      <c r="AU69" s="168">
        <f t="shared" si="58"/>
        <v>6724108.306</v>
      </c>
      <c r="AV69" s="168">
        <f t="shared" si="58"/>
        <v>7569103.773</v>
      </c>
      <c r="AW69" s="168">
        <f t="shared" si="58"/>
        <v>8524996.542</v>
      </c>
      <c r="AX69" s="168">
        <f t="shared" si="58"/>
        <v>9606808.347</v>
      </c>
      <c r="AY69" s="168">
        <f t="shared" si="58"/>
        <v>10810860.72</v>
      </c>
      <c r="AZ69" s="171">
        <f t="shared" si="58"/>
        <v>12218379.03</v>
      </c>
      <c r="BA69" s="170"/>
      <c r="BB69" s="171">
        <f t="shared" si="54"/>
        <v>961154.874</v>
      </c>
      <c r="BC69" s="171">
        <f t="shared" si="55"/>
        <v>3349609.278</v>
      </c>
      <c r="BD69" s="171">
        <f t="shared" si="56"/>
        <v>3822215.455</v>
      </c>
      <c r="BE69" s="171">
        <f t="shared" si="57"/>
        <v>12218379.03</v>
      </c>
      <c r="BF69" s="171">
        <f>BF65+BF68</f>
        <v>30597212.23</v>
      </c>
      <c r="BG69" s="172"/>
    </row>
    <row r="70" ht="15.75" customHeight="1">
      <c r="A70" s="10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  <c r="AK70" s="156"/>
      <c r="AL70" s="156"/>
      <c r="AM70" s="156"/>
      <c r="AN70" s="156"/>
      <c r="AO70" s="156"/>
      <c r="AP70" s="156"/>
      <c r="AQ70" s="156"/>
      <c r="AR70" s="156"/>
      <c r="AS70" s="156"/>
      <c r="AT70" s="156"/>
      <c r="AU70" s="156"/>
      <c r="AV70" s="156"/>
      <c r="AW70" s="156"/>
      <c r="AX70" s="156"/>
      <c r="AY70" s="156"/>
      <c r="AZ70" s="156"/>
      <c r="BA70" s="105"/>
      <c r="BB70" s="156"/>
      <c r="BC70" s="156"/>
      <c r="BD70" s="156"/>
      <c r="BE70" s="156"/>
      <c r="BF70" s="156"/>
      <c r="BG70" s="105"/>
    </row>
    <row r="71" ht="13.5" customHeight="1">
      <c r="A71" s="159"/>
      <c r="B71" s="160" t="s">
        <v>247</v>
      </c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2"/>
      <c r="S71" s="163"/>
      <c r="T71" s="164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161"/>
      <c r="AM71" s="161"/>
      <c r="AN71" s="161"/>
      <c r="AO71" s="161"/>
      <c r="AP71" s="161"/>
      <c r="AQ71" s="161"/>
      <c r="AR71" s="161"/>
      <c r="AS71" s="161"/>
      <c r="AT71" s="161"/>
      <c r="AU71" s="161"/>
      <c r="AV71" s="161"/>
      <c r="AW71" s="161"/>
      <c r="AX71" s="161"/>
      <c r="AY71" s="161"/>
      <c r="AZ71" s="162"/>
      <c r="BA71" s="105"/>
      <c r="BB71" s="162"/>
      <c r="BC71" s="162"/>
      <c r="BD71" s="162"/>
      <c r="BE71" s="162"/>
      <c r="BF71" s="162"/>
      <c r="BG71" s="105"/>
    </row>
    <row r="72" ht="15.75" customHeight="1">
      <c r="A72" s="105"/>
      <c r="B72" s="157" t="s">
        <v>248</v>
      </c>
      <c r="C72" s="156"/>
      <c r="D72" s="157" t="s">
        <v>201</v>
      </c>
      <c r="E72" s="157"/>
      <c r="F72" s="157"/>
      <c r="G72" s="157"/>
      <c r="H72" s="157"/>
      <c r="I72" s="157"/>
      <c r="J72" s="157"/>
      <c r="K72" s="157"/>
      <c r="L72" s="157"/>
      <c r="M72" s="157">
        <f>ABS(Assumptions!$D$15*(M17/30))</f>
        <v>0</v>
      </c>
      <c r="N72" s="157">
        <f>ABS(Assumptions!$D$15*(N17/30))</f>
        <v>0</v>
      </c>
      <c r="O72" s="157">
        <f>ABS(Assumptions!$D$15*(O17/30))</f>
        <v>0</v>
      </c>
      <c r="P72" s="157">
        <f>ABS(Assumptions!$D$15*(P17/30))</f>
        <v>0</v>
      </c>
      <c r="Q72" s="157">
        <f>ABS(Assumptions!$D$15*(Q17/30))</f>
        <v>0</v>
      </c>
      <c r="R72" s="157">
        <f>ABS(Assumptions!$D$15*(R17/30))</f>
        <v>0</v>
      </c>
      <c r="S72" s="157">
        <f>ABS(Assumptions!$D$15*(S17/30))</f>
        <v>0</v>
      </c>
      <c r="T72" s="157">
        <f>ABS(Assumptions!$D$15*(T17/30))</f>
        <v>0</v>
      </c>
      <c r="U72" s="157">
        <f>ABS(Assumptions!$D$15*(U17/30))</f>
        <v>0</v>
      </c>
      <c r="V72" s="157">
        <f>ABS(Assumptions!$D$15*(V17/30))</f>
        <v>0</v>
      </c>
      <c r="W72" s="157">
        <f>ABS(Assumptions!$D$15*(W17/30))</f>
        <v>0</v>
      </c>
      <c r="X72" s="157">
        <f>ABS(Assumptions!$D$15*(X17/30))</f>
        <v>0</v>
      </c>
      <c r="Y72" s="157">
        <f>ABS(Assumptions!$D$15*(Y17/30))</f>
        <v>0</v>
      </c>
      <c r="Z72" s="157">
        <f>ABS(Assumptions!$D$15*(Z17/30))</f>
        <v>0</v>
      </c>
      <c r="AA72" s="157">
        <f>ABS(Assumptions!$D$15*(AA17/30))</f>
        <v>0</v>
      </c>
      <c r="AB72" s="157">
        <f>ABS(Assumptions!$D$15*(AB17/30))</f>
        <v>0</v>
      </c>
      <c r="AC72" s="157">
        <f>ABS(Assumptions!$D$15*(AC17/30))</f>
        <v>1160047.44</v>
      </c>
      <c r="AD72" s="157">
        <f>ABS(Assumptions!$D$15*(AD17/30))</f>
        <v>1287199.44</v>
      </c>
      <c r="AE72" s="157">
        <f>ABS(Assumptions!$D$15*(AE17/30))</f>
        <v>1414351.44</v>
      </c>
      <c r="AF72" s="157">
        <f>ABS(Assumptions!$D$15*(AF17/30))</f>
        <v>1562801.22</v>
      </c>
      <c r="AG72" s="157">
        <f>ABS(Assumptions!$D$15*(AG17/30))</f>
        <v>1711251</v>
      </c>
      <c r="AH72" s="157">
        <f>ABS(Assumptions!$D$15*(AH17/30))</f>
        <v>1866588.48</v>
      </c>
      <c r="AI72" s="157">
        <f>ABS(Assumptions!$D$15*(AI17/30))</f>
        <v>2050111.44</v>
      </c>
      <c r="AJ72" s="157">
        <f>ABS(Assumptions!$D$15*(AJ17/30))</f>
        <v>2254932.18</v>
      </c>
      <c r="AK72" s="157">
        <f>ABS(Assumptions!$D$15*(AK17/30))</f>
        <v>2481050.7</v>
      </c>
      <c r="AL72" s="157">
        <f>ABS(Assumptions!$D$15*(AL17/30))</f>
        <v>2742242.4</v>
      </c>
      <c r="AM72" s="157">
        <f>ABS(Assumptions!$D$15*(AM17/30))</f>
        <v>3003434.1</v>
      </c>
      <c r="AN72" s="157">
        <f>ABS(Assumptions!$D$15*(AN17/30))</f>
        <v>3314109.06</v>
      </c>
      <c r="AO72" s="157">
        <f>ABS(Assumptions!$D$15*(AO17/30))</f>
        <v>3004308.504</v>
      </c>
      <c r="AP72" s="157">
        <f>ABS(Assumptions!$D$15*(AP17/30))</f>
        <v>3310427.028</v>
      </c>
      <c r="AQ72" s="157">
        <f>ABS(Assumptions!$D$15*(AQ17/30))</f>
        <v>3640351.818</v>
      </c>
      <c r="AR72" s="157">
        <f>ABS(Assumptions!$D$15*(AR17/30))</f>
        <v>3994130.574</v>
      </c>
      <c r="AS72" s="157">
        <f>ABS(Assumptions!$D$15*(AS17/30))</f>
        <v>4402409.562</v>
      </c>
      <c r="AT72" s="157">
        <f>ABS(Assumptions!$D$15*(AT17/30))</f>
        <v>4844573.382</v>
      </c>
      <c r="AU72" s="157">
        <f>ABS(Assumptions!$D$15*(AU17/30))</f>
        <v>5341332.834</v>
      </c>
      <c r="AV72" s="157">
        <f>ABS(Assumptions!$D$15*(AV17/30))</f>
        <v>5885752.518</v>
      </c>
      <c r="AW72" s="157">
        <f>ABS(Assumptions!$D$15*(AW17/30))</f>
        <v>6484720.134</v>
      </c>
      <c r="AX72" s="157">
        <f>ABS(Assumptions!$D$15*(AX17/30))</f>
        <v>7148361.948</v>
      </c>
      <c r="AY72" s="157">
        <f>ABS(Assumptions!$D$15*(AY17/30))</f>
        <v>7866503.994</v>
      </c>
      <c r="AZ72" s="157">
        <f>ABS(Assumptions!$D$15*(AZ17/30))</f>
        <v>8680014.204</v>
      </c>
      <c r="BA72" s="105"/>
      <c r="BB72" s="157">
        <f t="shared" ref="BB72:BB73" si="60">P72</f>
        <v>0</v>
      </c>
      <c r="BC72" s="157">
        <f t="shared" ref="BC72:BC73" si="61">AB72</f>
        <v>0</v>
      </c>
      <c r="BD72" s="157">
        <f t="shared" ref="BD72:BD73" si="62">AN72</f>
        <v>3314109.06</v>
      </c>
      <c r="BE72" s="157">
        <f t="shared" ref="BE72:BE73" si="63">AZ72</f>
        <v>8680014.204</v>
      </c>
      <c r="BF72" s="157">
        <f>Assumptions!$D$15/365*BF17</f>
        <v>8876736.986</v>
      </c>
      <c r="BG72" s="39"/>
    </row>
    <row r="73" ht="12.75" customHeight="1">
      <c r="A73" s="159"/>
      <c r="B73" s="179" t="s">
        <v>249</v>
      </c>
      <c r="C73" s="180"/>
      <c r="D73" s="181" t="s">
        <v>201</v>
      </c>
      <c r="E73" s="179"/>
      <c r="F73" s="179"/>
      <c r="G73" s="179"/>
      <c r="H73" s="179"/>
      <c r="I73" s="179"/>
      <c r="J73" s="179"/>
      <c r="K73" s="179"/>
      <c r="L73" s="179"/>
      <c r="M73" s="179">
        <f t="shared" ref="M73:AZ73" si="59">sum(M72)</f>
        <v>0</v>
      </c>
      <c r="N73" s="179">
        <f t="shared" si="59"/>
        <v>0</v>
      </c>
      <c r="O73" s="179">
        <f t="shared" si="59"/>
        <v>0</v>
      </c>
      <c r="P73" s="179">
        <f t="shared" si="59"/>
        <v>0</v>
      </c>
      <c r="Q73" s="179">
        <f t="shared" si="59"/>
        <v>0</v>
      </c>
      <c r="R73" s="179">
        <f t="shared" si="59"/>
        <v>0</v>
      </c>
      <c r="S73" s="179">
        <f t="shared" si="59"/>
        <v>0</v>
      </c>
      <c r="T73" s="179">
        <f t="shared" si="59"/>
        <v>0</v>
      </c>
      <c r="U73" s="179">
        <f t="shared" si="59"/>
        <v>0</v>
      </c>
      <c r="V73" s="179">
        <f t="shared" si="59"/>
        <v>0</v>
      </c>
      <c r="W73" s="179">
        <f t="shared" si="59"/>
        <v>0</v>
      </c>
      <c r="X73" s="179">
        <f t="shared" si="59"/>
        <v>0</v>
      </c>
      <c r="Y73" s="179">
        <f t="shared" si="59"/>
        <v>0</v>
      </c>
      <c r="Z73" s="179">
        <f t="shared" si="59"/>
        <v>0</v>
      </c>
      <c r="AA73" s="179">
        <f t="shared" si="59"/>
        <v>0</v>
      </c>
      <c r="AB73" s="179">
        <f t="shared" si="59"/>
        <v>0</v>
      </c>
      <c r="AC73" s="179">
        <f t="shared" si="59"/>
        <v>1160047.44</v>
      </c>
      <c r="AD73" s="179">
        <f t="shared" si="59"/>
        <v>1287199.44</v>
      </c>
      <c r="AE73" s="179">
        <f t="shared" si="59"/>
        <v>1414351.44</v>
      </c>
      <c r="AF73" s="179">
        <f t="shared" si="59"/>
        <v>1562801.22</v>
      </c>
      <c r="AG73" s="179">
        <f t="shared" si="59"/>
        <v>1711251</v>
      </c>
      <c r="AH73" s="179">
        <f t="shared" si="59"/>
        <v>1866588.48</v>
      </c>
      <c r="AI73" s="179">
        <f t="shared" si="59"/>
        <v>2050111.44</v>
      </c>
      <c r="AJ73" s="179">
        <f t="shared" si="59"/>
        <v>2254932.18</v>
      </c>
      <c r="AK73" s="179">
        <f t="shared" si="59"/>
        <v>2481050.7</v>
      </c>
      <c r="AL73" s="179">
        <f t="shared" si="59"/>
        <v>2742242.4</v>
      </c>
      <c r="AM73" s="179">
        <f t="shared" si="59"/>
        <v>3003434.1</v>
      </c>
      <c r="AN73" s="179">
        <f t="shared" si="59"/>
        <v>3314109.06</v>
      </c>
      <c r="AO73" s="179">
        <f t="shared" si="59"/>
        <v>3004308.504</v>
      </c>
      <c r="AP73" s="179">
        <f t="shared" si="59"/>
        <v>3310427.028</v>
      </c>
      <c r="AQ73" s="179">
        <f t="shared" si="59"/>
        <v>3640351.818</v>
      </c>
      <c r="AR73" s="179">
        <f t="shared" si="59"/>
        <v>3994130.574</v>
      </c>
      <c r="AS73" s="179">
        <f t="shared" si="59"/>
        <v>4402409.562</v>
      </c>
      <c r="AT73" s="179">
        <f t="shared" si="59"/>
        <v>4844573.382</v>
      </c>
      <c r="AU73" s="179">
        <f t="shared" si="59"/>
        <v>5341332.834</v>
      </c>
      <c r="AV73" s="179">
        <f t="shared" si="59"/>
        <v>5885752.518</v>
      </c>
      <c r="AW73" s="179">
        <f t="shared" si="59"/>
        <v>6484720.134</v>
      </c>
      <c r="AX73" s="179">
        <f t="shared" si="59"/>
        <v>7148361.948</v>
      </c>
      <c r="AY73" s="179">
        <f t="shared" si="59"/>
        <v>7866503.994</v>
      </c>
      <c r="AZ73" s="179">
        <f t="shared" si="59"/>
        <v>8680014.204</v>
      </c>
      <c r="BA73" s="105"/>
      <c r="BB73" s="182">
        <f t="shared" si="60"/>
        <v>0</v>
      </c>
      <c r="BC73" s="182">
        <f t="shared" si="61"/>
        <v>0</v>
      </c>
      <c r="BD73" s="182">
        <f t="shared" si="62"/>
        <v>3314109.06</v>
      </c>
      <c r="BE73" s="182">
        <f t="shared" si="63"/>
        <v>8680014.204</v>
      </c>
      <c r="BF73" s="182">
        <f>BF72</f>
        <v>8876736.986</v>
      </c>
      <c r="BG73" s="174"/>
    </row>
    <row r="74" ht="15.75" customHeight="1">
      <c r="A74" s="10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6"/>
      <c r="AP74" s="156"/>
      <c r="AQ74" s="156"/>
      <c r="AR74" s="156"/>
      <c r="AS74" s="156"/>
      <c r="AT74" s="156"/>
      <c r="AU74" s="156"/>
      <c r="AV74" s="156"/>
      <c r="AW74" s="156"/>
      <c r="AX74" s="156"/>
      <c r="AY74" s="156"/>
      <c r="AZ74" s="156"/>
      <c r="BA74" s="105"/>
      <c r="BB74" s="156"/>
      <c r="BC74" s="156"/>
      <c r="BD74" s="156"/>
      <c r="BE74" s="156"/>
      <c r="BF74" s="156"/>
      <c r="BG74" s="105"/>
    </row>
    <row r="75" ht="15.75" customHeight="1">
      <c r="A75" s="105"/>
      <c r="B75" s="157" t="s">
        <v>250</v>
      </c>
      <c r="C75" s="156"/>
      <c r="D75" s="157" t="s">
        <v>201</v>
      </c>
      <c r="E75" s="157"/>
      <c r="F75" s="157"/>
      <c r="G75" s="157"/>
      <c r="H75" s="157"/>
      <c r="I75" s="157"/>
      <c r="J75" s="157"/>
      <c r="K75" s="157"/>
      <c r="L75" s="157"/>
      <c r="M75" s="157">
        <v>0.0</v>
      </c>
      <c r="N75" s="157">
        <v>0.0</v>
      </c>
      <c r="O75" s="157">
        <v>0.0</v>
      </c>
      <c r="P75" s="157">
        <v>0.0</v>
      </c>
      <c r="Q75" s="157">
        <v>0.0</v>
      </c>
      <c r="R75" s="157">
        <v>0.0</v>
      </c>
      <c r="S75" s="157">
        <v>0.0</v>
      </c>
      <c r="T75" s="157">
        <v>0.0</v>
      </c>
      <c r="U75" s="157">
        <v>0.0</v>
      </c>
      <c r="V75" s="157">
        <v>0.0</v>
      </c>
      <c r="W75" s="157">
        <v>0.0</v>
      </c>
      <c r="X75" s="157">
        <v>0.0</v>
      </c>
      <c r="Y75" s="157">
        <v>0.0</v>
      </c>
      <c r="Z75" s="157">
        <v>0.0</v>
      </c>
      <c r="AA75" s="157">
        <v>0.0</v>
      </c>
      <c r="AB75" s="157">
        <v>0.0</v>
      </c>
      <c r="AC75" s="157">
        <v>0.0</v>
      </c>
      <c r="AD75" s="157">
        <v>0.0</v>
      </c>
      <c r="AE75" s="157">
        <v>0.0</v>
      </c>
      <c r="AF75" s="157">
        <v>0.0</v>
      </c>
      <c r="AG75" s="157">
        <v>0.0</v>
      </c>
      <c r="AH75" s="157">
        <v>0.0</v>
      </c>
      <c r="AI75" s="157">
        <v>0.0</v>
      </c>
      <c r="AJ75" s="157">
        <v>0.0</v>
      </c>
      <c r="AK75" s="157">
        <v>0.0</v>
      </c>
      <c r="AL75" s="157">
        <v>0.0</v>
      </c>
      <c r="AM75" s="157">
        <v>0.0</v>
      </c>
      <c r="AN75" s="157">
        <v>0.0</v>
      </c>
      <c r="AO75" s="157">
        <v>0.0</v>
      </c>
      <c r="AP75" s="157">
        <v>0.0</v>
      </c>
      <c r="AQ75" s="157">
        <v>0.0</v>
      </c>
      <c r="AR75" s="157">
        <v>0.0</v>
      </c>
      <c r="AS75" s="157">
        <v>0.0</v>
      </c>
      <c r="AT75" s="157">
        <v>0.0</v>
      </c>
      <c r="AU75" s="157">
        <v>0.0</v>
      </c>
      <c r="AV75" s="157">
        <v>0.0</v>
      </c>
      <c r="AW75" s="157">
        <v>0.0</v>
      </c>
      <c r="AX75" s="157">
        <v>0.0</v>
      </c>
      <c r="AY75" s="157">
        <v>0.0</v>
      </c>
      <c r="AZ75" s="157">
        <v>0.0</v>
      </c>
      <c r="BA75" s="105"/>
      <c r="BB75" s="157">
        <f>P75</f>
        <v>0</v>
      </c>
      <c r="BC75" s="157">
        <f t="shared" ref="BC75:BC77" si="65">AB75</f>
        <v>0</v>
      </c>
      <c r="BD75" s="157">
        <f t="shared" ref="BD75:BD77" si="66">AN75</f>
        <v>0</v>
      </c>
      <c r="BE75" s="157">
        <f t="shared" ref="BE75:BE77" si="67">AZ75</f>
        <v>0</v>
      </c>
      <c r="BF75" s="157">
        <v>0.0</v>
      </c>
      <c r="BG75" s="39"/>
    </row>
    <row r="76" ht="15.75" customHeight="1">
      <c r="A76" s="105"/>
      <c r="B76" s="157" t="s">
        <v>232</v>
      </c>
      <c r="C76" s="156"/>
      <c r="D76" s="157" t="s">
        <v>201</v>
      </c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>
        <v>0.0</v>
      </c>
      <c r="R76" s="157">
        <v>0.0</v>
      </c>
      <c r="S76" s="157">
        <v>0.0</v>
      </c>
      <c r="T76" s="157">
        <v>0.0</v>
      </c>
      <c r="U76" s="157">
        <v>0.0</v>
      </c>
      <c r="V76" s="157">
        <f>V52</f>
        <v>300000</v>
      </c>
      <c r="W76" s="157">
        <f t="shared" ref="W76:Y76" si="64">V76</f>
        <v>300000</v>
      </c>
      <c r="X76" s="157">
        <f t="shared" si="64"/>
        <v>300000</v>
      </c>
      <c r="Y76" s="157">
        <f t="shared" si="64"/>
        <v>300000</v>
      </c>
      <c r="Z76" s="157">
        <v>0.0</v>
      </c>
      <c r="AA76" s="157">
        <v>0.0</v>
      </c>
      <c r="AB76" s="157">
        <v>0.0</v>
      </c>
      <c r="AC76" s="157">
        <v>0.0</v>
      </c>
      <c r="AD76" s="157">
        <v>0.0</v>
      </c>
      <c r="AE76" s="157">
        <v>0.0</v>
      </c>
      <c r="AF76" s="157">
        <v>0.0</v>
      </c>
      <c r="AG76" s="157">
        <v>0.0</v>
      </c>
      <c r="AH76" s="157">
        <v>0.0</v>
      </c>
      <c r="AI76" s="157">
        <v>0.0</v>
      </c>
      <c r="AJ76" s="157">
        <v>0.0</v>
      </c>
      <c r="AK76" s="157">
        <v>0.0</v>
      </c>
      <c r="AL76" s="157">
        <v>0.0</v>
      </c>
      <c r="AM76" s="157">
        <v>0.0</v>
      </c>
      <c r="AN76" s="157">
        <v>0.0</v>
      </c>
      <c r="AO76" s="157">
        <v>0.0</v>
      </c>
      <c r="AP76" s="157">
        <v>0.0</v>
      </c>
      <c r="AQ76" s="157">
        <v>0.0</v>
      </c>
      <c r="AR76" s="157">
        <v>0.0</v>
      </c>
      <c r="AS76" s="157">
        <v>0.0</v>
      </c>
      <c r="AT76" s="157">
        <v>0.0</v>
      </c>
      <c r="AU76" s="157">
        <v>0.0</v>
      </c>
      <c r="AV76" s="157">
        <v>0.0</v>
      </c>
      <c r="AW76" s="157">
        <v>0.0</v>
      </c>
      <c r="AX76" s="157">
        <v>0.0</v>
      </c>
      <c r="AY76" s="157">
        <v>0.0</v>
      </c>
      <c r="AZ76" s="157">
        <v>0.0</v>
      </c>
      <c r="BA76" s="105"/>
      <c r="BB76" s="157">
        <v>0.0</v>
      </c>
      <c r="BC76" s="157">
        <f t="shared" si="65"/>
        <v>0</v>
      </c>
      <c r="BD76" s="157">
        <f t="shared" si="66"/>
        <v>0</v>
      </c>
      <c r="BE76" s="157">
        <f t="shared" si="67"/>
        <v>0</v>
      </c>
      <c r="BF76" s="157">
        <v>0.0</v>
      </c>
      <c r="BG76" s="39"/>
    </row>
    <row r="77" ht="12.75" customHeight="1">
      <c r="A77" s="159"/>
      <c r="B77" s="179" t="s">
        <v>251</v>
      </c>
      <c r="C77" s="180"/>
      <c r="D77" s="181" t="s">
        <v>201</v>
      </c>
      <c r="E77" s="179"/>
      <c r="F77" s="179"/>
      <c r="G77" s="179"/>
      <c r="H77" s="179"/>
      <c r="I77" s="179"/>
      <c r="J77" s="179"/>
      <c r="K77" s="179"/>
      <c r="L77" s="179"/>
      <c r="M77" s="179">
        <f t="shared" ref="M77:P77" si="68">M75</f>
        <v>0</v>
      </c>
      <c r="N77" s="179">
        <f t="shared" si="68"/>
        <v>0</v>
      </c>
      <c r="O77" s="179">
        <f t="shared" si="68"/>
        <v>0</v>
      </c>
      <c r="P77" s="179">
        <f t="shared" si="68"/>
        <v>0</v>
      </c>
      <c r="Q77" s="179">
        <f t="shared" ref="Q77:AZ77" si="69">Q75+Q76</f>
        <v>0</v>
      </c>
      <c r="R77" s="179">
        <f t="shared" si="69"/>
        <v>0</v>
      </c>
      <c r="S77" s="179">
        <f t="shared" si="69"/>
        <v>0</v>
      </c>
      <c r="T77" s="179">
        <f t="shared" si="69"/>
        <v>0</v>
      </c>
      <c r="U77" s="179">
        <f t="shared" si="69"/>
        <v>0</v>
      </c>
      <c r="V77" s="179">
        <f t="shared" si="69"/>
        <v>300000</v>
      </c>
      <c r="W77" s="179">
        <f t="shared" si="69"/>
        <v>300000</v>
      </c>
      <c r="X77" s="179">
        <f t="shared" si="69"/>
        <v>300000</v>
      </c>
      <c r="Y77" s="179">
        <f t="shared" si="69"/>
        <v>300000</v>
      </c>
      <c r="Z77" s="179">
        <f t="shared" si="69"/>
        <v>0</v>
      </c>
      <c r="AA77" s="179">
        <f t="shared" si="69"/>
        <v>0</v>
      </c>
      <c r="AB77" s="179">
        <f t="shared" si="69"/>
        <v>0</v>
      </c>
      <c r="AC77" s="179">
        <f t="shared" si="69"/>
        <v>0</v>
      </c>
      <c r="AD77" s="179">
        <f t="shared" si="69"/>
        <v>0</v>
      </c>
      <c r="AE77" s="179">
        <f t="shared" si="69"/>
        <v>0</v>
      </c>
      <c r="AF77" s="179">
        <f t="shared" si="69"/>
        <v>0</v>
      </c>
      <c r="AG77" s="179">
        <f t="shared" si="69"/>
        <v>0</v>
      </c>
      <c r="AH77" s="179">
        <f t="shared" si="69"/>
        <v>0</v>
      </c>
      <c r="AI77" s="179">
        <f t="shared" si="69"/>
        <v>0</v>
      </c>
      <c r="AJ77" s="179">
        <f t="shared" si="69"/>
        <v>0</v>
      </c>
      <c r="AK77" s="179">
        <f t="shared" si="69"/>
        <v>0</v>
      </c>
      <c r="AL77" s="179">
        <f t="shared" si="69"/>
        <v>0</v>
      </c>
      <c r="AM77" s="179">
        <f t="shared" si="69"/>
        <v>0</v>
      </c>
      <c r="AN77" s="179">
        <f t="shared" si="69"/>
        <v>0</v>
      </c>
      <c r="AO77" s="179">
        <f t="shared" si="69"/>
        <v>0</v>
      </c>
      <c r="AP77" s="179">
        <f t="shared" si="69"/>
        <v>0</v>
      </c>
      <c r="AQ77" s="179">
        <f t="shared" si="69"/>
        <v>0</v>
      </c>
      <c r="AR77" s="179">
        <f t="shared" si="69"/>
        <v>0</v>
      </c>
      <c r="AS77" s="179">
        <f t="shared" si="69"/>
        <v>0</v>
      </c>
      <c r="AT77" s="179">
        <f t="shared" si="69"/>
        <v>0</v>
      </c>
      <c r="AU77" s="179">
        <f t="shared" si="69"/>
        <v>0</v>
      </c>
      <c r="AV77" s="179">
        <f t="shared" si="69"/>
        <v>0</v>
      </c>
      <c r="AW77" s="179">
        <f t="shared" si="69"/>
        <v>0</v>
      </c>
      <c r="AX77" s="179">
        <f t="shared" si="69"/>
        <v>0</v>
      </c>
      <c r="AY77" s="179">
        <f t="shared" si="69"/>
        <v>0</v>
      </c>
      <c r="AZ77" s="179">
        <f t="shared" si="69"/>
        <v>0</v>
      </c>
      <c r="BA77" s="105"/>
      <c r="BB77" s="182">
        <f>P77</f>
        <v>0</v>
      </c>
      <c r="BC77" s="182">
        <f t="shared" si="65"/>
        <v>0</v>
      </c>
      <c r="BD77" s="182">
        <f t="shared" si="66"/>
        <v>0</v>
      </c>
      <c r="BE77" s="182">
        <f t="shared" si="67"/>
        <v>0</v>
      </c>
      <c r="BF77" s="182">
        <f>sum(BF75:BF76)</f>
        <v>0</v>
      </c>
      <c r="BG77" s="174"/>
    </row>
    <row r="78" ht="15.75" customHeight="1">
      <c r="A78" s="10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  <c r="AR78" s="156"/>
      <c r="AS78" s="156"/>
      <c r="AT78" s="156"/>
      <c r="AU78" s="156"/>
      <c r="AV78" s="156"/>
      <c r="AW78" s="156"/>
      <c r="AX78" s="156"/>
      <c r="AY78" s="156"/>
      <c r="AZ78" s="156"/>
      <c r="BA78" s="105"/>
      <c r="BB78" s="156"/>
      <c r="BC78" s="156"/>
      <c r="BD78" s="156"/>
      <c r="BE78" s="156"/>
      <c r="BF78" s="156"/>
      <c r="BG78" s="105"/>
    </row>
    <row r="79" ht="15.75" customHeight="1">
      <c r="A79" s="105"/>
      <c r="B79" s="157" t="s">
        <v>252</v>
      </c>
      <c r="C79" s="156"/>
      <c r="D79" s="157" t="s">
        <v>201</v>
      </c>
      <c r="E79" s="157"/>
      <c r="F79" s="157"/>
      <c r="G79" s="157"/>
      <c r="H79" s="157"/>
      <c r="I79" s="157"/>
      <c r="J79" s="157"/>
      <c r="K79" s="157"/>
      <c r="L79" s="157"/>
      <c r="M79" s="157">
        <f>M56</f>
        <v>1111108</v>
      </c>
      <c r="N79" s="157">
        <f t="shared" ref="N79:Y79" si="70">M79</f>
        <v>1111108</v>
      </c>
      <c r="O79" s="157">
        <f t="shared" si="70"/>
        <v>1111108</v>
      </c>
      <c r="P79" s="157">
        <f t="shared" si="70"/>
        <v>1111108</v>
      </c>
      <c r="Q79" s="157">
        <f t="shared" si="70"/>
        <v>1111108</v>
      </c>
      <c r="R79" s="157">
        <f t="shared" si="70"/>
        <v>1111108</v>
      </c>
      <c r="S79" s="157">
        <f t="shared" si="70"/>
        <v>1111108</v>
      </c>
      <c r="T79" s="157">
        <f t="shared" si="70"/>
        <v>1111108</v>
      </c>
      <c r="U79" s="157">
        <f t="shared" si="70"/>
        <v>1111108</v>
      </c>
      <c r="V79" s="157">
        <f t="shared" si="70"/>
        <v>1111108</v>
      </c>
      <c r="W79" s="157">
        <f t="shared" si="70"/>
        <v>1111108</v>
      </c>
      <c r="X79" s="157">
        <f t="shared" si="70"/>
        <v>1111108</v>
      </c>
      <c r="Y79" s="157">
        <f t="shared" si="70"/>
        <v>1111108</v>
      </c>
      <c r="Z79" s="157">
        <f>Y79+Y76</f>
        <v>1411108</v>
      </c>
      <c r="AA79" s="157">
        <f t="shared" ref="AA79:AZ79" si="71">Z79</f>
        <v>1411108</v>
      </c>
      <c r="AB79" s="157">
        <f t="shared" si="71"/>
        <v>1411108</v>
      </c>
      <c r="AC79" s="157">
        <f t="shared" si="71"/>
        <v>1411108</v>
      </c>
      <c r="AD79" s="157">
        <f t="shared" si="71"/>
        <v>1411108</v>
      </c>
      <c r="AE79" s="157">
        <f t="shared" si="71"/>
        <v>1411108</v>
      </c>
      <c r="AF79" s="157">
        <f t="shared" si="71"/>
        <v>1411108</v>
      </c>
      <c r="AG79" s="157">
        <f t="shared" si="71"/>
        <v>1411108</v>
      </c>
      <c r="AH79" s="157">
        <f t="shared" si="71"/>
        <v>1411108</v>
      </c>
      <c r="AI79" s="157">
        <f t="shared" si="71"/>
        <v>1411108</v>
      </c>
      <c r="AJ79" s="157">
        <f t="shared" si="71"/>
        <v>1411108</v>
      </c>
      <c r="AK79" s="157">
        <f t="shared" si="71"/>
        <v>1411108</v>
      </c>
      <c r="AL79" s="157">
        <f t="shared" si="71"/>
        <v>1411108</v>
      </c>
      <c r="AM79" s="157">
        <f t="shared" si="71"/>
        <v>1411108</v>
      </c>
      <c r="AN79" s="157">
        <f t="shared" si="71"/>
        <v>1411108</v>
      </c>
      <c r="AO79" s="157">
        <f t="shared" si="71"/>
        <v>1411108</v>
      </c>
      <c r="AP79" s="157">
        <f t="shared" si="71"/>
        <v>1411108</v>
      </c>
      <c r="AQ79" s="157">
        <f t="shared" si="71"/>
        <v>1411108</v>
      </c>
      <c r="AR79" s="157">
        <f t="shared" si="71"/>
        <v>1411108</v>
      </c>
      <c r="AS79" s="157">
        <f t="shared" si="71"/>
        <v>1411108</v>
      </c>
      <c r="AT79" s="157">
        <f t="shared" si="71"/>
        <v>1411108</v>
      </c>
      <c r="AU79" s="157">
        <f t="shared" si="71"/>
        <v>1411108</v>
      </c>
      <c r="AV79" s="157">
        <f t="shared" si="71"/>
        <v>1411108</v>
      </c>
      <c r="AW79" s="157">
        <f t="shared" si="71"/>
        <v>1411108</v>
      </c>
      <c r="AX79" s="157">
        <f t="shared" si="71"/>
        <v>1411108</v>
      </c>
      <c r="AY79" s="157">
        <f t="shared" si="71"/>
        <v>1411108</v>
      </c>
      <c r="AZ79" s="157">
        <f t="shared" si="71"/>
        <v>1411108</v>
      </c>
      <c r="BA79" s="105"/>
      <c r="BB79" s="157">
        <f t="shared" ref="BB79:BB83" si="73">P79</f>
        <v>1111108</v>
      </c>
      <c r="BC79" s="157">
        <f t="shared" ref="BC79:BC83" si="74">AB79</f>
        <v>1411108</v>
      </c>
      <c r="BD79" s="157">
        <f t="shared" ref="BD79:BD83" si="75">AN79</f>
        <v>1411108</v>
      </c>
      <c r="BE79" s="157">
        <f t="shared" ref="BE79:BE83" si="76">AZ79</f>
        <v>1411108</v>
      </c>
      <c r="BF79" s="157">
        <f t="shared" ref="BF79:BF80" si="77">BE79</f>
        <v>1411108</v>
      </c>
      <c r="BG79" s="39"/>
    </row>
    <row r="80" ht="15.75" customHeight="1">
      <c r="A80" s="105"/>
      <c r="B80" s="157" t="s">
        <v>253</v>
      </c>
      <c r="C80" s="156"/>
      <c r="D80" s="157" t="s">
        <v>201</v>
      </c>
      <c r="E80" s="157"/>
      <c r="F80" s="157"/>
      <c r="G80" s="157"/>
      <c r="H80" s="157"/>
      <c r="I80" s="157"/>
      <c r="J80" s="157"/>
      <c r="K80" s="157"/>
      <c r="L80" s="157"/>
      <c r="M80" s="157">
        <f>M51+M51</f>
        <v>0</v>
      </c>
      <c r="N80" s="157">
        <f t="shared" ref="N80:AZ80" si="72">M80+N51</f>
        <v>0</v>
      </c>
      <c r="O80" s="157">
        <f t="shared" si="72"/>
        <v>0</v>
      </c>
      <c r="P80" s="157">
        <f t="shared" si="72"/>
        <v>0</v>
      </c>
      <c r="Q80" s="157">
        <f t="shared" si="72"/>
        <v>0</v>
      </c>
      <c r="R80" s="157">
        <f t="shared" si="72"/>
        <v>0</v>
      </c>
      <c r="S80" s="157">
        <f t="shared" si="72"/>
        <v>0</v>
      </c>
      <c r="T80" s="157">
        <f t="shared" si="72"/>
        <v>0</v>
      </c>
      <c r="U80" s="157">
        <f t="shared" si="72"/>
        <v>300000</v>
      </c>
      <c r="V80" s="157">
        <f t="shared" si="72"/>
        <v>300000</v>
      </c>
      <c r="W80" s="157">
        <f t="shared" si="72"/>
        <v>300000</v>
      </c>
      <c r="X80" s="157">
        <f t="shared" si="72"/>
        <v>300000</v>
      </c>
      <c r="Y80" s="157">
        <f t="shared" si="72"/>
        <v>300000</v>
      </c>
      <c r="Z80" s="157">
        <f t="shared" si="72"/>
        <v>3550000</v>
      </c>
      <c r="AA80" s="157">
        <f t="shared" si="72"/>
        <v>3550000</v>
      </c>
      <c r="AB80" s="157">
        <f t="shared" si="72"/>
        <v>3550000</v>
      </c>
      <c r="AC80" s="157">
        <f t="shared" si="72"/>
        <v>3550000</v>
      </c>
      <c r="AD80" s="157">
        <f t="shared" si="72"/>
        <v>3550000</v>
      </c>
      <c r="AE80" s="157">
        <f t="shared" si="72"/>
        <v>3550000</v>
      </c>
      <c r="AF80" s="157">
        <f t="shared" si="72"/>
        <v>3550000</v>
      </c>
      <c r="AG80" s="157">
        <f t="shared" si="72"/>
        <v>3550000</v>
      </c>
      <c r="AH80" s="157">
        <f t="shared" si="72"/>
        <v>3550000</v>
      </c>
      <c r="AI80" s="157">
        <f t="shared" si="72"/>
        <v>3550000</v>
      </c>
      <c r="AJ80" s="157">
        <f t="shared" si="72"/>
        <v>3550000</v>
      </c>
      <c r="AK80" s="157">
        <f t="shared" si="72"/>
        <v>3550000</v>
      </c>
      <c r="AL80" s="157">
        <f t="shared" si="72"/>
        <v>3550000</v>
      </c>
      <c r="AM80" s="157">
        <f t="shared" si="72"/>
        <v>3550000</v>
      </c>
      <c r="AN80" s="157">
        <f t="shared" si="72"/>
        <v>3550000</v>
      </c>
      <c r="AO80" s="157">
        <f t="shared" si="72"/>
        <v>3550000</v>
      </c>
      <c r="AP80" s="157">
        <f t="shared" si="72"/>
        <v>3550000</v>
      </c>
      <c r="AQ80" s="157">
        <f t="shared" si="72"/>
        <v>3550000</v>
      </c>
      <c r="AR80" s="157">
        <f t="shared" si="72"/>
        <v>3550000</v>
      </c>
      <c r="AS80" s="157">
        <f t="shared" si="72"/>
        <v>3550000</v>
      </c>
      <c r="AT80" s="157">
        <f t="shared" si="72"/>
        <v>3550000</v>
      </c>
      <c r="AU80" s="157">
        <f t="shared" si="72"/>
        <v>3550000</v>
      </c>
      <c r="AV80" s="157">
        <f t="shared" si="72"/>
        <v>3550000</v>
      </c>
      <c r="AW80" s="157">
        <f t="shared" si="72"/>
        <v>3550000</v>
      </c>
      <c r="AX80" s="157">
        <f t="shared" si="72"/>
        <v>3550000</v>
      </c>
      <c r="AY80" s="157">
        <f t="shared" si="72"/>
        <v>3550000</v>
      </c>
      <c r="AZ80" s="157">
        <f t="shared" si="72"/>
        <v>3550000</v>
      </c>
      <c r="BA80" s="105"/>
      <c r="BB80" s="157">
        <f t="shared" si="73"/>
        <v>0</v>
      </c>
      <c r="BC80" s="157">
        <f t="shared" si="74"/>
        <v>3550000</v>
      </c>
      <c r="BD80" s="157">
        <f t="shared" si="75"/>
        <v>3550000</v>
      </c>
      <c r="BE80" s="157">
        <f t="shared" si="76"/>
        <v>3550000</v>
      </c>
      <c r="BF80" s="157">
        <f t="shared" si="77"/>
        <v>3550000</v>
      </c>
      <c r="BG80" s="39"/>
    </row>
    <row r="81" ht="15.75" customHeight="1">
      <c r="A81" s="105"/>
      <c r="B81" s="157" t="s">
        <v>254</v>
      </c>
      <c r="C81" s="156"/>
      <c r="D81" s="157" t="s">
        <v>201</v>
      </c>
      <c r="E81" s="157"/>
      <c r="F81" s="157"/>
      <c r="G81" s="157"/>
      <c r="H81" s="157"/>
      <c r="I81" s="157"/>
      <c r="J81" s="157"/>
      <c r="K81" s="157"/>
      <c r="L81" s="157"/>
      <c r="M81" s="157">
        <f>M43</f>
        <v>-59000</v>
      </c>
      <c r="N81" s="157">
        <f t="shared" ref="N81:AZ81" si="78">M81+N37</f>
        <v>-98520</v>
      </c>
      <c r="O81" s="157">
        <f t="shared" si="78"/>
        <v>-79520</v>
      </c>
      <c r="P81" s="157">
        <f t="shared" si="78"/>
        <v>-327453</v>
      </c>
      <c r="Q81" s="157">
        <f t="shared" si="78"/>
        <v>-455973</v>
      </c>
      <c r="R81" s="157">
        <f t="shared" si="78"/>
        <v>-595293</v>
      </c>
      <c r="S81" s="157">
        <f t="shared" si="78"/>
        <v>-734613</v>
      </c>
      <c r="T81" s="157">
        <f t="shared" si="78"/>
        <v>-873933</v>
      </c>
      <c r="U81" s="157">
        <f t="shared" si="78"/>
        <v>-1023253</v>
      </c>
      <c r="V81" s="157">
        <f t="shared" si="78"/>
        <v>-1065791</v>
      </c>
      <c r="W81" s="157">
        <f t="shared" si="78"/>
        <v>-1213111</v>
      </c>
      <c r="X81" s="157">
        <f t="shared" si="78"/>
        <v>-1384431</v>
      </c>
      <c r="Y81" s="157">
        <f t="shared" si="78"/>
        <v>-1564671</v>
      </c>
      <c r="Z81" s="157">
        <f t="shared" si="78"/>
        <v>-1860511</v>
      </c>
      <c r="AA81" s="157">
        <f t="shared" si="78"/>
        <v>-2101351</v>
      </c>
      <c r="AB81" s="157">
        <f t="shared" si="78"/>
        <v>-2297191</v>
      </c>
      <c r="AC81" s="157">
        <f t="shared" si="78"/>
        <v>-2587995.127</v>
      </c>
      <c r="AD81" s="157">
        <f t="shared" si="78"/>
        <v>-2883050.122</v>
      </c>
      <c r="AE81" s="157">
        <f t="shared" si="78"/>
        <v>-3182355.984</v>
      </c>
      <c r="AF81" s="157">
        <f t="shared" si="78"/>
        <v>-3487352.565</v>
      </c>
      <c r="AG81" s="157">
        <f t="shared" si="78"/>
        <v>-3798039.864</v>
      </c>
      <c r="AH81" s="157">
        <f t="shared" si="78"/>
        <v>-4119935.087</v>
      </c>
      <c r="AI81" s="157">
        <f t="shared" si="78"/>
        <v>-4447635.288</v>
      </c>
      <c r="AJ81" s="157">
        <f t="shared" si="78"/>
        <v>-4783860.319</v>
      </c>
      <c r="AK81" s="157">
        <f t="shared" si="78"/>
        <v>-5110010.029</v>
      </c>
      <c r="AL81" s="157">
        <f t="shared" si="78"/>
        <v>-5442918.681</v>
      </c>
      <c r="AM81" s="157">
        <f t="shared" si="78"/>
        <v>-5781306.272</v>
      </c>
      <c r="AN81" s="157">
        <f t="shared" si="78"/>
        <v>-6126709.711</v>
      </c>
      <c r="AO81" s="157">
        <f t="shared" si="78"/>
        <v>-6080737.833</v>
      </c>
      <c r="AP81" s="157">
        <f t="shared" si="78"/>
        <v>-6013741.648</v>
      </c>
      <c r="AQ81" s="157">
        <f t="shared" si="78"/>
        <v>-5907826.737</v>
      </c>
      <c r="AR81" s="157">
        <f t="shared" si="78"/>
        <v>-5760061.479</v>
      </c>
      <c r="AS81" s="157">
        <f t="shared" si="78"/>
        <v>-5563458.237</v>
      </c>
      <c r="AT81" s="157">
        <f t="shared" si="78"/>
        <v>-5286538.961</v>
      </c>
      <c r="AU81" s="157">
        <f t="shared" si="78"/>
        <v>-4947910.416</v>
      </c>
      <c r="AV81" s="157">
        <f t="shared" si="78"/>
        <v>-4542821.759</v>
      </c>
      <c r="AW81" s="157">
        <f t="shared" si="78"/>
        <v>-4061790.556</v>
      </c>
      <c r="AX81" s="157">
        <f t="shared" si="78"/>
        <v>-3498219.139</v>
      </c>
      <c r="AY81" s="157">
        <f t="shared" si="78"/>
        <v>-2843353.473</v>
      </c>
      <c r="AZ81" s="157">
        <f t="shared" si="78"/>
        <v>-2042803.476</v>
      </c>
      <c r="BA81" s="105"/>
      <c r="BB81" s="157">
        <f t="shared" si="73"/>
        <v>-327453</v>
      </c>
      <c r="BC81" s="157">
        <f t="shared" si="74"/>
        <v>-2297191</v>
      </c>
      <c r="BD81" s="157">
        <f t="shared" si="75"/>
        <v>-6126709.711</v>
      </c>
      <c r="BE81" s="157">
        <f t="shared" si="76"/>
        <v>-2042803.476</v>
      </c>
      <c r="BF81" s="157">
        <f>BE81+BF37</f>
        <v>16759367.24</v>
      </c>
      <c r="BG81" s="39"/>
    </row>
    <row r="82" ht="12.75" customHeight="1">
      <c r="A82" s="159"/>
      <c r="B82" s="179" t="s">
        <v>255</v>
      </c>
      <c r="C82" s="180"/>
      <c r="D82" s="181" t="s">
        <v>201</v>
      </c>
      <c r="E82" s="179"/>
      <c r="F82" s="179"/>
      <c r="G82" s="179"/>
      <c r="H82" s="179"/>
      <c r="I82" s="179"/>
      <c r="J82" s="179"/>
      <c r="K82" s="179"/>
      <c r="L82" s="179"/>
      <c r="M82" s="179">
        <f t="shared" ref="M82:AZ82" si="79">M79+M80+M81+M40</f>
        <v>1160347</v>
      </c>
      <c r="N82" s="179">
        <f t="shared" si="79"/>
        <v>1131023.16</v>
      </c>
      <c r="O82" s="179">
        <f t="shared" si="79"/>
        <v>1145121.16</v>
      </c>
      <c r="P82" s="179">
        <f t="shared" si="79"/>
        <v>961154.874</v>
      </c>
      <c r="Q82" s="179">
        <f t="shared" si="79"/>
        <v>865793.034</v>
      </c>
      <c r="R82" s="179">
        <f t="shared" si="79"/>
        <v>762417.594</v>
      </c>
      <c r="S82" s="179">
        <f t="shared" si="79"/>
        <v>659042.154</v>
      </c>
      <c r="T82" s="179">
        <f t="shared" si="79"/>
        <v>555666.714</v>
      </c>
      <c r="U82" s="179">
        <f t="shared" si="79"/>
        <v>744871.274</v>
      </c>
      <c r="V82" s="179">
        <f t="shared" si="79"/>
        <v>713308.078</v>
      </c>
      <c r="W82" s="179">
        <f t="shared" si="79"/>
        <v>603996.638</v>
      </c>
      <c r="X82" s="179">
        <f t="shared" si="79"/>
        <v>476877.198</v>
      </c>
      <c r="Y82" s="179">
        <f t="shared" si="79"/>
        <v>343139.118</v>
      </c>
      <c r="Z82" s="179">
        <f t="shared" si="79"/>
        <v>3673625.838</v>
      </c>
      <c r="AA82" s="179">
        <f t="shared" si="79"/>
        <v>3494922.558</v>
      </c>
      <c r="AB82" s="179">
        <f t="shared" si="79"/>
        <v>3349609.278</v>
      </c>
      <c r="AC82" s="179">
        <f t="shared" si="79"/>
        <v>3133832.616</v>
      </c>
      <c r="AD82" s="179">
        <f t="shared" si="79"/>
        <v>2914901.81</v>
      </c>
      <c r="AE82" s="179">
        <f t="shared" si="79"/>
        <v>2692816.86</v>
      </c>
      <c r="AF82" s="179">
        <f t="shared" si="79"/>
        <v>2466509.397</v>
      </c>
      <c r="AG82" s="179">
        <f t="shared" si="79"/>
        <v>2235979.421</v>
      </c>
      <c r="AH82" s="179">
        <f t="shared" si="79"/>
        <v>1997133.166</v>
      </c>
      <c r="AI82" s="179">
        <f t="shared" si="79"/>
        <v>1753979.616</v>
      </c>
      <c r="AJ82" s="179">
        <f t="shared" si="79"/>
        <v>1504500.644</v>
      </c>
      <c r="AK82" s="179">
        <f t="shared" si="79"/>
        <v>1262497.558</v>
      </c>
      <c r="AL82" s="179">
        <f t="shared" si="79"/>
        <v>1015479.339</v>
      </c>
      <c r="AM82" s="179">
        <f t="shared" si="79"/>
        <v>764395.7459</v>
      </c>
      <c r="AN82" s="179">
        <f t="shared" si="79"/>
        <v>508106.3946</v>
      </c>
      <c r="AO82" s="179">
        <f t="shared" si="79"/>
        <v>542217.5282</v>
      </c>
      <c r="AP82" s="179">
        <f t="shared" si="79"/>
        <v>591928.697</v>
      </c>
      <c r="AQ82" s="179">
        <f t="shared" si="79"/>
        <v>670517.5611</v>
      </c>
      <c r="AR82" s="179">
        <f t="shared" si="79"/>
        <v>780159.3828</v>
      </c>
      <c r="AS82" s="179">
        <f t="shared" si="79"/>
        <v>926038.9881</v>
      </c>
      <c r="AT82" s="179">
        <f t="shared" si="79"/>
        <v>1131513.091</v>
      </c>
      <c r="AU82" s="179">
        <f t="shared" si="79"/>
        <v>1382775.472</v>
      </c>
      <c r="AV82" s="179">
        <f t="shared" si="79"/>
        <v>1683351.255</v>
      </c>
      <c r="AW82" s="179">
        <f t="shared" si="79"/>
        <v>2040276.408</v>
      </c>
      <c r="AX82" s="179">
        <f t="shared" si="79"/>
        <v>2458446.399</v>
      </c>
      <c r="AY82" s="179">
        <f t="shared" si="79"/>
        <v>2944356.723</v>
      </c>
      <c r="AZ82" s="179">
        <f t="shared" si="79"/>
        <v>3538364.821</v>
      </c>
      <c r="BA82" s="105"/>
      <c r="BB82" s="182">
        <f t="shared" si="73"/>
        <v>961154.874</v>
      </c>
      <c r="BC82" s="182">
        <f t="shared" si="74"/>
        <v>3349609.278</v>
      </c>
      <c r="BD82" s="182">
        <f t="shared" si="75"/>
        <v>508106.3946</v>
      </c>
      <c r="BE82" s="182">
        <f t="shared" si="76"/>
        <v>3538364.821</v>
      </c>
      <c r="BF82" s="182">
        <f>sum(BF79:BF81)</f>
        <v>21720475.24</v>
      </c>
      <c r="BG82" s="174"/>
    </row>
    <row r="83" ht="15.75" customHeight="1">
      <c r="A83" s="167"/>
      <c r="B83" s="168" t="s">
        <v>256</v>
      </c>
      <c r="C83" s="169"/>
      <c r="D83" s="168" t="s">
        <v>201</v>
      </c>
      <c r="E83" s="168"/>
      <c r="F83" s="168"/>
      <c r="G83" s="168"/>
      <c r="H83" s="168"/>
      <c r="I83" s="168"/>
      <c r="J83" s="168"/>
      <c r="K83" s="168"/>
      <c r="L83" s="168"/>
      <c r="M83" s="168">
        <f t="shared" ref="M83:AZ83" si="80">M73+M77+M82</f>
        <v>1160347</v>
      </c>
      <c r="N83" s="168">
        <f t="shared" si="80"/>
        <v>1131023.16</v>
      </c>
      <c r="O83" s="168">
        <f t="shared" si="80"/>
        <v>1145121.16</v>
      </c>
      <c r="P83" s="168">
        <f t="shared" si="80"/>
        <v>961154.874</v>
      </c>
      <c r="Q83" s="168">
        <f t="shared" si="80"/>
        <v>865793.034</v>
      </c>
      <c r="R83" s="168">
        <f t="shared" si="80"/>
        <v>762417.594</v>
      </c>
      <c r="S83" s="168">
        <f t="shared" si="80"/>
        <v>659042.154</v>
      </c>
      <c r="T83" s="168">
        <f t="shared" si="80"/>
        <v>555666.714</v>
      </c>
      <c r="U83" s="168">
        <f t="shared" si="80"/>
        <v>744871.274</v>
      </c>
      <c r="V83" s="168">
        <f t="shared" si="80"/>
        <v>1013308.078</v>
      </c>
      <c r="W83" s="168">
        <f t="shared" si="80"/>
        <v>903996.638</v>
      </c>
      <c r="X83" s="168">
        <f t="shared" si="80"/>
        <v>776877.198</v>
      </c>
      <c r="Y83" s="168">
        <f t="shared" si="80"/>
        <v>643139.118</v>
      </c>
      <c r="Z83" s="168">
        <f t="shared" si="80"/>
        <v>3673625.838</v>
      </c>
      <c r="AA83" s="168">
        <f t="shared" si="80"/>
        <v>3494922.558</v>
      </c>
      <c r="AB83" s="168">
        <f t="shared" si="80"/>
        <v>3349609.278</v>
      </c>
      <c r="AC83" s="168">
        <f t="shared" si="80"/>
        <v>4293880.056</v>
      </c>
      <c r="AD83" s="168">
        <f t="shared" si="80"/>
        <v>4202101.25</v>
      </c>
      <c r="AE83" s="168">
        <f t="shared" si="80"/>
        <v>4107168.3</v>
      </c>
      <c r="AF83" s="168">
        <f t="shared" si="80"/>
        <v>4029310.617</v>
      </c>
      <c r="AG83" s="168">
        <f t="shared" si="80"/>
        <v>3947230.421</v>
      </c>
      <c r="AH83" s="168">
        <f t="shared" si="80"/>
        <v>3863721.646</v>
      </c>
      <c r="AI83" s="168">
        <f t="shared" si="80"/>
        <v>3804091.056</v>
      </c>
      <c r="AJ83" s="168">
        <f t="shared" si="80"/>
        <v>3759432.824</v>
      </c>
      <c r="AK83" s="168">
        <f t="shared" si="80"/>
        <v>3743548.258</v>
      </c>
      <c r="AL83" s="168">
        <f t="shared" si="80"/>
        <v>3757721.739</v>
      </c>
      <c r="AM83" s="168">
        <f t="shared" si="80"/>
        <v>3767829.846</v>
      </c>
      <c r="AN83" s="168">
        <f t="shared" si="80"/>
        <v>3822215.455</v>
      </c>
      <c r="AO83" s="168">
        <f t="shared" si="80"/>
        <v>3546526.032</v>
      </c>
      <c r="AP83" s="168">
        <f t="shared" si="80"/>
        <v>3902355.725</v>
      </c>
      <c r="AQ83" s="168">
        <f t="shared" si="80"/>
        <v>4310869.379</v>
      </c>
      <c r="AR83" s="168">
        <f t="shared" si="80"/>
        <v>4774289.957</v>
      </c>
      <c r="AS83" s="168">
        <f t="shared" si="80"/>
        <v>5328448.55</v>
      </c>
      <c r="AT83" s="168">
        <f t="shared" si="80"/>
        <v>5976086.473</v>
      </c>
      <c r="AU83" s="168">
        <f t="shared" si="80"/>
        <v>6724108.306</v>
      </c>
      <c r="AV83" s="168">
        <f t="shared" si="80"/>
        <v>7569103.773</v>
      </c>
      <c r="AW83" s="168">
        <f t="shared" si="80"/>
        <v>8524996.542</v>
      </c>
      <c r="AX83" s="168">
        <f t="shared" si="80"/>
        <v>9606808.347</v>
      </c>
      <c r="AY83" s="168">
        <f t="shared" si="80"/>
        <v>10810860.72</v>
      </c>
      <c r="AZ83" s="171">
        <f t="shared" si="80"/>
        <v>12218379.03</v>
      </c>
      <c r="BA83" s="170"/>
      <c r="BB83" s="171">
        <f t="shared" si="73"/>
        <v>961154.874</v>
      </c>
      <c r="BC83" s="171">
        <f t="shared" si="74"/>
        <v>3349609.278</v>
      </c>
      <c r="BD83" s="171">
        <f t="shared" si="75"/>
        <v>3822215.455</v>
      </c>
      <c r="BE83" s="171">
        <f t="shared" si="76"/>
        <v>12218379.03</v>
      </c>
      <c r="BF83" s="171">
        <f>BF73+BF77+BF82</f>
        <v>30597212.23</v>
      </c>
      <c r="BG83" s="172"/>
    </row>
    <row r="84" ht="15.75" customHeight="1">
      <c r="A84" s="10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  <c r="AA84" s="156"/>
      <c r="AB84" s="156"/>
      <c r="AC84" s="156"/>
      <c r="AD84" s="156"/>
      <c r="AE84" s="156"/>
      <c r="AF84" s="156"/>
      <c r="AG84" s="156"/>
      <c r="AH84" s="156"/>
      <c r="AI84" s="156"/>
      <c r="AJ84" s="156"/>
      <c r="AK84" s="156"/>
      <c r="AL84" s="156"/>
      <c r="AM84" s="156"/>
      <c r="AN84" s="156"/>
      <c r="AO84" s="156"/>
      <c r="AP84" s="156"/>
      <c r="AQ84" s="156"/>
      <c r="AR84" s="156"/>
      <c r="AS84" s="156"/>
      <c r="AT84" s="156"/>
      <c r="AU84" s="156"/>
      <c r="AV84" s="156"/>
      <c r="AW84" s="156"/>
      <c r="AX84" s="156"/>
      <c r="AY84" s="156"/>
      <c r="AZ84" s="156"/>
      <c r="BA84" s="105"/>
      <c r="BB84" s="156"/>
      <c r="BC84" s="156"/>
      <c r="BD84" s="156"/>
      <c r="BE84" s="156"/>
      <c r="BF84" s="156"/>
      <c r="BG84" s="105"/>
    </row>
    <row r="85" ht="15.75" customHeight="1">
      <c r="A85" s="105"/>
      <c r="B85" s="195" t="s">
        <v>257</v>
      </c>
      <c r="C85" s="156"/>
      <c r="D85" s="156"/>
      <c r="E85" s="195"/>
      <c r="F85" s="195"/>
      <c r="G85" s="195"/>
      <c r="H85" s="195"/>
      <c r="I85" s="195"/>
      <c r="J85" s="195"/>
      <c r="K85" s="195"/>
      <c r="L85" s="195"/>
      <c r="M85" s="195">
        <f t="shared" ref="M85:AZ85" si="81">M69-M83</f>
        <v>0</v>
      </c>
      <c r="N85" s="195">
        <f t="shared" si="81"/>
        <v>0.0000000002328306437</v>
      </c>
      <c r="O85" s="195">
        <f t="shared" si="81"/>
        <v>0</v>
      </c>
      <c r="P85" s="195">
        <f t="shared" si="81"/>
        <v>0</v>
      </c>
      <c r="Q85" s="195">
        <f t="shared" si="81"/>
        <v>0</v>
      </c>
      <c r="R85" s="195">
        <f t="shared" si="81"/>
        <v>0</v>
      </c>
      <c r="S85" s="195">
        <f t="shared" si="81"/>
        <v>0</v>
      </c>
      <c r="T85" s="195">
        <f t="shared" si="81"/>
        <v>0</v>
      </c>
      <c r="U85" s="195">
        <f t="shared" si="81"/>
        <v>0</v>
      </c>
      <c r="V85" s="195">
        <f t="shared" si="81"/>
        <v>0</v>
      </c>
      <c r="W85" s="195">
        <f t="shared" si="81"/>
        <v>0</v>
      </c>
      <c r="X85" s="195">
        <f t="shared" si="81"/>
        <v>0</v>
      </c>
      <c r="Y85" s="195">
        <f t="shared" si="81"/>
        <v>0</v>
      </c>
      <c r="Z85" s="195">
        <f t="shared" si="81"/>
        <v>0</v>
      </c>
      <c r="AA85" s="195">
        <f t="shared" si="81"/>
        <v>0</v>
      </c>
      <c r="AB85" s="195">
        <f t="shared" si="81"/>
        <v>0</v>
      </c>
      <c r="AC85" s="195">
        <f t="shared" si="81"/>
        <v>0</v>
      </c>
      <c r="AD85" s="195">
        <f t="shared" si="81"/>
        <v>0</v>
      </c>
      <c r="AE85" s="195">
        <f t="shared" si="81"/>
        <v>0</v>
      </c>
      <c r="AF85" s="195">
        <f t="shared" si="81"/>
        <v>0.000000001396983862</v>
      </c>
      <c r="AG85" s="195">
        <f t="shared" si="81"/>
        <v>0.0000000009313225746</v>
      </c>
      <c r="AH85" s="195">
        <f t="shared" si="81"/>
        <v>0.0000000009313225746</v>
      </c>
      <c r="AI85" s="195">
        <f t="shared" si="81"/>
        <v>0.0000000009313225746</v>
      </c>
      <c r="AJ85" s="195">
        <f t="shared" si="81"/>
        <v>0.0000000009313225746</v>
      </c>
      <c r="AK85" s="195">
        <f t="shared" si="81"/>
        <v>0.0000000009313225746</v>
      </c>
      <c r="AL85" s="195">
        <f t="shared" si="81"/>
        <v>0</v>
      </c>
      <c r="AM85" s="195">
        <f t="shared" si="81"/>
        <v>0.0000000009313225746</v>
      </c>
      <c r="AN85" s="195">
        <f t="shared" si="81"/>
        <v>0.0000000009313225746</v>
      </c>
      <c r="AO85" s="195">
        <f t="shared" si="81"/>
        <v>0.0000000009313225746</v>
      </c>
      <c r="AP85" s="195">
        <f t="shared" si="81"/>
        <v>0.0000000004656612873</v>
      </c>
      <c r="AQ85" s="195">
        <f t="shared" si="81"/>
        <v>0.0000000009313225746</v>
      </c>
      <c r="AR85" s="195">
        <f t="shared" si="81"/>
        <v>0.0000000009313225746</v>
      </c>
      <c r="AS85" s="195">
        <f t="shared" si="81"/>
        <v>0.0000000009313225746</v>
      </c>
      <c r="AT85" s="195">
        <f t="shared" si="81"/>
        <v>0.0000000009313225746</v>
      </c>
      <c r="AU85" s="195">
        <f t="shared" si="81"/>
        <v>0.000000001862645149</v>
      </c>
      <c r="AV85" s="195">
        <f t="shared" si="81"/>
        <v>0.0000000009313225746</v>
      </c>
      <c r="AW85" s="195">
        <f t="shared" si="81"/>
        <v>0</v>
      </c>
      <c r="AX85" s="195">
        <f t="shared" si="81"/>
        <v>0.000000001862645149</v>
      </c>
      <c r="AY85" s="195">
        <f t="shared" si="81"/>
        <v>0.000000001862645149</v>
      </c>
      <c r="AZ85" s="195">
        <f t="shared" si="81"/>
        <v>0</v>
      </c>
      <c r="BA85" s="195"/>
      <c r="BB85" s="195">
        <f t="shared" ref="BB85:BF85" si="82">BB69-BB83</f>
        <v>0</v>
      </c>
      <c r="BC85" s="195">
        <f t="shared" si="82"/>
        <v>0</v>
      </c>
      <c r="BD85" s="195">
        <f t="shared" si="82"/>
        <v>0.0000000009313225746</v>
      </c>
      <c r="BE85" s="195">
        <f t="shared" si="82"/>
        <v>0</v>
      </c>
      <c r="BF85" s="195">
        <f t="shared" si="82"/>
        <v>0</v>
      </c>
      <c r="BG85" s="196"/>
    </row>
    <row r="86" ht="15.75" customHeight="1">
      <c r="A86" s="10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  <c r="AK86" s="156"/>
      <c r="AL86" s="156"/>
      <c r="AM86" s="156"/>
      <c r="AN86" s="156"/>
      <c r="AO86" s="156"/>
      <c r="AP86" s="156"/>
      <c r="AQ86" s="156"/>
      <c r="AR86" s="156"/>
      <c r="AS86" s="156"/>
      <c r="AT86" s="156"/>
      <c r="AU86" s="156"/>
      <c r="AV86" s="156"/>
      <c r="AW86" s="156"/>
      <c r="AX86" s="156"/>
      <c r="AY86" s="156"/>
      <c r="AZ86" s="156"/>
      <c r="BA86" s="105"/>
      <c r="BB86" s="156"/>
      <c r="BC86" s="156"/>
      <c r="BD86" s="156"/>
      <c r="BE86" s="156"/>
      <c r="BF86" s="156"/>
      <c r="BG86" s="105"/>
    </row>
    <row r="87" ht="15.75" customHeight="1">
      <c r="A87" s="10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  <c r="AA87" s="156"/>
      <c r="AB87" s="156"/>
      <c r="AC87" s="156"/>
      <c r="AD87" s="156"/>
      <c r="AE87" s="156"/>
      <c r="AF87" s="156"/>
      <c r="AG87" s="156"/>
      <c r="AH87" s="156"/>
      <c r="AI87" s="156"/>
      <c r="AJ87" s="156"/>
      <c r="AK87" s="156"/>
      <c r="AL87" s="156"/>
      <c r="AM87" s="156"/>
      <c r="AN87" s="156"/>
      <c r="AO87" s="156"/>
      <c r="AP87" s="156"/>
      <c r="AQ87" s="156"/>
      <c r="AR87" s="156"/>
      <c r="AS87" s="156"/>
      <c r="AT87" s="156"/>
      <c r="AU87" s="156"/>
      <c r="AV87" s="156"/>
      <c r="AW87" s="156"/>
      <c r="AX87" s="156"/>
      <c r="AY87" s="156"/>
      <c r="AZ87" s="156"/>
      <c r="BA87" s="105"/>
      <c r="BB87" s="156"/>
      <c r="BC87" s="156"/>
      <c r="BD87" s="156"/>
      <c r="BE87" s="156"/>
      <c r="BF87" s="156"/>
      <c r="BG87" s="105"/>
    </row>
    <row r="88" ht="15.75" customHeight="1">
      <c r="A88" s="10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  <c r="AK88" s="156"/>
      <c r="AL88" s="156"/>
      <c r="AM88" s="156"/>
      <c r="AN88" s="156"/>
      <c r="AO88" s="156"/>
      <c r="AP88" s="156"/>
      <c r="AQ88" s="156"/>
      <c r="AR88" s="156"/>
      <c r="AS88" s="156"/>
      <c r="AT88" s="156"/>
      <c r="AU88" s="156"/>
      <c r="AV88" s="156"/>
      <c r="AW88" s="156"/>
      <c r="AX88" s="156"/>
      <c r="AY88" s="156"/>
      <c r="AZ88" s="156"/>
      <c r="BA88" s="105"/>
      <c r="BB88" s="156"/>
      <c r="BC88" s="156"/>
      <c r="BD88" s="156"/>
      <c r="BE88" s="156"/>
      <c r="BF88" s="156"/>
      <c r="BG88" s="105"/>
    </row>
    <row r="89" ht="15.75" customHeight="1">
      <c r="A89" s="34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34"/>
      <c r="BB89" s="27"/>
      <c r="BC89" s="27"/>
      <c r="BD89" s="27"/>
      <c r="BE89" s="27"/>
      <c r="BF89" s="27"/>
      <c r="BG89" s="34"/>
    </row>
    <row r="90" ht="15.75" customHeight="1">
      <c r="A90" s="34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34"/>
      <c r="BB90" s="27"/>
      <c r="BC90" s="27"/>
      <c r="BD90" s="27"/>
      <c r="BE90" s="27"/>
      <c r="BF90" s="27"/>
      <c r="BG90" s="34"/>
    </row>
    <row r="91" ht="15.75" customHeight="1">
      <c r="A91" s="34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34"/>
      <c r="BB91" s="27"/>
      <c r="BC91" s="27"/>
      <c r="BD91" s="27"/>
      <c r="BE91" s="27"/>
      <c r="BF91" s="27"/>
      <c r="BG91" s="34"/>
    </row>
    <row r="92" ht="15.75" customHeight="1">
      <c r="A92" s="34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34"/>
      <c r="BB92" s="27"/>
      <c r="BC92" s="27"/>
      <c r="BD92" s="27"/>
      <c r="BE92" s="27"/>
      <c r="BF92" s="27"/>
      <c r="BG92" s="34"/>
    </row>
    <row r="93" ht="15.75" customHeight="1">
      <c r="A93" s="34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34"/>
      <c r="BB93" s="27"/>
      <c r="BC93" s="27"/>
      <c r="BD93" s="27"/>
      <c r="BE93" s="27"/>
      <c r="BF93" s="27"/>
      <c r="BG93" s="34"/>
    </row>
    <row r="94" ht="15.75" customHeight="1">
      <c r="A94" s="34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34"/>
      <c r="BB94" s="27"/>
      <c r="BC94" s="27"/>
      <c r="BD94" s="27"/>
      <c r="BE94" s="27"/>
      <c r="BF94" s="27"/>
      <c r="BG94" s="34"/>
    </row>
    <row r="95" ht="15.75" customHeight="1">
      <c r="A95" s="34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34"/>
      <c r="BB95" s="27"/>
      <c r="BC95" s="27"/>
      <c r="BD95" s="27"/>
      <c r="BE95" s="27"/>
      <c r="BF95" s="27"/>
      <c r="BG95" s="34"/>
    </row>
    <row r="96" ht="15.75" customHeight="1">
      <c r="A96" s="34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34"/>
      <c r="BB96" s="27"/>
      <c r="BC96" s="27"/>
      <c r="BD96" s="27"/>
      <c r="BE96" s="27"/>
      <c r="BF96" s="27"/>
      <c r="BG96" s="34"/>
    </row>
    <row r="97" ht="15.75" customHeight="1">
      <c r="A97" s="34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34"/>
      <c r="BB97" s="27"/>
      <c r="BC97" s="27"/>
      <c r="BD97" s="27"/>
      <c r="BE97" s="27"/>
      <c r="BF97" s="27"/>
      <c r="BG97" s="34"/>
    </row>
    <row r="98" ht="15.75" customHeight="1">
      <c r="A98" s="34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34"/>
      <c r="BB98" s="27"/>
      <c r="BC98" s="27"/>
      <c r="BD98" s="27"/>
      <c r="BE98" s="27"/>
      <c r="BF98" s="27"/>
      <c r="BG98" s="34"/>
    </row>
    <row r="99" ht="15.75" customHeight="1">
      <c r="A99" s="34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34"/>
      <c r="BB99" s="27"/>
      <c r="BC99" s="27"/>
      <c r="BD99" s="27"/>
      <c r="BE99" s="27"/>
      <c r="BF99" s="27"/>
      <c r="BG99" s="34"/>
    </row>
    <row r="100" ht="15.75" customHeight="1">
      <c r="A100" s="34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34"/>
      <c r="BB100" s="27"/>
      <c r="BC100" s="27"/>
      <c r="BD100" s="27"/>
      <c r="BE100" s="27"/>
      <c r="BF100" s="27"/>
      <c r="BG100" s="34"/>
    </row>
    <row r="101" ht="15.75" customHeight="1">
      <c r="A101" s="34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34"/>
      <c r="BB101" s="27"/>
      <c r="BC101" s="27"/>
      <c r="BD101" s="27"/>
      <c r="BE101" s="27"/>
      <c r="BF101" s="27"/>
      <c r="BG101" s="34"/>
    </row>
    <row r="102" ht="15.75" customHeight="1">
      <c r="A102" s="34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34"/>
      <c r="BB102" s="27"/>
      <c r="BC102" s="27"/>
      <c r="BD102" s="27"/>
      <c r="BE102" s="27"/>
      <c r="BF102" s="27"/>
      <c r="BG102" s="34"/>
    </row>
    <row r="103" ht="15.75" customHeight="1">
      <c r="A103" s="34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34"/>
      <c r="BB103" s="27"/>
      <c r="BC103" s="27"/>
      <c r="BD103" s="27"/>
      <c r="BE103" s="27"/>
      <c r="BF103" s="27"/>
      <c r="BG103" s="34"/>
    </row>
    <row r="104" ht="15.75" customHeight="1">
      <c r="A104" s="34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34"/>
      <c r="BB104" s="27"/>
      <c r="BC104" s="27"/>
      <c r="BD104" s="27"/>
      <c r="BE104" s="27"/>
      <c r="BF104" s="27"/>
      <c r="BG104" s="34"/>
    </row>
    <row r="105" ht="15.75" customHeight="1">
      <c r="A105" s="34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34"/>
      <c r="BB105" s="27"/>
      <c r="BC105" s="27"/>
      <c r="BD105" s="27"/>
      <c r="BE105" s="27"/>
      <c r="BF105" s="27"/>
      <c r="BG105" s="34"/>
    </row>
    <row r="106" ht="15.75" customHeight="1">
      <c r="A106" s="34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34"/>
      <c r="BB106" s="27"/>
      <c r="BC106" s="27"/>
      <c r="BD106" s="27"/>
      <c r="BE106" s="27"/>
      <c r="BF106" s="27"/>
      <c r="BG106" s="34"/>
    </row>
    <row r="107" ht="15.75" customHeight="1">
      <c r="A107" s="34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34"/>
      <c r="BB107" s="27"/>
      <c r="BC107" s="27"/>
      <c r="BD107" s="27"/>
      <c r="BE107" s="27"/>
      <c r="BF107" s="27"/>
      <c r="BG107" s="34"/>
    </row>
    <row r="108" ht="15.75" customHeight="1">
      <c r="A108" s="34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34"/>
      <c r="BB108" s="27"/>
      <c r="BC108" s="27"/>
      <c r="BD108" s="27"/>
      <c r="BE108" s="27"/>
      <c r="BF108" s="27"/>
      <c r="BG108" s="34"/>
    </row>
    <row r="109" ht="15.75" customHeight="1">
      <c r="A109" s="34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34"/>
      <c r="BB109" s="27"/>
      <c r="BC109" s="27"/>
      <c r="BD109" s="27"/>
      <c r="BE109" s="27"/>
      <c r="BF109" s="27"/>
      <c r="BG109" s="34"/>
    </row>
    <row r="110" ht="15.75" customHeight="1">
      <c r="A110" s="34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34"/>
      <c r="BB110" s="27"/>
      <c r="BC110" s="27"/>
      <c r="BD110" s="27"/>
      <c r="BE110" s="27"/>
      <c r="BF110" s="27"/>
      <c r="BG110" s="34"/>
    </row>
    <row r="111" ht="15.75" customHeight="1">
      <c r="A111" s="34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34"/>
      <c r="BB111" s="27"/>
      <c r="BC111" s="27"/>
      <c r="BD111" s="27"/>
      <c r="BE111" s="27"/>
      <c r="BF111" s="27"/>
      <c r="BG111" s="34"/>
    </row>
    <row r="112" ht="15.75" customHeight="1">
      <c r="A112" s="34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34"/>
      <c r="BB112" s="27"/>
      <c r="BC112" s="27"/>
      <c r="BD112" s="27"/>
      <c r="BE112" s="27"/>
      <c r="BF112" s="27"/>
      <c r="BG112" s="34"/>
    </row>
    <row r="113" ht="15.75" customHeight="1">
      <c r="A113" s="34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34"/>
      <c r="BB113" s="27"/>
      <c r="BC113" s="27"/>
      <c r="BD113" s="27"/>
      <c r="BE113" s="27"/>
      <c r="BF113" s="27"/>
      <c r="BG113" s="34"/>
    </row>
    <row r="114" ht="15.75" customHeight="1">
      <c r="A114" s="34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34"/>
      <c r="BB114" s="27"/>
      <c r="BC114" s="27"/>
      <c r="BD114" s="27"/>
      <c r="BE114" s="27"/>
      <c r="BF114" s="27"/>
      <c r="BG114" s="34"/>
    </row>
    <row r="115" ht="15.75" customHeight="1">
      <c r="A115" s="34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34"/>
      <c r="BB115" s="27"/>
      <c r="BC115" s="27"/>
      <c r="BD115" s="27"/>
      <c r="BE115" s="27"/>
      <c r="BF115" s="27"/>
      <c r="BG115" s="34"/>
    </row>
    <row r="116" ht="15.75" customHeight="1">
      <c r="A116" s="34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34"/>
      <c r="BB116" s="27"/>
      <c r="BC116" s="27"/>
      <c r="BD116" s="27"/>
      <c r="BE116" s="27"/>
      <c r="BF116" s="27"/>
      <c r="BG116" s="34"/>
    </row>
    <row r="117" ht="15.75" customHeight="1">
      <c r="A117" s="34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34"/>
      <c r="BB117" s="27"/>
      <c r="BC117" s="27"/>
      <c r="BD117" s="27"/>
      <c r="BE117" s="27"/>
      <c r="BF117" s="27"/>
      <c r="BG117" s="34"/>
    </row>
    <row r="118" ht="15.75" customHeight="1">
      <c r="A118" s="34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34"/>
      <c r="BB118" s="27"/>
      <c r="BC118" s="27"/>
      <c r="BD118" s="27"/>
      <c r="BE118" s="27"/>
      <c r="BF118" s="27"/>
      <c r="BG118" s="34"/>
    </row>
    <row r="119" ht="15.75" customHeight="1">
      <c r="A119" s="34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34"/>
      <c r="BB119" s="27"/>
      <c r="BC119" s="27"/>
      <c r="BD119" s="27"/>
      <c r="BE119" s="27"/>
      <c r="BF119" s="27"/>
      <c r="BG119" s="34"/>
    </row>
    <row r="120" ht="15.75" customHeight="1">
      <c r="A120" s="34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34"/>
      <c r="BB120" s="27"/>
      <c r="BC120" s="27"/>
      <c r="BD120" s="27"/>
      <c r="BE120" s="27"/>
      <c r="BF120" s="27"/>
      <c r="BG120" s="34"/>
    </row>
    <row r="121" ht="15.75" customHeight="1">
      <c r="A121" s="34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34"/>
      <c r="BB121" s="27"/>
      <c r="BC121" s="27"/>
      <c r="BD121" s="27"/>
      <c r="BE121" s="27"/>
      <c r="BF121" s="27"/>
      <c r="BG121" s="34"/>
    </row>
    <row r="122" ht="15.75" customHeight="1">
      <c r="A122" s="34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34"/>
      <c r="BB122" s="27"/>
      <c r="BC122" s="27"/>
      <c r="BD122" s="27"/>
      <c r="BE122" s="27"/>
      <c r="BF122" s="27"/>
      <c r="BG122" s="34"/>
    </row>
    <row r="123" ht="15.75" customHeight="1">
      <c r="A123" s="34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34"/>
      <c r="BB123" s="27"/>
      <c r="BC123" s="27"/>
      <c r="BD123" s="27"/>
      <c r="BE123" s="27"/>
      <c r="BF123" s="27"/>
      <c r="BG123" s="34"/>
    </row>
    <row r="124" ht="15.75" customHeight="1">
      <c r="A124" s="34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34"/>
      <c r="BB124" s="27"/>
      <c r="BC124" s="27"/>
      <c r="BD124" s="27"/>
      <c r="BE124" s="27"/>
      <c r="BF124" s="27"/>
      <c r="BG124" s="34"/>
    </row>
    <row r="125" ht="15.75" customHeight="1">
      <c r="A125" s="34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34"/>
      <c r="BB125" s="27"/>
      <c r="BC125" s="27"/>
      <c r="BD125" s="27"/>
      <c r="BE125" s="27"/>
      <c r="BF125" s="27"/>
      <c r="BG125" s="34"/>
    </row>
    <row r="126" ht="15.75" customHeight="1">
      <c r="A126" s="34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34"/>
      <c r="BB126" s="27"/>
      <c r="BC126" s="27"/>
      <c r="BD126" s="27"/>
      <c r="BE126" s="27"/>
      <c r="BF126" s="27"/>
      <c r="BG126" s="34"/>
    </row>
    <row r="127" ht="15.75" customHeight="1">
      <c r="A127" s="34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34"/>
      <c r="BB127" s="27"/>
      <c r="BC127" s="27"/>
      <c r="BD127" s="27"/>
      <c r="BE127" s="27"/>
      <c r="BF127" s="27"/>
      <c r="BG127" s="34"/>
    </row>
    <row r="128" ht="15.75" customHeight="1">
      <c r="A128" s="34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34"/>
      <c r="BB128" s="27"/>
      <c r="BC128" s="27"/>
      <c r="BD128" s="27"/>
      <c r="BE128" s="27"/>
      <c r="BF128" s="27"/>
      <c r="BG128" s="34"/>
    </row>
    <row r="129" ht="15.75" customHeight="1">
      <c r="A129" s="34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34"/>
      <c r="BB129" s="27"/>
      <c r="BC129" s="27"/>
      <c r="BD129" s="27"/>
      <c r="BE129" s="27"/>
      <c r="BF129" s="27"/>
      <c r="BG129" s="34"/>
    </row>
    <row r="130" ht="15.75" customHeight="1">
      <c r="A130" s="34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34"/>
      <c r="BB130" s="27"/>
      <c r="BC130" s="27"/>
      <c r="BD130" s="27"/>
      <c r="BE130" s="27"/>
      <c r="BF130" s="27"/>
      <c r="BG130" s="34"/>
    </row>
    <row r="131" ht="15.75" customHeight="1">
      <c r="A131" s="34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34"/>
      <c r="BB131" s="27"/>
      <c r="BC131" s="27"/>
      <c r="BD131" s="27"/>
      <c r="BE131" s="27"/>
      <c r="BF131" s="27"/>
      <c r="BG131" s="34"/>
    </row>
    <row r="132" ht="15.75" customHeight="1">
      <c r="A132" s="34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34"/>
      <c r="BB132" s="27"/>
      <c r="BC132" s="27"/>
      <c r="BD132" s="27"/>
      <c r="BE132" s="27"/>
      <c r="BF132" s="27"/>
      <c r="BG132" s="34"/>
    </row>
    <row r="133" ht="15.75" customHeight="1">
      <c r="A133" s="34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34"/>
      <c r="BB133" s="27"/>
      <c r="BC133" s="27"/>
      <c r="BD133" s="27"/>
      <c r="BE133" s="27"/>
      <c r="BF133" s="27"/>
      <c r="BG133" s="34"/>
    </row>
    <row r="134" ht="15.75" customHeight="1">
      <c r="A134" s="34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34"/>
      <c r="BB134" s="27"/>
      <c r="BC134" s="27"/>
      <c r="BD134" s="27"/>
      <c r="BE134" s="27"/>
      <c r="BF134" s="27"/>
      <c r="BG134" s="34"/>
    </row>
    <row r="135" ht="15.75" customHeight="1">
      <c r="A135" s="34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34"/>
      <c r="BB135" s="27"/>
      <c r="BC135" s="27"/>
      <c r="BD135" s="27"/>
      <c r="BE135" s="27"/>
      <c r="BF135" s="27"/>
      <c r="BG135" s="34"/>
    </row>
    <row r="136" ht="15.75" customHeight="1">
      <c r="A136" s="34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34"/>
      <c r="BB136" s="27"/>
      <c r="BC136" s="27"/>
      <c r="BD136" s="27"/>
      <c r="BE136" s="27"/>
      <c r="BF136" s="27"/>
      <c r="BG136" s="34"/>
    </row>
    <row r="137" ht="15.75" customHeight="1">
      <c r="A137" s="34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34"/>
      <c r="BB137" s="27"/>
      <c r="BC137" s="27"/>
      <c r="BD137" s="27"/>
      <c r="BE137" s="27"/>
      <c r="BF137" s="27"/>
      <c r="BG137" s="34"/>
    </row>
    <row r="138" ht="15.75" customHeight="1">
      <c r="A138" s="34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34"/>
      <c r="BB138" s="27"/>
      <c r="BC138" s="27"/>
      <c r="BD138" s="27"/>
      <c r="BE138" s="27"/>
      <c r="BF138" s="27"/>
      <c r="BG138" s="34"/>
    </row>
    <row r="139" ht="15.75" customHeight="1">
      <c r="A139" s="34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34"/>
      <c r="BB139" s="27"/>
      <c r="BC139" s="27"/>
      <c r="BD139" s="27"/>
      <c r="BE139" s="27"/>
      <c r="BF139" s="27"/>
      <c r="BG139" s="34"/>
    </row>
    <row r="140" ht="15.75" customHeight="1">
      <c r="A140" s="34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34"/>
      <c r="BB140" s="27"/>
      <c r="BC140" s="27"/>
      <c r="BD140" s="27"/>
      <c r="BE140" s="27"/>
      <c r="BF140" s="27"/>
      <c r="BG140" s="34"/>
    </row>
    <row r="141" ht="15.75" customHeight="1">
      <c r="A141" s="34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34"/>
      <c r="BB141" s="27"/>
      <c r="BC141" s="27"/>
      <c r="BD141" s="27"/>
      <c r="BE141" s="27"/>
      <c r="BF141" s="27"/>
      <c r="BG141" s="34"/>
    </row>
    <row r="142" ht="15.75" customHeight="1">
      <c r="A142" s="34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34"/>
      <c r="BB142" s="27"/>
      <c r="BC142" s="27"/>
      <c r="BD142" s="27"/>
      <c r="BE142" s="27"/>
      <c r="BF142" s="27"/>
      <c r="BG142" s="34"/>
    </row>
    <row r="143" ht="15.75" customHeight="1">
      <c r="A143" s="34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34"/>
      <c r="BB143" s="27"/>
      <c r="BC143" s="27"/>
      <c r="BD143" s="27"/>
      <c r="BE143" s="27"/>
      <c r="BF143" s="27"/>
      <c r="BG143" s="34"/>
    </row>
    <row r="144" ht="15.75" customHeight="1">
      <c r="A144" s="34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34"/>
      <c r="BB144" s="27"/>
      <c r="BC144" s="27"/>
      <c r="BD144" s="27"/>
      <c r="BE144" s="27"/>
      <c r="BF144" s="27"/>
      <c r="BG144" s="34"/>
    </row>
    <row r="145" ht="15.75" customHeight="1">
      <c r="A145" s="34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34"/>
      <c r="BB145" s="27"/>
      <c r="BC145" s="27"/>
      <c r="BD145" s="27"/>
      <c r="BE145" s="27"/>
      <c r="BF145" s="27"/>
      <c r="BG145" s="34"/>
    </row>
    <row r="146" ht="15.75" customHeight="1">
      <c r="A146" s="34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34"/>
      <c r="BB146" s="27"/>
      <c r="BC146" s="27"/>
      <c r="BD146" s="27"/>
      <c r="BE146" s="27"/>
      <c r="BF146" s="27"/>
      <c r="BG146" s="34"/>
    </row>
    <row r="147" ht="15.75" customHeight="1">
      <c r="A147" s="34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34"/>
      <c r="BB147" s="27"/>
      <c r="BC147" s="27"/>
      <c r="BD147" s="27"/>
      <c r="BE147" s="27"/>
      <c r="BF147" s="27"/>
      <c r="BG147" s="34"/>
    </row>
    <row r="148" ht="15.75" customHeight="1">
      <c r="A148" s="34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34"/>
      <c r="BB148" s="27"/>
      <c r="BC148" s="27"/>
      <c r="BD148" s="27"/>
      <c r="BE148" s="27"/>
      <c r="BF148" s="27"/>
      <c r="BG148" s="34"/>
    </row>
    <row r="149" ht="15.75" customHeight="1">
      <c r="A149" s="34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34"/>
      <c r="BB149" s="27"/>
      <c r="BC149" s="27"/>
      <c r="BD149" s="27"/>
      <c r="BE149" s="27"/>
      <c r="BF149" s="27"/>
      <c r="BG149" s="34"/>
    </row>
    <row r="150" ht="15.75" customHeight="1">
      <c r="A150" s="34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34"/>
      <c r="BB150" s="27"/>
      <c r="BC150" s="27"/>
      <c r="BD150" s="27"/>
      <c r="BE150" s="27"/>
      <c r="BF150" s="27"/>
      <c r="BG150" s="34"/>
    </row>
    <row r="151" ht="15.75" customHeight="1">
      <c r="A151" s="34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34"/>
      <c r="BB151" s="27"/>
      <c r="BC151" s="27"/>
      <c r="BD151" s="27"/>
      <c r="BE151" s="27"/>
      <c r="BF151" s="27"/>
      <c r="BG151" s="34"/>
    </row>
    <row r="152" ht="15.75" customHeight="1">
      <c r="A152" s="34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34"/>
      <c r="BB152" s="27"/>
      <c r="BC152" s="27"/>
      <c r="BD152" s="27"/>
      <c r="BE152" s="27"/>
      <c r="BF152" s="27"/>
      <c r="BG152" s="34"/>
    </row>
    <row r="153" ht="15.75" customHeight="1">
      <c r="A153" s="34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34"/>
      <c r="BB153" s="27"/>
      <c r="BC153" s="27"/>
      <c r="BD153" s="27"/>
      <c r="BE153" s="27"/>
      <c r="BF153" s="27"/>
      <c r="BG153" s="34"/>
    </row>
    <row r="154" ht="15.75" customHeight="1">
      <c r="A154" s="34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34"/>
      <c r="BB154" s="27"/>
      <c r="BC154" s="27"/>
      <c r="BD154" s="27"/>
      <c r="BE154" s="27"/>
      <c r="BF154" s="27"/>
      <c r="BG154" s="34"/>
    </row>
    <row r="155" ht="15.75" customHeight="1">
      <c r="A155" s="34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34"/>
      <c r="BB155" s="27"/>
      <c r="BC155" s="27"/>
      <c r="BD155" s="27"/>
      <c r="BE155" s="27"/>
      <c r="BF155" s="27"/>
      <c r="BG155" s="34"/>
    </row>
    <row r="156" ht="15.75" customHeight="1">
      <c r="A156" s="34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34"/>
      <c r="BB156" s="27"/>
      <c r="BC156" s="27"/>
      <c r="BD156" s="27"/>
      <c r="BE156" s="27"/>
      <c r="BF156" s="27"/>
      <c r="BG156" s="34"/>
    </row>
    <row r="157" ht="15.75" customHeight="1">
      <c r="A157" s="34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34"/>
      <c r="BB157" s="27"/>
      <c r="BC157" s="27"/>
      <c r="BD157" s="27"/>
      <c r="BE157" s="27"/>
      <c r="BF157" s="27"/>
      <c r="BG157" s="34"/>
    </row>
    <row r="158" ht="15.75" customHeight="1">
      <c r="A158" s="34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34"/>
      <c r="BB158" s="27"/>
      <c r="BC158" s="27"/>
      <c r="BD158" s="27"/>
      <c r="BE158" s="27"/>
      <c r="BF158" s="27"/>
      <c r="BG158" s="34"/>
    </row>
    <row r="159" ht="15.75" customHeight="1">
      <c r="A159" s="34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34"/>
      <c r="BB159" s="27"/>
      <c r="BC159" s="27"/>
      <c r="BD159" s="27"/>
      <c r="BE159" s="27"/>
      <c r="BF159" s="27"/>
      <c r="BG159" s="34"/>
    </row>
    <row r="160" ht="15.75" customHeight="1">
      <c r="A160" s="34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34"/>
      <c r="BB160" s="27"/>
      <c r="BC160" s="27"/>
      <c r="BD160" s="27"/>
      <c r="BE160" s="27"/>
      <c r="BF160" s="27"/>
      <c r="BG160" s="34"/>
    </row>
    <row r="161" ht="15.75" customHeight="1">
      <c r="A161" s="34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34"/>
      <c r="BB161" s="27"/>
      <c r="BC161" s="27"/>
      <c r="BD161" s="27"/>
      <c r="BE161" s="27"/>
      <c r="BF161" s="27"/>
      <c r="BG161" s="34"/>
    </row>
    <row r="162" ht="15.75" customHeight="1">
      <c r="A162" s="34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34"/>
      <c r="BB162" s="27"/>
      <c r="BC162" s="27"/>
      <c r="BD162" s="27"/>
      <c r="BE162" s="27"/>
      <c r="BF162" s="27"/>
      <c r="BG162" s="34"/>
    </row>
    <row r="163" ht="15.75" customHeight="1">
      <c r="A163" s="34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34"/>
      <c r="BB163" s="27"/>
      <c r="BC163" s="27"/>
      <c r="BD163" s="27"/>
      <c r="BE163" s="27"/>
      <c r="BF163" s="27"/>
      <c r="BG163" s="34"/>
    </row>
    <row r="164" ht="15.75" customHeight="1">
      <c r="A164" s="34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34"/>
      <c r="BB164" s="27"/>
      <c r="BC164" s="27"/>
      <c r="BD164" s="27"/>
      <c r="BE164" s="27"/>
      <c r="BF164" s="27"/>
      <c r="BG164" s="34"/>
    </row>
    <row r="165" ht="15.75" customHeight="1">
      <c r="A165" s="34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34"/>
      <c r="BB165" s="27"/>
      <c r="BC165" s="27"/>
      <c r="BD165" s="27"/>
      <c r="BE165" s="27"/>
      <c r="BF165" s="27"/>
      <c r="BG165" s="34"/>
    </row>
    <row r="166" ht="15.75" customHeight="1">
      <c r="A166" s="34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34"/>
      <c r="BB166" s="27"/>
      <c r="BC166" s="27"/>
      <c r="BD166" s="27"/>
      <c r="BE166" s="27"/>
      <c r="BF166" s="27"/>
      <c r="BG166" s="34"/>
    </row>
    <row r="167" ht="15.75" customHeight="1">
      <c r="A167" s="34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34"/>
      <c r="BB167" s="27"/>
      <c r="BC167" s="27"/>
      <c r="BD167" s="27"/>
      <c r="BE167" s="27"/>
      <c r="BF167" s="27"/>
      <c r="BG167" s="34"/>
    </row>
    <row r="168" ht="15.75" customHeight="1">
      <c r="A168" s="34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34"/>
      <c r="BB168" s="27"/>
      <c r="BC168" s="27"/>
      <c r="BD168" s="27"/>
      <c r="BE168" s="27"/>
      <c r="BF168" s="27"/>
      <c r="BG168" s="34"/>
    </row>
    <row r="169" ht="15.75" customHeight="1">
      <c r="A169" s="34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34"/>
      <c r="BB169" s="27"/>
      <c r="BC169" s="27"/>
      <c r="BD169" s="27"/>
      <c r="BE169" s="27"/>
      <c r="BF169" s="27"/>
      <c r="BG169" s="34"/>
    </row>
    <row r="170" ht="15.75" customHeight="1">
      <c r="A170" s="34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34"/>
      <c r="BB170" s="27"/>
      <c r="BC170" s="27"/>
      <c r="BD170" s="27"/>
      <c r="BE170" s="27"/>
      <c r="BF170" s="27"/>
      <c r="BG170" s="34"/>
    </row>
    <row r="171" ht="15.75" customHeight="1">
      <c r="A171" s="34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34"/>
      <c r="BB171" s="27"/>
      <c r="BC171" s="27"/>
      <c r="BD171" s="27"/>
      <c r="BE171" s="27"/>
      <c r="BF171" s="27"/>
      <c r="BG171" s="34"/>
    </row>
    <row r="172" ht="15.75" customHeight="1">
      <c r="A172" s="34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34"/>
      <c r="BB172" s="27"/>
      <c r="BC172" s="27"/>
      <c r="BD172" s="27"/>
      <c r="BE172" s="27"/>
      <c r="BF172" s="27"/>
      <c r="BG172" s="34"/>
    </row>
    <row r="173" ht="15.75" customHeight="1">
      <c r="A173" s="34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34"/>
      <c r="BB173" s="27"/>
      <c r="BC173" s="27"/>
      <c r="BD173" s="27"/>
      <c r="BE173" s="27"/>
      <c r="BF173" s="27"/>
      <c r="BG173" s="34"/>
    </row>
    <row r="174" ht="15.75" customHeight="1">
      <c r="A174" s="34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34"/>
      <c r="BB174" s="27"/>
      <c r="BC174" s="27"/>
      <c r="BD174" s="27"/>
      <c r="BE174" s="27"/>
      <c r="BF174" s="27"/>
      <c r="BG174" s="34"/>
    </row>
    <row r="175" ht="15.75" customHeight="1">
      <c r="A175" s="34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34"/>
      <c r="BB175" s="27"/>
      <c r="BC175" s="27"/>
      <c r="BD175" s="27"/>
      <c r="BE175" s="27"/>
      <c r="BF175" s="27"/>
      <c r="BG175" s="34"/>
    </row>
    <row r="176" ht="15.75" customHeight="1">
      <c r="A176" s="34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34"/>
      <c r="BB176" s="27"/>
      <c r="BC176" s="27"/>
      <c r="BD176" s="27"/>
      <c r="BE176" s="27"/>
      <c r="BF176" s="27"/>
      <c r="BG176" s="34"/>
    </row>
    <row r="177" ht="15.75" customHeight="1">
      <c r="A177" s="34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34"/>
      <c r="BB177" s="27"/>
      <c r="BC177" s="27"/>
      <c r="BD177" s="27"/>
      <c r="BE177" s="27"/>
      <c r="BF177" s="27"/>
      <c r="BG177" s="34"/>
    </row>
    <row r="178" ht="15.75" customHeight="1">
      <c r="A178" s="34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34"/>
      <c r="BB178" s="27"/>
      <c r="BC178" s="27"/>
      <c r="BD178" s="27"/>
      <c r="BE178" s="27"/>
      <c r="BF178" s="27"/>
      <c r="BG178" s="34"/>
    </row>
    <row r="179" ht="15.75" customHeight="1">
      <c r="A179" s="34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34"/>
      <c r="BB179" s="27"/>
      <c r="BC179" s="27"/>
      <c r="BD179" s="27"/>
      <c r="BE179" s="27"/>
      <c r="BF179" s="27"/>
      <c r="BG179" s="34"/>
    </row>
    <row r="180" ht="15.75" customHeight="1">
      <c r="A180" s="34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34"/>
      <c r="BB180" s="27"/>
      <c r="BC180" s="27"/>
      <c r="BD180" s="27"/>
      <c r="BE180" s="27"/>
      <c r="BF180" s="27"/>
      <c r="BG180" s="34"/>
    </row>
    <row r="181" ht="15.75" customHeight="1">
      <c r="A181" s="34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34"/>
      <c r="BB181" s="27"/>
      <c r="BC181" s="27"/>
      <c r="BD181" s="27"/>
      <c r="BE181" s="27"/>
      <c r="BF181" s="27"/>
      <c r="BG181" s="34"/>
    </row>
    <row r="182" ht="15.75" customHeight="1">
      <c r="A182" s="34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34"/>
      <c r="BB182" s="27"/>
      <c r="BC182" s="27"/>
      <c r="BD182" s="27"/>
      <c r="BE182" s="27"/>
      <c r="BF182" s="27"/>
      <c r="BG182" s="34"/>
    </row>
    <row r="183" ht="15.75" customHeight="1">
      <c r="A183" s="34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34"/>
      <c r="BB183" s="27"/>
      <c r="BC183" s="27"/>
      <c r="BD183" s="27"/>
      <c r="BE183" s="27"/>
      <c r="BF183" s="27"/>
      <c r="BG183" s="34"/>
    </row>
    <row r="184" ht="15.75" customHeight="1">
      <c r="A184" s="34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34"/>
      <c r="BB184" s="27"/>
      <c r="BC184" s="27"/>
      <c r="BD184" s="27"/>
      <c r="BE184" s="27"/>
      <c r="BF184" s="27"/>
      <c r="BG184" s="34"/>
    </row>
    <row r="185" ht="15.75" customHeight="1">
      <c r="A185" s="34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34"/>
      <c r="BB185" s="27"/>
      <c r="BC185" s="27"/>
      <c r="BD185" s="27"/>
      <c r="BE185" s="27"/>
      <c r="BF185" s="27"/>
      <c r="BG185" s="34"/>
    </row>
    <row r="186" ht="15.75" customHeight="1">
      <c r="A186" s="34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34"/>
      <c r="BB186" s="27"/>
      <c r="BC186" s="27"/>
      <c r="BD186" s="27"/>
      <c r="BE186" s="27"/>
      <c r="BF186" s="27"/>
      <c r="BG186" s="34"/>
    </row>
    <row r="187" ht="15.75" customHeight="1">
      <c r="A187" s="34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34"/>
      <c r="BB187" s="27"/>
      <c r="BC187" s="27"/>
      <c r="BD187" s="27"/>
      <c r="BE187" s="27"/>
      <c r="BF187" s="27"/>
      <c r="BG187" s="34"/>
    </row>
    <row r="188" ht="15.75" customHeight="1">
      <c r="A188" s="34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34"/>
      <c r="BB188" s="27"/>
      <c r="BC188" s="27"/>
      <c r="BD188" s="27"/>
      <c r="BE188" s="27"/>
      <c r="BF188" s="27"/>
      <c r="BG188" s="34"/>
    </row>
    <row r="189" ht="15.75" customHeight="1">
      <c r="A189" s="34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34"/>
      <c r="BB189" s="27"/>
      <c r="BC189" s="27"/>
      <c r="BD189" s="27"/>
      <c r="BE189" s="27"/>
      <c r="BF189" s="27"/>
      <c r="BG189" s="34"/>
    </row>
    <row r="190" ht="15.75" customHeight="1">
      <c r="A190" s="34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34"/>
      <c r="BB190" s="27"/>
      <c r="BC190" s="27"/>
      <c r="BD190" s="27"/>
      <c r="BE190" s="27"/>
      <c r="BF190" s="27"/>
      <c r="BG190" s="34"/>
    </row>
    <row r="191" ht="15.75" customHeight="1">
      <c r="A191" s="34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34"/>
      <c r="BB191" s="27"/>
      <c r="BC191" s="27"/>
      <c r="BD191" s="27"/>
      <c r="BE191" s="27"/>
      <c r="BF191" s="27"/>
      <c r="BG191" s="34"/>
    </row>
    <row r="192" ht="15.75" customHeight="1">
      <c r="A192" s="34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34"/>
      <c r="BB192" s="27"/>
      <c r="BC192" s="27"/>
      <c r="BD192" s="27"/>
      <c r="BE192" s="27"/>
      <c r="BF192" s="27"/>
      <c r="BG192" s="34"/>
    </row>
    <row r="193" ht="15.75" customHeight="1">
      <c r="A193" s="34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34"/>
      <c r="BB193" s="27"/>
      <c r="BC193" s="27"/>
      <c r="BD193" s="27"/>
      <c r="BE193" s="27"/>
      <c r="BF193" s="27"/>
      <c r="BG193" s="34"/>
    </row>
    <row r="194" ht="15.75" customHeight="1">
      <c r="A194" s="34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34"/>
      <c r="BB194" s="27"/>
      <c r="BC194" s="27"/>
      <c r="BD194" s="27"/>
      <c r="BE194" s="27"/>
      <c r="BF194" s="27"/>
      <c r="BG194" s="34"/>
    </row>
    <row r="195" ht="15.75" customHeight="1">
      <c r="A195" s="34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34"/>
      <c r="BB195" s="27"/>
      <c r="BC195" s="27"/>
      <c r="BD195" s="27"/>
      <c r="BE195" s="27"/>
      <c r="BF195" s="27"/>
      <c r="BG195" s="34"/>
    </row>
    <row r="196" ht="15.75" customHeight="1">
      <c r="A196" s="34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34"/>
      <c r="BB196" s="27"/>
      <c r="BC196" s="27"/>
      <c r="BD196" s="27"/>
      <c r="BE196" s="27"/>
      <c r="BF196" s="27"/>
      <c r="BG196" s="34"/>
    </row>
    <row r="197" ht="15.75" customHeight="1">
      <c r="A197" s="34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34"/>
      <c r="BB197" s="27"/>
      <c r="BC197" s="27"/>
      <c r="BD197" s="27"/>
      <c r="BE197" s="27"/>
      <c r="BF197" s="27"/>
      <c r="BG197" s="34"/>
    </row>
    <row r="198" ht="15.75" customHeight="1">
      <c r="A198" s="34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34"/>
      <c r="BB198" s="27"/>
      <c r="BC198" s="27"/>
      <c r="BD198" s="27"/>
      <c r="BE198" s="27"/>
      <c r="BF198" s="27"/>
      <c r="BG198" s="34"/>
    </row>
    <row r="199" ht="15.75" customHeight="1">
      <c r="A199" s="34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34"/>
      <c r="BB199" s="27"/>
      <c r="BC199" s="27"/>
      <c r="BD199" s="27"/>
      <c r="BE199" s="27"/>
      <c r="BF199" s="27"/>
      <c r="BG199" s="34"/>
    </row>
    <row r="200" ht="15.75" customHeight="1">
      <c r="A200" s="34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34"/>
      <c r="BB200" s="27"/>
      <c r="BC200" s="27"/>
      <c r="BD200" s="27"/>
      <c r="BE200" s="27"/>
      <c r="BF200" s="27"/>
      <c r="BG200" s="34"/>
    </row>
    <row r="201" ht="15.75" customHeight="1">
      <c r="A201" s="34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34"/>
      <c r="BB201" s="27"/>
      <c r="BC201" s="27"/>
      <c r="BD201" s="27"/>
      <c r="BE201" s="27"/>
      <c r="BF201" s="27"/>
      <c r="BG201" s="34"/>
    </row>
    <row r="202" ht="15.75" customHeight="1">
      <c r="A202" s="34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34"/>
      <c r="BB202" s="27"/>
      <c r="BC202" s="27"/>
      <c r="BD202" s="27"/>
      <c r="BE202" s="27"/>
      <c r="BF202" s="27"/>
      <c r="BG202" s="34"/>
    </row>
    <row r="203" ht="15.75" customHeight="1">
      <c r="A203" s="34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34"/>
      <c r="BB203" s="27"/>
      <c r="BC203" s="27"/>
      <c r="BD203" s="27"/>
      <c r="BE203" s="27"/>
      <c r="BF203" s="27"/>
      <c r="BG203" s="34"/>
    </row>
    <row r="204" ht="15.75" customHeight="1">
      <c r="A204" s="34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34"/>
      <c r="BB204" s="27"/>
      <c r="BC204" s="27"/>
      <c r="BD204" s="27"/>
      <c r="BE204" s="27"/>
      <c r="BF204" s="27"/>
      <c r="BG204" s="34"/>
    </row>
    <row r="205" ht="15.75" customHeight="1">
      <c r="A205" s="34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34"/>
      <c r="BB205" s="27"/>
      <c r="BC205" s="27"/>
      <c r="BD205" s="27"/>
      <c r="BE205" s="27"/>
      <c r="BF205" s="27"/>
      <c r="BG205" s="34"/>
    </row>
    <row r="206" ht="15.75" customHeight="1">
      <c r="A206" s="34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34"/>
      <c r="BB206" s="27"/>
      <c r="BC206" s="27"/>
      <c r="BD206" s="27"/>
      <c r="BE206" s="27"/>
      <c r="BF206" s="27"/>
      <c r="BG206" s="34"/>
    </row>
    <row r="207" ht="15.75" customHeight="1">
      <c r="A207" s="34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34"/>
      <c r="BB207" s="27"/>
      <c r="BC207" s="27"/>
      <c r="BD207" s="27"/>
      <c r="BE207" s="27"/>
      <c r="BF207" s="27"/>
      <c r="BG207" s="34"/>
    </row>
    <row r="208" ht="15.75" customHeight="1">
      <c r="A208" s="34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34"/>
      <c r="BB208" s="27"/>
      <c r="BC208" s="27"/>
      <c r="BD208" s="27"/>
      <c r="BE208" s="27"/>
      <c r="BF208" s="27"/>
      <c r="BG208" s="34"/>
    </row>
    <row r="209" ht="15.75" customHeight="1">
      <c r="A209" s="34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34"/>
      <c r="BB209" s="27"/>
      <c r="BC209" s="27"/>
      <c r="BD209" s="27"/>
      <c r="BE209" s="27"/>
      <c r="BF209" s="27"/>
      <c r="BG209" s="34"/>
    </row>
    <row r="210" ht="15.75" customHeight="1">
      <c r="A210" s="34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34"/>
      <c r="BB210" s="27"/>
      <c r="BC210" s="27"/>
      <c r="BD210" s="27"/>
      <c r="BE210" s="27"/>
      <c r="BF210" s="27"/>
      <c r="BG210" s="34"/>
    </row>
    <row r="211" ht="15.75" customHeight="1">
      <c r="A211" s="34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34"/>
      <c r="BB211" s="27"/>
      <c r="BC211" s="27"/>
      <c r="BD211" s="27"/>
      <c r="BE211" s="27"/>
      <c r="BF211" s="27"/>
      <c r="BG211" s="34"/>
    </row>
    <row r="212" ht="15.75" customHeight="1">
      <c r="A212" s="34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34"/>
      <c r="BB212" s="27"/>
      <c r="BC212" s="27"/>
      <c r="BD212" s="27"/>
      <c r="BE212" s="27"/>
      <c r="BF212" s="27"/>
      <c r="BG212" s="34"/>
    </row>
    <row r="213" ht="15.75" customHeight="1">
      <c r="A213" s="34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34"/>
      <c r="BB213" s="27"/>
      <c r="BC213" s="27"/>
      <c r="BD213" s="27"/>
      <c r="BE213" s="27"/>
      <c r="BF213" s="27"/>
      <c r="BG213" s="34"/>
    </row>
    <row r="214" ht="15.75" customHeight="1">
      <c r="A214" s="34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34"/>
      <c r="BB214" s="27"/>
      <c r="BC214" s="27"/>
      <c r="BD214" s="27"/>
      <c r="BE214" s="27"/>
      <c r="BF214" s="27"/>
      <c r="BG214" s="34"/>
    </row>
    <row r="215" ht="15.75" customHeight="1">
      <c r="A215" s="34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34"/>
      <c r="BB215" s="27"/>
      <c r="BC215" s="27"/>
      <c r="BD215" s="27"/>
      <c r="BE215" s="27"/>
      <c r="BF215" s="27"/>
      <c r="BG215" s="34"/>
    </row>
    <row r="216" ht="15.75" customHeight="1">
      <c r="A216" s="34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34"/>
      <c r="BB216" s="27"/>
      <c r="BC216" s="27"/>
      <c r="BD216" s="27"/>
      <c r="BE216" s="27"/>
      <c r="BF216" s="27"/>
      <c r="BG216" s="34"/>
    </row>
    <row r="217" ht="15.75" customHeight="1">
      <c r="A217" s="34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34"/>
      <c r="BB217" s="27"/>
      <c r="BC217" s="27"/>
      <c r="BD217" s="27"/>
      <c r="BE217" s="27"/>
      <c r="BF217" s="27"/>
      <c r="BG217" s="34"/>
    </row>
    <row r="218" ht="15.75" customHeight="1">
      <c r="A218" s="34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34"/>
      <c r="BB218" s="27"/>
      <c r="BC218" s="27"/>
      <c r="BD218" s="27"/>
      <c r="BE218" s="27"/>
      <c r="BF218" s="27"/>
      <c r="BG218" s="34"/>
    </row>
    <row r="219" ht="15.75" customHeight="1">
      <c r="A219" s="34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34"/>
      <c r="BB219" s="27"/>
      <c r="BC219" s="27"/>
      <c r="BD219" s="27"/>
      <c r="BE219" s="27"/>
      <c r="BF219" s="27"/>
      <c r="BG219" s="34"/>
    </row>
    <row r="220" ht="15.75" customHeight="1">
      <c r="A220" s="34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34"/>
      <c r="BB220" s="27"/>
      <c r="BC220" s="27"/>
      <c r="BD220" s="27"/>
      <c r="BE220" s="27"/>
      <c r="BF220" s="27"/>
      <c r="BG220" s="34"/>
    </row>
    <row r="221" ht="15.75" customHeight="1">
      <c r="A221" s="34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34"/>
      <c r="BB221" s="27"/>
      <c r="BC221" s="27"/>
      <c r="BD221" s="27"/>
      <c r="BE221" s="27"/>
      <c r="BF221" s="27"/>
      <c r="BG221" s="34"/>
    </row>
    <row r="222" ht="15.75" customHeight="1">
      <c r="A222" s="34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34"/>
      <c r="BB222" s="27"/>
      <c r="BC222" s="27"/>
      <c r="BD222" s="27"/>
      <c r="BE222" s="27"/>
      <c r="BF222" s="27"/>
      <c r="BG222" s="34"/>
    </row>
    <row r="223" ht="15.75" customHeight="1">
      <c r="A223" s="34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34"/>
      <c r="BB223" s="27"/>
      <c r="BC223" s="27"/>
      <c r="BD223" s="27"/>
      <c r="BE223" s="27"/>
      <c r="BF223" s="27"/>
      <c r="BG223" s="34"/>
    </row>
    <row r="224" ht="15.75" customHeight="1">
      <c r="A224" s="34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34"/>
      <c r="BB224" s="27"/>
      <c r="BC224" s="27"/>
      <c r="BD224" s="27"/>
      <c r="BE224" s="27"/>
      <c r="BF224" s="27"/>
      <c r="BG224" s="34"/>
    </row>
    <row r="225" ht="15.75" customHeight="1">
      <c r="A225" s="34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34"/>
      <c r="BB225" s="27"/>
      <c r="BC225" s="27"/>
      <c r="BD225" s="27"/>
      <c r="BE225" s="27"/>
      <c r="BF225" s="27"/>
      <c r="BG225" s="34"/>
    </row>
    <row r="226" ht="15.75" customHeight="1">
      <c r="A226" s="34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34"/>
      <c r="BB226" s="27"/>
      <c r="BC226" s="27"/>
      <c r="BD226" s="27"/>
      <c r="BE226" s="27"/>
      <c r="BF226" s="27"/>
      <c r="BG226" s="34"/>
    </row>
    <row r="227" ht="15.75" customHeight="1">
      <c r="A227" s="34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34"/>
      <c r="BB227" s="27"/>
      <c r="BC227" s="27"/>
      <c r="BD227" s="27"/>
      <c r="BE227" s="27"/>
      <c r="BF227" s="27"/>
      <c r="BG227" s="34"/>
    </row>
    <row r="228" ht="15.75" customHeight="1">
      <c r="A228" s="34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34"/>
      <c r="BB228" s="27"/>
      <c r="BC228" s="27"/>
      <c r="BD228" s="27"/>
      <c r="BE228" s="27"/>
      <c r="BF228" s="27"/>
      <c r="BG228" s="34"/>
    </row>
    <row r="229" ht="15.75" customHeight="1">
      <c r="A229" s="34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34"/>
      <c r="BB229" s="27"/>
      <c r="BC229" s="27"/>
      <c r="BD229" s="27"/>
      <c r="BE229" s="27"/>
      <c r="BF229" s="27"/>
      <c r="BG229" s="34"/>
    </row>
    <row r="230" ht="15.75" customHeight="1">
      <c r="A230" s="34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34"/>
      <c r="BB230" s="27"/>
      <c r="BC230" s="27"/>
      <c r="BD230" s="27"/>
      <c r="BE230" s="27"/>
      <c r="BF230" s="27"/>
      <c r="BG230" s="34"/>
    </row>
    <row r="231" ht="15.75" customHeight="1">
      <c r="A231" s="34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34"/>
      <c r="BB231" s="27"/>
      <c r="BC231" s="27"/>
      <c r="BD231" s="27"/>
      <c r="BE231" s="27"/>
      <c r="BF231" s="27"/>
      <c r="BG231" s="34"/>
    </row>
    <row r="232" ht="15.75" customHeight="1">
      <c r="A232" s="34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34"/>
      <c r="BB232" s="27"/>
      <c r="BC232" s="27"/>
      <c r="BD232" s="27"/>
      <c r="BE232" s="27"/>
      <c r="BF232" s="27"/>
      <c r="BG232" s="34"/>
    </row>
    <row r="233" ht="15.75" customHeight="1">
      <c r="A233" s="34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34"/>
      <c r="BB233" s="27"/>
      <c r="BC233" s="27"/>
      <c r="BD233" s="27"/>
      <c r="BE233" s="27"/>
      <c r="BF233" s="27"/>
      <c r="BG233" s="34"/>
    </row>
    <row r="234" ht="15.75" customHeight="1">
      <c r="A234" s="34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34"/>
      <c r="BB234" s="27"/>
      <c r="BC234" s="27"/>
      <c r="BD234" s="27"/>
      <c r="BE234" s="27"/>
      <c r="BF234" s="27"/>
      <c r="BG234" s="34"/>
    </row>
    <row r="235" ht="15.75" customHeight="1">
      <c r="A235" s="34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34"/>
      <c r="BB235" s="27"/>
      <c r="BC235" s="27"/>
      <c r="BD235" s="27"/>
      <c r="BE235" s="27"/>
      <c r="BF235" s="27"/>
      <c r="BG235" s="34"/>
    </row>
    <row r="236" ht="15.75" customHeight="1">
      <c r="A236" s="34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34"/>
      <c r="BB236" s="27"/>
      <c r="BC236" s="27"/>
      <c r="BD236" s="27"/>
      <c r="BE236" s="27"/>
      <c r="BF236" s="27"/>
      <c r="BG236" s="34"/>
    </row>
    <row r="237" ht="15.75" customHeight="1">
      <c r="A237" s="34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34"/>
      <c r="BB237" s="27"/>
      <c r="BC237" s="27"/>
      <c r="BD237" s="27"/>
      <c r="BE237" s="27"/>
      <c r="BF237" s="27"/>
      <c r="BG237" s="34"/>
    </row>
    <row r="238" ht="15.75" customHeight="1">
      <c r="A238" s="34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34"/>
      <c r="BB238" s="27"/>
      <c r="BC238" s="27"/>
      <c r="BD238" s="27"/>
      <c r="BE238" s="27"/>
      <c r="BF238" s="27"/>
      <c r="BG238" s="34"/>
    </row>
    <row r="239" ht="15.75" customHeight="1">
      <c r="A239" s="34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34"/>
      <c r="BB239" s="27"/>
      <c r="BC239" s="27"/>
      <c r="BD239" s="27"/>
      <c r="BE239" s="27"/>
      <c r="BF239" s="27"/>
      <c r="BG239" s="34"/>
    </row>
    <row r="240" ht="15.75" customHeight="1">
      <c r="A240" s="34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34"/>
      <c r="BB240" s="27"/>
      <c r="BC240" s="27"/>
      <c r="BD240" s="27"/>
      <c r="BE240" s="27"/>
      <c r="BF240" s="27"/>
      <c r="BG240" s="34"/>
    </row>
    <row r="241" ht="15.75" customHeight="1">
      <c r="A241" s="34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34"/>
      <c r="BB241" s="27"/>
      <c r="BC241" s="27"/>
      <c r="BD241" s="27"/>
      <c r="BE241" s="27"/>
      <c r="BF241" s="27"/>
      <c r="BG241" s="34"/>
    </row>
    <row r="242" ht="15.75" customHeight="1">
      <c r="A242" s="34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34"/>
      <c r="BB242" s="27"/>
      <c r="BC242" s="27"/>
      <c r="BD242" s="27"/>
      <c r="BE242" s="27"/>
      <c r="BF242" s="27"/>
      <c r="BG242" s="34"/>
    </row>
    <row r="243" ht="15.75" customHeight="1">
      <c r="A243" s="34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34"/>
      <c r="BB243" s="27"/>
      <c r="BC243" s="27"/>
      <c r="BD243" s="27"/>
      <c r="BE243" s="27"/>
      <c r="BF243" s="27"/>
      <c r="BG243" s="34"/>
    </row>
    <row r="244" ht="15.75" customHeight="1">
      <c r="A244" s="34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34"/>
      <c r="BB244" s="27"/>
      <c r="BC244" s="27"/>
      <c r="BD244" s="27"/>
      <c r="BE244" s="27"/>
      <c r="BF244" s="27"/>
      <c r="BG244" s="34"/>
    </row>
    <row r="245" ht="15.75" customHeight="1">
      <c r="A245" s="34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34"/>
      <c r="BB245" s="27"/>
      <c r="BC245" s="27"/>
      <c r="BD245" s="27"/>
      <c r="BE245" s="27"/>
      <c r="BF245" s="27"/>
      <c r="BG245" s="34"/>
    </row>
    <row r="246" ht="15.75" customHeight="1">
      <c r="A246" s="34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34"/>
      <c r="BB246" s="27"/>
      <c r="BC246" s="27"/>
      <c r="BD246" s="27"/>
      <c r="BE246" s="27"/>
      <c r="BF246" s="27"/>
      <c r="BG246" s="34"/>
    </row>
    <row r="247" ht="15.75" customHeight="1">
      <c r="A247" s="34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34"/>
      <c r="BB247" s="27"/>
      <c r="BC247" s="27"/>
      <c r="BD247" s="27"/>
      <c r="BE247" s="27"/>
      <c r="BF247" s="27"/>
      <c r="BG247" s="34"/>
    </row>
    <row r="248" ht="15.75" customHeight="1">
      <c r="A248" s="34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34"/>
      <c r="BB248" s="27"/>
      <c r="BC248" s="27"/>
      <c r="BD248" s="27"/>
      <c r="BE248" s="27"/>
      <c r="BF248" s="27"/>
      <c r="BG248" s="34"/>
    </row>
    <row r="249" ht="15.75" customHeight="1">
      <c r="A249" s="34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34"/>
      <c r="BB249" s="27"/>
      <c r="BC249" s="27"/>
      <c r="BD249" s="27"/>
      <c r="BE249" s="27"/>
      <c r="BF249" s="27"/>
      <c r="BG249" s="34"/>
    </row>
    <row r="250" ht="15.75" customHeight="1">
      <c r="A250" s="34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34"/>
      <c r="BB250" s="27"/>
      <c r="BC250" s="27"/>
      <c r="BD250" s="27"/>
      <c r="BE250" s="27"/>
      <c r="BF250" s="27"/>
      <c r="BG250" s="34"/>
    </row>
    <row r="251" ht="15.75" customHeight="1">
      <c r="A251" s="34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34"/>
      <c r="BB251" s="27"/>
      <c r="BC251" s="27"/>
      <c r="BD251" s="27"/>
      <c r="BE251" s="27"/>
      <c r="BF251" s="27"/>
      <c r="BG251" s="34"/>
    </row>
    <row r="252" ht="15.75" customHeight="1">
      <c r="A252" s="34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34"/>
      <c r="BB252" s="27"/>
      <c r="BC252" s="27"/>
      <c r="BD252" s="27"/>
      <c r="BE252" s="27"/>
      <c r="BF252" s="27"/>
      <c r="BG252" s="34"/>
    </row>
    <row r="253" ht="15.75" customHeight="1">
      <c r="A253" s="34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34"/>
      <c r="BB253" s="27"/>
      <c r="BC253" s="27"/>
      <c r="BD253" s="27"/>
      <c r="BE253" s="27"/>
      <c r="BF253" s="27"/>
      <c r="BG253" s="34"/>
    </row>
    <row r="254" ht="15.75" customHeight="1">
      <c r="A254" s="34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34"/>
      <c r="BB254" s="27"/>
      <c r="BC254" s="27"/>
      <c r="BD254" s="27"/>
      <c r="BE254" s="27"/>
      <c r="BF254" s="27"/>
      <c r="BG254" s="34"/>
    </row>
    <row r="255" ht="15.75" customHeight="1">
      <c r="A255" s="34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34"/>
      <c r="BB255" s="27"/>
      <c r="BC255" s="27"/>
      <c r="BD255" s="27"/>
      <c r="BE255" s="27"/>
      <c r="BF255" s="27"/>
      <c r="BG255" s="34"/>
    </row>
    <row r="256" ht="15.75" customHeight="1">
      <c r="A256" s="34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34"/>
      <c r="BB256" s="27"/>
      <c r="BC256" s="27"/>
      <c r="BD256" s="27"/>
      <c r="BE256" s="27"/>
      <c r="BF256" s="27"/>
      <c r="BG256" s="34"/>
    </row>
    <row r="257" ht="15.75" customHeight="1">
      <c r="A257" s="34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34"/>
      <c r="BB257" s="27"/>
      <c r="BC257" s="27"/>
      <c r="BD257" s="27"/>
      <c r="BE257" s="27"/>
      <c r="BF257" s="27"/>
      <c r="BG257" s="34"/>
    </row>
    <row r="258" ht="15.75" customHeight="1">
      <c r="A258" s="34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34"/>
      <c r="BB258" s="27"/>
      <c r="BC258" s="27"/>
      <c r="BD258" s="27"/>
      <c r="BE258" s="27"/>
      <c r="BF258" s="27"/>
      <c r="BG258" s="34"/>
    </row>
    <row r="259" ht="15.75" customHeight="1">
      <c r="A259" s="34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34"/>
      <c r="BB259" s="27"/>
      <c r="BC259" s="27"/>
      <c r="BD259" s="27"/>
      <c r="BE259" s="27"/>
      <c r="BF259" s="27"/>
      <c r="BG259" s="34"/>
    </row>
    <row r="260" ht="15.75" customHeight="1">
      <c r="A260" s="34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34"/>
      <c r="BB260" s="27"/>
      <c r="BC260" s="27"/>
      <c r="BD260" s="27"/>
      <c r="BE260" s="27"/>
      <c r="BF260" s="27"/>
      <c r="BG260" s="34"/>
    </row>
    <row r="261" ht="15.75" customHeight="1">
      <c r="A261" s="34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34"/>
      <c r="BB261" s="27"/>
      <c r="BC261" s="27"/>
      <c r="BD261" s="27"/>
      <c r="BE261" s="27"/>
      <c r="BF261" s="27"/>
      <c r="BG261" s="34"/>
    </row>
    <row r="262" ht="15.75" customHeight="1">
      <c r="A262" s="34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34"/>
      <c r="BB262" s="27"/>
      <c r="BC262" s="27"/>
      <c r="BD262" s="27"/>
      <c r="BE262" s="27"/>
      <c r="BF262" s="27"/>
      <c r="BG262" s="34"/>
    </row>
    <row r="263" ht="15.75" customHeight="1">
      <c r="A263" s="34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34"/>
      <c r="BB263" s="27"/>
      <c r="BC263" s="27"/>
      <c r="BD263" s="27"/>
      <c r="BE263" s="27"/>
      <c r="BF263" s="27"/>
      <c r="BG263" s="34"/>
    </row>
    <row r="264" ht="15.75" customHeight="1">
      <c r="A264" s="34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34"/>
      <c r="BB264" s="27"/>
      <c r="BC264" s="27"/>
      <c r="BD264" s="27"/>
      <c r="BE264" s="27"/>
      <c r="BF264" s="27"/>
      <c r="BG264" s="34"/>
    </row>
    <row r="265" ht="15.75" customHeight="1">
      <c r="A265" s="34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34"/>
      <c r="BB265" s="27"/>
      <c r="BC265" s="27"/>
      <c r="BD265" s="27"/>
      <c r="BE265" s="27"/>
      <c r="BF265" s="27"/>
      <c r="BG265" s="34"/>
    </row>
    <row r="266" ht="15.75" customHeight="1">
      <c r="A266" s="34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34"/>
      <c r="BB266" s="27"/>
      <c r="BC266" s="27"/>
      <c r="BD266" s="27"/>
      <c r="BE266" s="27"/>
      <c r="BF266" s="27"/>
      <c r="BG266" s="34"/>
    </row>
    <row r="267" ht="15.75" customHeight="1">
      <c r="A267" s="34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34"/>
      <c r="BB267" s="27"/>
      <c r="BC267" s="27"/>
      <c r="BD267" s="27"/>
      <c r="BE267" s="27"/>
      <c r="BF267" s="27"/>
      <c r="BG267" s="34"/>
    </row>
    <row r="268" ht="15.75" customHeight="1">
      <c r="A268" s="34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34"/>
      <c r="BB268" s="27"/>
      <c r="BC268" s="27"/>
      <c r="BD268" s="27"/>
      <c r="BE268" s="27"/>
      <c r="BF268" s="27"/>
      <c r="BG268" s="34"/>
    </row>
    <row r="269" ht="15.75" customHeight="1">
      <c r="A269" s="34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34"/>
      <c r="BB269" s="27"/>
      <c r="BC269" s="27"/>
      <c r="BD269" s="27"/>
      <c r="BE269" s="27"/>
      <c r="BF269" s="27"/>
      <c r="BG269" s="34"/>
    </row>
    <row r="270" ht="15.75" customHeight="1">
      <c r="A270" s="34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34"/>
      <c r="BB270" s="27"/>
      <c r="BC270" s="27"/>
      <c r="BD270" s="27"/>
      <c r="BE270" s="27"/>
      <c r="BF270" s="27"/>
      <c r="BG270" s="34"/>
    </row>
    <row r="271" ht="15.75" customHeight="1">
      <c r="A271" s="34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34"/>
      <c r="BB271" s="27"/>
      <c r="BC271" s="27"/>
      <c r="BD271" s="27"/>
      <c r="BE271" s="27"/>
      <c r="BF271" s="27"/>
      <c r="BG271" s="34"/>
    </row>
    <row r="272" ht="15.75" customHeight="1">
      <c r="A272" s="34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34"/>
      <c r="BB272" s="27"/>
      <c r="BC272" s="27"/>
      <c r="BD272" s="27"/>
      <c r="BE272" s="27"/>
      <c r="BF272" s="27"/>
      <c r="BG272" s="34"/>
    </row>
    <row r="273" ht="15.75" customHeight="1">
      <c r="A273" s="34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34"/>
      <c r="BB273" s="27"/>
      <c r="BC273" s="27"/>
      <c r="BD273" s="27"/>
      <c r="BE273" s="27"/>
      <c r="BF273" s="27"/>
      <c r="BG273" s="34"/>
    </row>
    <row r="274" ht="15.75" customHeight="1">
      <c r="A274" s="34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34"/>
      <c r="BB274" s="27"/>
      <c r="BC274" s="27"/>
      <c r="BD274" s="27"/>
      <c r="BE274" s="27"/>
      <c r="BF274" s="27"/>
      <c r="BG274" s="34"/>
    </row>
    <row r="275" ht="15.75" customHeight="1">
      <c r="A275" s="34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34"/>
      <c r="BB275" s="27"/>
      <c r="BC275" s="27"/>
      <c r="BD275" s="27"/>
      <c r="BE275" s="27"/>
      <c r="BF275" s="27"/>
      <c r="BG275" s="34"/>
    </row>
    <row r="276" ht="15.75" customHeight="1">
      <c r="A276" s="34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34"/>
      <c r="BB276" s="27"/>
      <c r="BC276" s="27"/>
      <c r="BD276" s="27"/>
      <c r="BE276" s="27"/>
      <c r="BF276" s="27"/>
      <c r="BG276" s="34"/>
    </row>
    <row r="277" ht="15.75" customHeight="1">
      <c r="A277" s="34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34"/>
      <c r="BB277" s="27"/>
      <c r="BC277" s="27"/>
      <c r="BD277" s="27"/>
      <c r="BE277" s="27"/>
      <c r="BF277" s="27"/>
      <c r="BG277" s="34"/>
    </row>
    <row r="278" ht="15.75" customHeight="1">
      <c r="A278" s="34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34"/>
      <c r="BB278" s="27"/>
      <c r="BC278" s="27"/>
      <c r="BD278" s="27"/>
      <c r="BE278" s="27"/>
      <c r="BF278" s="27"/>
      <c r="BG278" s="34"/>
    </row>
    <row r="279" ht="15.75" customHeight="1">
      <c r="A279" s="34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34"/>
      <c r="BB279" s="27"/>
      <c r="BC279" s="27"/>
      <c r="BD279" s="27"/>
      <c r="BE279" s="27"/>
      <c r="BF279" s="27"/>
      <c r="BG279" s="34"/>
    </row>
    <row r="280" ht="15.75" customHeight="1">
      <c r="A280" s="34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34"/>
      <c r="BB280" s="27"/>
      <c r="BC280" s="27"/>
      <c r="BD280" s="27"/>
      <c r="BE280" s="27"/>
      <c r="BF280" s="27"/>
      <c r="BG280" s="34"/>
    </row>
    <row r="281" ht="15.75" customHeight="1">
      <c r="A281" s="34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34"/>
      <c r="BB281" s="27"/>
      <c r="BC281" s="27"/>
      <c r="BD281" s="27"/>
      <c r="BE281" s="27"/>
      <c r="BF281" s="27"/>
      <c r="BG281" s="34"/>
    </row>
    <row r="282" ht="15.75" customHeight="1">
      <c r="A282" s="34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34"/>
      <c r="BB282" s="27"/>
      <c r="BC282" s="27"/>
      <c r="BD282" s="27"/>
      <c r="BE282" s="27"/>
      <c r="BF282" s="27"/>
      <c r="BG282" s="34"/>
    </row>
    <row r="283" ht="15.75" customHeight="1">
      <c r="A283" s="34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34"/>
      <c r="BB283" s="27"/>
      <c r="BC283" s="27"/>
      <c r="BD283" s="27"/>
      <c r="BE283" s="27"/>
      <c r="BF283" s="27"/>
      <c r="BG283" s="34"/>
    </row>
    <row r="284" ht="15.75" customHeight="1">
      <c r="A284" s="34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34"/>
      <c r="BB284" s="27"/>
      <c r="BC284" s="27"/>
      <c r="BD284" s="27"/>
      <c r="BE284" s="27"/>
      <c r="BF284" s="27"/>
      <c r="BG284" s="34"/>
    </row>
    <row r="285" ht="15.75" customHeight="1">
      <c r="A285" s="34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34"/>
      <c r="BB285" s="27"/>
      <c r="BC285" s="27"/>
      <c r="BD285" s="27"/>
      <c r="BE285" s="27"/>
      <c r="BF285" s="27"/>
      <c r="BG285" s="34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4.43" defaultRowHeight="15.0" outlineLevelCol="1" outlineLevelRow="1"/>
  <cols>
    <col customWidth="1" min="1" max="1" width="2.0"/>
    <col customWidth="1" min="2" max="2" width="32.0"/>
    <col customWidth="1" min="3" max="3" width="21.43"/>
    <col customWidth="1" min="4" max="4" width="5.0"/>
    <col customWidth="1" hidden="1" min="5" max="5" width="9.71" outlineLevel="1"/>
    <col customWidth="1" hidden="1" min="6" max="6" width="9.57" outlineLevel="1"/>
    <col customWidth="1" hidden="1" min="7" max="7" width="9.86" outlineLevel="1"/>
    <col customWidth="1" hidden="1" min="8" max="8" width="9.43" outlineLevel="1"/>
    <col customWidth="1" hidden="1" min="9" max="9" width="10.0" outlineLevel="1"/>
    <col customWidth="1" hidden="1" min="10" max="10" width="9.71" outlineLevel="1"/>
    <col customWidth="1" hidden="1" min="11" max="11" width="9.14" outlineLevel="1"/>
    <col customWidth="1" hidden="1" min="12" max="13" width="9.86" outlineLevel="1"/>
    <col customWidth="1" hidden="1" min="14" max="14" width="9.57" outlineLevel="1"/>
    <col customWidth="1" hidden="1" min="15" max="16" width="9.86" outlineLevel="1"/>
    <col customWidth="1" min="17" max="17" width="9.71"/>
    <col customWidth="1" min="18" max="18" width="9.57"/>
    <col customWidth="1" min="19" max="19" width="9.71"/>
    <col customWidth="1" min="20" max="20" width="9.43"/>
    <col customWidth="1" min="21" max="21" width="10.0"/>
    <col customWidth="1" min="22" max="22" width="9.71"/>
    <col customWidth="1" min="23" max="23" width="9.14"/>
    <col customWidth="1" min="24" max="25" width="9.86"/>
    <col customWidth="1" min="26" max="26" width="9.57"/>
    <col customWidth="1" min="27" max="28" width="9.86"/>
    <col customWidth="1" min="29" max="30" width="9.43"/>
    <col customWidth="1" min="31" max="31" width="9.57"/>
    <col customWidth="1" min="32" max="32" width="9.29"/>
    <col customWidth="1" min="33" max="33" width="9.86"/>
    <col customWidth="1" min="34" max="34" width="9.57"/>
    <col customWidth="1" min="35" max="35" width="10.57"/>
    <col customWidth="1" min="36" max="36" width="10.29"/>
    <col customWidth="1" min="37" max="37" width="10.57"/>
    <col customWidth="1" min="38" max="38" width="10.86"/>
    <col customWidth="1" min="39" max="39" width="10.43"/>
    <col customWidth="1" min="40" max="40" width="10.14"/>
    <col customWidth="1" min="41" max="41" width="10.43"/>
    <col customWidth="1" min="42" max="42" width="10.14"/>
    <col customWidth="1" min="43" max="43" width="10.86"/>
    <col customWidth="1" min="44" max="45" width="10.71"/>
    <col customWidth="1" min="46" max="46" width="10.86"/>
    <col customWidth="1" min="47" max="48" width="10.57"/>
    <col customWidth="1" min="49" max="52" width="10.86"/>
    <col customWidth="1" min="54" max="54" width="7.57"/>
    <col customWidth="1" min="55" max="55" width="8.43"/>
    <col customWidth="1" min="56" max="56" width="11.43"/>
    <col customWidth="1" min="57" max="57" width="12.14"/>
    <col customWidth="1" min="58" max="58" width="12.71"/>
  </cols>
  <sheetData>
    <row r="1" ht="15.75" customHeight="1">
      <c r="A1" s="136" t="s">
        <v>38</v>
      </c>
      <c r="B1" s="135" t="s">
        <v>258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27"/>
      <c r="BB1" s="136"/>
      <c r="BC1" s="41"/>
      <c r="BD1" s="41"/>
      <c r="BE1" s="41"/>
      <c r="BF1" s="41"/>
      <c r="BG1" s="34"/>
    </row>
    <row r="2" ht="13.5" customHeight="1">
      <c r="A2" s="144"/>
      <c r="B2" s="197"/>
      <c r="C2" s="197"/>
      <c r="D2" s="197"/>
      <c r="E2" s="145" t="s">
        <v>194</v>
      </c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 t="s">
        <v>195</v>
      </c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 t="s">
        <v>196</v>
      </c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 t="s">
        <v>197</v>
      </c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98"/>
      <c r="BB2" s="145"/>
      <c r="BC2" s="145"/>
      <c r="BD2" s="145"/>
      <c r="BE2" s="145"/>
      <c r="BF2" s="145"/>
      <c r="BG2" s="199"/>
    </row>
    <row r="3" ht="13.5" customHeight="1">
      <c r="A3" s="144"/>
      <c r="B3" s="197"/>
      <c r="C3" s="197"/>
      <c r="D3" s="197"/>
      <c r="E3" s="153">
        <v>45658.0</v>
      </c>
      <c r="F3" s="153">
        <v>45689.0</v>
      </c>
      <c r="G3" s="153">
        <v>45717.0</v>
      </c>
      <c r="H3" s="153">
        <v>45748.0</v>
      </c>
      <c r="I3" s="153">
        <v>45778.0</v>
      </c>
      <c r="J3" s="153">
        <v>45809.0</v>
      </c>
      <c r="K3" s="153">
        <v>45839.0</v>
      </c>
      <c r="L3" s="153">
        <v>45870.0</v>
      </c>
      <c r="M3" s="153">
        <v>45901.0</v>
      </c>
      <c r="N3" s="153">
        <v>45931.0</v>
      </c>
      <c r="O3" s="153">
        <v>45962.0</v>
      </c>
      <c r="P3" s="153">
        <v>45992.0</v>
      </c>
      <c r="Q3" s="153">
        <v>46023.0</v>
      </c>
      <c r="R3" s="153">
        <v>46054.0</v>
      </c>
      <c r="S3" s="153">
        <v>46082.0</v>
      </c>
      <c r="T3" s="153">
        <v>46113.0</v>
      </c>
      <c r="U3" s="153">
        <v>46143.0</v>
      </c>
      <c r="V3" s="153">
        <v>46174.0</v>
      </c>
      <c r="W3" s="153">
        <v>46204.0</v>
      </c>
      <c r="X3" s="153">
        <v>46235.0</v>
      </c>
      <c r="Y3" s="153">
        <v>46266.0</v>
      </c>
      <c r="Z3" s="153">
        <v>46296.0</v>
      </c>
      <c r="AA3" s="153">
        <v>46327.0</v>
      </c>
      <c r="AB3" s="153">
        <v>46357.0</v>
      </c>
      <c r="AC3" s="153">
        <v>46388.0</v>
      </c>
      <c r="AD3" s="153">
        <v>46419.0</v>
      </c>
      <c r="AE3" s="153">
        <v>46447.0</v>
      </c>
      <c r="AF3" s="153">
        <v>46478.0</v>
      </c>
      <c r="AG3" s="153">
        <v>46508.0</v>
      </c>
      <c r="AH3" s="153">
        <v>46539.0</v>
      </c>
      <c r="AI3" s="153">
        <v>46569.0</v>
      </c>
      <c r="AJ3" s="153">
        <v>46600.0</v>
      </c>
      <c r="AK3" s="153">
        <v>46631.0</v>
      </c>
      <c r="AL3" s="153">
        <v>46661.0</v>
      </c>
      <c r="AM3" s="153">
        <v>46692.0</v>
      </c>
      <c r="AN3" s="153">
        <v>46722.0</v>
      </c>
      <c r="AO3" s="153">
        <v>46753.0</v>
      </c>
      <c r="AP3" s="153">
        <v>46784.0</v>
      </c>
      <c r="AQ3" s="153">
        <v>46813.0</v>
      </c>
      <c r="AR3" s="153">
        <v>46844.0</v>
      </c>
      <c r="AS3" s="153">
        <v>46874.0</v>
      </c>
      <c r="AT3" s="153">
        <v>46905.0</v>
      </c>
      <c r="AU3" s="153">
        <v>46935.0</v>
      </c>
      <c r="AV3" s="153">
        <v>46966.0</v>
      </c>
      <c r="AW3" s="153">
        <v>46997.0</v>
      </c>
      <c r="AX3" s="153">
        <v>47027.0</v>
      </c>
      <c r="AY3" s="153">
        <v>47058.0</v>
      </c>
      <c r="AZ3" s="153">
        <v>47088.0</v>
      </c>
      <c r="BA3" s="198"/>
      <c r="BB3" s="145">
        <v>2025.0</v>
      </c>
      <c r="BC3" s="145">
        <v>2026.0</v>
      </c>
      <c r="BD3" s="145">
        <v>2027.0</v>
      </c>
      <c r="BE3" s="145">
        <v>2028.0</v>
      </c>
      <c r="BF3" s="145">
        <v>2029.0</v>
      </c>
      <c r="BG3" s="152"/>
    </row>
    <row r="4">
      <c r="A4" s="27"/>
      <c r="B4" s="27"/>
      <c r="C4" s="27"/>
      <c r="D4" s="27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200">
        <v>2.0</v>
      </c>
      <c r="AC4" s="200">
        <v>3.0</v>
      </c>
      <c r="AD4" s="200">
        <v>4.0</v>
      </c>
      <c r="AE4" s="200">
        <v>5.0</v>
      </c>
      <c r="AF4" s="200">
        <v>6.0</v>
      </c>
      <c r="AG4" s="200">
        <v>7.0</v>
      </c>
      <c r="AH4" s="200">
        <v>8.0</v>
      </c>
      <c r="AI4" s="200">
        <v>9.0</v>
      </c>
      <c r="AJ4" s="200">
        <v>10.0</v>
      </c>
      <c r="AK4" s="200">
        <v>11.0</v>
      </c>
      <c r="AL4" s="200">
        <v>12.0</v>
      </c>
      <c r="AM4" s="200">
        <v>13.0</v>
      </c>
      <c r="AN4" s="200">
        <v>14.0</v>
      </c>
      <c r="AO4" s="200">
        <v>15.0</v>
      </c>
      <c r="AP4" s="200">
        <v>16.0</v>
      </c>
      <c r="AQ4" s="200">
        <v>17.0</v>
      </c>
      <c r="AR4" s="200">
        <v>18.0</v>
      </c>
      <c r="AS4" s="200">
        <v>19.0</v>
      </c>
      <c r="AT4" s="200">
        <v>20.0</v>
      </c>
      <c r="AU4" s="200">
        <v>21.0</v>
      </c>
      <c r="AV4" s="200">
        <v>22.0</v>
      </c>
      <c r="AW4" s="200">
        <v>23.0</v>
      </c>
      <c r="AX4" s="200">
        <v>24.0</v>
      </c>
      <c r="AY4" s="200">
        <v>25.0</v>
      </c>
      <c r="AZ4" s="200">
        <v>26.0</v>
      </c>
      <c r="BA4" s="156"/>
      <c r="BB4" s="156"/>
      <c r="BC4" s="156"/>
      <c r="BD4" s="156"/>
      <c r="BE4" s="156"/>
      <c r="BF4" s="156"/>
      <c r="BG4" s="105"/>
    </row>
    <row r="5" ht="13.5" customHeight="1">
      <c r="A5" s="201"/>
      <c r="B5" s="202" t="s">
        <v>259</v>
      </c>
      <c r="C5" s="201"/>
      <c r="D5" s="20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  <c r="AU5" s="161"/>
      <c r="AV5" s="161"/>
      <c r="AW5" s="161"/>
      <c r="AX5" s="161"/>
      <c r="AY5" s="161"/>
      <c r="AZ5" s="161"/>
      <c r="BA5" s="156"/>
      <c r="BB5" s="161"/>
      <c r="BC5" s="163"/>
      <c r="BD5" s="163"/>
      <c r="BE5" s="163"/>
      <c r="BF5" s="163"/>
      <c r="BG5" s="105"/>
    </row>
    <row r="6" ht="15.0" customHeight="1">
      <c r="A6" s="203"/>
      <c r="B6" s="203" t="s">
        <v>260</v>
      </c>
      <c r="C6" s="203"/>
      <c r="D6" s="203" t="s">
        <v>60</v>
      </c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>
        <f t="array" ref="Q6">IF(YEAR(Q$3)=2026,0,ROUND(EXP(0.095*((YEAR(Q$3)-2027)*12+MONTH(Q$3)-1))/SUMPRODUCT(EXP(0.095*(ROW(INDIRECT("1:24"))-1)))*SUM(Assumptions!$D$22:$E$22),0))</f>
        <v>0</v>
      </c>
      <c r="R6" s="203">
        <f t="array" ref="R6">IF(YEAR(R$3)=2026,0,ROUND(EXP(0.095*((YEAR(R$3)-2027)*12+MONTH(R$3)-1))/SUMPRODUCT(EXP(0.095*(ROW(INDIRECT("1:24"))-1)))*SUM(Assumptions!$D$22:$E$22),0))</f>
        <v>0</v>
      </c>
      <c r="S6" s="203">
        <f t="array" ref="S6">IF(YEAR(S$3)=2026,0,ROUND(EXP(0.095*((YEAR(S$3)-2027)*12+MONTH(S$3)-1))/SUMPRODUCT(EXP(0.095*(ROW(INDIRECT("1:24"))-1)))*SUM(Assumptions!$D$22:$E$22),0))</f>
        <v>0</v>
      </c>
      <c r="T6" s="203">
        <f t="array" ref="T6">IF(YEAR(T$3)=2026,0,ROUND(EXP(0.095*((YEAR(T$3)-2027)*12+MONTH(T$3)-1))/SUMPRODUCT(EXP(0.095*(ROW(INDIRECT("1:24"))-1)))*SUM(Assumptions!$D$22:$E$22),0))</f>
        <v>0</v>
      </c>
      <c r="U6" s="203">
        <f t="array" ref="U6">IF(YEAR(U$3)=2026,0,ROUND(EXP(0.095*((YEAR(U$3)-2027)*12+MONTH(U$3)-1))/SUMPRODUCT(EXP(0.095*(ROW(INDIRECT("1:24"))-1)))*SUM(Assumptions!$D$22:$E$22),0))</f>
        <v>0</v>
      </c>
      <c r="V6" s="203">
        <f t="array" ref="V6">IF(YEAR(V$3)=2026,0,ROUND(EXP(0.095*((YEAR(V$3)-2027)*12+MONTH(V$3)-1))/SUMPRODUCT(EXP(0.095*(ROW(INDIRECT("1:24"))-1)))*SUM(Assumptions!$D$22:$E$22),0))</f>
        <v>0</v>
      </c>
      <c r="W6" s="203">
        <f t="array" ref="W6">IF(YEAR(W$3)=2026,0,ROUND(EXP(0.095*((YEAR(W$3)-2027)*12+MONTH(W$3)-1))/SUMPRODUCT(EXP(0.095*(ROW(INDIRECT("1:24"))-1)))*SUM(Assumptions!$D$22:$E$22),0))</f>
        <v>0</v>
      </c>
      <c r="X6" s="203">
        <f t="array" ref="X6">IF(YEAR(X$3)=2026,0,ROUND(EXP(0.095*((YEAR(X$3)-2027)*12+MONTH(X$3)-1))/SUMPRODUCT(EXP(0.095*(ROW(INDIRECT("1:24"))-1)))*SUM(Assumptions!$D$22:$E$22),0))</f>
        <v>0</v>
      </c>
      <c r="Y6" s="203">
        <f t="array" ref="Y6">IF(YEAR(Y$3)=2026,0,ROUND(EXP(0.095*((YEAR(Y$3)-2027)*12+MONTH(Y$3)-1))/SUMPRODUCT(EXP(0.095*(ROW(INDIRECT("1:24"))-1)))*SUM(Assumptions!$D$22:$E$22),0))</f>
        <v>0</v>
      </c>
      <c r="Z6" s="203">
        <f t="array" ref="Z6">IF(YEAR(Z$3)=2026,0,ROUND(EXP(0.095*((YEAR(Z$3)-2027)*12+MONTH(Z$3)-1))/SUMPRODUCT(EXP(0.095*(ROW(INDIRECT("1:24"))-1)))*SUM(Assumptions!$D$22:$E$22),0))</f>
        <v>0</v>
      </c>
      <c r="AA6" s="203">
        <f t="array" ref="AA6">IF(YEAR(AA$3)=2026,0,ROUND(EXP(0.095*((YEAR(AA$3)-2027)*12+MONTH(AA$3)-1))/SUMPRODUCT(EXP(0.095*(ROW(INDIRECT("1:24"))-1)))*SUM(Assumptions!$D$22:$E$22),0))</f>
        <v>0</v>
      </c>
      <c r="AB6" s="203">
        <f t="array" ref="AB6">IF(YEAR(AB$3)=2026,0,ROUND(EXP(0.095*((YEAR(AB$3)-2027)*12+MONTH(AB$3)-1))/SUMPRODUCT(EXP(0.095*(ROW(INDIRECT("1:24"))-1)))*SUM(Assumptions!$D$22:$E$22),0))</f>
        <v>0</v>
      </c>
      <c r="AC6" s="203">
        <f t="array" ref="AC6">IF(YEAR(AC$3)=2026,0,ROUND(EXP(0.091*((YEAR(AC$3)-2027)*12+MONTH(AC$3)-1))/SUMPRODUCT(EXP(0.091*(ROW(INDIRECT("1:24"))-1)))*SUM(Assumptions!$D$22:$E$22),0))</f>
        <v>48</v>
      </c>
      <c r="AD6" s="203">
        <f t="array" ref="AD6">IF(YEAR(AD$3)=2026,0,ROUND(EXP(0.091*((YEAR(AD$3)-2027)*12+MONTH(AD$3)-1))/SUMPRODUCT(EXP(0.091*(ROW(INDIRECT("1:24"))-1)))*SUM(Assumptions!$D$22:$E$22),0))</f>
        <v>53</v>
      </c>
      <c r="AE6" s="203">
        <f t="array" ref="AE6">IF(YEAR(AE$3)=2026,0,ROUND(EXP(0.091*((YEAR(AE$3)-2027)*12+MONTH(AE$3)-1))/SUMPRODUCT(EXP(0.091*(ROW(INDIRECT("1:24"))-1)))*SUM(Assumptions!$D$22:$E$22),0))</f>
        <v>58</v>
      </c>
      <c r="AF6" s="203">
        <f t="array" ref="AF6">IF(YEAR(AF$3)=2026,0,ROUND(EXP(0.091*((YEAR(AF$3)-2027)*12+MONTH(AF$3)-1))/SUMPRODUCT(EXP(0.091*(ROW(INDIRECT("1:24"))-1)))*SUM(Assumptions!$D$22:$E$22),0))</f>
        <v>64</v>
      </c>
      <c r="AG6" s="203">
        <f t="array" ref="AG6">IF(YEAR(AG$3)=2026,0,ROUND(EXP(0.091*((YEAR(AG$3)-2027)*12+MONTH(AG$3)-1))/SUMPRODUCT(EXP(0.091*(ROW(INDIRECT("1:24"))-1)))*SUM(Assumptions!$D$22:$E$22),0))</f>
        <v>70</v>
      </c>
      <c r="AH6" s="203">
        <f t="array" ref="AH6">IF(YEAR(AH$3)=2026,0,ROUND(EXP(0.091*((YEAR(AH$3)-2027)*12+MONTH(AH$3)-1))/SUMPRODUCT(EXP(0.091*(ROW(INDIRECT("1:24"))-1)))*SUM(Assumptions!$D$22:$E$22),0))</f>
        <v>76</v>
      </c>
      <c r="AI6" s="203">
        <f t="array" ref="AI6">IF(YEAR(AI$3)=2026,0,ROUND(EXP(0.091*((YEAR(AI$3)-2027)*12+MONTH(AI$3)-1))/SUMPRODUCT(EXP(0.091*(ROW(INDIRECT("1:24"))-1)))*SUM(Assumptions!$D$22:$E$22),0))</f>
        <v>83</v>
      </c>
      <c r="AJ6" s="203">
        <f t="array" ref="AJ6">IF(YEAR(AJ$3)=2026,0,ROUND(EXP(0.091*((YEAR(AJ$3)-2027)*12+MONTH(AJ$3)-1))/SUMPRODUCT(EXP(0.091*(ROW(INDIRECT("1:24"))-1)))*SUM(Assumptions!$D$22:$E$22),0))</f>
        <v>91</v>
      </c>
      <c r="AK6" s="203">
        <f t="array" ref="AK6">IF(YEAR(AK$3)=2026,0,ROUND(EXP(0.091*((YEAR(AK$3)-2027)*12+MONTH(AK$3)-1))/SUMPRODUCT(EXP(0.091*(ROW(INDIRECT("1:24"))-1)))*SUM(Assumptions!$D$22:$E$22),0))</f>
        <v>100</v>
      </c>
      <c r="AL6" s="203">
        <f t="array" ref="AL6">IF(YEAR(AL$3)=2026,0,ROUND(EXP(0.091*((YEAR(AL$3)-2027)*12+MONTH(AL$3)-1))/SUMPRODUCT(EXP(0.091*(ROW(INDIRECT("1:24"))-1)))*SUM(Assumptions!$D$22:$E$22),0))</f>
        <v>110</v>
      </c>
      <c r="AM6" s="203">
        <f t="array" ref="AM6">IF(YEAR(AM$3)=2026,0,ROUND(EXP(0.091*((YEAR(AM$3)-2027)*12+MONTH(AM$3)-1))/SUMPRODUCT(EXP(0.091*(ROW(INDIRECT("1:24"))-1)))*SUM(Assumptions!$D$22:$E$22),0))</f>
        <v>120</v>
      </c>
      <c r="AN6" s="203">
        <f t="array" ref="AN6">IF(YEAR(AN$3)=2026,0,ROUND(EXP(0.091*((YEAR(AN$3)-2027)*12+MONTH(AN$3)-1))/SUMPRODUCT(EXP(0.091*(ROW(INDIRECT("1:24"))-1)))*SUM(Assumptions!$D$22:$E$22),0))</f>
        <v>132</v>
      </c>
      <c r="AO6" s="203">
        <f t="array" ref="AO6">IF(YEAR(AO$3)=2026,0,ROUND(EXP(0.0915*((YEAR(AO$3)-2027)*12+MONTH(AO$3)-1))/SUMPRODUCT(EXP(0.0915*(ROW(INDIRECT("1:24"))-1)))*SUM(Assumptions!$D$22:$E$22),0))</f>
        <v>144</v>
      </c>
      <c r="AP6" s="203">
        <f t="array" ref="AP6">IF(YEAR(AP$3)=2026,0,ROUND(EXP(0.0915*((YEAR(AP$3)-2027)*12+MONTH(AP$3)-1))/SUMPRODUCT(EXP(0.0915*(ROW(INDIRECT("1:24"))-1)))*SUM(Assumptions!$D$22:$E$22),0))</f>
        <v>158</v>
      </c>
      <c r="AQ6" s="203">
        <f t="array" ref="AQ6">IF(YEAR(AQ$3)=2026,0,ROUND(EXP(0.0915*((YEAR(AQ$3)-2027)*12+MONTH(AQ$3)-1))/SUMPRODUCT(EXP(0.0915*(ROW(INDIRECT("1:24"))-1)))*SUM(Assumptions!$D$22:$E$22),0))</f>
        <v>173</v>
      </c>
      <c r="AR6" s="203">
        <f t="array" ref="AR6">IF(YEAR(AR$3)=2026,0,ROUND(EXP(0.0915*((YEAR(AR$3)-2027)*12+MONTH(AR$3)-1))/SUMPRODUCT(EXP(0.0915*(ROW(INDIRECT("1:24"))-1)))*SUM(Assumptions!$D$22:$E$22),0))</f>
        <v>189</v>
      </c>
      <c r="AS6" s="203">
        <f t="array" ref="AS6">IF(YEAR(AS$3)=2026,0,ROUND(EXP(0.0915*((YEAR(AS$3)-2027)*12+MONTH(AS$3)-1))/SUMPRODUCT(EXP(0.0915*(ROW(INDIRECT("1:24"))-1)))*SUM(Assumptions!$D$22:$E$22),0))</f>
        <v>207</v>
      </c>
      <c r="AT6" s="203">
        <f t="array" ref="AT6">IF(YEAR(AT$3)=2026,0,ROUND(EXP(0.0915*((YEAR(AT$3)-2027)*12+MONTH(AT$3)-1))/SUMPRODUCT(EXP(0.0915*(ROW(INDIRECT("1:24"))-1)))*SUM(Assumptions!$D$22:$E$22),0))</f>
        <v>227</v>
      </c>
      <c r="AU6" s="203">
        <f t="array" ref="AU6">IF(YEAR(AU$3)=2026,0,ROUND(EXP(0.0915*((YEAR(AU$3)-2027)*12+MONTH(AU$3)-1))/SUMPRODUCT(EXP(0.0915*(ROW(INDIRECT("1:24"))-1)))*SUM(Assumptions!$D$22:$E$22),0))</f>
        <v>249</v>
      </c>
      <c r="AV6" s="203">
        <f t="array" ref="AV6">IF(YEAR(AV$3)=2026,0,ROUND(EXP(0.0915*((YEAR(AV$3)-2027)*12+MONTH(AV$3)-1))/SUMPRODUCT(EXP(0.0915*(ROW(INDIRECT("1:24"))-1)))*SUM(Assumptions!$D$22:$E$22),0))</f>
        <v>273</v>
      </c>
      <c r="AW6" s="203">
        <f t="array" ref="AW6">IF(YEAR(AW$3)=2026,0,ROUND(EXP(0.0915*((YEAR(AW$3)-2027)*12+MONTH(AW$3)-1))/SUMPRODUCT(EXP(0.0915*(ROW(INDIRECT("1:24"))-1)))*SUM(Assumptions!$D$22:$E$22),0))</f>
        <v>299</v>
      </c>
      <c r="AX6" s="203">
        <f t="array" ref="AX6">IF(YEAR(AX$3)=2026,0,ROUND(EXP(0.0915*((YEAR(AX$3)-2027)*12+MONTH(AX$3)-1))/SUMPRODUCT(EXP(0.0915*(ROW(INDIRECT("1:24"))-1)))*SUM(Assumptions!$D$22:$E$22),0))</f>
        <v>328</v>
      </c>
      <c r="AY6" s="203">
        <f t="array" ref="AY6">IF(YEAR(AY$3)=2026,0,ROUND(EXP(0.0915*((YEAR(AY$3)-2027)*12+MONTH(AY$3)-1))/SUMPRODUCT(EXP(0.0915*(ROW(INDIRECT("1:24"))-1)))*SUM(Assumptions!$D$22:$E$22),0))</f>
        <v>359</v>
      </c>
      <c r="AZ6" s="203">
        <f t="array" ref="AZ6">IF(YEAR(AZ$3)=2026,0,ROUND(EXP(0.0915*((YEAR(AZ$3)-2027)*12+MONTH(AZ$3)-1))/SUMPRODUCT(EXP(0.0915*(ROW(INDIRECT("1:24"))-1)))*SUM(Assumptions!$D$22:$E$22),0))</f>
        <v>394</v>
      </c>
      <c r="BA6" s="203"/>
      <c r="BB6" s="203">
        <f t="shared" ref="BB6:BB9" si="1">SUM(E6:P6)</f>
        <v>0</v>
      </c>
      <c r="BC6" s="203">
        <f t="shared" ref="BC6:BC9" si="2">SUM(Q6:AB6)</f>
        <v>0</v>
      </c>
      <c r="BD6" s="203">
        <f t="shared" ref="BD6:BD9" si="3">SUM(AC6:AN6)</f>
        <v>1005</v>
      </c>
      <c r="BE6" s="203">
        <f t="shared" ref="BE6:BE9" si="4">SUM(AO6:AZ6)</f>
        <v>3000</v>
      </c>
      <c r="BF6" s="203">
        <f>BE6*2</f>
        <v>6000</v>
      </c>
      <c r="BG6" s="203"/>
    </row>
    <row r="7" ht="15.0" customHeight="1">
      <c r="A7" s="157"/>
      <c r="B7" s="157" t="s">
        <v>261</v>
      </c>
      <c r="C7" s="157"/>
      <c r="D7" s="157" t="s">
        <v>201</v>
      </c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>
        <f>Q6*Assumptions!$C$28</f>
        <v>0</v>
      </c>
      <c r="R7" s="157">
        <f>R6*Assumptions!$C$28</f>
        <v>0</v>
      </c>
      <c r="S7" s="157">
        <f>S6*Assumptions!$C$28</f>
        <v>0</v>
      </c>
      <c r="T7" s="157">
        <f>T6*Assumptions!$C$28</f>
        <v>0</v>
      </c>
      <c r="U7" s="157">
        <f>U6*Assumptions!$C$28</f>
        <v>0</v>
      </c>
      <c r="V7" s="157">
        <f>V6*Assumptions!$C$28</f>
        <v>0</v>
      </c>
      <c r="W7" s="157">
        <f>W6*Assumptions!$C$28</f>
        <v>0</v>
      </c>
      <c r="X7" s="157">
        <f>X6*Assumptions!$C$28</f>
        <v>0</v>
      </c>
      <c r="Y7" s="157">
        <f>Y6*Assumptions!$C$28</f>
        <v>0</v>
      </c>
      <c r="Z7" s="157">
        <f>Z6*Assumptions!$C$28</f>
        <v>0</v>
      </c>
      <c r="AA7" s="157">
        <f>AA6*Assumptions!$C$28</f>
        <v>0</v>
      </c>
      <c r="AB7" s="157">
        <f>AB6*Assumptions!$C$28</f>
        <v>0</v>
      </c>
      <c r="AC7" s="157">
        <f>AC6*Assumptions!$C$28</f>
        <v>388760.3306</v>
      </c>
      <c r="AD7" s="157">
        <f>AD6*Assumptions!$C$28</f>
        <v>429256.1983</v>
      </c>
      <c r="AE7" s="157">
        <f>AE6*Assumptions!$C$28</f>
        <v>469752.0661</v>
      </c>
      <c r="AF7" s="157">
        <f>AF6*Assumptions!$C$28</f>
        <v>518347.1074</v>
      </c>
      <c r="AG7" s="157">
        <f>AG6*Assumptions!$C$28</f>
        <v>566942.1488</v>
      </c>
      <c r="AH7" s="157">
        <f>AH6*Assumptions!$C$28</f>
        <v>615537.1901</v>
      </c>
      <c r="AI7" s="157">
        <f>AI6*Assumptions!$C$28</f>
        <v>672231.405</v>
      </c>
      <c r="AJ7" s="157">
        <f>AJ6*Assumptions!$C$28</f>
        <v>737024.7934</v>
      </c>
      <c r="AK7" s="157">
        <f>AK6*Assumptions!$C$28</f>
        <v>809917.3554</v>
      </c>
      <c r="AL7" s="157">
        <f>AL6*Assumptions!$C$28</f>
        <v>890909.0909</v>
      </c>
      <c r="AM7" s="157">
        <f>AM6*Assumptions!$C$28</f>
        <v>971900.8264</v>
      </c>
      <c r="AN7" s="157">
        <f>AN6*Assumptions!$C$28</f>
        <v>1069090.909</v>
      </c>
      <c r="AO7" s="157">
        <f>AO6*Assumptions!$C$28</f>
        <v>1166280.992</v>
      </c>
      <c r="AP7" s="157">
        <f>AP6*Assumptions!$C$28</f>
        <v>1279669.421</v>
      </c>
      <c r="AQ7" s="157">
        <f>AQ6*Assumptions!$C$28</f>
        <v>1401157.025</v>
      </c>
      <c r="AR7" s="157">
        <f>AR6*Assumptions!$C$28</f>
        <v>1530743.802</v>
      </c>
      <c r="AS7" s="157">
        <f>AS6*Assumptions!$C$28</f>
        <v>1676528.926</v>
      </c>
      <c r="AT7" s="157">
        <f>AT6*Assumptions!$C$28</f>
        <v>1838512.397</v>
      </c>
      <c r="AU7" s="157">
        <f>AU6*Assumptions!$C$28</f>
        <v>2016694.215</v>
      </c>
      <c r="AV7" s="157">
        <f>AV6*Assumptions!$C$28</f>
        <v>2211074.38</v>
      </c>
      <c r="AW7" s="157">
        <f>AW6*Assumptions!$C$28</f>
        <v>2421652.893</v>
      </c>
      <c r="AX7" s="157">
        <f>AX6*Assumptions!$C$28</f>
        <v>2656528.926</v>
      </c>
      <c r="AY7" s="157">
        <f>AY6*Assumptions!$C$28</f>
        <v>2907603.306</v>
      </c>
      <c r="AZ7" s="157">
        <f>AZ6*Assumptions!$C$28</f>
        <v>3191074.38</v>
      </c>
      <c r="BA7" s="157"/>
      <c r="BB7" s="156">
        <f t="shared" si="1"/>
        <v>0</v>
      </c>
      <c r="BC7" s="156">
        <f t="shared" si="2"/>
        <v>0</v>
      </c>
      <c r="BD7" s="156">
        <f t="shared" si="3"/>
        <v>8139669.421</v>
      </c>
      <c r="BE7" s="156">
        <f t="shared" si="4"/>
        <v>24297520.66</v>
      </c>
      <c r="BF7" s="157">
        <f>BF6*Assumptions!$C$28</f>
        <v>48595041.32</v>
      </c>
      <c r="BG7" s="157"/>
    </row>
    <row r="8" ht="15.0" customHeight="1">
      <c r="A8" s="157"/>
      <c r="B8" s="157" t="s">
        <v>262</v>
      </c>
      <c r="C8" s="157"/>
      <c r="D8" s="157" t="s">
        <v>201</v>
      </c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>
        <f>Q6*SUMPRODUCT(Assumptions!$E$113:$F$116)</f>
        <v>0</v>
      </c>
      <c r="R8" s="157">
        <f>R6*SUMPRODUCT(Assumptions!$E$113:$F$116)</f>
        <v>0</v>
      </c>
      <c r="S8" s="157">
        <f>S6*SUMPRODUCT(Assumptions!$E$113:$F$116)</f>
        <v>0</v>
      </c>
      <c r="T8" s="157">
        <f>T6*SUMPRODUCT(Assumptions!$E$113:$F$116)</f>
        <v>0</v>
      </c>
      <c r="U8" s="157">
        <f>U6*SUMPRODUCT(Assumptions!$E$113:$F$116)</f>
        <v>0</v>
      </c>
      <c r="V8" s="157">
        <f>V6*SUMPRODUCT(Assumptions!$E$113:$F$116)</f>
        <v>0</v>
      </c>
      <c r="W8" s="157">
        <f>W6*SUMPRODUCT(Assumptions!$E$113:$F$116)</f>
        <v>0</v>
      </c>
      <c r="X8" s="157">
        <f>X6*SUMPRODUCT(Assumptions!$E$113:$F$116)</f>
        <v>0</v>
      </c>
      <c r="Y8" s="157">
        <f>Y6*SUMPRODUCT(Assumptions!$E$113:$F$116)</f>
        <v>0</v>
      </c>
      <c r="Z8" s="157">
        <f>Z6*SUMPRODUCT(Assumptions!$E$113:$F$116)</f>
        <v>0</v>
      </c>
      <c r="AA8" s="157">
        <f>AA6*SUMPRODUCT(Assumptions!$E$113:$F$116)</f>
        <v>0</v>
      </c>
      <c r="AB8" s="157">
        <f>AB6*SUMPRODUCT(Assumptions!$E$113:$F$116)</f>
        <v>0</v>
      </c>
      <c r="AC8" s="157">
        <f>AC6*SUMPRODUCT(Assumptions!$E$113:$E$116,Assumptions!$F$113:$F$116)</f>
        <v>95543.80165</v>
      </c>
      <c r="AD8" s="157">
        <f>AD6*SUMPRODUCT(Assumptions!$E$113:$E$116,Assumptions!$F$113:$F$116)</f>
        <v>105496.281</v>
      </c>
      <c r="AE8" s="157">
        <f>AE6*SUMPRODUCT(Assumptions!$E$113:$E$116,Assumptions!$F$113:$F$116)</f>
        <v>115448.7603</v>
      </c>
      <c r="AF8" s="157">
        <f>AF6*SUMPRODUCT(Assumptions!$E$113:$E$116,Assumptions!$F$113:$F$116)</f>
        <v>127391.7355</v>
      </c>
      <c r="AG8" s="157">
        <f>AG6*SUMPRODUCT(Assumptions!$E$113:$E$116,Assumptions!$F$113:$F$116)</f>
        <v>139334.7107</v>
      </c>
      <c r="AH8" s="157">
        <f>AH6*SUMPRODUCT(Assumptions!$E$113:$E$116,Assumptions!$F$113:$F$116)</f>
        <v>151277.686</v>
      </c>
      <c r="AI8" s="157">
        <f>AI6*SUMPRODUCT(Assumptions!$E$113:$E$116,Assumptions!$F$113:$F$116)</f>
        <v>165211.157</v>
      </c>
      <c r="AJ8" s="157">
        <f>AJ6*SUMPRODUCT(Assumptions!$E$113:$E$116,Assumptions!$F$113:$F$116)</f>
        <v>181135.124</v>
      </c>
      <c r="AK8" s="157">
        <f>AK6*SUMPRODUCT(Assumptions!$E$113:$E$116,Assumptions!$F$113:$F$116)</f>
        <v>199049.5868</v>
      </c>
      <c r="AL8" s="157">
        <f>AL6*SUMPRODUCT(Assumptions!$E$113:$E$116,Assumptions!$F$113:$F$116)</f>
        <v>218954.5455</v>
      </c>
      <c r="AM8" s="157">
        <f>AM6*SUMPRODUCT(Assumptions!$E$113:$E$116,Assumptions!$F$113:$F$116)</f>
        <v>238859.5041</v>
      </c>
      <c r="AN8" s="157">
        <f>AN6*SUMPRODUCT(Assumptions!$E$113:$E$116,Assumptions!$F$113:$F$116)</f>
        <v>262745.4545</v>
      </c>
      <c r="AO8" s="157">
        <f>AO6*SUMPRODUCT(Assumptions!$E$113:$E$116,Assumptions!$F$113:$F$116)</f>
        <v>286631.405</v>
      </c>
      <c r="AP8" s="157">
        <f>AP6*SUMPRODUCT(Assumptions!$E$113:$E$116,Assumptions!$F$113:$F$116)</f>
        <v>314498.3471</v>
      </c>
      <c r="AQ8" s="157">
        <f>AQ6*SUMPRODUCT(Assumptions!$E$113:$E$116,Assumptions!$F$113:$F$116)</f>
        <v>344355.7851</v>
      </c>
      <c r="AR8" s="157">
        <f>AR6*SUMPRODUCT(Assumptions!$E$113:$E$116,Assumptions!$F$113:$F$116)</f>
        <v>376203.719</v>
      </c>
      <c r="AS8" s="157">
        <f>AS6*SUMPRODUCT(Assumptions!$E$113:$E$116,Assumptions!$F$113:$F$116)</f>
        <v>412032.6446</v>
      </c>
      <c r="AT8" s="157">
        <f>AT6*SUMPRODUCT(Assumptions!$E$113:$E$116,Assumptions!$F$113:$F$116)</f>
        <v>451842.562</v>
      </c>
      <c r="AU8" s="157">
        <f>AU6*SUMPRODUCT(Assumptions!$E$113:$E$116,Assumptions!$F$113:$F$116)</f>
        <v>495633.4711</v>
      </c>
      <c r="AV8" s="157">
        <f>AV6*SUMPRODUCT(Assumptions!$E$113:$E$116,Assumptions!$F$113:$F$116)</f>
        <v>543405.3719</v>
      </c>
      <c r="AW8" s="157">
        <f>AW6*SUMPRODUCT(Assumptions!$E$113:$E$116,Assumptions!$F$113:$F$116)</f>
        <v>595158.2645</v>
      </c>
      <c r="AX8" s="157">
        <f>AX6*SUMPRODUCT(Assumptions!$E$113:$E$116,Assumptions!$F$113:$F$116)</f>
        <v>652882.6446</v>
      </c>
      <c r="AY8" s="157">
        <f>AY6*SUMPRODUCT(Assumptions!$E$113:$E$116,Assumptions!$F$113:$F$116)</f>
        <v>714588.0165</v>
      </c>
      <c r="AZ8" s="157">
        <f>AZ6*SUMPRODUCT(Assumptions!$E$113:$E$116,Assumptions!$F$113:$F$116)</f>
        <v>784255.3719</v>
      </c>
      <c r="BA8" s="157"/>
      <c r="BB8" s="156">
        <f t="shared" si="1"/>
        <v>0</v>
      </c>
      <c r="BC8" s="156">
        <f t="shared" si="2"/>
        <v>0</v>
      </c>
      <c r="BD8" s="156">
        <f t="shared" si="3"/>
        <v>2000448.347</v>
      </c>
      <c r="BE8" s="156">
        <f t="shared" si="4"/>
        <v>5971487.603</v>
      </c>
      <c r="BF8" s="157">
        <f>BF6*SUMPRODUCT(Assumptions!$E$113:$E$116,Assumptions!$F$113:$F$116)</f>
        <v>11942975.21</v>
      </c>
      <c r="BG8" s="157"/>
    </row>
    <row r="9" ht="12.75" customHeight="1">
      <c r="A9" s="27"/>
      <c r="B9" s="204" t="s">
        <v>263</v>
      </c>
      <c r="C9" s="202"/>
      <c r="D9" s="204" t="s">
        <v>201</v>
      </c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>
        <f t="shared" ref="Q9:AZ9" si="5">sum(Q7:Q8)</f>
        <v>0</v>
      </c>
      <c r="R9" s="160">
        <f t="shared" si="5"/>
        <v>0</v>
      </c>
      <c r="S9" s="160">
        <f t="shared" si="5"/>
        <v>0</v>
      </c>
      <c r="T9" s="160">
        <f t="shared" si="5"/>
        <v>0</v>
      </c>
      <c r="U9" s="160">
        <f t="shared" si="5"/>
        <v>0</v>
      </c>
      <c r="V9" s="160">
        <f t="shared" si="5"/>
        <v>0</v>
      </c>
      <c r="W9" s="160">
        <f t="shared" si="5"/>
        <v>0</v>
      </c>
      <c r="X9" s="160">
        <f t="shared" si="5"/>
        <v>0</v>
      </c>
      <c r="Y9" s="160">
        <f t="shared" si="5"/>
        <v>0</v>
      </c>
      <c r="Z9" s="160">
        <f t="shared" si="5"/>
        <v>0</v>
      </c>
      <c r="AA9" s="160">
        <f t="shared" si="5"/>
        <v>0</v>
      </c>
      <c r="AB9" s="160">
        <f t="shared" si="5"/>
        <v>0</v>
      </c>
      <c r="AC9" s="160">
        <f t="shared" si="5"/>
        <v>484304.1322</v>
      </c>
      <c r="AD9" s="160">
        <f t="shared" si="5"/>
        <v>534752.4793</v>
      </c>
      <c r="AE9" s="160">
        <f t="shared" si="5"/>
        <v>585200.8264</v>
      </c>
      <c r="AF9" s="160">
        <f t="shared" si="5"/>
        <v>645738.843</v>
      </c>
      <c r="AG9" s="160">
        <f t="shared" si="5"/>
        <v>706276.8595</v>
      </c>
      <c r="AH9" s="160">
        <f t="shared" si="5"/>
        <v>766814.876</v>
      </c>
      <c r="AI9" s="160">
        <f t="shared" si="5"/>
        <v>837442.562</v>
      </c>
      <c r="AJ9" s="160">
        <f t="shared" si="5"/>
        <v>918159.9174</v>
      </c>
      <c r="AK9" s="160">
        <f t="shared" si="5"/>
        <v>1008966.942</v>
      </c>
      <c r="AL9" s="160">
        <f t="shared" si="5"/>
        <v>1109863.636</v>
      </c>
      <c r="AM9" s="160">
        <f t="shared" si="5"/>
        <v>1210760.331</v>
      </c>
      <c r="AN9" s="160">
        <f t="shared" si="5"/>
        <v>1331836.364</v>
      </c>
      <c r="AO9" s="160">
        <f t="shared" si="5"/>
        <v>1452912.397</v>
      </c>
      <c r="AP9" s="160">
        <f t="shared" si="5"/>
        <v>1594167.769</v>
      </c>
      <c r="AQ9" s="160">
        <f t="shared" si="5"/>
        <v>1745512.81</v>
      </c>
      <c r="AR9" s="160">
        <f t="shared" si="5"/>
        <v>1906947.521</v>
      </c>
      <c r="AS9" s="160">
        <f t="shared" si="5"/>
        <v>2088561.57</v>
      </c>
      <c r="AT9" s="160">
        <f t="shared" si="5"/>
        <v>2290354.959</v>
      </c>
      <c r="AU9" s="160">
        <f t="shared" si="5"/>
        <v>2512327.686</v>
      </c>
      <c r="AV9" s="160">
        <f t="shared" si="5"/>
        <v>2754479.752</v>
      </c>
      <c r="AW9" s="160">
        <f t="shared" si="5"/>
        <v>3016811.157</v>
      </c>
      <c r="AX9" s="160">
        <f t="shared" si="5"/>
        <v>3309411.57</v>
      </c>
      <c r="AY9" s="160">
        <f t="shared" si="5"/>
        <v>3622191.322</v>
      </c>
      <c r="AZ9" s="160">
        <f t="shared" si="5"/>
        <v>3975329.752</v>
      </c>
      <c r="BA9" s="205"/>
      <c r="BB9" s="206">
        <f t="shared" si="1"/>
        <v>0</v>
      </c>
      <c r="BC9" s="206">
        <f t="shared" si="2"/>
        <v>0</v>
      </c>
      <c r="BD9" s="206">
        <f t="shared" si="3"/>
        <v>10140117.77</v>
      </c>
      <c r="BE9" s="206">
        <f t="shared" si="4"/>
        <v>30269008.26</v>
      </c>
      <c r="BF9" s="206">
        <f>BE9*2</f>
        <v>60538016.53</v>
      </c>
      <c r="BG9" s="207"/>
    </row>
    <row r="10">
      <c r="A10" s="27"/>
      <c r="B10" s="27"/>
      <c r="C10" s="27"/>
      <c r="D10" s="27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208"/>
      <c r="AC10" s="208"/>
      <c r="AD10" s="208"/>
      <c r="AE10" s="208"/>
      <c r="AF10" s="208"/>
      <c r="AG10" s="208"/>
      <c r="AH10" s="208"/>
      <c r="AI10" s="208"/>
      <c r="AJ10" s="208"/>
      <c r="AK10" s="208"/>
      <c r="AL10" s="208"/>
      <c r="AM10" s="208"/>
      <c r="AN10" s="208"/>
      <c r="AO10" s="208"/>
      <c r="AP10" s="208"/>
      <c r="AQ10" s="208"/>
      <c r="AR10" s="208"/>
      <c r="AS10" s="208"/>
      <c r="AT10" s="208"/>
      <c r="AU10" s="208"/>
      <c r="AV10" s="208"/>
      <c r="AW10" s="208"/>
      <c r="AX10" s="208"/>
      <c r="AY10" s="208"/>
      <c r="AZ10" s="208"/>
      <c r="BA10" s="156"/>
      <c r="BB10" s="156"/>
      <c r="BC10" s="156"/>
      <c r="BD10" s="156"/>
      <c r="BE10" s="156"/>
      <c r="BF10" s="156"/>
      <c r="BG10" s="105"/>
    </row>
    <row r="11" ht="13.5" customHeight="1">
      <c r="A11" s="201"/>
      <c r="B11" s="202" t="s">
        <v>264</v>
      </c>
      <c r="C11" s="201"/>
      <c r="D11" s="20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56"/>
      <c r="BB11" s="163"/>
      <c r="BC11" s="163"/>
      <c r="BD11" s="163"/>
      <c r="BE11" s="163"/>
      <c r="BF11" s="163"/>
      <c r="BG11" s="105"/>
    </row>
    <row r="12" ht="15.0" customHeight="1">
      <c r="A12" s="203"/>
      <c r="B12" s="203" t="s">
        <v>265</v>
      </c>
      <c r="C12" s="203"/>
      <c r="D12" s="203" t="s">
        <v>60</v>
      </c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>
        <f t="array" ref="Q12">IF(YEAR(Q$3)=2026,0,ROUND(EXP(0.11*((YEAR(Q$3)-2027)*12+MONTH(Q$3)-1))/SUMPRODUCT(EXP(0.11*(ROW(INDIRECT("1:24"))-1)))*SUM(Assumptions!$D$23:$E$23),0))</f>
        <v>0</v>
      </c>
      <c r="R12" s="203">
        <f t="array" ref="R12">IF(YEAR(R$3)=2026,0,ROUND(EXP(0.11*((YEAR(R$3)-2027)*12+MONTH(R$3)-1))/SUMPRODUCT(EXP(0.11*(ROW(INDIRECT("1:24"))-1)))*SUM(Assumptions!$D$23:$E$23),0))</f>
        <v>0</v>
      </c>
      <c r="S12" s="203">
        <f t="array" ref="S12">IF(YEAR(S$3)=2026,0,ROUND(EXP(0.11*((YEAR(S$3)-2027)*12+MONTH(S$3)-1))/SUMPRODUCT(EXP(0.11*(ROW(INDIRECT("1:24"))-1)))*SUM(Assumptions!$D$23:$E$23),0))</f>
        <v>0</v>
      </c>
      <c r="T12" s="203">
        <f t="array" ref="T12">IF(YEAR(T$3)=2026,0,ROUND(EXP(0.11*((YEAR(T$3)-2027)*12+MONTH(T$3)-1))/SUMPRODUCT(EXP(0.11*(ROW(INDIRECT("1:24"))-1)))*SUM(Assumptions!$D$23:$E$23),0))</f>
        <v>0</v>
      </c>
      <c r="U12" s="203">
        <f t="array" ref="U12">IF(YEAR(U$3)=2026,0,ROUND(EXP(0.11*((YEAR(U$3)-2027)*12+MONTH(U$3)-1))/SUMPRODUCT(EXP(0.11*(ROW(INDIRECT("1:24"))-1)))*SUM(Assumptions!$D$23:$E$23),0))</f>
        <v>0</v>
      </c>
      <c r="V12" s="203">
        <f t="array" ref="V12">IF(YEAR(V$3)=2026,0,ROUND(EXP(0.11*((YEAR(V$3)-2027)*12+MONTH(V$3)-1))/SUMPRODUCT(EXP(0.11*(ROW(INDIRECT("1:24"))-1)))*SUM(Assumptions!$D$23:$E$23),0))</f>
        <v>0</v>
      </c>
      <c r="W12" s="203">
        <f t="array" ref="W12">IF(YEAR(W$3)=2026,0,ROUND(EXP(0.11*((YEAR(W$3)-2027)*12+MONTH(W$3)-1))/SUMPRODUCT(EXP(0.11*(ROW(INDIRECT("1:24"))-1)))*SUM(Assumptions!$D$23:$E$23),0))</f>
        <v>0</v>
      </c>
      <c r="X12" s="203">
        <f t="array" ref="X12">IF(YEAR(X$3)=2026,0,ROUND(EXP(0.11*((YEAR(X$3)-2027)*12+MONTH(X$3)-1))/SUMPRODUCT(EXP(0.11*(ROW(INDIRECT("1:24"))-1)))*SUM(Assumptions!$D$23:$E$23),0))</f>
        <v>0</v>
      </c>
      <c r="Y12" s="203">
        <f t="array" ref="Y12">IF(YEAR(Y$3)=2026,0,ROUND(EXP(0.11*((YEAR(Y$3)-2027)*12+MONTH(Y$3)-1))/SUMPRODUCT(EXP(0.11*(ROW(INDIRECT("1:24"))-1)))*SUM(Assumptions!$D$23:$E$23),0))</f>
        <v>0</v>
      </c>
      <c r="Z12" s="203">
        <f t="array" ref="Z12">IF(YEAR(Z$3)=2026,0,ROUND(EXP(0.11*((YEAR(Z$3)-2027)*12+MONTH(Z$3)-1))/SUMPRODUCT(EXP(0.11*(ROW(INDIRECT("1:24"))-1)))*SUM(Assumptions!$D$23:$E$23),0))</f>
        <v>0</v>
      </c>
      <c r="AA12" s="203">
        <f t="array" ref="AA12">IF(YEAR(AA$3)=2026,0,ROUND(EXP(0.11*((YEAR(AA$3)-2027)*12+MONTH(AA$3)-1))/SUMPRODUCT(EXP(0.11*(ROW(INDIRECT("1:24"))-1)))*SUM(Assumptions!$D$23:$E$23),0))</f>
        <v>0</v>
      </c>
      <c r="AB12" s="203">
        <f t="array" ref="AB12">IF(YEAR(AB$3)=2026,0,ROUND(EXP(0.11*((YEAR(AB$3)-2027)*12+MONTH(AB$3)-1))/SUMPRODUCT(EXP(0.11*(ROW(INDIRECT("1:24"))-1)))*SUM(Assumptions!$D$23:$E$23),0))</f>
        <v>0</v>
      </c>
      <c r="AC12" s="203">
        <f t="array" ref="AC12">IF(YEAR(AC$3)=2026,0,ROUND(EXP(0.116*((YEAR(AC$3)-2027)*12+MONTH(AC$3)-1))/SUMPRODUCT(EXP(0.116*(ROW(INDIRECT("1:24"))-1)))*SUM(Assumptions!$D$23:$E$23),0))</f>
        <v>20</v>
      </c>
      <c r="AD12" s="203">
        <f t="array" ref="AD12">IF(YEAR(AD$3)=2026,0,ROUND(EXP(0.116*((YEAR(AD$3)-2027)*12+MONTH(AD$3)-1))/SUMPRODUCT(EXP(0.116*(ROW(INDIRECT("1:24"))-1)))*SUM(Assumptions!$D$23:$E$23),0))</f>
        <v>23</v>
      </c>
      <c r="AE12" s="203">
        <f t="array" ref="AE12">IF(YEAR(AE$3)=2026,0,ROUND(EXP(0.116*((YEAR(AE$3)-2027)*12+MONTH(AE$3)-1))/SUMPRODUCT(EXP(0.116*(ROW(INDIRECT("1:24"))-1)))*SUM(Assumptions!$D$23:$E$23),0))</f>
        <v>26</v>
      </c>
      <c r="AF12" s="203">
        <f t="array" ref="AF12">IF(YEAR(AF$3)=2026,0,ROUND(EXP(0.116*((YEAR(AF$3)-2027)*12+MONTH(AF$3)-1))/SUMPRODUCT(EXP(0.116*(ROW(INDIRECT("1:24"))-1)))*SUM(Assumptions!$D$23:$E$23),0))</f>
        <v>29</v>
      </c>
      <c r="AG12" s="203">
        <f t="array" ref="AG12">IF(YEAR(AG$3)=2026,0,ROUND(EXP(0.116*((YEAR(AG$3)-2027)*12+MONTH(AG$3)-1))/SUMPRODUCT(EXP(0.116*(ROW(INDIRECT("1:24"))-1)))*SUM(Assumptions!$D$23:$E$23),0))</f>
        <v>32</v>
      </c>
      <c r="AH12" s="203">
        <f t="array" ref="AH12">IF(YEAR(AH$3)=2026,0,ROUND(EXP(0.116*((YEAR(AH$3)-2027)*12+MONTH(AH$3)-1))/SUMPRODUCT(EXP(0.116*(ROW(INDIRECT("1:24"))-1)))*SUM(Assumptions!$D$23:$E$23),0))</f>
        <v>36</v>
      </c>
      <c r="AI12" s="203">
        <f t="array" ref="AI12">IF(YEAR(AI$3)=2026,0,ROUND(EXP(0.116*((YEAR(AI$3)-2027)*12+MONTH(AI$3)-1))/SUMPRODUCT(EXP(0.116*(ROW(INDIRECT("1:24"))-1)))*SUM(Assumptions!$D$23:$E$23),0))</f>
        <v>41</v>
      </c>
      <c r="AJ12" s="203">
        <f t="array" ref="AJ12">IF(YEAR(AJ$3)=2026,0,ROUND(EXP(0.116*((YEAR(AJ$3)-2027)*12+MONTH(AJ$3)-1))/SUMPRODUCT(EXP(0.116*(ROW(INDIRECT("1:24"))-1)))*SUM(Assumptions!$D$23:$E$23),0))</f>
        <v>46</v>
      </c>
      <c r="AK12" s="203">
        <f t="array" ref="AK12">IF(YEAR(AK$3)=2026,0,ROUND(EXP(0.116*((YEAR(AK$3)-2027)*12+MONTH(AK$3)-1))/SUMPRODUCT(EXP(0.116*(ROW(INDIRECT("1:24"))-1)))*SUM(Assumptions!$D$23:$E$23),0))</f>
        <v>51</v>
      </c>
      <c r="AL12" s="203">
        <f t="array" ref="AL12">IF(YEAR(AL$3)=2026,0,ROUND(EXP(0.116*((YEAR(AL$3)-2027)*12+MONTH(AL$3)-1))/SUMPRODUCT(EXP(0.116*(ROW(INDIRECT("1:24"))-1)))*SUM(Assumptions!$D$23:$E$23),0))</f>
        <v>58</v>
      </c>
      <c r="AM12" s="203">
        <f t="array" ref="AM12">IF(YEAR(AM$3)=2026,0,ROUND(EXP(0.116*((YEAR(AM$3)-2027)*12+MONTH(AM$3)-1))/SUMPRODUCT(EXP(0.116*(ROW(INDIRECT("1:24"))-1)))*SUM(Assumptions!$D$23:$E$23),0))</f>
        <v>65</v>
      </c>
      <c r="AN12" s="203">
        <f t="array" ref="AN12">IF(YEAR(AN$3)=2026,0,ROUND(EXP(0.116*((YEAR(AN$3)-2027)*12+MONTH(AN$3)-1))/SUMPRODUCT(EXP(0.116*(ROW(INDIRECT("1:24"))-1)))*SUM(Assumptions!$D$23:$E$23),0))</f>
        <v>73</v>
      </c>
      <c r="AO12" s="203">
        <f t="array" ref="AO12">IF(YEAR(AO$3)=2026,0,ROUND(EXP(0.1157*((YEAR(AO$3)-2027)*12+MONTH(AO$3)-1))/SUMPRODUCT(EXP(0.1157*(ROW(INDIRECT("1:24"))-1)))*SUM(Assumptions!$D$23:$E$23),0))</f>
        <v>82</v>
      </c>
      <c r="AP12" s="203">
        <f t="array" ref="AP12">IF(YEAR(AP$3)=2026,0,ROUND(EXP(0.1157*((YEAR(AP$3)-2027)*12+MONTH(AP$3)-1))/SUMPRODUCT(EXP(0.1157*(ROW(INDIRECT("1:24"))-1)))*SUM(Assumptions!$D$23:$E$23),0))</f>
        <v>92</v>
      </c>
      <c r="AQ12" s="203">
        <f t="array" ref="AQ12">IF(YEAR(AQ$3)=2026,0,ROUND(EXP(0.1157*((YEAR(AQ$3)-2027)*12+MONTH(AQ$3)-1))/SUMPRODUCT(EXP(0.1157*(ROW(INDIRECT("1:24"))-1)))*SUM(Assumptions!$D$23:$E$23),0))</f>
        <v>103</v>
      </c>
      <c r="AR12" s="203">
        <f t="array" ref="AR12">IF(YEAR(AR$3)=2026,0,ROUND(EXP(0.1157*((YEAR(AR$3)-2027)*12+MONTH(AR$3)-1))/SUMPRODUCT(EXP(0.1157*(ROW(INDIRECT("1:24"))-1)))*SUM(Assumptions!$D$23:$E$23),0))</f>
        <v>115</v>
      </c>
      <c r="AS12" s="203">
        <f t="array" ref="AS12">IF(YEAR(AS$3)=2026,0,ROUND(EXP(0.1157*((YEAR(AS$3)-2027)*12+MONTH(AS$3)-1))/SUMPRODUCT(EXP(0.1157*(ROW(INDIRECT("1:24"))-1)))*SUM(Assumptions!$D$23:$E$23),0))</f>
        <v>130</v>
      </c>
      <c r="AT12" s="203">
        <f t="array" ref="AT12">IF(YEAR(AT$3)=2026,0,ROUND(EXP(0.1157*((YEAR(AT$3)-2027)*12+MONTH(AT$3)-1))/SUMPRODUCT(EXP(0.1157*(ROW(INDIRECT("1:24"))-1)))*SUM(Assumptions!$D$23:$E$23),0))</f>
        <v>145</v>
      </c>
      <c r="AU12" s="203">
        <f t="array" ref="AU12">IF(YEAR(AU$3)=2026,0,ROUND(EXP(0.1157*((YEAR(AU$3)-2027)*12+MONTH(AU$3)-1))/SUMPRODUCT(EXP(0.1157*(ROW(INDIRECT("1:24"))-1)))*SUM(Assumptions!$D$23:$E$23),0))</f>
        <v>163</v>
      </c>
      <c r="AV12" s="203">
        <f t="array" ref="AV12">IF(YEAR(AV$3)=2026,0,ROUND(EXP(0.1157*((YEAR(AV$3)-2027)*12+MONTH(AV$3)-1))/SUMPRODUCT(EXP(0.1157*(ROW(INDIRECT("1:24"))-1)))*SUM(Assumptions!$D$23:$E$23),0))</f>
        <v>183</v>
      </c>
      <c r="AW12" s="203">
        <f t="array" ref="AW12">IF(YEAR(AW$3)=2026,0,ROUND(EXP(0.1157*((YEAR(AW$3)-2027)*12+MONTH(AW$3)-1))/SUMPRODUCT(EXP(0.1157*(ROW(INDIRECT("1:24"))-1)))*SUM(Assumptions!$D$23:$E$23),0))</f>
        <v>206</v>
      </c>
      <c r="AX12" s="203">
        <f t="array" ref="AX12">IF(YEAR(AX$3)=2026,0,ROUND(EXP(0.1157*((YEAR(AX$3)-2027)*12+MONTH(AX$3)-1))/SUMPRODUCT(EXP(0.1157*(ROW(INDIRECT("1:24"))-1)))*SUM(Assumptions!$D$23:$E$23),0))</f>
        <v>231</v>
      </c>
      <c r="AY12" s="203">
        <f t="array" ref="AY12">IF(YEAR(AY$3)=2026,0,ROUND(EXP(0.1157*((YEAR(AY$3)-2027)*12+MONTH(AY$3)-1))/SUMPRODUCT(EXP(0.1157*(ROW(INDIRECT("1:24"))-1)))*SUM(Assumptions!$D$23:$E$23),0))</f>
        <v>259</v>
      </c>
      <c r="AZ12" s="203">
        <f t="array" ref="AZ12">IF(YEAR(AZ$3)=2026,0,ROUND(EXP(0.1157*((YEAR(AZ$3)-2027)*12+MONTH(AZ$3)-1))/SUMPRODUCT(EXP(0.1157*(ROW(INDIRECT("1:24"))-1)))*SUM(Assumptions!$D$23:$E$23),0))</f>
        <v>291</v>
      </c>
      <c r="BA12" s="203"/>
      <c r="BB12" s="203">
        <f t="shared" ref="BB12:BB15" si="6">SUM(E12:P12)</f>
        <v>0</v>
      </c>
      <c r="BC12" s="203">
        <f t="shared" ref="BC12:BC15" si="7">SUM(Q12:AB12)</f>
        <v>0</v>
      </c>
      <c r="BD12" s="203">
        <f t="shared" ref="BD12:BD15" si="8">SUM(AC12:AN12)</f>
        <v>500</v>
      </c>
      <c r="BE12" s="203">
        <f t="shared" ref="BE12:BE15" si="9">SUM(AO12:AZ12)</f>
        <v>2000</v>
      </c>
      <c r="BF12" s="203">
        <f>BE12*2</f>
        <v>4000</v>
      </c>
      <c r="BG12" s="203"/>
    </row>
    <row r="13" ht="15.0" customHeight="1">
      <c r="A13" s="157"/>
      <c r="B13" s="157" t="s">
        <v>266</v>
      </c>
      <c r="C13" s="157"/>
      <c r="D13" s="157" t="s">
        <v>201</v>
      </c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>
        <f>Q12*Assumptions!$C$31</f>
        <v>0</v>
      </c>
      <c r="R13" s="157">
        <f>R12*Assumptions!$C$31</f>
        <v>0</v>
      </c>
      <c r="S13" s="157">
        <f>S12*Assumptions!$C$31</f>
        <v>0</v>
      </c>
      <c r="T13" s="157">
        <f>T12*Assumptions!$C$31</f>
        <v>0</v>
      </c>
      <c r="U13" s="157">
        <f>U12*Assumptions!$C$31</f>
        <v>0</v>
      </c>
      <c r="V13" s="157">
        <f>V12*Assumptions!$C$31</f>
        <v>0</v>
      </c>
      <c r="W13" s="157">
        <f>W12*Assumptions!$C$31</f>
        <v>0</v>
      </c>
      <c r="X13" s="157">
        <f>X12*Assumptions!$C$31</f>
        <v>0</v>
      </c>
      <c r="Y13" s="157">
        <f>Y12*Assumptions!$C$31</f>
        <v>0</v>
      </c>
      <c r="Z13" s="157">
        <f>Z12*Assumptions!$C$31</f>
        <v>0</v>
      </c>
      <c r="AA13" s="157">
        <f>AA12*Assumptions!$C$31</f>
        <v>0</v>
      </c>
      <c r="AB13" s="157">
        <f>AB12*Assumptions!$C$31</f>
        <v>0</v>
      </c>
      <c r="AC13" s="157">
        <f>AC12*Assumptions!$C$31</f>
        <v>55371.90083</v>
      </c>
      <c r="AD13" s="157">
        <f>AD12*Assumptions!$C$31</f>
        <v>63677.68595</v>
      </c>
      <c r="AE13" s="157">
        <f>AE12*Assumptions!$C$31</f>
        <v>71983.47107</v>
      </c>
      <c r="AF13" s="157">
        <f>AF12*Assumptions!$C$31</f>
        <v>80289.2562</v>
      </c>
      <c r="AG13" s="157">
        <f>AG12*Assumptions!$C$31</f>
        <v>88595.04132</v>
      </c>
      <c r="AH13" s="157">
        <f>AH12*Assumptions!$C$31</f>
        <v>99669.42149</v>
      </c>
      <c r="AI13" s="157">
        <f>AI12*Assumptions!$C$31</f>
        <v>113512.3967</v>
      </c>
      <c r="AJ13" s="157">
        <f>AJ12*Assumptions!$C$31</f>
        <v>127355.3719</v>
      </c>
      <c r="AK13" s="157">
        <f>AK12*Assumptions!$C$31</f>
        <v>141198.3471</v>
      </c>
      <c r="AL13" s="157">
        <f>AL12*Assumptions!$C$31</f>
        <v>160578.5124</v>
      </c>
      <c r="AM13" s="157">
        <f>AM12*Assumptions!$C$31</f>
        <v>179958.6777</v>
      </c>
      <c r="AN13" s="157">
        <f>AN12*Assumptions!$C$31</f>
        <v>202107.438</v>
      </c>
      <c r="AO13" s="157">
        <f>AO12*Assumptions!$C$31</f>
        <v>227024.7934</v>
      </c>
      <c r="AP13" s="157">
        <f>AP12*Assumptions!$C$31</f>
        <v>254710.7438</v>
      </c>
      <c r="AQ13" s="157">
        <f>AQ12*Assumptions!$C$31</f>
        <v>285165.2893</v>
      </c>
      <c r="AR13" s="157">
        <f>AR12*Assumptions!$C$31</f>
        <v>318388.4298</v>
      </c>
      <c r="AS13" s="157">
        <f>AS12*Assumptions!$C$31</f>
        <v>359917.3554</v>
      </c>
      <c r="AT13" s="157">
        <f>AT12*Assumptions!$C$31</f>
        <v>401446.281</v>
      </c>
      <c r="AU13" s="157">
        <f>AU12*Assumptions!$C$31</f>
        <v>451280.9917</v>
      </c>
      <c r="AV13" s="157">
        <f>AV12*Assumptions!$C$31</f>
        <v>506652.8926</v>
      </c>
      <c r="AW13" s="157">
        <f>AW12*Assumptions!$C$31</f>
        <v>570330.5785</v>
      </c>
      <c r="AX13" s="157">
        <f>AX12*Assumptions!$C$31</f>
        <v>639545.4545</v>
      </c>
      <c r="AY13" s="157">
        <f>AY12*Assumptions!$C$31</f>
        <v>717066.1157</v>
      </c>
      <c r="AZ13" s="157">
        <f>AZ12*Assumptions!$C$31</f>
        <v>805661.157</v>
      </c>
      <c r="BA13" s="157"/>
      <c r="BB13" s="156">
        <f t="shared" si="6"/>
        <v>0</v>
      </c>
      <c r="BC13" s="156">
        <f t="shared" si="7"/>
        <v>0</v>
      </c>
      <c r="BD13" s="156">
        <f t="shared" si="8"/>
        <v>1384297.521</v>
      </c>
      <c r="BE13" s="156">
        <f t="shared" si="9"/>
        <v>5537190.083</v>
      </c>
      <c r="BF13" s="157">
        <f>BF12*Assumptions!$C$31</f>
        <v>11074380.17</v>
      </c>
      <c r="BG13" s="157"/>
    </row>
    <row r="14" ht="15.0" customHeight="1">
      <c r="A14" s="157"/>
      <c r="B14" s="157" t="s">
        <v>267</v>
      </c>
      <c r="C14" s="157"/>
      <c r="D14" s="157" t="s">
        <v>201</v>
      </c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>
        <f>Q12*PRODUCT(Assumptions!$E$122:$F$122)</f>
        <v>0</v>
      </c>
      <c r="R14" s="157">
        <f>R12*PRODUCT(Assumptions!$E$122:$F$122)</f>
        <v>0</v>
      </c>
      <c r="S14" s="157">
        <f>S12*PRODUCT(Assumptions!$E$122:$F$122)</f>
        <v>0</v>
      </c>
      <c r="T14" s="157">
        <f>T12*PRODUCT(Assumptions!$E$122:$F$122)</f>
        <v>0</v>
      </c>
      <c r="U14" s="157">
        <f>U12*PRODUCT(Assumptions!$E$122:$F$122)</f>
        <v>0</v>
      </c>
      <c r="V14" s="157">
        <f>V12*PRODUCT(Assumptions!$E$122:$F$122)</f>
        <v>0</v>
      </c>
      <c r="W14" s="157">
        <f>W12*PRODUCT(Assumptions!$E$122:$F$122)</f>
        <v>0</v>
      </c>
      <c r="X14" s="157">
        <f>X12*PRODUCT(Assumptions!$E$122:$F$122)</f>
        <v>0</v>
      </c>
      <c r="Y14" s="157">
        <f>Y12*PRODUCT(Assumptions!$E$122:$F$122)</f>
        <v>0</v>
      </c>
      <c r="Z14" s="157">
        <f>Z12*PRODUCT(Assumptions!$E$122:$F$122)</f>
        <v>0</v>
      </c>
      <c r="AA14" s="157">
        <f>AA12*PRODUCT(Assumptions!$E$122:$F$122)</f>
        <v>0</v>
      </c>
      <c r="AB14" s="157">
        <f>AB12*PRODUCT(Assumptions!$E$122:$F$122)</f>
        <v>0</v>
      </c>
      <c r="AC14" s="157">
        <f>AC12*PRODUCT(Assumptions!$E$122:$F$122)</f>
        <v>2740</v>
      </c>
      <c r="AD14" s="157">
        <f>AD12*PRODUCT(Assumptions!$E$122:$F$122)</f>
        <v>3151</v>
      </c>
      <c r="AE14" s="157">
        <f>AE12*PRODUCT(Assumptions!$E$122:$F$122)</f>
        <v>3562</v>
      </c>
      <c r="AF14" s="157">
        <f>AF12*PRODUCT(Assumptions!$E$122:$F$122)</f>
        <v>3973</v>
      </c>
      <c r="AG14" s="157">
        <f>AG12*PRODUCT(Assumptions!$E$122:$F$122)</f>
        <v>4384</v>
      </c>
      <c r="AH14" s="157">
        <f>AH12*PRODUCT(Assumptions!$E$122:$F$122)</f>
        <v>4932</v>
      </c>
      <c r="AI14" s="157">
        <f>AI12*PRODUCT(Assumptions!$E$122:$F$122)</f>
        <v>5617</v>
      </c>
      <c r="AJ14" s="157">
        <f>AJ12*PRODUCT(Assumptions!$E$122:$F$122)</f>
        <v>6302</v>
      </c>
      <c r="AK14" s="157">
        <f>AK12*PRODUCT(Assumptions!$E$122:$F$122)</f>
        <v>6987</v>
      </c>
      <c r="AL14" s="157">
        <f>AL12*PRODUCT(Assumptions!$E$122:$F$122)</f>
        <v>7946</v>
      </c>
      <c r="AM14" s="157">
        <f>AM12*PRODUCT(Assumptions!$E$122:$F$122)</f>
        <v>8905</v>
      </c>
      <c r="AN14" s="157">
        <f>AN12*PRODUCT(Assumptions!$E$122:$F$122)</f>
        <v>10001</v>
      </c>
      <c r="AO14" s="157">
        <f>AO12*PRODUCT(Assumptions!$E$122:$F$122)</f>
        <v>11234</v>
      </c>
      <c r="AP14" s="157">
        <f>AP12*PRODUCT(Assumptions!$E$122:$F$122)</f>
        <v>12604</v>
      </c>
      <c r="AQ14" s="157">
        <f>AQ12*PRODUCT(Assumptions!$E$122:$F$122)</f>
        <v>14111</v>
      </c>
      <c r="AR14" s="157">
        <f>AR12*PRODUCT(Assumptions!$E$122:$F$122)</f>
        <v>15755</v>
      </c>
      <c r="AS14" s="157">
        <f>AS12*PRODUCT(Assumptions!$E$122:$F$122)</f>
        <v>17810</v>
      </c>
      <c r="AT14" s="157">
        <f>AT12*PRODUCT(Assumptions!$E$122:$F$122)</f>
        <v>19865</v>
      </c>
      <c r="AU14" s="157">
        <f>AU12*PRODUCT(Assumptions!$E$122:$F$122)</f>
        <v>22331</v>
      </c>
      <c r="AV14" s="157">
        <f>AV12*PRODUCT(Assumptions!$E$122:$F$122)</f>
        <v>25071</v>
      </c>
      <c r="AW14" s="157">
        <f>AW12*PRODUCT(Assumptions!$E$122:$F$122)</f>
        <v>28222</v>
      </c>
      <c r="AX14" s="157">
        <f>AX12*PRODUCT(Assumptions!$E$122:$F$122)</f>
        <v>31647</v>
      </c>
      <c r="AY14" s="157">
        <f>AY12*PRODUCT(Assumptions!$E$122:$F$122)</f>
        <v>35483</v>
      </c>
      <c r="AZ14" s="157">
        <f>AZ12*PRODUCT(Assumptions!$E$122:$F$122)</f>
        <v>39867</v>
      </c>
      <c r="BA14" s="157"/>
      <c r="BB14" s="156">
        <f t="shared" si="6"/>
        <v>0</v>
      </c>
      <c r="BC14" s="156">
        <f t="shared" si="7"/>
        <v>0</v>
      </c>
      <c r="BD14" s="156">
        <f t="shared" si="8"/>
        <v>68500</v>
      </c>
      <c r="BE14" s="156">
        <f t="shared" si="9"/>
        <v>274000</v>
      </c>
      <c r="BF14" s="157">
        <f>BF12*PRODUCT(Assumptions!$E$122:$F$122)</f>
        <v>548000</v>
      </c>
      <c r="BG14" s="157"/>
    </row>
    <row r="15" ht="12.75" customHeight="1">
      <c r="A15" s="55"/>
      <c r="B15" s="204" t="s">
        <v>268</v>
      </c>
      <c r="C15" s="202"/>
      <c r="D15" s="204" t="s">
        <v>201</v>
      </c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>
        <f t="shared" ref="Q15:AZ15" si="10">sum(Q13:Q14)</f>
        <v>0</v>
      </c>
      <c r="R15" s="160">
        <f t="shared" si="10"/>
        <v>0</v>
      </c>
      <c r="S15" s="160">
        <f t="shared" si="10"/>
        <v>0</v>
      </c>
      <c r="T15" s="160">
        <f t="shared" si="10"/>
        <v>0</v>
      </c>
      <c r="U15" s="160">
        <f t="shared" si="10"/>
        <v>0</v>
      </c>
      <c r="V15" s="160">
        <f t="shared" si="10"/>
        <v>0</v>
      </c>
      <c r="W15" s="160">
        <f t="shared" si="10"/>
        <v>0</v>
      </c>
      <c r="X15" s="160">
        <f t="shared" si="10"/>
        <v>0</v>
      </c>
      <c r="Y15" s="160">
        <f t="shared" si="10"/>
        <v>0</v>
      </c>
      <c r="Z15" s="160">
        <f t="shared" si="10"/>
        <v>0</v>
      </c>
      <c r="AA15" s="160">
        <f t="shared" si="10"/>
        <v>0</v>
      </c>
      <c r="AB15" s="160">
        <f t="shared" si="10"/>
        <v>0</v>
      </c>
      <c r="AC15" s="160">
        <f t="shared" si="10"/>
        <v>58111.90083</v>
      </c>
      <c r="AD15" s="160">
        <f t="shared" si="10"/>
        <v>66828.68595</v>
      </c>
      <c r="AE15" s="160">
        <f t="shared" si="10"/>
        <v>75545.47107</v>
      </c>
      <c r="AF15" s="160">
        <f t="shared" si="10"/>
        <v>84262.2562</v>
      </c>
      <c r="AG15" s="160">
        <f t="shared" si="10"/>
        <v>92979.04132</v>
      </c>
      <c r="AH15" s="160">
        <f t="shared" si="10"/>
        <v>104601.4215</v>
      </c>
      <c r="AI15" s="160">
        <f t="shared" si="10"/>
        <v>119129.3967</v>
      </c>
      <c r="AJ15" s="160">
        <f t="shared" si="10"/>
        <v>133657.3719</v>
      </c>
      <c r="AK15" s="160">
        <f t="shared" si="10"/>
        <v>148185.3471</v>
      </c>
      <c r="AL15" s="160">
        <f t="shared" si="10"/>
        <v>168524.5124</v>
      </c>
      <c r="AM15" s="160">
        <f t="shared" si="10"/>
        <v>188863.6777</v>
      </c>
      <c r="AN15" s="160">
        <f t="shared" si="10"/>
        <v>212108.438</v>
      </c>
      <c r="AO15" s="160">
        <f t="shared" si="10"/>
        <v>238258.7934</v>
      </c>
      <c r="AP15" s="160">
        <f t="shared" si="10"/>
        <v>267314.7438</v>
      </c>
      <c r="AQ15" s="160">
        <f t="shared" si="10"/>
        <v>299276.2893</v>
      </c>
      <c r="AR15" s="160">
        <f t="shared" si="10"/>
        <v>334143.4298</v>
      </c>
      <c r="AS15" s="160">
        <f t="shared" si="10"/>
        <v>377727.3554</v>
      </c>
      <c r="AT15" s="160">
        <f t="shared" si="10"/>
        <v>421311.281</v>
      </c>
      <c r="AU15" s="160">
        <f t="shared" si="10"/>
        <v>473611.9917</v>
      </c>
      <c r="AV15" s="160">
        <f t="shared" si="10"/>
        <v>531723.8926</v>
      </c>
      <c r="AW15" s="160">
        <f t="shared" si="10"/>
        <v>598552.5785</v>
      </c>
      <c r="AX15" s="160">
        <f t="shared" si="10"/>
        <v>671192.4545</v>
      </c>
      <c r="AY15" s="160">
        <f t="shared" si="10"/>
        <v>752549.1157</v>
      </c>
      <c r="AZ15" s="160">
        <f t="shared" si="10"/>
        <v>845528.157</v>
      </c>
      <c r="BA15" s="205"/>
      <c r="BB15" s="206">
        <f t="shared" si="6"/>
        <v>0</v>
      </c>
      <c r="BC15" s="206">
        <f t="shared" si="7"/>
        <v>0</v>
      </c>
      <c r="BD15" s="206">
        <f t="shared" si="8"/>
        <v>1452797.521</v>
      </c>
      <c r="BE15" s="206">
        <f t="shared" si="9"/>
        <v>5811190.083</v>
      </c>
      <c r="BF15" s="206">
        <f>BE15*2</f>
        <v>11622380.17</v>
      </c>
      <c r="BG15" s="207"/>
    </row>
    <row r="16">
      <c r="A16" s="27"/>
      <c r="B16" s="27"/>
      <c r="C16" s="27"/>
      <c r="D16" s="27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05"/>
    </row>
    <row r="17" ht="13.5" customHeight="1">
      <c r="A17" s="201"/>
      <c r="B17" s="202" t="s">
        <v>269</v>
      </c>
      <c r="C17" s="201"/>
      <c r="D17" s="204" t="s">
        <v>201</v>
      </c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  <c r="AJ17" s="161"/>
      <c r="AK17" s="161"/>
      <c r="AL17" s="161"/>
      <c r="AM17" s="161"/>
      <c r="AN17" s="161"/>
      <c r="AO17" s="161"/>
      <c r="AP17" s="161"/>
      <c r="AQ17" s="161"/>
      <c r="AR17" s="161"/>
      <c r="AS17" s="161"/>
      <c r="AT17" s="161"/>
      <c r="AU17" s="161"/>
      <c r="AV17" s="161"/>
      <c r="AW17" s="161"/>
      <c r="AX17" s="161"/>
      <c r="AY17" s="161"/>
      <c r="AZ17" s="161"/>
      <c r="BA17" s="156"/>
      <c r="BB17" s="163"/>
      <c r="BC17" s="163"/>
      <c r="BD17" s="163"/>
      <c r="BE17" s="163"/>
      <c r="BF17" s="163"/>
      <c r="BG17" s="105"/>
    </row>
    <row r="18" ht="15.0" customHeight="1">
      <c r="A18" s="209"/>
      <c r="B18" s="210" t="s">
        <v>270</v>
      </c>
      <c r="C18" s="209"/>
      <c r="D18" s="203" t="s">
        <v>60</v>
      </c>
      <c r="E18" s="211"/>
      <c r="F18" s="211"/>
      <c r="G18" s="211"/>
      <c r="H18" s="211"/>
      <c r="I18" s="211"/>
      <c r="J18" s="211"/>
      <c r="K18" s="211"/>
      <c r="L18" s="211"/>
      <c r="M18" s="211"/>
      <c r="N18" s="211"/>
      <c r="O18" s="211"/>
      <c r="P18" s="211"/>
      <c r="Q18" s="203">
        <f t="shared" ref="Q18:AZ18" si="11">Q12+Q6</f>
        <v>0</v>
      </c>
      <c r="R18" s="203">
        <f t="shared" si="11"/>
        <v>0</v>
      </c>
      <c r="S18" s="203">
        <f t="shared" si="11"/>
        <v>0</v>
      </c>
      <c r="T18" s="203">
        <f t="shared" si="11"/>
        <v>0</v>
      </c>
      <c r="U18" s="203">
        <f t="shared" si="11"/>
        <v>0</v>
      </c>
      <c r="V18" s="203">
        <f t="shared" si="11"/>
        <v>0</v>
      </c>
      <c r="W18" s="203">
        <f t="shared" si="11"/>
        <v>0</v>
      </c>
      <c r="X18" s="203">
        <f t="shared" si="11"/>
        <v>0</v>
      </c>
      <c r="Y18" s="203">
        <f t="shared" si="11"/>
        <v>0</v>
      </c>
      <c r="Z18" s="203">
        <f t="shared" si="11"/>
        <v>0</v>
      </c>
      <c r="AA18" s="203">
        <f t="shared" si="11"/>
        <v>0</v>
      </c>
      <c r="AB18" s="203">
        <f t="shared" si="11"/>
        <v>0</v>
      </c>
      <c r="AC18" s="203">
        <f t="shared" si="11"/>
        <v>68</v>
      </c>
      <c r="AD18" s="203">
        <f t="shared" si="11"/>
        <v>76</v>
      </c>
      <c r="AE18" s="203">
        <f t="shared" si="11"/>
        <v>84</v>
      </c>
      <c r="AF18" s="203">
        <f t="shared" si="11"/>
        <v>93</v>
      </c>
      <c r="AG18" s="203">
        <f t="shared" si="11"/>
        <v>102</v>
      </c>
      <c r="AH18" s="203">
        <f t="shared" si="11"/>
        <v>112</v>
      </c>
      <c r="AI18" s="203">
        <f t="shared" si="11"/>
        <v>124</v>
      </c>
      <c r="AJ18" s="203">
        <f t="shared" si="11"/>
        <v>137</v>
      </c>
      <c r="AK18" s="203">
        <f t="shared" si="11"/>
        <v>151</v>
      </c>
      <c r="AL18" s="203">
        <f t="shared" si="11"/>
        <v>168</v>
      </c>
      <c r="AM18" s="203">
        <f t="shared" si="11"/>
        <v>185</v>
      </c>
      <c r="AN18" s="203">
        <f t="shared" si="11"/>
        <v>205</v>
      </c>
      <c r="AO18" s="203">
        <f t="shared" si="11"/>
        <v>226</v>
      </c>
      <c r="AP18" s="203">
        <f t="shared" si="11"/>
        <v>250</v>
      </c>
      <c r="AQ18" s="203">
        <f t="shared" si="11"/>
        <v>276</v>
      </c>
      <c r="AR18" s="203">
        <f t="shared" si="11"/>
        <v>304</v>
      </c>
      <c r="AS18" s="203">
        <f t="shared" si="11"/>
        <v>337</v>
      </c>
      <c r="AT18" s="203">
        <f t="shared" si="11"/>
        <v>372</v>
      </c>
      <c r="AU18" s="203">
        <f t="shared" si="11"/>
        <v>412</v>
      </c>
      <c r="AV18" s="203">
        <f t="shared" si="11"/>
        <v>456</v>
      </c>
      <c r="AW18" s="203">
        <f t="shared" si="11"/>
        <v>505</v>
      </c>
      <c r="AX18" s="203">
        <f t="shared" si="11"/>
        <v>559</v>
      </c>
      <c r="AY18" s="203">
        <f t="shared" si="11"/>
        <v>618</v>
      </c>
      <c r="AZ18" s="203">
        <f t="shared" si="11"/>
        <v>685</v>
      </c>
      <c r="BA18" s="212"/>
      <c r="BB18" s="212">
        <f t="shared" ref="BB18:BB19" si="12">SUM(E18:P18)</f>
        <v>0</v>
      </c>
      <c r="BC18" s="212">
        <f t="shared" ref="BC18:BC19" si="13">SUM(Q18:AB18)</f>
        <v>0</v>
      </c>
      <c r="BD18" s="212">
        <f t="shared" ref="BD18:BD19" si="14">SUM(AC18:AN18)</f>
        <v>1505</v>
      </c>
      <c r="BE18" s="212">
        <f t="shared" ref="BE18:BE19" si="15">SUM(AO18:AZ18)</f>
        <v>5000</v>
      </c>
      <c r="BF18" s="212">
        <f>BF6+BF12</f>
        <v>10000</v>
      </c>
      <c r="BG18" s="213"/>
    </row>
    <row r="19" ht="12.75" customHeight="1">
      <c r="A19" s="55"/>
      <c r="B19" s="204" t="s">
        <v>271</v>
      </c>
      <c r="C19" s="202"/>
      <c r="D19" s="204" t="s">
        <v>201</v>
      </c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>
        <f>Q18*Assumptions!$C$33</f>
        <v>0</v>
      </c>
      <c r="R19" s="160">
        <f>R18*Assumptions!$C$33</f>
        <v>0</v>
      </c>
      <c r="S19" s="160">
        <f>S18*Assumptions!$C$33</f>
        <v>0</v>
      </c>
      <c r="T19" s="160">
        <f>T18*Assumptions!$C$33</f>
        <v>0</v>
      </c>
      <c r="U19" s="160">
        <f>U18*Assumptions!$C$33</f>
        <v>0</v>
      </c>
      <c r="V19" s="160">
        <f>V18*Assumptions!$C$33</f>
        <v>0</v>
      </c>
      <c r="W19" s="160">
        <f>W18*Assumptions!$C$33</f>
        <v>0</v>
      </c>
      <c r="X19" s="160">
        <f>X18*Assumptions!$C$33</f>
        <v>0</v>
      </c>
      <c r="Y19" s="160">
        <f>Y18*Assumptions!$C$33</f>
        <v>0</v>
      </c>
      <c r="Z19" s="160">
        <f>Z18*Assumptions!$C$33</f>
        <v>0</v>
      </c>
      <c r="AA19" s="160">
        <f>AA18*Assumptions!$C$33</f>
        <v>0</v>
      </c>
      <c r="AB19" s="160">
        <f>AB18*Assumptions!$C$33</f>
        <v>0</v>
      </c>
      <c r="AC19" s="160">
        <f>AC18*Assumptions!$C$33</f>
        <v>217600</v>
      </c>
      <c r="AD19" s="160">
        <f>AD18*Assumptions!$C$33</f>
        <v>243200</v>
      </c>
      <c r="AE19" s="160">
        <f>AE18*Assumptions!$C$33</f>
        <v>268800</v>
      </c>
      <c r="AF19" s="160">
        <f>AF18*Assumptions!$C$33</f>
        <v>297600</v>
      </c>
      <c r="AG19" s="160">
        <f>AG18*Assumptions!$C$33</f>
        <v>326400</v>
      </c>
      <c r="AH19" s="160">
        <f>AH18*Assumptions!$C$33</f>
        <v>358400</v>
      </c>
      <c r="AI19" s="160">
        <f>AI18*Assumptions!$C$33</f>
        <v>396800</v>
      </c>
      <c r="AJ19" s="160">
        <f>AJ18*Assumptions!$C$33</f>
        <v>438400</v>
      </c>
      <c r="AK19" s="160">
        <f>AK18*Assumptions!$C$33</f>
        <v>483200</v>
      </c>
      <c r="AL19" s="160">
        <f>AL18*Assumptions!$C$33</f>
        <v>537600</v>
      </c>
      <c r="AM19" s="160">
        <f>AM18*Assumptions!$C$33</f>
        <v>592000</v>
      </c>
      <c r="AN19" s="160">
        <f>AN18*Assumptions!$C$33</f>
        <v>656000</v>
      </c>
      <c r="AO19" s="160">
        <f>AO18*Assumptions!$C$33</f>
        <v>723200</v>
      </c>
      <c r="AP19" s="160">
        <f>AP18*Assumptions!$C$33</f>
        <v>800000</v>
      </c>
      <c r="AQ19" s="160">
        <f>AQ18*Assumptions!$C$33</f>
        <v>883200</v>
      </c>
      <c r="AR19" s="160">
        <f>AR18*Assumptions!$C$33</f>
        <v>972800</v>
      </c>
      <c r="AS19" s="160">
        <f>AS18*Assumptions!$C$33</f>
        <v>1078400</v>
      </c>
      <c r="AT19" s="160">
        <f>AT18*Assumptions!$C$33</f>
        <v>1190400</v>
      </c>
      <c r="AU19" s="160">
        <f>AU18*Assumptions!$C$33</f>
        <v>1318400</v>
      </c>
      <c r="AV19" s="160">
        <f>AV18*Assumptions!$C$33</f>
        <v>1459200</v>
      </c>
      <c r="AW19" s="160">
        <f>AW18*Assumptions!$C$33</f>
        <v>1616000</v>
      </c>
      <c r="AX19" s="160">
        <f>AX18*Assumptions!$C$33</f>
        <v>1788800</v>
      </c>
      <c r="AY19" s="160">
        <f>AY18*Assumptions!$C$33</f>
        <v>1977600</v>
      </c>
      <c r="AZ19" s="160">
        <f>AZ18*Assumptions!$C$33</f>
        <v>2192000</v>
      </c>
      <c r="BA19" s="205"/>
      <c r="BB19" s="206">
        <f t="shared" si="12"/>
        <v>0</v>
      </c>
      <c r="BC19" s="206">
        <f t="shared" si="13"/>
        <v>0</v>
      </c>
      <c r="BD19" s="206">
        <f t="shared" si="14"/>
        <v>4816000</v>
      </c>
      <c r="BE19" s="206">
        <f t="shared" si="15"/>
        <v>16000000</v>
      </c>
      <c r="BF19" s="206">
        <f>BE19*2</f>
        <v>32000000</v>
      </c>
      <c r="BG19" s="207"/>
    </row>
    <row r="20">
      <c r="A20" s="27"/>
      <c r="B20" s="27"/>
      <c r="C20" s="27"/>
      <c r="D20" s="27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05"/>
    </row>
    <row r="21" ht="13.5" customHeight="1">
      <c r="A21" s="201"/>
      <c r="B21" s="202" t="s">
        <v>272</v>
      </c>
      <c r="C21" s="201"/>
      <c r="D21" s="20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1"/>
      <c r="AQ21" s="161"/>
      <c r="AR21" s="161"/>
      <c r="AS21" s="161"/>
      <c r="AT21" s="161"/>
      <c r="AU21" s="161"/>
      <c r="AV21" s="161"/>
      <c r="AW21" s="161"/>
      <c r="AX21" s="161"/>
      <c r="AY21" s="161"/>
      <c r="AZ21" s="161"/>
      <c r="BA21" s="156"/>
      <c r="BB21" s="163"/>
      <c r="BC21" s="163"/>
      <c r="BD21" s="163"/>
      <c r="BE21" s="163"/>
      <c r="BF21" s="163"/>
      <c r="BG21" s="105"/>
    </row>
    <row r="22" ht="15.0" customHeight="1">
      <c r="A22" s="209"/>
      <c r="B22" s="210" t="s">
        <v>273</v>
      </c>
      <c r="C22" s="209"/>
      <c r="D22" s="203" t="s">
        <v>60</v>
      </c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03">
        <f t="shared" ref="Q22:AC22" si="16">Q6</f>
        <v>0</v>
      </c>
      <c r="R22" s="203">
        <f t="shared" si="16"/>
        <v>0</v>
      </c>
      <c r="S22" s="203">
        <f t="shared" si="16"/>
        <v>0</v>
      </c>
      <c r="T22" s="203">
        <f t="shared" si="16"/>
        <v>0</v>
      </c>
      <c r="U22" s="203">
        <f t="shared" si="16"/>
        <v>0</v>
      </c>
      <c r="V22" s="203">
        <f t="shared" si="16"/>
        <v>0</v>
      </c>
      <c r="W22" s="203">
        <f t="shared" si="16"/>
        <v>0</v>
      </c>
      <c r="X22" s="203">
        <f t="shared" si="16"/>
        <v>0</v>
      </c>
      <c r="Y22" s="203">
        <f t="shared" si="16"/>
        <v>0</v>
      </c>
      <c r="Z22" s="203">
        <f t="shared" si="16"/>
        <v>0</v>
      </c>
      <c r="AA22" s="203">
        <f t="shared" si="16"/>
        <v>0</v>
      </c>
      <c r="AB22" s="203">
        <f t="shared" si="16"/>
        <v>0</v>
      </c>
      <c r="AC22" s="203">
        <f t="shared" si="16"/>
        <v>48</v>
      </c>
      <c r="AD22" s="203">
        <f t="shared" ref="AD22:AZ22" si="17">AC22+AD6</f>
        <v>101</v>
      </c>
      <c r="AE22" s="203">
        <f t="shared" si="17"/>
        <v>159</v>
      </c>
      <c r="AF22" s="203">
        <f t="shared" si="17"/>
        <v>223</v>
      </c>
      <c r="AG22" s="203">
        <f t="shared" si="17"/>
        <v>293</v>
      </c>
      <c r="AH22" s="203">
        <f t="shared" si="17"/>
        <v>369</v>
      </c>
      <c r="AI22" s="203">
        <f t="shared" si="17"/>
        <v>452</v>
      </c>
      <c r="AJ22" s="203">
        <f t="shared" si="17"/>
        <v>543</v>
      </c>
      <c r="AK22" s="203">
        <f t="shared" si="17"/>
        <v>643</v>
      </c>
      <c r="AL22" s="203">
        <f t="shared" si="17"/>
        <v>753</v>
      </c>
      <c r="AM22" s="203">
        <f t="shared" si="17"/>
        <v>873</v>
      </c>
      <c r="AN22" s="203">
        <f t="shared" si="17"/>
        <v>1005</v>
      </c>
      <c r="AO22" s="203">
        <f t="shared" si="17"/>
        <v>1149</v>
      </c>
      <c r="AP22" s="203">
        <f t="shared" si="17"/>
        <v>1307</v>
      </c>
      <c r="AQ22" s="203">
        <f t="shared" si="17"/>
        <v>1480</v>
      </c>
      <c r="AR22" s="203">
        <f t="shared" si="17"/>
        <v>1669</v>
      </c>
      <c r="AS22" s="203">
        <f t="shared" si="17"/>
        <v>1876</v>
      </c>
      <c r="AT22" s="203">
        <f t="shared" si="17"/>
        <v>2103</v>
      </c>
      <c r="AU22" s="203">
        <f t="shared" si="17"/>
        <v>2352</v>
      </c>
      <c r="AV22" s="203">
        <f t="shared" si="17"/>
        <v>2625</v>
      </c>
      <c r="AW22" s="203">
        <f t="shared" si="17"/>
        <v>2924</v>
      </c>
      <c r="AX22" s="203">
        <f t="shared" si="17"/>
        <v>3252</v>
      </c>
      <c r="AY22" s="203">
        <f t="shared" si="17"/>
        <v>3611</v>
      </c>
      <c r="AZ22" s="203">
        <f t="shared" si="17"/>
        <v>4005</v>
      </c>
      <c r="BA22" s="212"/>
      <c r="BB22" s="212">
        <f t="shared" ref="BB22:BB24" si="20">SUM(E22:P22)</f>
        <v>0</v>
      </c>
      <c r="BC22" s="212">
        <f t="shared" ref="BC22:BC24" si="21">SUM(Q22:AB22)</f>
        <v>0</v>
      </c>
      <c r="BD22" s="212">
        <f t="shared" ref="BD22:BD23" si="22">AN22</f>
        <v>1005</v>
      </c>
      <c r="BE22" s="212">
        <f t="shared" ref="BE22:BE23" si="23">AZ22</f>
        <v>4005</v>
      </c>
      <c r="BF22" s="212">
        <f>BF18*55%</f>
        <v>5500</v>
      </c>
      <c r="BG22" s="213"/>
    </row>
    <row r="23" ht="15.0" customHeight="1">
      <c r="A23" s="209"/>
      <c r="B23" s="210" t="s">
        <v>274</v>
      </c>
      <c r="C23" s="209"/>
      <c r="D23" s="203" t="s">
        <v>60</v>
      </c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03">
        <f t="shared" ref="Q23:AC23" si="18">Q12</f>
        <v>0</v>
      </c>
      <c r="R23" s="203">
        <f t="shared" si="18"/>
        <v>0</v>
      </c>
      <c r="S23" s="203">
        <f t="shared" si="18"/>
        <v>0</v>
      </c>
      <c r="T23" s="203">
        <f t="shared" si="18"/>
        <v>0</v>
      </c>
      <c r="U23" s="203">
        <f t="shared" si="18"/>
        <v>0</v>
      </c>
      <c r="V23" s="203">
        <f t="shared" si="18"/>
        <v>0</v>
      </c>
      <c r="W23" s="203">
        <f t="shared" si="18"/>
        <v>0</v>
      </c>
      <c r="X23" s="203">
        <f t="shared" si="18"/>
        <v>0</v>
      </c>
      <c r="Y23" s="203">
        <f t="shared" si="18"/>
        <v>0</v>
      </c>
      <c r="Z23" s="203">
        <f t="shared" si="18"/>
        <v>0</v>
      </c>
      <c r="AA23" s="203">
        <f t="shared" si="18"/>
        <v>0</v>
      </c>
      <c r="AB23" s="203">
        <f t="shared" si="18"/>
        <v>0</v>
      </c>
      <c r="AC23" s="203">
        <f t="shared" si="18"/>
        <v>20</v>
      </c>
      <c r="AD23" s="203">
        <f t="shared" ref="AD23:AZ23" si="19">AC23+AD12</f>
        <v>43</v>
      </c>
      <c r="AE23" s="203">
        <f t="shared" si="19"/>
        <v>69</v>
      </c>
      <c r="AF23" s="203">
        <f t="shared" si="19"/>
        <v>98</v>
      </c>
      <c r="AG23" s="203">
        <f t="shared" si="19"/>
        <v>130</v>
      </c>
      <c r="AH23" s="203">
        <f t="shared" si="19"/>
        <v>166</v>
      </c>
      <c r="AI23" s="203">
        <f t="shared" si="19"/>
        <v>207</v>
      </c>
      <c r="AJ23" s="203">
        <f t="shared" si="19"/>
        <v>253</v>
      </c>
      <c r="AK23" s="203">
        <f t="shared" si="19"/>
        <v>304</v>
      </c>
      <c r="AL23" s="203">
        <f t="shared" si="19"/>
        <v>362</v>
      </c>
      <c r="AM23" s="203">
        <f t="shared" si="19"/>
        <v>427</v>
      </c>
      <c r="AN23" s="203">
        <f t="shared" si="19"/>
        <v>500</v>
      </c>
      <c r="AO23" s="203">
        <f t="shared" si="19"/>
        <v>582</v>
      </c>
      <c r="AP23" s="203">
        <f t="shared" si="19"/>
        <v>674</v>
      </c>
      <c r="AQ23" s="203">
        <f t="shared" si="19"/>
        <v>777</v>
      </c>
      <c r="AR23" s="203">
        <f t="shared" si="19"/>
        <v>892</v>
      </c>
      <c r="AS23" s="203">
        <f t="shared" si="19"/>
        <v>1022</v>
      </c>
      <c r="AT23" s="203">
        <f t="shared" si="19"/>
        <v>1167</v>
      </c>
      <c r="AU23" s="203">
        <f t="shared" si="19"/>
        <v>1330</v>
      </c>
      <c r="AV23" s="203">
        <f t="shared" si="19"/>
        <v>1513</v>
      </c>
      <c r="AW23" s="203">
        <f t="shared" si="19"/>
        <v>1719</v>
      </c>
      <c r="AX23" s="203">
        <f t="shared" si="19"/>
        <v>1950</v>
      </c>
      <c r="AY23" s="203">
        <f t="shared" si="19"/>
        <v>2209</v>
      </c>
      <c r="AZ23" s="203">
        <f t="shared" si="19"/>
        <v>2500</v>
      </c>
      <c r="BA23" s="212"/>
      <c r="BB23" s="212">
        <f t="shared" si="20"/>
        <v>0</v>
      </c>
      <c r="BC23" s="212">
        <f t="shared" si="21"/>
        <v>0</v>
      </c>
      <c r="BD23" s="212">
        <f t="shared" si="22"/>
        <v>500</v>
      </c>
      <c r="BE23" s="212">
        <f t="shared" si="23"/>
        <v>2500</v>
      </c>
      <c r="BF23" s="212">
        <f>BF18*0.45</f>
        <v>4500</v>
      </c>
      <c r="BG23" s="105"/>
    </row>
    <row r="24" ht="12.75" customHeight="1">
      <c r="A24" s="55"/>
      <c r="B24" s="204" t="s">
        <v>275</v>
      </c>
      <c r="C24" s="202"/>
      <c r="D24" s="204" t="s">
        <v>201</v>
      </c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>
        <f>Q34*SUMPRODUCT(Assumptions!$E$126:$E$127,Assumptions!$F$126:$F$127)</f>
        <v>0</v>
      </c>
      <c r="R24" s="160">
        <f>R34*SUMPRODUCT(Assumptions!$E$126:$E$127,Assumptions!$F$126:$F$127)</f>
        <v>0</v>
      </c>
      <c r="S24" s="160">
        <f>S34*SUMPRODUCT(Assumptions!$E$126:$E$127,Assumptions!$F$126:$F$127)</f>
        <v>0</v>
      </c>
      <c r="T24" s="160">
        <f>T34*SUMPRODUCT(Assumptions!$E$126:$E$127,Assumptions!$F$126:$F$127)</f>
        <v>0</v>
      </c>
      <c r="U24" s="160">
        <f>U34*SUMPRODUCT(Assumptions!$E$126:$E$127,Assumptions!$F$126:$F$127)</f>
        <v>0</v>
      </c>
      <c r="V24" s="160">
        <f>V34*SUMPRODUCT(Assumptions!$E$126:$E$127,Assumptions!$F$126:$F$127)</f>
        <v>0</v>
      </c>
      <c r="W24" s="160">
        <f>W34*SUMPRODUCT(Assumptions!$E$126:$E$127,Assumptions!$F$126:$F$127)</f>
        <v>0</v>
      </c>
      <c r="X24" s="160">
        <f>X34*SUMPRODUCT(Assumptions!$E$126:$E$127,Assumptions!$F$126:$F$127)</f>
        <v>0</v>
      </c>
      <c r="Y24" s="160">
        <f>Y34*SUMPRODUCT(Assumptions!$E$126:$E$127,Assumptions!$F$126:$F$127)</f>
        <v>0</v>
      </c>
      <c r="Z24" s="160">
        <f>Z34*SUMPRODUCT(Assumptions!$E$126:$E$127,Assumptions!$F$126:$F$127)</f>
        <v>0</v>
      </c>
      <c r="AA24" s="160">
        <f>AA34*SUMPRODUCT(Assumptions!$E$126:$E$127,Assumptions!$F$126:$F$127)</f>
        <v>0</v>
      </c>
      <c r="AB24" s="160">
        <f>AB34*SUMPRODUCT(Assumptions!$E$126:$E$127,Assumptions!$F$126:$F$127)</f>
        <v>0</v>
      </c>
      <c r="AC24" s="160">
        <f>AC34*SUMPRODUCT(Assumptions!$E$126:$E$127,Assumptions!$F$126:$F$127)+Q24</f>
        <v>4692</v>
      </c>
      <c r="AD24" s="160">
        <f>AD34*SUMPRODUCT(Assumptions!$E$126:$E$127,Assumptions!$F$126:$F$127)+R24</f>
        <v>5244</v>
      </c>
      <c r="AE24" s="160">
        <f>AE34*SUMPRODUCT(Assumptions!$E$126:$E$127,Assumptions!$F$126:$F$127)+S24</f>
        <v>5796</v>
      </c>
      <c r="AF24" s="160">
        <f>AF34*SUMPRODUCT(Assumptions!$E$126:$E$127,Assumptions!$F$126:$F$127)+T24</f>
        <v>6417</v>
      </c>
      <c r="AG24" s="160">
        <f>AG34*SUMPRODUCT(Assumptions!$E$126:$E$127,Assumptions!$F$126:$F$127)+U24</f>
        <v>7038</v>
      </c>
      <c r="AH24" s="160">
        <f>AH34*SUMPRODUCT(Assumptions!$E$126:$E$127,Assumptions!$F$126:$F$127)+V24</f>
        <v>7728</v>
      </c>
      <c r="AI24" s="160">
        <f>AI34*SUMPRODUCT(Assumptions!$E$126:$E$127,Assumptions!$F$126:$F$127)+W24</f>
        <v>8556</v>
      </c>
      <c r="AJ24" s="160">
        <f>AJ34*SUMPRODUCT(Assumptions!$E$126:$E$127,Assumptions!$F$126:$F$127)+X24</f>
        <v>9453</v>
      </c>
      <c r="AK24" s="160">
        <f>AK34*SUMPRODUCT(Assumptions!$E$126:$E$127,Assumptions!$F$126:$F$127)+Y24</f>
        <v>10419</v>
      </c>
      <c r="AL24" s="160">
        <f>AL34*SUMPRODUCT(Assumptions!$E$126:$E$127,Assumptions!$F$126:$F$127)+Z24</f>
        <v>11592</v>
      </c>
      <c r="AM24" s="160">
        <f>AM34*SUMPRODUCT(Assumptions!$E$126:$E$127,Assumptions!$F$126:$F$127)+AA24</f>
        <v>12765</v>
      </c>
      <c r="AN24" s="160">
        <f>AN34*SUMPRODUCT(Assumptions!$E$126:$E$127,Assumptions!$F$126:$F$127)+AB24</f>
        <v>14145</v>
      </c>
      <c r="AO24" s="160">
        <f>AO34*SUMPRODUCT(Assumptions!$E$126:$E$127,Assumptions!$F$126:$F$127)+AC24</f>
        <v>20286</v>
      </c>
      <c r="AP24" s="160">
        <f>AP34*SUMPRODUCT(Assumptions!$E$126:$E$127,Assumptions!$F$126:$F$127)+AD24</f>
        <v>22494</v>
      </c>
      <c r="AQ24" s="160">
        <f>AQ34*SUMPRODUCT(Assumptions!$E$126:$E$127,Assumptions!$F$126:$F$127)+AE24</f>
        <v>24840</v>
      </c>
      <c r="AR24" s="160">
        <f>AR34*SUMPRODUCT(Assumptions!$E$126:$E$127,Assumptions!$F$126:$F$127)+AF24</f>
        <v>27393</v>
      </c>
      <c r="AS24" s="160">
        <f>AS34*SUMPRODUCT(Assumptions!$E$126:$E$127,Assumptions!$F$126:$F$127)+AG24</f>
        <v>30291</v>
      </c>
      <c r="AT24" s="160">
        <f>AT34*SUMPRODUCT(Assumptions!$E$126:$E$127,Assumptions!$F$126:$F$127)+AH24</f>
        <v>33396</v>
      </c>
      <c r="AU24" s="160">
        <f>AU34*SUMPRODUCT(Assumptions!$E$126:$E$127,Assumptions!$F$126:$F$127)+AI24</f>
        <v>36984</v>
      </c>
      <c r="AV24" s="160">
        <f>AV34*SUMPRODUCT(Assumptions!$E$126:$E$127,Assumptions!$F$126:$F$127)+AJ24</f>
        <v>40917</v>
      </c>
      <c r="AW24" s="160">
        <f>AW34*SUMPRODUCT(Assumptions!$E$126:$E$127,Assumptions!$F$126:$F$127)+AK24</f>
        <v>45264</v>
      </c>
      <c r="AX24" s="160">
        <f>AX34*SUMPRODUCT(Assumptions!$E$126:$E$127,Assumptions!$F$126:$F$127)+AL24</f>
        <v>50163</v>
      </c>
      <c r="AY24" s="160">
        <f>AY34*SUMPRODUCT(Assumptions!$E$126:$E$127,Assumptions!$F$126:$F$127)+AM24</f>
        <v>55407</v>
      </c>
      <c r="AZ24" s="160">
        <f>AZ34*SUMPRODUCT(Assumptions!$E$126:$E$127,Assumptions!$F$126:$F$127)+AN24</f>
        <v>61410</v>
      </c>
      <c r="BA24" s="205"/>
      <c r="BB24" s="206">
        <f t="shared" si="20"/>
        <v>0</v>
      </c>
      <c r="BC24" s="206">
        <f t="shared" si="21"/>
        <v>0</v>
      </c>
      <c r="BD24" s="206">
        <f>SUM(AC24:AN24)</f>
        <v>103845</v>
      </c>
      <c r="BE24" s="206">
        <f>SUM(AO24:AZ24)</f>
        <v>448845</v>
      </c>
      <c r="BF24" s="206">
        <f>(BE24*2)+BE24</f>
        <v>1346535</v>
      </c>
      <c r="BG24" s="105"/>
    </row>
    <row r="25" ht="13.5" customHeight="1">
      <c r="A25" s="81"/>
      <c r="C25" s="27"/>
      <c r="D25" s="27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05"/>
    </row>
    <row r="26" ht="13.5" customHeight="1">
      <c r="A26" s="160"/>
      <c r="B26" s="160" t="s">
        <v>276</v>
      </c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  <c r="AX26" s="160"/>
      <c r="AY26" s="160"/>
      <c r="AZ26" s="160"/>
      <c r="BA26" s="160"/>
      <c r="BB26" s="160"/>
      <c r="BC26" s="160"/>
      <c r="BD26" s="160"/>
      <c r="BE26" s="160"/>
      <c r="BF26" s="160"/>
      <c r="BG26" s="105"/>
    </row>
    <row r="27" ht="15.0" customHeight="1">
      <c r="A27" s="27"/>
      <c r="B27" s="45" t="s">
        <v>277</v>
      </c>
      <c r="C27" s="27"/>
      <c r="D27" s="157" t="s">
        <v>201</v>
      </c>
      <c r="E27" s="157">
        <v>0.0</v>
      </c>
      <c r="F27" s="157">
        <v>0.0</v>
      </c>
      <c r="G27" s="157">
        <v>0.0</v>
      </c>
      <c r="H27" s="157">
        <v>0.0</v>
      </c>
      <c r="I27" s="157">
        <v>0.0</v>
      </c>
      <c r="J27" s="157">
        <v>0.0</v>
      </c>
      <c r="K27" s="157">
        <v>0.0</v>
      </c>
      <c r="L27" s="157">
        <v>0.0</v>
      </c>
      <c r="M27" s="157">
        <v>0.0</v>
      </c>
      <c r="N27" s="157">
        <v>19480.0</v>
      </c>
      <c r="O27" s="157">
        <v>78000.0</v>
      </c>
      <c r="P27" s="157">
        <v>0.0</v>
      </c>
      <c r="Q27" s="157">
        <v>0.0</v>
      </c>
      <c r="R27" s="157">
        <v>0.0</v>
      </c>
      <c r="S27" s="157">
        <v>0.0</v>
      </c>
      <c r="T27" s="157">
        <v>0.0</v>
      </c>
      <c r="U27" s="157">
        <v>0.0</v>
      </c>
      <c r="V27" s="157">
        <v>106782.0</v>
      </c>
      <c r="W27" s="157">
        <v>0.0</v>
      </c>
      <c r="X27" s="157">
        <v>0.0</v>
      </c>
      <c r="Y27" s="157">
        <v>0.0</v>
      </c>
      <c r="Z27" s="157">
        <v>0.0</v>
      </c>
      <c r="AA27" s="157">
        <v>0.0</v>
      </c>
      <c r="AB27" s="157">
        <v>0.0</v>
      </c>
      <c r="AC27" s="157">
        <v>0.0</v>
      </c>
      <c r="AD27" s="157">
        <v>0.0</v>
      </c>
      <c r="AE27" s="157">
        <v>0.0</v>
      </c>
      <c r="AF27" s="157">
        <v>0.0</v>
      </c>
      <c r="AG27" s="157">
        <v>0.0</v>
      </c>
      <c r="AH27" s="157">
        <v>0.0</v>
      </c>
      <c r="AI27" s="157">
        <v>0.0</v>
      </c>
      <c r="AJ27" s="157">
        <v>0.0</v>
      </c>
      <c r="AK27" s="157">
        <v>0.0</v>
      </c>
      <c r="AL27" s="157">
        <v>0.0</v>
      </c>
      <c r="AM27" s="157">
        <v>0.0</v>
      </c>
      <c r="AN27" s="157">
        <v>0.0</v>
      </c>
      <c r="AO27" s="157">
        <v>0.0</v>
      </c>
      <c r="AP27" s="157">
        <v>0.0</v>
      </c>
      <c r="AQ27" s="157">
        <v>0.0</v>
      </c>
      <c r="AR27" s="157">
        <v>0.0</v>
      </c>
      <c r="AS27" s="157">
        <v>0.0</v>
      </c>
      <c r="AT27" s="157">
        <v>0.0</v>
      </c>
      <c r="AU27" s="157">
        <v>0.0</v>
      </c>
      <c r="AV27" s="157">
        <v>0.0</v>
      </c>
      <c r="AW27" s="157">
        <v>0.0</v>
      </c>
      <c r="AX27" s="157">
        <v>0.0</v>
      </c>
      <c r="AY27" s="157">
        <v>0.0</v>
      </c>
      <c r="AZ27" s="157">
        <v>0.0</v>
      </c>
      <c r="BA27" s="156"/>
      <c r="BB27" s="156">
        <f t="shared" ref="BB27:BB28" si="25">SUM(E27:P27)</f>
        <v>97480</v>
      </c>
      <c r="BC27" s="156">
        <f t="shared" ref="BC27:BC28" si="26">SUM(Q27:AB27)</f>
        <v>106782</v>
      </c>
      <c r="BD27" s="156">
        <f>SUM(AC27:AN27)</f>
        <v>0</v>
      </c>
      <c r="BE27" s="156">
        <f>SUM(AO27:AZ27)</f>
        <v>0</v>
      </c>
      <c r="BF27" s="156">
        <v>0.0</v>
      </c>
      <c r="BG27" s="105"/>
    </row>
    <row r="28" ht="12.75" customHeight="1">
      <c r="A28" s="55"/>
      <c r="B28" s="214" t="s">
        <v>278</v>
      </c>
      <c r="C28" s="215"/>
      <c r="D28" s="204" t="s">
        <v>201</v>
      </c>
      <c r="E28" s="179">
        <f t="shared" ref="E28:AZ28" si="24">sum(E27)</f>
        <v>0</v>
      </c>
      <c r="F28" s="179">
        <f t="shared" si="24"/>
        <v>0</v>
      </c>
      <c r="G28" s="179">
        <f t="shared" si="24"/>
        <v>0</v>
      </c>
      <c r="H28" s="179">
        <f t="shared" si="24"/>
        <v>0</v>
      </c>
      <c r="I28" s="179">
        <f t="shared" si="24"/>
        <v>0</v>
      </c>
      <c r="J28" s="179">
        <f t="shared" si="24"/>
        <v>0</v>
      </c>
      <c r="K28" s="179">
        <f t="shared" si="24"/>
        <v>0</v>
      </c>
      <c r="L28" s="179">
        <f t="shared" si="24"/>
        <v>0</v>
      </c>
      <c r="M28" s="179">
        <f t="shared" si="24"/>
        <v>0</v>
      </c>
      <c r="N28" s="179">
        <f t="shared" si="24"/>
        <v>19480</v>
      </c>
      <c r="O28" s="179">
        <f t="shared" si="24"/>
        <v>78000</v>
      </c>
      <c r="P28" s="179">
        <f t="shared" si="24"/>
        <v>0</v>
      </c>
      <c r="Q28" s="179">
        <f t="shared" si="24"/>
        <v>0</v>
      </c>
      <c r="R28" s="179">
        <f t="shared" si="24"/>
        <v>0</v>
      </c>
      <c r="S28" s="179">
        <f t="shared" si="24"/>
        <v>0</v>
      </c>
      <c r="T28" s="179">
        <f t="shared" si="24"/>
        <v>0</v>
      </c>
      <c r="U28" s="179">
        <f t="shared" si="24"/>
        <v>0</v>
      </c>
      <c r="V28" s="179">
        <f t="shared" si="24"/>
        <v>106782</v>
      </c>
      <c r="W28" s="179">
        <f t="shared" si="24"/>
        <v>0</v>
      </c>
      <c r="X28" s="179">
        <f t="shared" si="24"/>
        <v>0</v>
      </c>
      <c r="Y28" s="179">
        <f t="shared" si="24"/>
        <v>0</v>
      </c>
      <c r="Z28" s="179">
        <f t="shared" si="24"/>
        <v>0</v>
      </c>
      <c r="AA28" s="179">
        <f t="shared" si="24"/>
        <v>0</v>
      </c>
      <c r="AB28" s="179">
        <f t="shared" si="24"/>
        <v>0</v>
      </c>
      <c r="AC28" s="179">
        <f t="shared" si="24"/>
        <v>0</v>
      </c>
      <c r="AD28" s="179">
        <f t="shared" si="24"/>
        <v>0</v>
      </c>
      <c r="AE28" s="179">
        <f t="shared" si="24"/>
        <v>0</v>
      </c>
      <c r="AF28" s="179">
        <f t="shared" si="24"/>
        <v>0</v>
      </c>
      <c r="AG28" s="179">
        <f t="shared" si="24"/>
        <v>0</v>
      </c>
      <c r="AH28" s="179">
        <f t="shared" si="24"/>
        <v>0</v>
      </c>
      <c r="AI28" s="179">
        <f t="shared" si="24"/>
        <v>0</v>
      </c>
      <c r="AJ28" s="179">
        <f t="shared" si="24"/>
        <v>0</v>
      </c>
      <c r="AK28" s="179">
        <f t="shared" si="24"/>
        <v>0</v>
      </c>
      <c r="AL28" s="179">
        <f t="shared" si="24"/>
        <v>0</v>
      </c>
      <c r="AM28" s="179">
        <f t="shared" si="24"/>
        <v>0</v>
      </c>
      <c r="AN28" s="179">
        <f t="shared" si="24"/>
        <v>0</v>
      </c>
      <c r="AO28" s="179">
        <f t="shared" si="24"/>
        <v>0</v>
      </c>
      <c r="AP28" s="179">
        <f t="shared" si="24"/>
        <v>0</v>
      </c>
      <c r="AQ28" s="179">
        <f t="shared" si="24"/>
        <v>0</v>
      </c>
      <c r="AR28" s="179">
        <f t="shared" si="24"/>
        <v>0</v>
      </c>
      <c r="AS28" s="179">
        <f t="shared" si="24"/>
        <v>0</v>
      </c>
      <c r="AT28" s="179">
        <f t="shared" si="24"/>
        <v>0</v>
      </c>
      <c r="AU28" s="179">
        <f t="shared" si="24"/>
        <v>0</v>
      </c>
      <c r="AV28" s="179">
        <f t="shared" si="24"/>
        <v>0</v>
      </c>
      <c r="AW28" s="179">
        <f t="shared" si="24"/>
        <v>0</v>
      </c>
      <c r="AX28" s="179">
        <f t="shared" si="24"/>
        <v>0</v>
      </c>
      <c r="AY28" s="179">
        <f t="shared" si="24"/>
        <v>0</v>
      </c>
      <c r="AZ28" s="179">
        <f t="shared" si="24"/>
        <v>0</v>
      </c>
      <c r="BA28" s="205"/>
      <c r="BB28" s="181">
        <f t="shared" si="25"/>
        <v>97480</v>
      </c>
      <c r="BC28" s="216">
        <f t="shared" si="26"/>
        <v>106782</v>
      </c>
      <c r="BD28" s="216">
        <f t="shared" ref="BD28:BF28" si="27">BD27</f>
        <v>0</v>
      </c>
      <c r="BE28" s="216">
        <f t="shared" si="27"/>
        <v>0</v>
      </c>
      <c r="BF28" s="216">
        <f t="shared" si="27"/>
        <v>0</v>
      </c>
      <c r="BG28" s="105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34"/>
    </row>
    <row r="30" ht="15.75" customHeight="1">
      <c r="A30" s="217"/>
      <c r="B30" s="218" t="s">
        <v>279</v>
      </c>
      <c r="C30" s="217"/>
      <c r="D30" s="217"/>
      <c r="E30" s="219">
        <f t="shared" ref="E30:AZ30" si="28">E15+E9+E19+E24+E28</f>
        <v>0</v>
      </c>
      <c r="F30" s="219">
        <f t="shared" si="28"/>
        <v>0</v>
      </c>
      <c r="G30" s="219">
        <f t="shared" si="28"/>
        <v>0</v>
      </c>
      <c r="H30" s="219">
        <f t="shared" si="28"/>
        <v>0</v>
      </c>
      <c r="I30" s="219">
        <f t="shared" si="28"/>
        <v>0</v>
      </c>
      <c r="J30" s="219">
        <f t="shared" si="28"/>
        <v>0</v>
      </c>
      <c r="K30" s="219">
        <f t="shared" si="28"/>
        <v>0</v>
      </c>
      <c r="L30" s="219">
        <f t="shared" si="28"/>
        <v>0</v>
      </c>
      <c r="M30" s="219">
        <f t="shared" si="28"/>
        <v>0</v>
      </c>
      <c r="N30" s="219">
        <f t="shared" si="28"/>
        <v>19480</v>
      </c>
      <c r="O30" s="219">
        <f t="shared" si="28"/>
        <v>78000</v>
      </c>
      <c r="P30" s="219">
        <f t="shared" si="28"/>
        <v>0</v>
      </c>
      <c r="Q30" s="219">
        <f t="shared" si="28"/>
        <v>0</v>
      </c>
      <c r="R30" s="219">
        <f t="shared" si="28"/>
        <v>0</v>
      </c>
      <c r="S30" s="219">
        <f t="shared" si="28"/>
        <v>0</v>
      </c>
      <c r="T30" s="219">
        <f t="shared" si="28"/>
        <v>0</v>
      </c>
      <c r="U30" s="219">
        <f t="shared" si="28"/>
        <v>0</v>
      </c>
      <c r="V30" s="219">
        <f t="shared" si="28"/>
        <v>106782</v>
      </c>
      <c r="W30" s="219">
        <f t="shared" si="28"/>
        <v>0</v>
      </c>
      <c r="X30" s="219">
        <f t="shared" si="28"/>
        <v>0</v>
      </c>
      <c r="Y30" s="219">
        <f t="shared" si="28"/>
        <v>0</v>
      </c>
      <c r="Z30" s="219">
        <f t="shared" si="28"/>
        <v>0</v>
      </c>
      <c r="AA30" s="219">
        <f t="shared" si="28"/>
        <v>0</v>
      </c>
      <c r="AB30" s="219">
        <f t="shared" si="28"/>
        <v>0</v>
      </c>
      <c r="AC30" s="219">
        <f t="shared" si="28"/>
        <v>764708.0331</v>
      </c>
      <c r="AD30" s="219">
        <f t="shared" si="28"/>
        <v>850025.1653</v>
      </c>
      <c r="AE30" s="219">
        <f t="shared" si="28"/>
        <v>935342.2975</v>
      </c>
      <c r="AF30" s="219">
        <f t="shared" si="28"/>
        <v>1034018.099</v>
      </c>
      <c r="AG30" s="219">
        <f t="shared" si="28"/>
        <v>1132693.901</v>
      </c>
      <c r="AH30" s="219">
        <f t="shared" si="28"/>
        <v>1237544.298</v>
      </c>
      <c r="AI30" s="219">
        <f t="shared" si="28"/>
        <v>1361927.959</v>
      </c>
      <c r="AJ30" s="219">
        <f t="shared" si="28"/>
        <v>1499670.289</v>
      </c>
      <c r="AK30" s="219">
        <f t="shared" si="28"/>
        <v>1650771.289</v>
      </c>
      <c r="AL30" s="219">
        <f t="shared" si="28"/>
        <v>1827580.149</v>
      </c>
      <c r="AM30" s="219">
        <f t="shared" si="28"/>
        <v>2004389.008</v>
      </c>
      <c r="AN30" s="219">
        <f t="shared" si="28"/>
        <v>2214089.802</v>
      </c>
      <c r="AO30" s="219">
        <f t="shared" si="28"/>
        <v>2434657.19</v>
      </c>
      <c r="AP30" s="219">
        <f t="shared" si="28"/>
        <v>2683976.512</v>
      </c>
      <c r="AQ30" s="219">
        <f t="shared" si="28"/>
        <v>2952829.099</v>
      </c>
      <c r="AR30" s="219">
        <f t="shared" si="28"/>
        <v>3241283.95</v>
      </c>
      <c r="AS30" s="219">
        <f t="shared" si="28"/>
        <v>3574979.926</v>
      </c>
      <c r="AT30" s="219">
        <f t="shared" si="28"/>
        <v>3935462.24</v>
      </c>
      <c r="AU30" s="219">
        <f t="shared" si="28"/>
        <v>4341323.678</v>
      </c>
      <c r="AV30" s="219">
        <f t="shared" si="28"/>
        <v>4786320.645</v>
      </c>
      <c r="AW30" s="219">
        <f t="shared" si="28"/>
        <v>5276627.736</v>
      </c>
      <c r="AX30" s="219">
        <f t="shared" si="28"/>
        <v>5819567.025</v>
      </c>
      <c r="AY30" s="219">
        <f t="shared" si="28"/>
        <v>6407747.438</v>
      </c>
      <c r="AZ30" s="219">
        <f t="shared" si="28"/>
        <v>7074267.909</v>
      </c>
      <c r="BA30" s="220"/>
      <c r="BB30" s="219">
        <f t="shared" ref="BB30:BC30" si="29">BB9+BB15+BB28+BB19+BB24</f>
        <v>97480</v>
      </c>
      <c r="BC30" s="219">
        <f t="shared" si="29"/>
        <v>106782</v>
      </c>
      <c r="BD30" s="219">
        <f>SUM(AC30:AN30)</f>
        <v>16512760.29</v>
      </c>
      <c r="BE30" s="219">
        <f>SUM(AO30:AZ30)</f>
        <v>52529043.35</v>
      </c>
      <c r="BF30" s="219">
        <f>BF9+BF15+BF28+BF19+BF24</f>
        <v>105506931.7</v>
      </c>
      <c r="BG30" s="172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34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34"/>
    </row>
    <row r="33" ht="15.75" customHeight="1" outlineLevel="1">
      <c r="A33" s="55"/>
      <c r="B33" s="55" t="s">
        <v>280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205">
        <f t="shared" ref="AC33:AZ33" si="30">sum(AC22:AC23)</f>
        <v>68</v>
      </c>
      <c r="AD33" s="205">
        <f t="shared" si="30"/>
        <v>144</v>
      </c>
      <c r="AE33" s="205">
        <f t="shared" si="30"/>
        <v>228</v>
      </c>
      <c r="AF33" s="205">
        <f t="shared" si="30"/>
        <v>321</v>
      </c>
      <c r="AG33" s="205">
        <f t="shared" si="30"/>
        <v>423</v>
      </c>
      <c r="AH33" s="205">
        <f t="shared" si="30"/>
        <v>535</v>
      </c>
      <c r="AI33" s="205">
        <f t="shared" si="30"/>
        <v>659</v>
      </c>
      <c r="AJ33" s="205">
        <f t="shared" si="30"/>
        <v>796</v>
      </c>
      <c r="AK33" s="205">
        <f t="shared" si="30"/>
        <v>947</v>
      </c>
      <c r="AL33" s="205">
        <f t="shared" si="30"/>
        <v>1115</v>
      </c>
      <c r="AM33" s="205">
        <f t="shared" si="30"/>
        <v>1300</v>
      </c>
      <c r="AN33" s="205">
        <f t="shared" si="30"/>
        <v>1505</v>
      </c>
      <c r="AO33" s="205">
        <f t="shared" si="30"/>
        <v>1731</v>
      </c>
      <c r="AP33" s="205">
        <f t="shared" si="30"/>
        <v>1981</v>
      </c>
      <c r="AQ33" s="205">
        <f t="shared" si="30"/>
        <v>2257</v>
      </c>
      <c r="AR33" s="205">
        <f t="shared" si="30"/>
        <v>2561</v>
      </c>
      <c r="AS33" s="205">
        <f t="shared" si="30"/>
        <v>2898</v>
      </c>
      <c r="AT33" s="205">
        <f t="shared" si="30"/>
        <v>3270</v>
      </c>
      <c r="AU33" s="205">
        <f t="shared" si="30"/>
        <v>3682</v>
      </c>
      <c r="AV33" s="205">
        <f t="shared" si="30"/>
        <v>4138</v>
      </c>
      <c r="AW33" s="205">
        <f t="shared" si="30"/>
        <v>4643</v>
      </c>
      <c r="AX33" s="205">
        <f t="shared" si="30"/>
        <v>5202</v>
      </c>
      <c r="AY33" s="205">
        <f t="shared" si="30"/>
        <v>5820</v>
      </c>
      <c r="AZ33" s="205">
        <f t="shared" si="30"/>
        <v>6505</v>
      </c>
      <c r="BA33" s="55"/>
      <c r="BB33" s="205">
        <f t="shared" ref="BB33:BF33" si="31">sum(BB22:BB23)</f>
        <v>0</v>
      </c>
      <c r="BC33" s="205">
        <f t="shared" si="31"/>
        <v>0</v>
      </c>
      <c r="BD33" s="205">
        <f t="shared" si="31"/>
        <v>1505</v>
      </c>
      <c r="BE33" s="205">
        <f t="shared" si="31"/>
        <v>6505</v>
      </c>
      <c r="BF33" s="205">
        <f t="shared" si="31"/>
        <v>10000</v>
      </c>
      <c r="BG33" s="85"/>
    </row>
    <row r="34" ht="15.75" customHeight="1" outlineLevel="1">
      <c r="A34" s="55"/>
      <c r="B34" s="55" t="s">
        <v>46</v>
      </c>
      <c r="C34" s="55"/>
      <c r="D34" s="55" t="s">
        <v>60</v>
      </c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>
        <f t="shared" ref="Q34:AZ34" si="32">Q12+Q6</f>
        <v>0</v>
      </c>
      <c r="R34" s="205">
        <f t="shared" si="32"/>
        <v>0</v>
      </c>
      <c r="S34" s="205">
        <f t="shared" si="32"/>
        <v>0</v>
      </c>
      <c r="T34" s="205">
        <f t="shared" si="32"/>
        <v>0</v>
      </c>
      <c r="U34" s="205">
        <f t="shared" si="32"/>
        <v>0</v>
      </c>
      <c r="V34" s="205">
        <f t="shared" si="32"/>
        <v>0</v>
      </c>
      <c r="W34" s="205">
        <f t="shared" si="32"/>
        <v>0</v>
      </c>
      <c r="X34" s="205">
        <f t="shared" si="32"/>
        <v>0</v>
      </c>
      <c r="Y34" s="205">
        <f t="shared" si="32"/>
        <v>0</v>
      </c>
      <c r="Z34" s="205">
        <f t="shared" si="32"/>
        <v>0</v>
      </c>
      <c r="AA34" s="205">
        <f t="shared" si="32"/>
        <v>0</v>
      </c>
      <c r="AB34" s="205">
        <f t="shared" si="32"/>
        <v>0</v>
      </c>
      <c r="AC34" s="205">
        <f t="shared" si="32"/>
        <v>68</v>
      </c>
      <c r="AD34" s="205">
        <f t="shared" si="32"/>
        <v>76</v>
      </c>
      <c r="AE34" s="205">
        <f t="shared" si="32"/>
        <v>84</v>
      </c>
      <c r="AF34" s="205">
        <f t="shared" si="32"/>
        <v>93</v>
      </c>
      <c r="AG34" s="205">
        <f t="shared" si="32"/>
        <v>102</v>
      </c>
      <c r="AH34" s="205">
        <f t="shared" si="32"/>
        <v>112</v>
      </c>
      <c r="AI34" s="205">
        <f t="shared" si="32"/>
        <v>124</v>
      </c>
      <c r="AJ34" s="205">
        <f t="shared" si="32"/>
        <v>137</v>
      </c>
      <c r="AK34" s="205">
        <f t="shared" si="32"/>
        <v>151</v>
      </c>
      <c r="AL34" s="205">
        <f t="shared" si="32"/>
        <v>168</v>
      </c>
      <c r="AM34" s="205">
        <f t="shared" si="32"/>
        <v>185</v>
      </c>
      <c r="AN34" s="205">
        <f t="shared" si="32"/>
        <v>205</v>
      </c>
      <c r="AO34" s="205">
        <f t="shared" si="32"/>
        <v>226</v>
      </c>
      <c r="AP34" s="205">
        <f t="shared" si="32"/>
        <v>250</v>
      </c>
      <c r="AQ34" s="205">
        <f t="shared" si="32"/>
        <v>276</v>
      </c>
      <c r="AR34" s="205">
        <f t="shared" si="32"/>
        <v>304</v>
      </c>
      <c r="AS34" s="205">
        <f t="shared" si="32"/>
        <v>337</v>
      </c>
      <c r="AT34" s="205">
        <f t="shared" si="32"/>
        <v>372</v>
      </c>
      <c r="AU34" s="205">
        <f t="shared" si="32"/>
        <v>412</v>
      </c>
      <c r="AV34" s="205">
        <f t="shared" si="32"/>
        <v>456</v>
      </c>
      <c r="AW34" s="205">
        <f t="shared" si="32"/>
        <v>505</v>
      </c>
      <c r="AX34" s="205">
        <f t="shared" si="32"/>
        <v>559</v>
      </c>
      <c r="AY34" s="205">
        <f t="shared" si="32"/>
        <v>618</v>
      </c>
      <c r="AZ34" s="205">
        <f t="shared" si="32"/>
        <v>685</v>
      </c>
      <c r="BA34" s="205"/>
      <c r="BB34" s="205">
        <v>0.0</v>
      </c>
      <c r="BC34" s="205">
        <v>0.0</v>
      </c>
      <c r="BD34" s="205">
        <f>SUM(AC34:AN34)</f>
        <v>1505</v>
      </c>
      <c r="BE34" s="205">
        <f>SUM(AO34:AZ34)</f>
        <v>5000</v>
      </c>
      <c r="BF34" s="205">
        <f>BF18</f>
        <v>10000</v>
      </c>
      <c r="BG34" s="20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34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177"/>
      <c r="BF36" s="27"/>
      <c r="BG36" s="34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177"/>
      <c r="BF37" s="27"/>
      <c r="BG37" s="34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Y38" s="27"/>
      <c r="AZ38" s="27"/>
      <c r="BA38" s="27"/>
      <c r="BB38" s="27"/>
      <c r="BC38" s="27"/>
      <c r="BD38" s="177"/>
      <c r="BE38" s="177"/>
      <c r="BF38" s="27"/>
      <c r="BG38" s="34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177"/>
      <c r="BE39" s="177"/>
      <c r="BF39" s="27"/>
      <c r="BG39" s="34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34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34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34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34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34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34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34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34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34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34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34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34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34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34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34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34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34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34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34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34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34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34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34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34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34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34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34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34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34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34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34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34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34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34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34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34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34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34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34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34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34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34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34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34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34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34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34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34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34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34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34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34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34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34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34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34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34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34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34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34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34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34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34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34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34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34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34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34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34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34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34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34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34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34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34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34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34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34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34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34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34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34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34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34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34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34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34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34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34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34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34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34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34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34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34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34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34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34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34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34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34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34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34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34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34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34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34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34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34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34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34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34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34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34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34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34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34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34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34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34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34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34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34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34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34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34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34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34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34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34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34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34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34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34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34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34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34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34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34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34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34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34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34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34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34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34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34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34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34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34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34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34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34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34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34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34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34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34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34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34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34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34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34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34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34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34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34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34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34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34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34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34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34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34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34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34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34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34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34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34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34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34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34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34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34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34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34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34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34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34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34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34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34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34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34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 outlineLevelCol="1"/>
  <cols>
    <col customWidth="1" min="1" max="1" width="2.0"/>
    <col customWidth="1" min="2" max="2" width="37.57"/>
    <col customWidth="1" min="3" max="3" width="12.0"/>
    <col customWidth="1" min="4" max="4" width="2.57"/>
    <col customWidth="1" hidden="1" min="5" max="5" width="9.71" outlineLevel="1"/>
    <col customWidth="1" hidden="1" min="6" max="6" width="9.57" outlineLevel="1"/>
    <col customWidth="1" hidden="1" min="7" max="7" width="9.86" outlineLevel="1"/>
    <col customWidth="1" hidden="1" min="8" max="8" width="9.43" outlineLevel="1"/>
    <col customWidth="1" hidden="1" min="9" max="9" width="10.0" outlineLevel="1"/>
    <col customWidth="1" hidden="1" min="10" max="10" width="9.71" outlineLevel="1"/>
    <col customWidth="1" hidden="1" min="11" max="11" width="9.14" outlineLevel="1"/>
    <col customWidth="1" hidden="1" min="12" max="13" width="9.86" outlineLevel="1"/>
    <col customWidth="1" hidden="1" min="14" max="14" width="9.57" outlineLevel="1"/>
    <col customWidth="1" hidden="1" min="15" max="16" width="9.86" outlineLevel="1"/>
    <col customWidth="1" min="17" max="17" width="9.71"/>
    <col customWidth="1" min="18" max="18" width="9.57"/>
    <col customWidth="1" min="19" max="19" width="9.71"/>
    <col customWidth="1" min="20" max="20" width="9.43"/>
    <col customWidth="1" min="21" max="21" width="10.0"/>
    <col customWidth="1" min="22" max="22" width="9.71"/>
    <col customWidth="1" min="23" max="23" width="9.14"/>
    <col customWidth="1" min="24" max="25" width="9.86"/>
    <col customWidth="1" min="26" max="26" width="9.57"/>
    <col customWidth="1" min="27" max="28" width="9.86"/>
    <col customWidth="1" min="29" max="30" width="9.43"/>
    <col customWidth="1" min="31" max="31" width="9.57"/>
    <col customWidth="1" min="32" max="32" width="10.14"/>
    <col customWidth="1" min="33" max="33" width="9.86"/>
    <col customWidth="1" min="34" max="34" width="10.0"/>
    <col customWidth="1" min="35" max="35" width="10.14"/>
    <col customWidth="1" min="36" max="36" width="10.43"/>
    <col customWidth="1" min="37" max="37" width="10.29"/>
    <col customWidth="1" min="38" max="38" width="10.43"/>
    <col customWidth="1" min="39" max="40" width="10.57"/>
    <col customWidth="1" min="41" max="42" width="10.43"/>
    <col customWidth="1" min="43" max="44" width="10.86"/>
    <col customWidth="1" min="45" max="45" width="11.0"/>
    <col customWidth="1" min="46" max="46" width="10.0"/>
    <col customWidth="1" min="47" max="48" width="10.86"/>
    <col customWidth="1" min="49" max="49" width="10.57"/>
    <col customWidth="1" min="50" max="50" width="10.71"/>
    <col customWidth="1" min="51" max="51" width="10.43"/>
    <col customWidth="1" min="52" max="52" width="10.57"/>
    <col customWidth="1" min="53" max="53" width="17.43"/>
    <col customWidth="1" hidden="1" min="54" max="54" width="14.43"/>
    <col customWidth="1" min="55" max="55" width="6.14"/>
    <col customWidth="1" min="56" max="56" width="10.86"/>
    <col customWidth="1" min="57" max="57" width="11.29"/>
    <col customWidth="1" min="58" max="58" width="11.71" outlineLevel="1"/>
  </cols>
  <sheetData>
    <row r="1" ht="15.75" customHeight="1">
      <c r="A1" s="138"/>
      <c r="B1" s="135" t="s">
        <v>281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56"/>
      <c r="BB1" s="138"/>
      <c r="BC1" s="140"/>
      <c r="BD1" s="140"/>
      <c r="BE1" s="140"/>
      <c r="BF1" s="140"/>
      <c r="BG1" s="142"/>
    </row>
    <row r="2" ht="13.5" customHeight="1">
      <c r="A2" s="138"/>
      <c r="B2" s="138"/>
      <c r="C2" s="138"/>
      <c r="D2" s="138"/>
      <c r="E2" s="221">
        <v>2025.0</v>
      </c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145" t="s">
        <v>195</v>
      </c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145" t="s">
        <v>196</v>
      </c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145" t="s">
        <v>197</v>
      </c>
      <c r="AP2" s="221"/>
      <c r="AQ2" s="221"/>
      <c r="AR2" s="221"/>
      <c r="AS2" s="221"/>
      <c r="AT2" s="221"/>
      <c r="AU2" s="221"/>
      <c r="AV2" s="221"/>
      <c r="AW2" s="221"/>
      <c r="AX2" s="221"/>
      <c r="AY2" s="221"/>
      <c r="AZ2" s="221"/>
      <c r="BA2" s="156"/>
      <c r="BB2" s="138"/>
      <c r="BC2" s="222"/>
      <c r="BD2" s="222"/>
      <c r="BE2" s="222"/>
      <c r="BF2" s="138"/>
      <c r="BG2" s="142"/>
    </row>
    <row r="3" ht="13.5" customHeight="1">
      <c r="A3" s="138"/>
      <c r="B3" s="138"/>
      <c r="C3" s="138"/>
      <c r="D3" s="138"/>
      <c r="E3" s="153">
        <v>45658.0</v>
      </c>
      <c r="F3" s="153">
        <v>45689.0</v>
      </c>
      <c r="G3" s="153">
        <v>45717.0</v>
      </c>
      <c r="H3" s="153">
        <v>45748.0</v>
      </c>
      <c r="I3" s="153">
        <v>45778.0</v>
      </c>
      <c r="J3" s="153">
        <v>45809.0</v>
      </c>
      <c r="K3" s="153">
        <v>45839.0</v>
      </c>
      <c r="L3" s="153">
        <v>45870.0</v>
      </c>
      <c r="M3" s="153">
        <v>45901.0</v>
      </c>
      <c r="N3" s="153">
        <v>45931.0</v>
      </c>
      <c r="O3" s="153">
        <v>45962.0</v>
      </c>
      <c r="P3" s="153">
        <v>45992.0</v>
      </c>
      <c r="Q3" s="153">
        <v>46023.0</v>
      </c>
      <c r="R3" s="153">
        <v>46054.0</v>
      </c>
      <c r="S3" s="153">
        <v>46082.0</v>
      </c>
      <c r="T3" s="153">
        <v>46113.0</v>
      </c>
      <c r="U3" s="153">
        <v>46143.0</v>
      </c>
      <c r="V3" s="153">
        <v>46174.0</v>
      </c>
      <c r="W3" s="153">
        <v>46204.0</v>
      </c>
      <c r="X3" s="153">
        <v>46235.0</v>
      </c>
      <c r="Y3" s="153">
        <v>46266.0</v>
      </c>
      <c r="Z3" s="153">
        <v>46296.0</v>
      </c>
      <c r="AA3" s="153">
        <v>46327.0</v>
      </c>
      <c r="AB3" s="153">
        <v>46357.0</v>
      </c>
      <c r="AC3" s="153">
        <v>46388.0</v>
      </c>
      <c r="AD3" s="153">
        <v>46419.0</v>
      </c>
      <c r="AE3" s="153">
        <v>46447.0</v>
      </c>
      <c r="AF3" s="153">
        <v>46478.0</v>
      </c>
      <c r="AG3" s="153">
        <v>46508.0</v>
      </c>
      <c r="AH3" s="153">
        <v>46539.0</v>
      </c>
      <c r="AI3" s="153">
        <v>46569.0</v>
      </c>
      <c r="AJ3" s="153">
        <v>46600.0</v>
      </c>
      <c r="AK3" s="153">
        <v>46631.0</v>
      </c>
      <c r="AL3" s="153">
        <v>46661.0</v>
      </c>
      <c r="AM3" s="153">
        <v>46692.0</v>
      </c>
      <c r="AN3" s="153">
        <v>46722.0</v>
      </c>
      <c r="AO3" s="153">
        <v>46753.0</v>
      </c>
      <c r="AP3" s="153">
        <v>46784.0</v>
      </c>
      <c r="AQ3" s="153">
        <v>46813.0</v>
      </c>
      <c r="AR3" s="153">
        <v>46844.0</v>
      </c>
      <c r="AS3" s="153">
        <v>46874.0</v>
      </c>
      <c r="AT3" s="153">
        <v>46905.0</v>
      </c>
      <c r="AU3" s="153">
        <v>46935.0</v>
      </c>
      <c r="AV3" s="153">
        <v>46966.0</v>
      </c>
      <c r="AW3" s="153">
        <v>46997.0</v>
      </c>
      <c r="AX3" s="153">
        <v>47027.0</v>
      </c>
      <c r="AY3" s="153">
        <v>47058.0</v>
      </c>
      <c r="AZ3" s="153">
        <v>47088.0</v>
      </c>
      <c r="BA3" s="156"/>
      <c r="BB3" s="222">
        <v>2025.0</v>
      </c>
      <c r="BC3" s="222">
        <v>2026.0</v>
      </c>
      <c r="BD3" s="222">
        <v>2027.0</v>
      </c>
      <c r="BE3" s="222">
        <v>2028.0</v>
      </c>
      <c r="BF3" s="222">
        <v>2029.0</v>
      </c>
      <c r="BG3" s="142"/>
    </row>
    <row r="4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05"/>
    </row>
    <row r="5" ht="13.5" customHeight="1">
      <c r="A5" s="34"/>
      <c r="B5" s="56"/>
      <c r="C5" s="34"/>
      <c r="D5" s="34"/>
      <c r="E5" s="34"/>
      <c r="F5" s="34"/>
      <c r="G5" s="34"/>
      <c r="H5" s="34"/>
      <c r="I5" s="34"/>
      <c r="J5" s="34"/>
      <c r="K5" s="34"/>
      <c r="L5" s="34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05"/>
      <c r="BA5" s="156"/>
      <c r="BB5" s="156"/>
      <c r="BC5" s="156"/>
      <c r="BD5" s="156"/>
      <c r="BE5" s="156"/>
      <c r="BF5" s="156"/>
      <c r="BG5" s="105"/>
    </row>
    <row r="6" ht="13.5" customHeight="1">
      <c r="A6" s="201"/>
      <c r="B6" s="204" t="s">
        <v>47</v>
      </c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56"/>
      <c r="BB6" s="161"/>
      <c r="BC6" s="163"/>
      <c r="BD6" s="163"/>
      <c r="BE6" s="163"/>
      <c r="BF6" s="163"/>
      <c r="BG6" s="105"/>
    </row>
    <row r="7" ht="15.0" customHeight="1">
      <c r="A7" s="27"/>
      <c r="B7" s="45" t="s">
        <v>47</v>
      </c>
      <c r="C7" s="27"/>
      <c r="D7" s="189" t="s">
        <v>201</v>
      </c>
      <c r="E7" s="223"/>
      <c r="F7" s="223"/>
      <c r="G7" s="223"/>
      <c r="H7" s="223"/>
      <c r="I7" s="223"/>
      <c r="J7" s="223"/>
      <c r="K7" s="223"/>
      <c r="L7" s="223"/>
      <c r="M7" s="157"/>
      <c r="N7" s="157"/>
      <c r="O7" s="157"/>
      <c r="P7" s="157"/>
      <c r="Q7" s="157">
        <f>IFNA('Revenue Forecast'!Q6 * VLOOKUP('Revenue Forecast'!$BC$6, Assumptions!$B$67:$C$69, 2, TRUE), 0)</f>
        <v>0</v>
      </c>
      <c r="R7" s="157">
        <f>IFNA('Revenue Forecast'!R6 * VLOOKUP('Revenue Forecast'!$BC$6, Assumptions!$B$67:$C$69, 2, TRUE), 0)</f>
        <v>0</v>
      </c>
      <c r="S7" s="157">
        <f>IFNA('Revenue Forecast'!S6 * VLOOKUP('Revenue Forecast'!$BC$6, Assumptions!$B$67:$C$69, 2, TRUE), 0)</f>
        <v>0</v>
      </c>
      <c r="T7" s="157">
        <f>IFNA('Revenue Forecast'!T6 * VLOOKUP('Revenue Forecast'!$BC$6, Assumptions!$B$67:$C$69, 2, TRUE), 0)</f>
        <v>0</v>
      </c>
      <c r="U7" s="157">
        <f>IFNA('Revenue Forecast'!U6 * VLOOKUP('Revenue Forecast'!$BC$6, Assumptions!$B$67:$C$69, 2, TRUE), 0)</f>
        <v>0</v>
      </c>
      <c r="V7" s="157">
        <f>IFNA('Revenue Forecast'!V6 * VLOOKUP('Revenue Forecast'!$BC$6, Assumptions!$B$67:$C$69, 2, TRUE), 0)</f>
        <v>0</v>
      </c>
      <c r="W7" s="157">
        <f>IFNA('Revenue Forecast'!W6 * VLOOKUP('Revenue Forecast'!$BC$6, Assumptions!$B$67:$C$69, 2, TRUE), 0)</f>
        <v>0</v>
      </c>
      <c r="X7" s="157">
        <f>IFNA('Revenue Forecast'!X6 * VLOOKUP('Revenue Forecast'!$BC$6, Assumptions!$B$67:$C$69, 2, TRUE), 0)</f>
        <v>0</v>
      </c>
      <c r="Y7" s="157">
        <f>IFNA('Revenue Forecast'!Y6 * VLOOKUP('Revenue Forecast'!$BC$6, Assumptions!$B$67:$C$69, 2, TRUE), 0)</f>
        <v>0</v>
      </c>
      <c r="Z7" s="157">
        <f>IFNA('Revenue Forecast'!Z6 * VLOOKUP('Revenue Forecast'!$BC$6, Assumptions!$B$67:$C$69, 2, TRUE), 0)</f>
        <v>0</v>
      </c>
      <c r="AA7" s="157">
        <f>IFNA('Revenue Forecast'!AA6 * VLOOKUP('Revenue Forecast'!$BC$6, Assumptions!$B$67:$C$69, 2, TRUE), 0)</f>
        <v>0</v>
      </c>
      <c r="AB7" s="157">
        <f>IFNA('Revenue Forecast'!AB6 * VLOOKUP('Revenue Forecast'!$BC$6, Assumptions!$B$67:$C$69, 2, TRUE), 0)</f>
        <v>0</v>
      </c>
      <c r="AC7" s="157">
        <f>'Revenue Forecast'!AC6*VLOOKUP('Revenue Forecast'!$BD$6+'Revenue Forecast'!$BE$6,Assumptions!$B$67:$C$69,2,TRUE)</f>
        <v>479948.16</v>
      </c>
      <c r="AD7" s="157">
        <f>'Revenue Forecast'!AD6*VLOOKUP('Revenue Forecast'!$BD$6+'Revenue Forecast'!$BE$6,Assumptions!$B$67:$C$69,2,TRUE)</f>
        <v>529942.76</v>
      </c>
      <c r="AE7" s="157">
        <f>'Revenue Forecast'!AE6*VLOOKUP('Revenue Forecast'!$BD$6+'Revenue Forecast'!$BE$6,Assumptions!$B$67:$C$69,2,TRUE)</f>
        <v>579937.36</v>
      </c>
      <c r="AF7" s="157">
        <f>'Revenue Forecast'!AF6*VLOOKUP('Revenue Forecast'!$BD$6+'Revenue Forecast'!$BE$6,Assumptions!$B$67:$C$69,2,TRUE)</f>
        <v>639930.88</v>
      </c>
      <c r="AG7" s="157">
        <f>'Revenue Forecast'!AG6*VLOOKUP('Revenue Forecast'!$BD$6+'Revenue Forecast'!$BE$6,Assumptions!$B$67:$C$69,2,TRUE)</f>
        <v>699924.4</v>
      </c>
      <c r="AH7" s="157">
        <f>'Revenue Forecast'!AH6*VLOOKUP('Revenue Forecast'!$BD$6+'Revenue Forecast'!$BE$6,Assumptions!$B$67:$C$69,2,TRUE)</f>
        <v>759917.92</v>
      </c>
      <c r="AI7" s="157">
        <f>'Revenue Forecast'!AI6*VLOOKUP('Revenue Forecast'!$BD$6+'Revenue Forecast'!$BE$6,Assumptions!$B$67:$C$69,2,TRUE)</f>
        <v>829910.36</v>
      </c>
      <c r="AJ7" s="157">
        <f>'Revenue Forecast'!AJ6*VLOOKUP('Revenue Forecast'!$BD$6+'Revenue Forecast'!$BE$6,Assumptions!$B$67:$C$69,2,TRUE)</f>
        <v>909901.72</v>
      </c>
      <c r="AK7" s="157">
        <f>'Revenue Forecast'!AK6*VLOOKUP('Revenue Forecast'!$BD$6+'Revenue Forecast'!$BE$6,Assumptions!$B$67:$C$69,2,TRUE)</f>
        <v>999892</v>
      </c>
      <c r="AL7" s="157">
        <f>'Revenue Forecast'!AL6*VLOOKUP('Revenue Forecast'!$BD$6+'Revenue Forecast'!$BE$6,Assumptions!$B$67:$C$69,2,TRUE)</f>
        <v>1099881.2</v>
      </c>
      <c r="AM7" s="157">
        <f>'Revenue Forecast'!AM6*VLOOKUP('Revenue Forecast'!$BD$6+'Revenue Forecast'!$BE$6,Assumptions!$B$67:$C$69,2,TRUE)</f>
        <v>1199870.4</v>
      </c>
      <c r="AN7" s="157">
        <f>'Revenue Forecast'!AN6*VLOOKUP('Revenue Forecast'!$BD$6+'Revenue Forecast'!$BE$6,Assumptions!$B$67:$C$69,2,TRUE)</f>
        <v>1319857.44</v>
      </c>
      <c r="AO7" s="157">
        <f>'Revenue Forecast'!AO6*VLOOKUP('Revenue Forecast'!$BE$6+'Revenue Forecast'!$BF$6,Assumptions!$B$67:$C$69,2,TRUE)</f>
        <v>1019439.936</v>
      </c>
      <c r="AP7" s="157">
        <f>'Revenue Forecast'!AP6*VLOOKUP('Revenue Forecast'!$BE$6+'Revenue Forecast'!$BF$6,Assumptions!$B$67:$C$69,2,TRUE)</f>
        <v>1118552.152</v>
      </c>
      <c r="AQ7" s="157">
        <f>'Revenue Forecast'!AQ6*VLOOKUP('Revenue Forecast'!$BE$6+'Revenue Forecast'!$BF$6,Assumptions!$B$67:$C$69,2,TRUE)</f>
        <v>1224743.812</v>
      </c>
      <c r="AR7" s="157">
        <f>'Revenue Forecast'!AR6*VLOOKUP('Revenue Forecast'!$BE$6+'Revenue Forecast'!$BF$6,Assumptions!$B$67:$C$69,2,TRUE)</f>
        <v>1338014.916</v>
      </c>
      <c r="AS7" s="157">
        <f>'Revenue Forecast'!AS6*VLOOKUP('Revenue Forecast'!$BE$6+'Revenue Forecast'!$BF$6,Assumptions!$B$67:$C$69,2,TRUE)</f>
        <v>1465444.908</v>
      </c>
      <c r="AT7" s="157">
        <f>'Revenue Forecast'!AT6*VLOOKUP('Revenue Forecast'!$BE$6+'Revenue Forecast'!$BF$6,Assumptions!$B$67:$C$69,2,TRUE)</f>
        <v>1607033.788</v>
      </c>
      <c r="AU7" s="157">
        <f>'Revenue Forecast'!AU6*VLOOKUP('Revenue Forecast'!$BE$6+'Revenue Forecast'!$BF$6,Assumptions!$B$67:$C$69,2,TRUE)</f>
        <v>1762781.556</v>
      </c>
      <c r="AV7" s="157">
        <f>'Revenue Forecast'!AV6*VLOOKUP('Revenue Forecast'!$BE$6+'Revenue Forecast'!$BF$6,Assumptions!$B$67:$C$69,2,TRUE)</f>
        <v>1932688.212</v>
      </c>
      <c r="AW7" s="157">
        <f>'Revenue Forecast'!AW6*VLOOKUP('Revenue Forecast'!$BE$6+'Revenue Forecast'!$BF$6,Assumptions!$B$67:$C$69,2,TRUE)</f>
        <v>2116753.756</v>
      </c>
      <c r="AX7" s="157">
        <f>'Revenue Forecast'!AX6*VLOOKUP('Revenue Forecast'!$BE$6+'Revenue Forecast'!$BF$6,Assumptions!$B$67:$C$69,2,TRUE)</f>
        <v>2322057.632</v>
      </c>
      <c r="AY7" s="157">
        <f>'Revenue Forecast'!AY6*VLOOKUP('Revenue Forecast'!$BE$6+'Revenue Forecast'!$BF$6,Assumptions!$B$67:$C$69,2,TRUE)</f>
        <v>2541520.396</v>
      </c>
      <c r="AZ7" s="157">
        <f>'Revenue Forecast'!AZ6*VLOOKUP('Revenue Forecast'!$BE$6+'Revenue Forecast'!$BF$6,Assumptions!$B$67:$C$69,2,TRUE)</f>
        <v>2789300.936</v>
      </c>
      <c r="BA7" s="156"/>
      <c r="BB7" s="156"/>
      <c r="BC7" s="156">
        <f t="shared" ref="BC7:BC9" si="1">SUM(Q7:AB7)</f>
        <v>0</v>
      </c>
      <c r="BD7" s="156">
        <f t="shared" ref="BD7:BD9" si="2">SUM(AC7:AN7)</f>
        <v>10048914.6</v>
      </c>
      <c r="BE7" s="156">
        <f t="shared" ref="BE7:BE9" si="3">SUM(AO7:AZ7)</f>
        <v>21238332</v>
      </c>
      <c r="BF7" s="156">
        <f>'Revenue Forecast'!BF6*Assumptions!G50</f>
        <v>30000000</v>
      </c>
      <c r="BG7" s="105"/>
    </row>
    <row r="8">
      <c r="A8" s="27"/>
      <c r="B8" s="27" t="s">
        <v>282</v>
      </c>
      <c r="C8" s="27"/>
      <c r="D8" s="189" t="s">
        <v>201</v>
      </c>
      <c r="E8" s="27"/>
      <c r="F8" s="27"/>
      <c r="G8" s="27"/>
      <c r="H8" s="27"/>
      <c r="I8" s="27"/>
      <c r="J8" s="27"/>
      <c r="K8" s="27"/>
      <c r="L8" s="27"/>
      <c r="M8" s="156"/>
      <c r="N8" s="156"/>
      <c r="O8" s="156"/>
      <c r="P8" s="156"/>
      <c r="Q8" s="156">
        <f>'Revenue Forecast'!Q6*SUMPRODUCT(Assumptions!$E$113:$E$116,Assumptions!$G$113:$G$116)</f>
        <v>0</v>
      </c>
      <c r="R8" s="156">
        <f>'Revenue Forecast'!R6*SUMPRODUCT(Assumptions!$E$113:$E$116,Assumptions!$G$113:$G$116)</f>
        <v>0</v>
      </c>
      <c r="S8" s="156">
        <f>'Revenue Forecast'!S6*SUMPRODUCT(Assumptions!$E$113:$E$116,Assumptions!$G$113:$G$116)</f>
        <v>0</v>
      </c>
      <c r="T8" s="156">
        <f>'Revenue Forecast'!T6*SUMPRODUCT(Assumptions!$E$113:$E$116,Assumptions!$G$113:$G$116)</f>
        <v>0</v>
      </c>
      <c r="U8" s="156">
        <f>'Revenue Forecast'!U6*SUMPRODUCT(Assumptions!$E$113:$E$116,Assumptions!$G$113:$G$116)</f>
        <v>0</v>
      </c>
      <c r="V8" s="156">
        <f>'Revenue Forecast'!V6*SUMPRODUCT(Assumptions!$E$113:$E$116,Assumptions!$G$113:$G$116)</f>
        <v>0</v>
      </c>
      <c r="W8" s="156">
        <f>'Revenue Forecast'!W6*SUMPRODUCT(Assumptions!$E$113:$E$116,Assumptions!$G$113:$G$116)</f>
        <v>0</v>
      </c>
      <c r="X8" s="156">
        <f>'Revenue Forecast'!X6*SUMPRODUCT(Assumptions!$E$113:$E$116,Assumptions!$G$113:$G$116)</f>
        <v>0</v>
      </c>
      <c r="Y8" s="156">
        <f>'Revenue Forecast'!Y6*SUMPRODUCT(Assumptions!$E$113:$E$116,Assumptions!$G$113:$G$116)</f>
        <v>0</v>
      </c>
      <c r="Z8" s="156">
        <f>'Revenue Forecast'!Z6*SUMPRODUCT(Assumptions!$E$113:$E$116,Assumptions!$G$113:$G$116)</f>
        <v>0</v>
      </c>
      <c r="AA8" s="156">
        <f>'Revenue Forecast'!AA6*SUMPRODUCT(Assumptions!$E$113:$E$116,Assumptions!$G$113:$G$116)</f>
        <v>0</v>
      </c>
      <c r="AB8" s="156">
        <f>'Revenue Forecast'!AB6*SUMPRODUCT(Assumptions!$E$113:$E$116,Assumptions!$G$113:$G$116)</f>
        <v>0</v>
      </c>
      <c r="AC8" s="156">
        <f>'Revenue Forecast'!AC6*SUMPRODUCT(Assumptions!$E$113:$E$116,Assumptions!$G$113:$G$116)</f>
        <v>46454.4</v>
      </c>
      <c r="AD8" s="156">
        <f>'Revenue Forecast'!AD6*SUMPRODUCT(Assumptions!$E$113:$E$116,Assumptions!$G$113:$G$116)</f>
        <v>51293.4</v>
      </c>
      <c r="AE8" s="156">
        <f>'Revenue Forecast'!AE6*SUMPRODUCT(Assumptions!$E$113:$E$116,Assumptions!$G$113:$G$116)</f>
        <v>56132.4</v>
      </c>
      <c r="AF8" s="156">
        <f>'Revenue Forecast'!AF6*SUMPRODUCT(Assumptions!$E$113:$E$116,Assumptions!$G$113:$G$116)</f>
        <v>61939.2</v>
      </c>
      <c r="AG8" s="156">
        <f>'Revenue Forecast'!AG6*SUMPRODUCT(Assumptions!$E$113:$E$116,Assumptions!$G$113:$G$116)</f>
        <v>67746</v>
      </c>
      <c r="AH8" s="156">
        <f>'Revenue Forecast'!AH6*SUMPRODUCT(Assumptions!$E$113:$E$116,Assumptions!$G$113:$G$116)</f>
        <v>73552.8</v>
      </c>
      <c r="AI8" s="156">
        <f>'Revenue Forecast'!AI6*SUMPRODUCT(Assumptions!$E$113:$E$116,Assumptions!$G$113:$G$116)</f>
        <v>80327.4</v>
      </c>
      <c r="AJ8" s="156">
        <f>'Revenue Forecast'!AJ6*SUMPRODUCT(Assumptions!$E$113:$E$116,Assumptions!$G$113:$G$116)</f>
        <v>88069.8</v>
      </c>
      <c r="AK8" s="156">
        <f>'Revenue Forecast'!AK6*SUMPRODUCT(Assumptions!$E$113:$E$116,Assumptions!$G$113:$G$116)</f>
        <v>96780</v>
      </c>
      <c r="AL8" s="156">
        <f>'Revenue Forecast'!AL6*SUMPRODUCT(Assumptions!$E$113:$E$116,Assumptions!$G$113:$G$116)</f>
        <v>106458</v>
      </c>
      <c r="AM8" s="156">
        <f>'Revenue Forecast'!AM6*SUMPRODUCT(Assumptions!$E$113:$E$116,Assumptions!$G$113:$G$116)</f>
        <v>116136</v>
      </c>
      <c r="AN8" s="156">
        <f>'Revenue Forecast'!AN6*SUMPRODUCT(Assumptions!$E$113:$E$116,Assumptions!$G$113:$G$116)</f>
        <v>127749.6</v>
      </c>
      <c r="AO8" s="156">
        <f>'Revenue Forecast'!AO6*SUMPRODUCT(Assumptions!$E$113:$E$116,Assumptions!$G$113:$G$116)</f>
        <v>139363.2</v>
      </c>
      <c r="AP8" s="156">
        <f>'Revenue Forecast'!AP6*SUMPRODUCT(Assumptions!$E$113:$E$116,Assumptions!$G$113:$G$116)</f>
        <v>152912.4</v>
      </c>
      <c r="AQ8" s="156">
        <f>'Revenue Forecast'!AQ6*SUMPRODUCT(Assumptions!$E$113:$E$116,Assumptions!$G$113:$G$116)</f>
        <v>167429.4</v>
      </c>
      <c r="AR8" s="156">
        <f>'Revenue Forecast'!AR6*SUMPRODUCT(Assumptions!$E$113:$E$116,Assumptions!$G$113:$G$116)</f>
        <v>182914.2</v>
      </c>
      <c r="AS8" s="156">
        <f>'Revenue Forecast'!AS6*SUMPRODUCT(Assumptions!$E$113:$E$116,Assumptions!$G$113:$G$116)</f>
        <v>200334.6</v>
      </c>
      <c r="AT8" s="156">
        <f>'Revenue Forecast'!AT6*SUMPRODUCT(Assumptions!$E$113:$E$116,Assumptions!$G$113:$G$116)</f>
        <v>219690.6</v>
      </c>
      <c r="AU8" s="156">
        <f>'Revenue Forecast'!AU6*SUMPRODUCT(Assumptions!$E$113:$E$116,Assumptions!$G$113:$G$116)</f>
        <v>240982.2</v>
      </c>
      <c r="AV8" s="156">
        <f>'Revenue Forecast'!AV6*SUMPRODUCT(Assumptions!$E$113:$E$116,Assumptions!$G$113:$G$116)</f>
        <v>264209.4</v>
      </c>
      <c r="AW8" s="156">
        <f>'Revenue Forecast'!AW6*SUMPRODUCT(Assumptions!$E$113:$E$116,Assumptions!$G$113:$G$116)</f>
        <v>289372.2</v>
      </c>
      <c r="AX8" s="156">
        <f>'Revenue Forecast'!AX6*SUMPRODUCT(Assumptions!$E$113:$E$116,Assumptions!$G$113:$G$116)</f>
        <v>317438.4</v>
      </c>
      <c r="AY8" s="156">
        <f>'Revenue Forecast'!AY6*SUMPRODUCT(Assumptions!$E$113:$E$116,Assumptions!$G$113:$G$116)</f>
        <v>347440.2</v>
      </c>
      <c r="AZ8" s="156">
        <f>'Revenue Forecast'!AZ6*SUMPRODUCT(Assumptions!$E$113:$E$116,Assumptions!$G$113:$G$116)</f>
        <v>381313.2</v>
      </c>
      <c r="BA8" s="156"/>
      <c r="BB8" s="156"/>
      <c r="BC8" s="156">
        <f t="shared" si="1"/>
        <v>0</v>
      </c>
      <c r="BD8" s="156">
        <f t="shared" si="2"/>
        <v>972639</v>
      </c>
      <c r="BE8" s="156">
        <f t="shared" si="3"/>
        <v>2903400</v>
      </c>
      <c r="BF8" s="156">
        <f>'Revenue Forecast'!BF6*SUMPRODUCT(Assumptions!$E$113:$E$116,Assumptions!$G$113:$G$116)</f>
        <v>5806800</v>
      </c>
      <c r="BG8" s="105"/>
    </row>
    <row r="9" ht="12.75" customHeight="1">
      <c r="A9" s="27"/>
      <c r="B9" s="204" t="s">
        <v>283</v>
      </c>
      <c r="C9" s="202"/>
      <c r="D9" s="204" t="s">
        <v>201</v>
      </c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>
        <f t="shared" ref="Q9:AZ9" si="4">sum(Q7:Q8)</f>
        <v>0</v>
      </c>
      <c r="R9" s="160">
        <f t="shared" si="4"/>
        <v>0</v>
      </c>
      <c r="S9" s="160">
        <f t="shared" si="4"/>
        <v>0</v>
      </c>
      <c r="T9" s="160">
        <f t="shared" si="4"/>
        <v>0</v>
      </c>
      <c r="U9" s="160">
        <f t="shared" si="4"/>
        <v>0</v>
      </c>
      <c r="V9" s="160">
        <f t="shared" si="4"/>
        <v>0</v>
      </c>
      <c r="W9" s="160">
        <f t="shared" si="4"/>
        <v>0</v>
      </c>
      <c r="X9" s="160">
        <f t="shared" si="4"/>
        <v>0</v>
      </c>
      <c r="Y9" s="160">
        <f t="shared" si="4"/>
        <v>0</v>
      </c>
      <c r="Z9" s="160">
        <f t="shared" si="4"/>
        <v>0</v>
      </c>
      <c r="AA9" s="160">
        <f t="shared" si="4"/>
        <v>0</v>
      </c>
      <c r="AB9" s="160">
        <f t="shared" si="4"/>
        <v>0</v>
      </c>
      <c r="AC9" s="160">
        <f t="shared" si="4"/>
        <v>526402.56</v>
      </c>
      <c r="AD9" s="160">
        <f t="shared" si="4"/>
        <v>581236.16</v>
      </c>
      <c r="AE9" s="160">
        <f t="shared" si="4"/>
        <v>636069.76</v>
      </c>
      <c r="AF9" s="160">
        <f t="shared" si="4"/>
        <v>701870.08</v>
      </c>
      <c r="AG9" s="160">
        <f t="shared" si="4"/>
        <v>767670.4</v>
      </c>
      <c r="AH9" s="160">
        <f t="shared" si="4"/>
        <v>833470.72</v>
      </c>
      <c r="AI9" s="160">
        <f t="shared" si="4"/>
        <v>910237.76</v>
      </c>
      <c r="AJ9" s="160">
        <f t="shared" si="4"/>
        <v>997971.52</v>
      </c>
      <c r="AK9" s="160">
        <f t="shared" si="4"/>
        <v>1096672</v>
      </c>
      <c r="AL9" s="160">
        <f t="shared" si="4"/>
        <v>1206339.2</v>
      </c>
      <c r="AM9" s="160">
        <f t="shared" si="4"/>
        <v>1316006.4</v>
      </c>
      <c r="AN9" s="160">
        <f t="shared" si="4"/>
        <v>1447607.04</v>
      </c>
      <c r="AO9" s="160">
        <f t="shared" si="4"/>
        <v>1158803.136</v>
      </c>
      <c r="AP9" s="160">
        <f t="shared" si="4"/>
        <v>1271464.552</v>
      </c>
      <c r="AQ9" s="160">
        <f t="shared" si="4"/>
        <v>1392173.212</v>
      </c>
      <c r="AR9" s="160">
        <f t="shared" si="4"/>
        <v>1520929.116</v>
      </c>
      <c r="AS9" s="160">
        <f t="shared" si="4"/>
        <v>1665779.508</v>
      </c>
      <c r="AT9" s="160">
        <f t="shared" si="4"/>
        <v>1826724.388</v>
      </c>
      <c r="AU9" s="160">
        <f t="shared" si="4"/>
        <v>2003763.756</v>
      </c>
      <c r="AV9" s="160">
        <f t="shared" si="4"/>
        <v>2196897.612</v>
      </c>
      <c r="AW9" s="160">
        <f t="shared" si="4"/>
        <v>2406125.956</v>
      </c>
      <c r="AX9" s="160">
        <f t="shared" si="4"/>
        <v>2639496.032</v>
      </c>
      <c r="AY9" s="160">
        <f t="shared" si="4"/>
        <v>2888960.596</v>
      </c>
      <c r="AZ9" s="160">
        <f t="shared" si="4"/>
        <v>3170614.136</v>
      </c>
      <c r="BA9" s="156"/>
      <c r="BB9" s="206">
        <f>SUM(E9:P9)</f>
        <v>0</v>
      </c>
      <c r="BC9" s="206">
        <f t="shared" si="1"/>
        <v>0</v>
      </c>
      <c r="BD9" s="206">
        <f t="shared" si="2"/>
        <v>11021553.6</v>
      </c>
      <c r="BE9" s="206">
        <f t="shared" si="3"/>
        <v>24141732</v>
      </c>
      <c r="BF9" s="206">
        <f>sum(BF7:BF8)</f>
        <v>35806800</v>
      </c>
      <c r="BG9" s="207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05"/>
    </row>
    <row r="11" ht="13.5" customHeight="1">
      <c r="A11" s="201"/>
      <c r="B11" s="204" t="s">
        <v>264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56"/>
      <c r="BB11" s="161"/>
      <c r="BC11" s="163"/>
      <c r="BD11" s="163"/>
      <c r="BE11" s="163"/>
      <c r="BF11" s="163"/>
      <c r="BG11" s="105"/>
    </row>
    <row r="12" ht="15.0" customHeight="1">
      <c r="A12" s="27"/>
      <c r="B12" s="45" t="s">
        <v>284</v>
      </c>
      <c r="C12" s="27"/>
      <c r="D12" s="189" t="s">
        <v>201</v>
      </c>
      <c r="E12" s="223"/>
      <c r="F12" s="223"/>
      <c r="G12" s="223"/>
      <c r="H12" s="223"/>
      <c r="I12" s="223"/>
      <c r="J12" s="223"/>
      <c r="K12" s="223"/>
      <c r="L12" s="223"/>
      <c r="M12" s="157"/>
      <c r="N12" s="157"/>
      <c r="O12" s="157"/>
      <c r="P12" s="157"/>
      <c r="Q12" s="157">
        <f>IFNA('Revenue Forecast'!Q12*VLOOKUP('Revenue Forecast'!$BD$12,Assumptions!$B$81:$C$84,2,TRUE),0)</f>
        <v>0</v>
      </c>
      <c r="R12" s="157">
        <f>IFNA('Revenue Forecast'!R12*VLOOKUP('Revenue Forecast'!$BD$12,Assumptions!$B$81:$C$84,2,TRUE),0)</f>
        <v>0</v>
      </c>
      <c r="S12" s="157">
        <f>IFNA('Revenue Forecast'!S12*VLOOKUP('Revenue Forecast'!$BD$12,Assumptions!$B$81:$C$84,2,TRUE),0)</f>
        <v>0</v>
      </c>
      <c r="T12" s="157">
        <f>IFNA('Revenue Forecast'!T12*VLOOKUP('Revenue Forecast'!$BD$12,Assumptions!$B$81:$C$84,2,TRUE),0)</f>
        <v>0</v>
      </c>
      <c r="U12" s="157">
        <f>IFNA('Revenue Forecast'!U12*VLOOKUP('Revenue Forecast'!$BD$12,Assumptions!$B$81:$C$84,2,TRUE),0)</f>
        <v>0</v>
      </c>
      <c r="V12" s="157">
        <f>IFNA('Revenue Forecast'!V12*VLOOKUP('Revenue Forecast'!$BD$12,Assumptions!$B$81:$C$84,2,TRUE),0)</f>
        <v>0</v>
      </c>
      <c r="W12" s="157">
        <f>IFNA('Revenue Forecast'!W12*VLOOKUP('Revenue Forecast'!$BD$12,Assumptions!$B$81:$C$84,2,TRUE),0)</f>
        <v>0</v>
      </c>
      <c r="X12" s="157">
        <f>IFNA('Revenue Forecast'!X12*VLOOKUP('Revenue Forecast'!$BD$12,Assumptions!$B$81:$C$84,2,TRUE),0)</f>
        <v>0</v>
      </c>
      <c r="Y12" s="157">
        <f>IFNA('Revenue Forecast'!Y12*VLOOKUP('Revenue Forecast'!$BD$12,Assumptions!$B$81:$C$84,2,TRUE),0)</f>
        <v>0</v>
      </c>
      <c r="Z12" s="157">
        <f>IFNA('Revenue Forecast'!Z12*VLOOKUP('Revenue Forecast'!$BD$12,Assumptions!$B$81:$C$84,2,TRUE),0)</f>
        <v>0</v>
      </c>
      <c r="AA12" s="157">
        <f>IFNA('Revenue Forecast'!AA12*VLOOKUP('Revenue Forecast'!$BD$12,Assumptions!$B$81:$C$84,2,TRUE),0)</f>
        <v>0</v>
      </c>
      <c r="AB12" s="157">
        <f>IFNA('Revenue Forecast'!AB12*VLOOKUP('Revenue Forecast'!$BD$12,Assumptions!$B$81:$C$84,2,TRUE),0)</f>
        <v>0</v>
      </c>
      <c r="AC12" s="157">
        <f>'Revenue Forecast'!AC12*VLOOKUP('Revenue Forecast'!$BD$12,Assumptions!$B$80:$C$84,2,TRUE)</f>
        <v>26000</v>
      </c>
      <c r="AD12" s="157">
        <f>'Revenue Forecast'!AD12*VLOOKUP('Revenue Forecast'!$BD$12,Assumptions!$B$80:$C$84,2,TRUE)</f>
        <v>29900</v>
      </c>
      <c r="AE12" s="157">
        <f>'Revenue Forecast'!AE12*VLOOKUP('Revenue Forecast'!$BD$12,Assumptions!$B$80:$C$84,2,TRUE)</f>
        <v>33800</v>
      </c>
      <c r="AF12" s="157">
        <f>'Revenue Forecast'!AF12*VLOOKUP('Revenue Forecast'!$BD$12,Assumptions!$B$80:$C$84,2,TRUE)</f>
        <v>37700</v>
      </c>
      <c r="AG12" s="157">
        <f>'Revenue Forecast'!AG12*VLOOKUP('Revenue Forecast'!$BD$12,Assumptions!$B$80:$C$84,2,TRUE)</f>
        <v>41600</v>
      </c>
      <c r="AH12" s="157">
        <f>'Revenue Forecast'!AH12*VLOOKUP('Revenue Forecast'!$BD$12,Assumptions!$B$80:$C$84,2,TRUE)</f>
        <v>46800</v>
      </c>
      <c r="AI12" s="157">
        <f>'Revenue Forecast'!AI12*VLOOKUP('Revenue Forecast'!$BD$12,Assumptions!$B$80:$C$84,2,TRUE)</f>
        <v>53300</v>
      </c>
      <c r="AJ12" s="157">
        <f>'Revenue Forecast'!AJ12*VLOOKUP('Revenue Forecast'!$BD$12,Assumptions!$B$80:$C$84,2,TRUE)</f>
        <v>59800</v>
      </c>
      <c r="AK12" s="157">
        <f>'Revenue Forecast'!AK12*VLOOKUP('Revenue Forecast'!$BD$12,Assumptions!$B$80:$C$84,2,TRUE)</f>
        <v>66300</v>
      </c>
      <c r="AL12" s="157">
        <f>'Revenue Forecast'!AL12*VLOOKUP('Revenue Forecast'!$BD$12,Assumptions!$B$80:$C$84,2,TRUE)</f>
        <v>75400</v>
      </c>
      <c r="AM12" s="157">
        <f>'Revenue Forecast'!AM12*VLOOKUP('Revenue Forecast'!$BD$12,Assumptions!$B$80:$C$84,2,TRUE)</f>
        <v>84500</v>
      </c>
      <c r="AN12" s="157">
        <f>'Revenue Forecast'!AN12*VLOOKUP('Revenue Forecast'!$BD$12,Assumptions!$B$80:$C$84,2,TRUE)</f>
        <v>94900</v>
      </c>
      <c r="AO12" s="157">
        <f>'Revenue Forecast'!AO12*VLOOKUP('Revenue Forecast'!$BD$12,Assumptions!$B$80:$C$84,2,TRUE)</f>
        <v>106600</v>
      </c>
      <c r="AP12" s="157">
        <f>'Revenue Forecast'!AP12*VLOOKUP('Revenue Forecast'!$BD$12,Assumptions!$B$80:$C$84,2,TRUE)</f>
        <v>119600</v>
      </c>
      <c r="AQ12" s="157">
        <f>'Revenue Forecast'!AQ12*VLOOKUP('Revenue Forecast'!$BD$12,Assumptions!$B$80:$C$84,2,TRUE)</f>
        <v>133900</v>
      </c>
      <c r="AR12" s="157">
        <f>'Revenue Forecast'!AR12*VLOOKUP('Revenue Forecast'!$BD$12,Assumptions!$B$80:$C$84,2,TRUE)</f>
        <v>149500</v>
      </c>
      <c r="AS12" s="157">
        <f>'Revenue Forecast'!AS12*VLOOKUP('Revenue Forecast'!$BD$12,Assumptions!$B$80:$C$84,2,TRUE)</f>
        <v>169000</v>
      </c>
      <c r="AT12" s="157">
        <f>'Revenue Forecast'!AT12*VLOOKUP('Revenue Forecast'!$BD$12,Assumptions!$B$80:$C$84,2,TRUE)</f>
        <v>188500</v>
      </c>
      <c r="AU12" s="157">
        <f>'Revenue Forecast'!AU12*VLOOKUP('Revenue Forecast'!$BD$12,Assumptions!$B$80:$C$84,2,TRUE)</f>
        <v>211900</v>
      </c>
      <c r="AV12" s="157">
        <f>'Revenue Forecast'!AV12*VLOOKUP('Revenue Forecast'!$BD$12,Assumptions!$B$80:$C$84,2,TRUE)</f>
        <v>237900</v>
      </c>
      <c r="AW12" s="157">
        <f>'Revenue Forecast'!AW12*VLOOKUP('Revenue Forecast'!$BD$12,Assumptions!$B$80:$C$84,2,TRUE)</f>
        <v>267800</v>
      </c>
      <c r="AX12" s="157">
        <f>'Revenue Forecast'!AX12*VLOOKUP('Revenue Forecast'!$BD$12,Assumptions!$B$80:$C$84,2,TRUE)</f>
        <v>300300</v>
      </c>
      <c r="AY12" s="157">
        <f>'Revenue Forecast'!AY12*VLOOKUP('Revenue Forecast'!$BD$12,Assumptions!$B$80:$C$84,2,TRUE)</f>
        <v>336700</v>
      </c>
      <c r="AZ12" s="157">
        <f>'Revenue Forecast'!AZ12*VLOOKUP('Revenue Forecast'!$BD$12,Assumptions!$B$80:$C$84,2,TRUE)</f>
        <v>378300</v>
      </c>
      <c r="BA12" s="156"/>
      <c r="BB12" s="156"/>
      <c r="BC12" s="156">
        <f t="shared" ref="BC12:BC14" si="5">SUM(Q12:AB12)</f>
        <v>0</v>
      </c>
      <c r="BD12" s="156">
        <f t="shared" ref="BD12:BD14" si="6">SUM(AC12:AN12)</f>
        <v>650000</v>
      </c>
      <c r="BE12" s="156">
        <f t="shared" ref="BE12:BE14" si="7">SUM(AO12:AZ12)</f>
        <v>2600000</v>
      </c>
      <c r="BF12" s="156">
        <f>'Revenue Forecast'!BF12*Assumptions!H77</f>
        <v>3953400</v>
      </c>
      <c r="BG12" s="105"/>
    </row>
    <row r="13">
      <c r="A13" s="27"/>
      <c r="B13" s="27" t="s">
        <v>282</v>
      </c>
      <c r="C13" s="27"/>
      <c r="D13" s="189" t="s">
        <v>201</v>
      </c>
      <c r="E13" s="27"/>
      <c r="F13" s="27"/>
      <c r="G13" s="27"/>
      <c r="H13" s="27"/>
      <c r="I13" s="27"/>
      <c r="J13" s="27"/>
      <c r="K13" s="27"/>
      <c r="L13" s="27"/>
      <c r="M13" s="156"/>
      <c r="N13" s="156"/>
      <c r="O13" s="156"/>
      <c r="P13" s="156"/>
      <c r="Q13" s="156">
        <f>'Revenue Forecast'!Q12*PRODUCT(Assumptions!$E$122,Assumptions!$G$122)</f>
        <v>0</v>
      </c>
      <c r="R13" s="156">
        <f>'Revenue Forecast'!R12*PRODUCT(Assumptions!$E$122,Assumptions!$G$122)</f>
        <v>0</v>
      </c>
      <c r="S13" s="156">
        <f>'Revenue Forecast'!S12*PRODUCT(Assumptions!$E$122,Assumptions!$G$122)</f>
        <v>0</v>
      </c>
      <c r="T13" s="156">
        <f>'Revenue Forecast'!T12*PRODUCT(Assumptions!$E$122,Assumptions!$G$122)</f>
        <v>0</v>
      </c>
      <c r="U13" s="156">
        <f>'Revenue Forecast'!U12*PRODUCT(Assumptions!$E$122,Assumptions!$G$122)</f>
        <v>0</v>
      </c>
      <c r="V13" s="156">
        <f>'Revenue Forecast'!V12*PRODUCT(Assumptions!$E$122,Assumptions!$G$122)</f>
        <v>0</v>
      </c>
      <c r="W13" s="156">
        <f>'Revenue Forecast'!W12*PRODUCT(Assumptions!$E$122,Assumptions!$G$122)</f>
        <v>0</v>
      </c>
      <c r="X13" s="156">
        <f>'Revenue Forecast'!X12*PRODUCT(Assumptions!$E$122,Assumptions!$G$122)</f>
        <v>0</v>
      </c>
      <c r="Y13" s="156">
        <f>'Revenue Forecast'!Y12*PRODUCT(Assumptions!$E$122,Assumptions!$G$122)</f>
        <v>0</v>
      </c>
      <c r="Z13" s="156">
        <f>'Revenue Forecast'!Z12*PRODUCT(Assumptions!$E$122,Assumptions!$G$122)</f>
        <v>0</v>
      </c>
      <c r="AA13" s="156">
        <f>'Revenue Forecast'!AA12*PRODUCT(Assumptions!$E$122,Assumptions!$G$122)</f>
        <v>0</v>
      </c>
      <c r="AB13" s="156">
        <f>'Revenue Forecast'!AB12*PRODUCT(Assumptions!$E$122,Assumptions!$G$122)</f>
        <v>0</v>
      </c>
      <c r="AC13" s="156">
        <f>'Revenue Forecast'!AC12*PRODUCT(Assumptions!$E$122,Assumptions!$G$122)</f>
        <v>1200</v>
      </c>
      <c r="AD13" s="156">
        <f>'Revenue Forecast'!AD12*PRODUCT(Assumptions!$E$122,Assumptions!$G$122)</f>
        <v>1380</v>
      </c>
      <c r="AE13" s="156">
        <f>'Revenue Forecast'!AE12*PRODUCT(Assumptions!$E$122,Assumptions!$G$122)</f>
        <v>1560</v>
      </c>
      <c r="AF13" s="156">
        <f>'Revenue Forecast'!AF12*PRODUCT(Assumptions!$E$122,Assumptions!$G$122)</f>
        <v>1740</v>
      </c>
      <c r="AG13" s="156">
        <f>'Revenue Forecast'!AG12*PRODUCT(Assumptions!$E$122,Assumptions!$G$122)</f>
        <v>1920</v>
      </c>
      <c r="AH13" s="156">
        <f>'Revenue Forecast'!AH12*PRODUCT(Assumptions!$E$122,Assumptions!$G$122)</f>
        <v>2160</v>
      </c>
      <c r="AI13" s="156">
        <f>'Revenue Forecast'!AI12*PRODUCT(Assumptions!$E$122,Assumptions!$G$122)</f>
        <v>2460</v>
      </c>
      <c r="AJ13" s="156">
        <f>'Revenue Forecast'!AJ12*PRODUCT(Assumptions!$E$122,Assumptions!$G$122)</f>
        <v>2760</v>
      </c>
      <c r="AK13" s="156">
        <f>'Revenue Forecast'!AK12*PRODUCT(Assumptions!$E$122,Assumptions!$G$122)</f>
        <v>3060</v>
      </c>
      <c r="AL13" s="156">
        <f>'Revenue Forecast'!AL12*PRODUCT(Assumptions!$E$122,Assumptions!$G$122)</f>
        <v>3480</v>
      </c>
      <c r="AM13" s="156">
        <f>'Revenue Forecast'!AM12*PRODUCT(Assumptions!$E$122,Assumptions!$G$122)</f>
        <v>3900</v>
      </c>
      <c r="AN13" s="156">
        <f>'Revenue Forecast'!AN12*PRODUCT(Assumptions!$E$122,Assumptions!$G$122)</f>
        <v>4380</v>
      </c>
      <c r="AO13" s="156">
        <f>'Revenue Forecast'!AO12*PRODUCT(Assumptions!$E$122,Assumptions!$G$122)</f>
        <v>4920</v>
      </c>
      <c r="AP13" s="156">
        <f>'Revenue Forecast'!AP12*PRODUCT(Assumptions!$E$122,Assumptions!$G$122)</f>
        <v>5520</v>
      </c>
      <c r="AQ13" s="156">
        <f>'Revenue Forecast'!AQ12*PRODUCT(Assumptions!$E$122,Assumptions!$G$122)</f>
        <v>6180</v>
      </c>
      <c r="AR13" s="156">
        <f>'Revenue Forecast'!AR12*PRODUCT(Assumptions!$E$122,Assumptions!$G$122)</f>
        <v>6900</v>
      </c>
      <c r="AS13" s="156">
        <f>'Revenue Forecast'!AS12*PRODUCT(Assumptions!$E$122,Assumptions!$G$122)</f>
        <v>7800</v>
      </c>
      <c r="AT13" s="156">
        <f>'Revenue Forecast'!AT12*PRODUCT(Assumptions!$E$122,Assumptions!$G$122)</f>
        <v>8700</v>
      </c>
      <c r="AU13" s="156">
        <f>'Revenue Forecast'!AU12*PRODUCT(Assumptions!$E$122,Assumptions!$G$122)</f>
        <v>9780</v>
      </c>
      <c r="AV13" s="156">
        <f>'Revenue Forecast'!AV12*PRODUCT(Assumptions!$E$122,Assumptions!$G$122)</f>
        <v>10980</v>
      </c>
      <c r="AW13" s="156">
        <f>'Revenue Forecast'!AW12*PRODUCT(Assumptions!$E$122,Assumptions!$G$122)</f>
        <v>12360</v>
      </c>
      <c r="AX13" s="156">
        <f>'Revenue Forecast'!AX12*PRODUCT(Assumptions!$E$122,Assumptions!$G$122)</f>
        <v>13860</v>
      </c>
      <c r="AY13" s="156">
        <f>'Revenue Forecast'!AY12*PRODUCT(Assumptions!$E$122,Assumptions!$G$122)</f>
        <v>15540</v>
      </c>
      <c r="AZ13" s="156">
        <f>'Revenue Forecast'!AZ12*PRODUCT(Assumptions!$E$122,Assumptions!$G$122)</f>
        <v>17460</v>
      </c>
      <c r="BA13" s="156"/>
      <c r="BB13" s="156"/>
      <c r="BC13" s="156">
        <f t="shared" si="5"/>
        <v>0</v>
      </c>
      <c r="BD13" s="156">
        <f t="shared" si="6"/>
        <v>30000</v>
      </c>
      <c r="BE13" s="156">
        <f t="shared" si="7"/>
        <v>120000</v>
      </c>
      <c r="BF13" s="156">
        <f>'Revenue Forecast'!BF12*PRODUCT(Assumptions!$E$122,Assumptions!$G$122)</f>
        <v>240000</v>
      </c>
      <c r="BG13" s="105"/>
    </row>
    <row r="14" ht="12.75" customHeight="1">
      <c r="A14" s="27"/>
      <c r="B14" s="204" t="s">
        <v>285</v>
      </c>
      <c r="C14" s="202"/>
      <c r="D14" s="204" t="s">
        <v>201</v>
      </c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>
        <f t="shared" ref="Q14:AZ14" si="8">sum(Q12:Q13)</f>
        <v>0</v>
      </c>
      <c r="R14" s="160">
        <f t="shared" si="8"/>
        <v>0</v>
      </c>
      <c r="S14" s="160">
        <f t="shared" si="8"/>
        <v>0</v>
      </c>
      <c r="T14" s="160">
        <f t="shared" si="8"/>
        <v>0</v>
      </c>
      <c r="U14" s="160">
        <f t="shared" si="8"/>
        <v>0</v>
      </c>
      <c r="V14" s="160">
        <f t="shared" si="8"/>
        <v>0</v>
      </c>
      <c r="W14" s="160">
        <f t="shared" si="8"/>
        <v>0</v>
      </c>
      <c r="X14" s="160">
        <f t="shared" si="8"/>
        <v>0</v>
      </c>
      <c r="Y14" s="160">
        <f t="shared" si="8"/>
        <v>0</v>
      </c>
      <c r="Z14" s="160">
        <f t="shared" si="8"/>
        <v>0</v>
      </c>
      <c r="AA14" s="160">
        <f t="shared" si="8"/>
        <v>0</v>
      </c>
      <c r="AB14" s="160">
        <f t="shared" si="8"/>
        <v>0</v>
      </c>
      <c r="AC14" s="160">
        <f t="shared" si="8"/>
        <v>27200</v>
      </c>
      <c r="AD14" s="160">
        <f t="shared" si="8"/>
        <v>31280</v>
      </c>
      <c r="AE14" s="160">
        <f t="shared" si="8"/>
        <v>35360</v>
      </c>
      <c r="AF14" s="160">
        <f t="shared" si="8"/>
        <v>39440</v>
      </c>
      <c r="AG14" s="160">
        <f t="shared" si="8"/>
        <v>43520</v>
      </c>
      <c r="AH14" s="160">
        <f t="shared" si="8"/>
        <v>48960</v>
      </c>
      <c r="AI14" s="160">
        <f t="shared" si="8"/>
        <v>55760</v>
      </c>
      <c r="AJ14" s="160">
        <f t="shared" si="8"/>
        <v>62560</v>
      </c>
      <c r="AK14" s="160">
        <f t="shared" si="8"/>
        <v>69360</v>
      </c>
      <c r="AL14" s="160">
        <f t="shared" si="8"/>
        <v>78880</v>
      </c>
      <c r="AM14" s="160">
        <f t="shared" si="8"/>
        <v>88400</v>
      </c>
      <c r="AN14" s="160">
        <f t="shared" si="8"/>
        <v>99280</v>
      </c>
      <c r="AO14" s="160">
        <f t="shared" si="8"/>
        <v>111520</v>
      </c>
      <c r="AP14" s="160">
        <f t="shared" si="8"/>
        <v>125120</v>
      </c>
      <c r="AQ14" s="160">
        <f t="shared" si="8"/>
        <v>140080</v>
      </c>
      <c r="AR14" s="160">
        <f t="shared" si="8"/>
        <v>156400</v>
      </c>
      <c r="AS14" s="160">
        <f t="shared" si="8"/>
        <v>176800</v>
      </c>
      <c r="AT14" s="160">
        <f t="shared" si="8"/>
        <v>197200</v>
      </c>
      <c r="AU14" s="160">
        <f t="shared" si="8"/>
        <v>221680</v>
      </c>
      <c r="AV14" s="160">
        <f t="shared" si="8"/>
        <v>248880</v>
      </c>
      <c r="AW14" s="160">
        <f t="shared" si="8"/>
        <v>280160</v>
      </c>
      <c r="AX14" s="160">
        <f t="shared" si="8"/>
        <v>314160</v>
      </c>
      <c r="AY14" s="160">
        <f t="shared" si="8"/>
        <v>352240</v>
      </c>
      <c r="AZ14" s="160">
        <f t="shared" si="8"/>
        <v>395760</v>
      </c>
      <c r="BA14" s="156"/>
      <c r="BB14" s="206">
        <f>SUM(E14:P14)</f>
        <v>0</v>
      </c>
      <c r="BC14" s="206">
        <f t="shared" si="5"/>
        <v>0</v>
      </c>
      <c r="BD14" s="206">
        <f t="shared" si="6"/>
        <v>680000</v>
      </c>
      <c r="BE14" s="206">
        <f t="shared" si="7"/>
        <v>2720000</v>
      </c>
      <c r="BF14" s="206">
        <f>sum(BF12:BF13)</f>
        <v>4193400</v>
      </c>
      <c r="BG14" s="207"/>
    </row>
    <row r="15">
      <c r="BA15" s="156"/>
    </row>
    <row r="16" ht="13.5" customHeight="1">
      <c r="A16" s="201"/>
      <c r="B16" s="204" t="s">
        <v>286</v>
      </c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  <c r="AX16" s="160"/>
      <c r="AY16" s="160"/>
      <c r="AZ16" s="160"/>
      <c r="BA16" s="156"/>
      <c r="BB16" s="161"/>
      <c r="BC16" s="163"/>
      <c r="BD16" s="163"/>
      <c r="BE16" s="163"/>
      <c r="BF16" s="163"/>
      <c r="BG16" s="105"/>
    </row>
    <row r="17" ht="15.0" customHeight="1">
      <c r="A17" s="27"/>
      <c r="B17" s="45" t="s">
        <v>287</v>
      </c>
      <c r="C17" s="27"/>
      <c r="D17" s="189" t="s">
        <v>201</v>
      </c>
      <c r="E17" s="223"/>
      <c r="F17" s="223"/>
      <c r="G17" s="223"/>
      <c r="H17" s="223"/>
      <c r="I17" s="223"/>
      <c r="J17" s="223"/>
      <c r="K17" s="223"/>
      <c r="L17" s="223"/>
      <c r="M17" s="157"/>
      <c r="N17" s="157"/>
      <c r="O17" s="157"/>
      <c r="P17" s="157"/>
      <c r="Q17" s="157">
        <f>'Revenue Forecast'!Q34*Assumptions!$C$33</f>
        <v>0</v>
      </c>
      <c r="R17" s="157">
        <f>'Revenue Forecast'!R34*Assumptions!$C$33</f>
        <v>0</v>
      </c>
      <c r="S17" s="157">
        <f>'Revenue Forecast'!S34*Assumptions!$C$33</f>
        <v>0</v>
      </c>
      <c r="T17" s="157">
        <f>'Revenue Forecast'!T34*Assumptions!$C$33</f>
        <v>0</v>
      </c>
      <c r="U17" s="157">
        <f>'Revenue Forecast'!U34*Assumptions!$C$33</f>
        <v>0</v>
      </c>
      <c r="V17" s="157">
        <f>'Revenue Forecast'!V34*Assumptions!$C$33</f>
        <v>0</v>
      </c>
      <c r="W17" s="157">
        <f>'Revenue Forecast'!W34*Assumptions!$C$33</f>
        <v>0</v>
      </c>
      <c r="X17" s="157">
        <f>'Revenue Forecast'!X34*Assumptions!$C$33</f>
        <v>0</v>
      </c>
      <c r="Y17" s="157">
        <f>'Revenue Forecast'!Y34*Assumptions!$C$33</f>
        <v>0</v>
      </c>
      <c r="Z17" s="157">
        <f>'Revenue Forecast'!Z34*Assumptions!$C$33</f>
        <v>0</v>
      </c>
      <c r="AA17" s="157">
        <f>'Revenue Forecast'!AA34*Assumptions!$C$33</f>
        <v>0</v>
      </c>
      <c r="AB17" s="157">
        <f>'Revenue Forecast'!AB34*Assumptions!$C$33</f>
        <v>0</v>
      </c>
      <c r="AC17" s="157">
        <f>'Revenue Forecast'!AC34*Assumptions!$C$33</f>
        <v>217600</v>
      </c>
      <c r="AD17" s="157">
        <f>'Revenue Forecast'!AD34*Assumptions!$C$33</f>
        <v>243200</v>
      </c>
      <c r="AE17" s="157">
        <f>'Revenue Forecast'!AE34*Assumptions!$C$33</f>
        <v>268800</v>
      </c>
      <c r="AF17" s="157">
        <f>'Revenue Forecast'!AF34*Assumptions!$C$33</f>
        <v>297600</v>
      </c>
      <c r="AG17" s="157">
        <f>'Revenue Forecast'!AG34*Assumptions!$C$33</f>
        <v>326400</v>
      </c>
      <c r="AH17" s="157">
        <f>'Revenue Forecast'!AH34*Assumptions!$C$33</f>
        <v>358400</v>
      </c>
      <c r="AI17" s="157">
        <f>'Revenue Forecast'!AI34*Assumptions!$C$33</f>
        <v>396800</v>
      </c>
      <c r="AJ17" s="157">
        <f>'Revenue Forecast'!AJ34*Assumptions!$C$33</f>
        <v>438400</v>
      </c>
      <c r="AK17" s="157">
        <f>'Revenue Forecast'!AK34*Assumptions!$C$33</f>
        <v>483200</v>
      </c>
      <c r="AL17" s="157">
        <f>'Revenue Forecast'!AL34*Assumptions!$C$33</f>
        <v>537600</v>
      </c>
      <c r="AM17" s="157">
        <f>'Revenue Forecast'!AM34*Assumptions!$C$33</f>
        <v>592000</v>
      </c>
      <c r="AN17" s="157">
        <f>'Revenue Forecast'!AN34*Assumptions!$C$33</f>
        <v>656000</v>
      </c>
      <c r="AO17" s="157">
        <f>'Revenue Forecast'!AO34*Assumptions!$C$33</f>
        <v>723200</v>
      </c>
      <c r="AP17" s="157">
        <f>'Revenue Forecast'!AP34*Assumptions!$C$33</f>
        <v>800000</v>
      </c>
      <c r="AQ17" s="157">
        <f>'Revenue Forecast'!AQ34*Assumptions!$C$33</f>
        <v>883200</v>
      </c>
      <c r="AR17" s="157">
        <f>'Revenue Forecast'!AR34*Assumptions!$C$33</f>
        <v>972800</v>
      </c>
      <c r="AS17" s="157">
        <f>'Revenue Forecast'!AS34*Assumptions!$C$33</f>
        <v>1078400</v>
      </c>
      <c r="AT17" s="157">
        <f>'Revenue Forecast'!AT34*Assumptions!$C$33</f>
        <v>1190400</v>
      </c>
      <c r="AU17" s="157">
        <f>'Revenue Forecast'!AU34*Assumptions!$C$33</f>
        <v>1318400</v>
      </c>
      <c r="AV17" s="157">
        <f>'Revenue Forecast'!AV34*Assumptions!$C$33</f>
        <v>1459200</v>
      </c>
      <c r="AW17" s="157">
        <f>'Revenue Forecast'!AW34*Assumptions!$C$33</f>
        <v>1616000</v>
      </c>
      <c r="AX17" s="157">
        <f>'Revenue Forecast'!AX34*Assumptions!$C$33</f>
        <v>1788800</v>
      </c>
      <c r="AY17" s="157">
        <f>'Revenue Forecast'!AY34*Assumptions!$C$33</f>
        <v>1977600</v>
      </c>
      <c r="AZ17" s="157">
        <f>'Revenue Forecast'!AZ34*Assumptions!$C$33</f>
        <v>2192000</v>
      </c>
      <c r="BA17" s="156"/>
      <c r="BB17" s="156"/>
      <c r="BC17" s="156">
        <f>SUM(Q17:AB17)</f>
        <v>0</v>
      </c>
      <c r="BD17" s="156">
        <f>SUM(AC17:AN17)</f>
        <v>4816000</v>
      </c>
      <c r="BE17" s="156">
        <f>SUM(AO17:AZ17)</f>
        <v>16000000</v>
      </c>
      <c r="BF17" s="156">
        <f>'Revenue Forecast'!BF18*Assumptions!$C$33</f>
        <v>32000000</v>
      </c>
      <c r="BG17" s="156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05"/>
    </row>
    <row r="19" ht="13.5" customHeight="1">
      <c r="A19" s="201"/>
      <c r="B19" s="202" t="s">
        <v>272</v>
      </c>
      <c r="C19" s="201"/>
      <c r="D19" s="20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  <c r="AJ19" s="161"/>
      <c r="AK19" s="161"/>
      <c r="AL19" s="161"/>
      <c r="AM19" s="161"/>
      <c r="AN19" s="161"/>
      <c r="AO19" s="161"/>
      <c r="AP19" s="161"/>
      <c r="AQ19" s="161"/>
      <c r="AR19" s="161"/>
      <c r="AS19" s="161"/>
      <c r="AT19" s="161"/>
      <c r="AU19" s="161"/>
      <c r="AV19" s="161"/>
      <c r="AW19" s="161"/>
      <c r="AX19" s="161"/>
      <c r="AY19" s="161"/>
      <c r="AZ19" s="161"/>
      <c r="BA19" s="156"/>
      <c r="BB19" s="163"/>
      <c r="BC19" s="163"/>
      <c r="BD19" s="163"/>
      <c r="BE19" s="163"/>
      <c r="BF19" s="163"/>
      <c r="BG19" s="105"/>
    </row>
    <row r="20" ht="15.0" customHeight="1">
      <c r="A20" s="209"/>
      <c r="B20" s="210" t="s">
        <v>273</v>
      </c>
      <c r="C20" s="209"/>
      <c r="D20" s="203" t="s">
        <v>60</v>
      </c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03" t="str">
        <f t="shared" ref="Q20:AB20" si="9">Q4</f>
        <v/>
      </c>
      <c r="R20" s="203" t="str">
        <f t="shared" si="9"/>
        <v/>
      </c>
      <c r="S20" s="203" t="str">
        <f t="shared" si="9"/>
        <v/>
      </c>
      <c r="T20" s="203" t="str">
        <f t="shared" si="9"/>
        <v/>
      </c>
      <c r="U20" s="203" t="str">
        <f t="shared" si="9"/>
        <v/>
      </c>
      <c r="V20" s="203" t="str">
        <f t="shared" si="9"/>
        <v/>
      </c>
      <c r="W20" s="203" t="str">
        <f t="shared" si="9"/>
        <v/>
      </c>
      <c r="X20" s="203" t="str">
        <f t="shared" si="9"/>
        <v/>
      </c>
      <c r="Y20" s="203" t="str">
        <f t="shared" si="9"/>
        <v/>
      </c>
      <c r="Z20" s="203" t="str">
        <f t="shared" si="9"/>
        <v/>
      </c>
      <c r="AA20" s="203" t="str">
        <f t="shared" si="9"/>
        <v/>
      </c>
      <c r="AB20" s="203" t="str">
        <f t="shared" si="9"/>
        <v/>
      </c>
      <c r="AC20" s="203">
        <f>'Revenue Forecast'!AC6</f>
        <v>48</v>
      </c>
      <c r="AD20" s="203">
        <f>'Revenue Forecast'!AD6+'Revenue Forecast'!AC22</f>
        <v>101</v>
      </c>
      <c r="AE20" s="203">
        <f>'Revenue Forecast'!AE6+'Revenue Forecast'!AD22</f>
        <v>159</v>
      </c>
      <c r="AF20" s="203">
        <f>'Revenue Forecast'!AF6+'Revenue Forecast'!AE22</f>
        <v>223</v>
      </c>
      <c r="AG20" s="203">
        <f>'Revenue Forecast'!AG6+'Revenue Forecast'!AF22</f>
        <v>293</v>
      </c>
      <c r="AH20" s="203">
        <f>'Revenue Forecast'!AH6+'Revenue Forecast'!AG22</f>
        <v>369</v>
      </c>
      <c r="AI20" s="203">
        <f>'Revenue Forecast'!AI6+'Revenue Forecast'!AH22</f>
        <v>452</v>
      </c>
      <c r="AJ20" s="203">
        <f>'Revenue Forecast'!AJ6+'Revenue Forecast'!AI22</f>
        <v>543</v>
      </c>
      <c r="AK20" s="203">
        <f>'Revenue Forecast'!AK6+'Revenue Forecast'!AJ22</f>
        <v>643</v>
      </c>
      <c r="AL20" s="203">
        <f>'Revenue Forecast'!AL6+'Revenue Forecast'!AK22</f>
        <v>753</v>
      </c>
      <c r="AM20" s="203">
        <f>'Revenue Forecast'!AM6+'Revenue Forecast'!AL22</f>
        <v>873</v>
      </c>
      <c r="AN20" s="203">
        <f>'Revenue Forecast'!AN6+'Revenue Forecast'!AM22</f>
        <v>1005</v>
      </c>
      <c r="AO20" s="203">
        <f>'Revenue Forecast'!AO6+'Revenue Forecast'!AN22</f>
        <v>1149</v>
      </c>
      <c r="AP20" s="203">
        <f>'Revenue Forecast'!AP6+'Revenue Forecast'!AO22</f>
        <v>1307</v>
      </c>
      <c r="AQ20" s="203">
        <f>'Revenue Forecast'!AQ6+'Revenue Forecast'!AP22</f>
        <v>1480</v>
      </c>
      <c r="AR20" s="203">
        <f>'Revenue Forecast'!AR6+'Revenue Forecast'!AQ22</f>
        <v>1669</v>
      </c>
      <c r="AS20" s="203">
        <f>'Revenue Forecast'!AS6+'Revenue Forecast'!AR22</f>
        <v>1876</v>
      </c>
      <c r="AT20" s="203">
        <f>'Revenue Forecast'!AT6+'Revenue Forecast'!AS22</f>
        <v>2103</v>
      </c>
      <c r="AU20" s="203">
        <f>'Revenue Forecast'!AU6+'Revenue Forecast'!AT22</f>
        <v>2352</v>
      </c>
      <c r="AV20" s="203">
        <f>'Revenue Forecast'!AV6+'Revenue Forecast'!AU22</f>
        <v>2625</v>
      </c>
      <c r="AW20" s="203">
        <f>'Revenue Forecast'!AW6+'Revenue Forecast'!AV22</f>
        <v>2924</v>
      </c>
      <c r="AX20" s="203">
        <f>'Revenue Forecast'!AX6+'Revenue Forecast'!AW22</f>
        <v>3252</v>
      </c>
      <c r="AY20" s="203">
        <f>'Revenue Forecast'!AY6+'Revenue Forecast'!AX22</f>
        <v>3611</v>
      </c>
      <c r="AZ20" s="203">
        <f>'Revenue Forecast'!AZ6+'Revenue Forecast'!AY22</f>
        <v>4005</v>
      </c>
      <c r="BA20" s="212"/>
      <c r="BB20" s="212">
        <f t="shared" ref="BB20:BB22" si="11">SUM(E20:P20)</f>
        <v>0</v>
      </c>
      <c r="BC20" s="212">
        <f t="shared" ref="BC20:BC22" si="12">SUM(Q20:AB20)</f>
        <v>0</v>
      </c>
      <c r="BD20" s="212">
        <f t="shared" ref="BD20:BD21" si="13">AN20</f>
        <v>1005</v>
      </c>
      <c r="BE20" s="212">
        <f t="shared" ref="BE20:BE21" si="14">AZ20</f>
        <v>4005</v>
      </c>
      <c r="BF20" s="212">
        <f>'Revenue Forecast'!BF22</f>
        <v>5500</v>
      </c>
      <c r="BG20" s="213"/>
    </row>
    <row r="21" ht="15.0" customHeight="1">
      <c r="A21" s="209"/>
      <c r="B21" s="210" t="s">
        <v>274</v>
      </c>
      <c r="C21" s="209"/>
      <c r="D21" s="203" t="s">
        <v>60</v>
      </c>
      <c r="E21" s="211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03" t="str">
        <f t="shared" ref="Q21:AB21" si="10">Q10</f>
        <v/>
      </c>
      <c r="R21" s="203" t="str">
        <f t="shared" si="10"/>
        <v/>
      </c>
      <c r="S21" s="203" t="str">
        <f t="shared" si="10"/>
        <v/>
      </c>
      <c r="T21" s="203" t="str">
        <f t="shared" si="10"/>
        <v/>
      </c>
      <c r="U21" s="203" t="str">
        <f t="shared" si="10"/>
        <v/>
      </c>
      <c r="V21" s="203" t="str">
        <f t="shared" si="10"/>
        <v/>
      </c>
      <c r="W21" s="203" t="str">
        <f t="shared" si="10"/>
        <v/>
      </c>
      <c r="X21" s="203" t="str">
        <f t="shared" si="10"/>
        <v/>
      </c>
      <c r="Y21" s="203" t="str">
        <f t="shared" si="10"/>
        <v/>
      </c>
      <c r="Z21" s="203" t="str">
        <f t="shared" si="10"/>
        <v/>
      </c>
      <c r="AA21" s="203" t="str">
        <f t="shared" si="10"/>
        <v/>
      </c>
      <c r="AB21" s="203" t="str">
        <f t="shared" si="10"/>
        <v/>
      </c>
      <c r="AC21" s="203">
        <f>'Revenue Forecast'!AC12</f>
        <v>20</v>
      </c>
      <c r="AD21" s="203">
        <f>'Revenue Forecast'!AD12+'Revenue Forecast'!AC23</f>
        <v>43</v>
      </c>
      <c r="AE21" s="203">
        <f>'Revenue Forecast'!AE12+'Revenue Forecast'!AD23</f>
        <v>69</v>
      </c>
      <c r="AF21" s="203">
        <f>'Revenue Forecast'!AF12+'Revenue Forecast'!AE23</f>
        <v>98</v>
      </c>
      <c r="AG21" s="203">
        <f>'Revenue Forecast'!AG12+'Revenue Forecast'!AF23</f>
        <v>130</v>
      </c>
      <c r="AH21" s="203">
        <f>'Revenue Forecast'!AH12+'Revenue Forecast'!AG23</f>
        <v>166</v>
      </c>
      <c r="AI21" s="203">
        <f>'Revenue Forecast'!AI12+'Revenue Forecast'!AH23</f>
        <v>207</v>
      </c>
      <c r="AJ21" s="203">
        <f>'Revenue Forecast'!AJ12+'Revenue Forecast'!AI23</f>
        <v>253</v>
      </c>
      <c r="AK21" s="203">
        <f>'Revenue Forecast'!AK12+'Revenue Forecast'!AJ23</f>
        <v>304</v>
      </c>
      <c r="AL21" s="203">
        <f>'Revenue Forecast'!AL12+'Revenue Forecast'!AK23</f>
        <v>362</v>
      </c>
      <c r="AM21" s="203">
        <f>'Revenue Forecast'!AM12+'Revenue Forecast'!AL23</f>
        <v>427</v>
      </c>
      <c r="AN21" s="203">
        <f>'Revenue Forecast'!AN12+'Revenue Forecast'!AM23</f>
        <v>500</v>
      </c>
      <c r="AO21" s="203">
        <f>'Revenue Forecast'!AO12+'Revenue Forecast'!AN23</f>
        <v>582</v>
      </c>
      <c r="AP21" s="203">
        <f>'Revenue Forecast'!AP12+'Revenue Forecast'!AO23</f>
        <v>674</v>
      </c>
      <c r="AQ21" s="203">
        <f>'Revenue Forecast'!AQ12+'Revenue Forecast'!AP23</f>
        <v>777</v>
      </c>
      <c r="AR21" s="203">
        <f>'Revenue Forecast'!AR12+'Revenue Forecast'!AQ23</f>
        <v>892</v>
      </c>
      <c r="AS21" s="203">
        <f>'Revenue Forecast'!AS12+'Revenue Forecast'!AR23</f>
        <v>1022</v>
      </c>
      <c r="AT21" s="203">
        <f>'Revenue Forecast'!AT12+'Revenue Forecast'!AS23</f>
        <v>1167</v>
      </c>
      <c r="AU21" s="203">
        <f>'Revenue Forecast'!AU12+'Revenue Forecast'!AT23</f>
        <v>1330</v>
      </c>
      <c r="AV21" s="203">
        <f>'Revenue Forecast'!AV12+'Revenue Forecast'!AU23</f>
        <v>1513</v>
      </c>
      <c r="AW21" s="203">
        <f>'Revenue Forecast'!AW12+'Revenue Forecast'!AV23</f>
        <v>1719</v>
      </c>
      <c r="AX21" s="203">
        <f>'Revenue Forecast'!AX12+'Revenue Forecast'!AW23</f>
        <v>1950</v>
      </c>
      <c r="AY21" s="203">
        <f>'Revenue Forecast'!AY12+'Revenue Forecast'!AX23</f>
        <v>2209</v>
      </c>
      <c r="AZ21" s="203">
        <f>'Revenue Forecast'!AZ12+'Revenue Forecast'!AY23</f>
        <v>2500</v>
      </c>
      <c r="BA21" s="212"/>
      <c r="BB21" s="212">
        <f t="shared" si="11"/>
        <v>0</v>
      </c>
      <c r="BC21" s="212">
        <f t="shared" si="12"/>
        <v>0</v>
      </c>
      <c r="BD21" s="212">
        <f t="shared" si="13"/>
        <v>500</v>
      </c>
      <c r="BE21" s="212">
        <f t="shared" si="14"/>
        <v>2500</v>
      </c>
      <c r="BF21" s="212">
        <f>'Revenue Forecast'!BF23</f>
        <v>4500</v>
      </c>
      <c r="BG21" s="213"/>
    </row>
    <row r="22" ht="12.75" customHeight="1">
      <c r="A22" s="55"/>
      <c r="B22" s="204" t="s">
        <v>275</v>
      </c>
      <c r="C22" s="202"/>
      <c r="D22" s="204" t="s">
        <v>201</v>
      </c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>
        <f>'Revenue Forecast'!Q34*SUMPRODUCT(Assumptions!$E$126:$E$127,Assumptions!$G$126:$G$127)+E22</f>
        <v>0</v>
      </c>
      <c r="R22" s="160">
        <f>'Revenue Forecast'!R34*SUMPRODUCT(Assumptions!$E$126:$E$127,Assumptions!$G$126:$G$127)+F22</f>
        <v>0</v>
      </c>
      <c r="S22" s="160">
        <f>'Revenue Forecast'!S34*SUMPRODUCT(Assumptions!$E$126:$E$127,Assumptions!$G$126:$G$127)+G22</f>
        <v>0</v>
      </c>
      <c r="T22" s="160">
        <f>'Revenue Forecast'!T34*SUMPRODUCT(Assumptions!$E$126:$E$127,Assumptions!$G$126:$G$127)+H22</f>
        <v>0</v>
      </c>
      <c r="U22" s="160">
        <f>'Revenue Forecast'!U34*SUMPRODUCT(Assumptions!$E$126:$E$127,Assumptions!$G$126:$G$127)+I22</f>
        <v>0</v>
      </c>
      <c r="V22" s="160">
        <f>'Revenue Forecast'!V34*SUMPRODUCT(Assumptions!$E$126:$E$127,Assumptions!$G$126:$G$127)+J22</f>
        <v>0</v>
      </c>
      <c r="W22" s="160">
        <f>'Revenue Forecast'!W34*SUMPRODUCT(Assumptions!$E$126:$E$127,Assumptions!$G$126:$G$127)+K22</f>
        <v>0</v>
      </c>
      <c r="X22" s="160">
        <f>'Revenue Forecast'!X34*SUMPRODUCT(Assumptions!$E$126:$E$127,Assumptions!$G$126:$G$127)+L22</f>
        <v>0</v>
      </c>
      <c r="Y22" s="160">
        <f>'Revenue Forecast'!Y34*SUMPRODUCT(Assumptions!$E$126:$E$127,Assumptions!$G$126:$G$127)+M22</f>
        <v>0</v>
      </c>
      <c r="Z22" s="160">
        <f>'Revenue Forecast'!Z34*SUMPRODUCT(Assumptions!$E$126:$E$127,Assumptions!$G$126:$G$127)+N22</f>
        <v>0</v>
      </c>
      <c r="AA22" s="160">
        <f>'Revenue Forecast'!AA34*SUMPRODUCT(Assumptions!$E$126:$E$127,Assumptions!$G$126:$G$127)+O22</f>
        <v>0</v>
      </c>
      <c r="AB22" s="160">
        <f>'Revenue Forecast'!AB34*SUMPRODUCT(Assumptions!$E$126:$E$127,Assumptions!$G$126:$G$127)+P22</f>
        <v>0</v>
      </c>
      <c r="AC22" s="160">
        <f>'Revenue Forecast'!AC34*SUMPRODUCT(Assumptions!$E$126:$E$127,Assumptions!$G$126:$G$127)+Q22</f>
        <v>2162.4</v>
      </c>
      <c r="AD22" s="160">
        <f>'Revenue Forecast'!AD34*SUMPRODUCT(Assumptions!$E$126:$E$127,Assumptions!$G$126:$G$127)+R22</f>
        <v>2416.8</v>
      </c>
      <c r="AE22" s="160">
        <f>'Revenue Forecast'!AE34*SUMPRODUCT(Assumptions!$E$126:$E$127,Assumptions!$G$126:$G$127)+S22</f>
        <v>2671.2</v>
      </c>
      <c r="AF22" s="160">
        <f>'Revenue Forecast'!AF34*SUMPRODUCT(Assumptions!$E$126:$E$127,Assumptions!$G$126:$G$127)+T22</f>
        <v>2957.4</v>
      </c>
      <c r="AG22" s="160">
        <f>'Revenue Forecast'!AG34*SUMPRODUCT(Assumptions!$E$126:$E$127,Assumptions!$G$126:$G$127)+U22</f>
        <v>3243.6</v>
      </c>
      <c r="AH22" s="160">
        <f>'Revenue Forecast'!AH34*SUMPRODUCT(Assumptions!$E$126:$E$127,Assumptions!$G$126:$G$127)+V22</f>
        <v>3561.6</v>
      </c>
      <c r="AI22" s="160">
        <f>'Revenue Forecast'!AI34*SUMPRODUCT(Assumptions!$E$126:$E$127,Assumptions!$G$126:$G$127)+W22</f>
        <v>3943.2</v>
      </c>
      <c r="AJ22" s="160">
        <f>'Revenue Forecast'!AJ34*SUMPRODUCT(Assumptions!$E$126:$E$127,Assumptions!$G$126:$G$127)+X22</f>
        <v>4356.6</v>
      </c>
      <c r="AK22" s="160">
        <f>'Revenue Forecast'!AK34*SUMPRODUCT(Assumptions!$E$126:$E$127,Assumptions!$G$126:$G$127)+Y22</f>
        <v>4801.8</v>
      </c>
      <c r="AL22" s="160">
        <f>'Revenue Forecast'!AL34*SUMPRODUCT(Assumptions!$E$126:$E$127,Assumptions!$G$126:$G$127)+Z22</f>
        <v>5342.4</v>
      </c>
      <c r="AM22" s="160">
        <f>'Revenue Forecast'!AM34*SUMPRODUCT(Assumptions!$E$126:$E$127,Assumptions!$G$126:$G$127)+AA22</f>
        <v>5883</v>
      </c>
      <c r="AN22" s="160">
        <f>'Revenue Forecast'!AN34*SUMPRODUCT(Assumptions!$E$126:$E$127,Assumptions!$G$126:$G$127)+AB22</f>
        <v>6519</v>
      </c>
      <c r="AO22" s="160">
        <f>'Revenue Forecast'!AO34*SUMPRODUCT(Assumptions!$E$126:$E$127,Assumptions!$G$126:$G$127)+AC22</f>
        <v>9349.2</v>
      </c>
      <c r="AP22" s="160">
        <f>'Revenue Forecast'!AP34*SUMPRODUCT(Assumptions!$E$126:$E$127,Assumptions!$G$126:$G$127)+AD22</f>
        <v>10366.8</v>
      </c>
      <c r="AQ22" s="160">
        <f>'Revenue Forecast'!AQ34*SUMPRODUCT(Assumptions!$E$126:$E$127,Assumptions!$G$126:$G$127)+AE22</f>
        <v>11448</v>
      </c>
      <c r="AR22" s="160">
        <f>'Revenue Forecast'!AR34*SUMPRODUCT(Assumptions!$E$126:$E$127,Assumptions!$G$126:$G$127)+AF22</f>
        <v>12624.6</v>
      </c>
      <c r="AS22" s="160">
        <f>'Revenue Forecast'!AS34*SUMPRODUCT(Assumptions!$E$126:$E$127,Assumptions!$G$126:$G$127)+AG22</f>
        <v>13960.2</v>
      </c>
      <c r="AT22" s="160">
        <f>'Revenue Forecast'!AT34*SUMPRODUCT(Assumptions!$E$126:$E$127,Assumptions!$G$126:$G$127)+AH22</f>
        <v>15391.2</v>
      </c>
      <c r="AU22" s="160">
        <f>'Revenue Forecast'!AU34*SUMPRODUCT(Assumptions!$E$126:$E$127,Assumptions!$G$126:$G$127)+AI22</f>
        <v>17044.8</v>
      </c>
      <c r="AV22" s="160">
        <f>'Revenue Forecast'!AV34*SUMPRODUCT(Assumptions!$E$126:$E$127,Assumptions!$G$126:$G$127)+AJ22</f>
        <v>18857.4</v>
      </c>
      <c r="AW22" s="160">
        <f>'Revenue Forecast'!AW34*SUMPRODUCT(Assumptions!$E$126:$E$127,Assumptions!$G$126:$G$127)+AK22</f>
        <v>20860.8</v>
      </c>
      <c r="AX22" s="160">
        <f>'Revenue Forecast'!AX34*SUMPRODUCT(Assumptions!$E$126:$E$127,Assumptions!$G$126:$G$127)+AL22</f>
        <v>23118.6</v>
      </c>
      <c r="AY22" s="160">
        <f>'Revenue Forecast'!AY34*SUMPRODUCT(Assumptions!$E$126:$E$127,Assumptions!$G$126:$G$127)+AM22</f>
        <v>25535.4</v>
      </c>
      <c r="AZ22" s="160">
        <f>'Revenue Forecast'!AZ34*SUMPRODUCT(Assumptions!$E$126:$E$127,Assumptions!$G$126:$G$127)+AN22</f>
        <v>28302</v>
      </c>
      <c r="BA22" s="205"/>
      <c r="BB22" s="206">
        <f t="shared" si="11"/>
        <v>0</v>
      </c>
      <c r="BC22" s="206">
        <f t="shared" si="12"/>
        <v>0</v>
      </c>
      <c r="BD22" s="206">
        <f>sum(AC22:AN22)</f>
        <v>47859</v>
      </c>
      <c r="BE22" s="206">
        <f>sum(AO22:AZ22)+BD22</f>
        <v>254718</v>
      </c>
      <c r="BF22" s="206">
        <f>(BE22*2)+BE22</f>
        <v>764154</v>
      </c>
      <c r="BG22" s="20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05"/>
    </row>
    <row r="24" ht="15.75" customHeight="1">
      <c r="A24" s="222"/>
      <c r="B24" s="135" t="s">
        <v>288</v>
      </c>
      <c r="C24" s="222"/>
      <c r="D24" s="222"/>
      <c r="E24" s="222"/>
      <c r="F24" s="222"/>
      <c r="G24" s="222"/>
      <c r="H24" s="222"/>
      <c r="I24" s="222"/>
      <c r="J24" s="222"/>
      <c r="K24" s="222"/>
      <c r="L24" s="222"/>
      <c r="M24" s="168">
        <f>M7+M12</f>
        <v>0</v>
      </c>
      <c r="N24" s="168">
        <f t="shared" ref="N24:AZ24" si="15">N9+N14+N17+N22</f>
        <v>0</v>
      </c>
      <c r="O24" s="168">
        <f t="shared" si="15"/>
        <v>0</v>
      </c>
      <c r="P24" s="168">
        <f t="shared" si="15"/>
        <v>0</v>
      </c>
      <c r="Q24" s="168">
        <f t="shared" si="15"/>
        <v>0</v>
      </c>
      <c r="R24" s="168">
        <f t="shared" si="15"/>
        <v>0</v>
      </c>
      <c r="S24" s="168">
        <f t="shared" si="15"/>
        <v>0</v>
      </c>
      <c r="T24" s="168">
        <f t="shared" si="15"/>
        <v>0</v>
      </c>
      <c r="U24" s="168">
        <f t="shared" si="15"/>
        <v>0</v>
      </c>
      <c r="V24" s="168">
        <f t="shared" si="15"/>
        <v>0</v>
      </c>
      <c r="W24" s="168">
        <f t="shared" si="15"/>
        <v>0</v>
      </c>
      <c r="X24" s="168">
        <f t="shared" si="15"/>
        <v>0</v>
      </c>
      <c r="Y24" s="168">
        <f t="shared" si="15"/>
        <v>0</v>
      </c>
      <c r="Z24" s="168">
        <f t="shared" si="15"/>
        <v>0</v>
      </c>
      <c r="AA24" s="168">
        <f t="shared" si="15"/>
        <v>0</v>
      </c>
      <c r="AB24" s="168">
        <f t="shared" si="15"/>
        <v>0</v>
      </c>
      <c r="AC24" s="168">
        <f t="shared" si="15"/>
        <v>773364.96</v>
      </c>
      <c r="AD24" s="168">
        <f t="shared" si="15"/>
        <v>858132.96</v>
      </c>
      <c r="AE24" s="168">
        <f t="shared" si="15"/>
        <v>942900.96</v>
      </c>
      <c r="AF24" s="168">
        <f t="shared" si="15"/>
        <v>1041867.48</v>
      </c>
      <c r="AG24" s="168">
        <f t="shared" si="15"/>
        <v>1140834</v>
      </c>
      <c r="AH24" s="168">
        <f t="shared" si="15"/>
        <v>1244392.32</v>
      </c>
      <c r="AI24" s="168">
        <f t="shared" si="15"/>
        <v>1366740.96</v>
      </c>
      <c r="AJ24" s="168">
        <f t="shared" si="15"/>
        <v>1503288.12</v>
      </c>
      <c r="AK24" s="168">
        <f t="shared" si="15"/>
        <v>1654033.8</v>
      </c>
      <c r="AL24" s="168">
        <f t="shared" si="15"/>
        <v>1828161.6</v>
      </c>
      <c r="AM24" s="168">
        <f t="shared" si="15"/>
        <v>2002289.4</v>
      </c>
      <c r="AN24" s="168">
        <f t="shared" si="15"/>
        <v>2209406.04</v>
      </c>
      <c r="AO24" s="168">
        <f t="shared" si="15"/>
        <v>2002872.336</v>
      </c>
      <c r="AP24" s="168">
        <f t="shared" si="15"/>
        <v>2206951.352</v>
      </c>
      <c r="AQ24" s="168">
        <f t="shared" si="15"/>
        <v>2426901.212</v>
      </c>
      <c r="AR24" s="168">
        <f t="shared" si="15"/>
        <v>2662753.716</v>
      </c>
      <c r="AS24" s="168">
        <f t="shared" si="15"/>
        <v>2934939.708</v>
      </c>
      <c r="AT24" s="168">
        <f t="shared" si="15"/>
        <v>3229715.588</v>
      </c>
      <c r="AU24" s="168">
        <f t="shared" si="15"/>
        <v>3560888.556</v>
      </c>
      <c r="AV24" s="168">
        <f t="shared" si="15"/>
        <v>3923835.012</v>
      </c>
      <c r="AW24" s="168">
        <f t="shared" si="15"/>
        <v>4323146.756</v>
      </c>
      <c r="AX24" s="168">
        <f t="shared" si="15"/>
        <v>4765574.632</v>
      </c>
      <c r="AY24" s="168">
        <f t="shared" si="15"/>
        <v>5244335.996</v>
      </c>
      <c r="AZ24" s="168">
        <f t="shared" si="15"/>
        <v>5786676.136</v>
      </c>
      <c r="BA24" s="205"/>
      <c r="BB24" s="168">
        <f t="shared" ref="BB24:BC24" si="16">SUM(BB7+BB12)</f>
        <v>0</v>
      </c>
      <c r="BC24" s="224">
        <f t="shared" si="16"/>
        <v>0</v>
      </c>
      <c r="BD24" s="224">
        <f>sum(AC24:AN24)</f>
        <v>16565412.6</v>
      </c>
      <c r="BE24" s="224">
        <f>sum(AO24:AZ24)</f>
        <v>43068591</v>
      </c>
      <c r="BF24" s="224">
        <f>BF17+BF14+BF9+BF22</f>
        <v>72764354</v>
      </c>
      <c r="BG24" s="172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87"/>
      <c r="BF25" s="187"/>
      <c r="BG25" s="105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05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225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05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05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05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05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225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05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156"/>
      <c r="BB32" s="27"/>
      <c r="BC32" s="27"/>
      <c r="BD32" s="27"/>
      <c r="BE32" s="27"/>
      <c r="BF32" s="27"/>
      <c r="BG32" s="34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156"/>
      <c r="BB33" s="27"/>
      <c r="BC33" s="27"/>
      <c r="BD33" s="27"/>
      <c r="BE33" s="27"/>
      <c r="BF33" s="27"/>
      <c r="BG33" s="34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156"/>
      <c r="BB34" s="27"/>
      <c r="BC34" s="27"/>
      <c r="BD34" s="27"/>
      <c r="BE34" s="27"/>
      <c r="BF34" s="27"/>
      <c r="BG34" s="34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156"/>
      <c r="BB35" s="27"/>
      <c r="BC35" s="27"/>
      <c r="BD35" s="27"/>
      <c r="BE35" s="27"/>
      <c r="BF35" s="27"/>
      <c r="BG35" s="34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156"/>
      <c r="BB36" s="27"/>
      <c r="BC36" s="27"/>
      <c r="BD36" s="27"/>
      <c r="BE36" s="27"/>
      <c r="BF36" s="27"/>
      <c r="BG36" s="34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156"/>
      <c r="BB37" s="27"/>
      <c r="BC37" s="27"/>
      <c r="BD37" s="27"/>
      <c r="BE37" s="27"/>
      <c r="BF37" s="27"/>
      <c r="BG37" s="34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156"/>
      <c r="BB38" s="27"/>
      <c r="BC38" s="27"/>
      <c r="BD38" s="27"/>
      <c r="BE38" s="27"/>
      <c r="BF38" s="27"/>
      <c r="BG38" s="34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156"/>
      <c r="BB39" s="27"/>
      <c r="BC39" s="27"/>
      <c r="BD39" s="27"/>
      <c r="BE39" s="27"/>
      <c r="BF39" s="27"/>
      <c r="BG39" s="34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156"/>
      <c r="BB40" s="27"/>
      <c r="BC40" s="27"/>
      <c r="BD40" s="27"/>
      <c r="BE40" s="27"/>
      <c r="BF40" s="27"/>
      <c r="BG40" s="34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156"/>
      <c r="BB41" s="27"/>
      <c r="BC41" s="27"/>
      <c r="BD41" s="27"/>
      <c r="BE41" s="27"/>
      <c r="BF41" s="27"/>
      <c r="BG41" s="34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156"/>
      <c r="BB42" s="27"/>
      <c r="BC42" s="27"/>
      <c r="BD42" s="27"/>
      <c r="BE42" s="27"/>
      <c r="BF42" s="27"/>
      <c r="BG42" s="34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156"/>
      <c r="BB43" s="27"/>
      <c r="BC43" s="27"/>
      <c r="BD43" s="27"/>
      <c r="BE43" s="27"/>
      <c r="BF43" s="27"/>
      <c r="BG43" s="34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156"/>
      <c r="BB44" s="27"/>
      <c r="BC44" s="27"/>
      <c r="BD44" s="27"/>
      <c r="BE44" s="27"/>
      <c r="BF44" s="27"/>
      <c r="BG44" s="34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156"/>
      <c r="BB45" s="27"/>
      <c r="BC45" s="27"/>
      <c r="BD45" s="27"/>
      <c r="BE45" s="27"/>
      <c r="BF45" s="27"/>
      <c r="BG45" s="34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156"/>
      <c r="BB46" s="27"/>
      <c r="BC46" s="27"/>
      <c r="BD46" s="27"/>
      <c r="BE46" s="27"/>
      <c r="BF46" s="27"/>
      <c r="BG46" s="34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156"/>
      <c r="BB47" s="27"/>
      <c r="BC47" s="27"/>
      <c r="BD47" s="27"/>
      <c r="BE47" s="27"/>
      <c r="BF47" s="27"/>
      <c r="BG47" s="34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156"/>
      <c r="BB48" s="27"/>
      <c r="BC48" s="27"/>
      <c r="BD48" s="27"/>
      <c r="BE48" s="27"/>
      <c r="BF48" s="27"/>
      <c r="BG48" s="34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156"/>
      <c r="BB49" s="27"/>
      <c r="BC49" s="27"/>
      <c r="BD49" s="27"/>
      <c r="BE49" s="27"/>
      <c r="BF49" s="27"/>
      <c r="BG49" s="34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156"/>
      <c r="BB50" s="27"/>
      <c r="BC50" s="27"/>
      <c r="BD50" s="27"/>
      <c r="BE50" s="27"/>
      <c r="BF50" s="27"/>
      <c r="BG50" s="34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156"/>
      <c r="BB51" s="27"/>
      <c r="BC51" s="27"/>
      <c r="BD51" s="27"/>
      <c r="BE51" s="27"/>
      <c r="BF51" s="27"/>
      <c r="BG51" s="34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156"/>
      <c r="BB52" s="27"/>
      <c r="BC52" s="27"/>
      <c r="BD52" s="27"/>
      <c r="BE52" s="27"/>
      <c r="BF52" s="27"/>
      <c r="BG52" s="34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156"/>
      <c r="BB53" s="27"/>
      <c r="BC53" s="27"/>
      <c r="BD53" s="27"/>
      <c r="BE53" s="27"/>
      <c r="BF53" s="27"/>
      <c r="BG53" s="34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156"/>
      <c r="BB54" s="27"/>
      <c r="BC54" s="27"/>
      <c r="BD54" s="27"/>
      <c r="BE54" s="27"/>
      <c r="BF54" s="27"/>
      <c r="BG54" s="34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156"/>
      <c r="BB55" s="27"/>
      <c r="BC55" s="27"/>
      <c r="BD55" s="27"/>
      <c r="BE55" s="27"/>
      <c r="BF55" s="27"/>
      <c r="BG55" s="34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156"/>
      <c r="BB56" s="27"/>
      <c r="BC56" s="27"/>
      <c r="BD56" s="27"/>
      <c r="BE56" s="27"/>
      <c r="BF56" s="27"/>
      <c r="BG56" s="34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156"/>
      <c r="BB57" s="27"/>
      <c r="BC57" s="27"/>
      <c r="BD57" s="27"/>
      <c r="BE57" s="27"/>
      <c r="BF57" s="27"/>
      <c r="BG57" s="34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156"/>
      <c r="BB58" s="27"/>
      <c r="BC58" s="27"/>
      <c r="BD58" s="27"/>
      <c r="BE58" s="27"/>
      <c r="BF58" s="27"/>
      <c r="BG58" s="34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156"/>
      <c r="BB59" s="27"/>
      <c r="BC59" s="27"/>
      <c r="BD59" s="27"/>
      <c r="BE59" s="27"/>
      <c r="BF59" s="27"/>
      <c r="BG59" s="34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156"/>
      <c r="BB60" s="27"/>
      <c r="BC60" s="27"/>
      <c r="BD60" s="27"/>
      <c r="BE60" s="27"/>
      <c r="BF60" s="27"/>
      <c r="BG60" s="34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156"/>
      <c r="BB61" s="27"/>
      <c r="BC61" s="27"/>
      <c r="BD61" s="27"/>
      <c r="BE61" s="27"/>
      <c r="BF61" s="27"/>
      <c r="BG61" s="34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156"/>
      <c r="BB62" s="27"/>
      <c r="BC62" s="27"/>
      <c r="BD62" s="27"/>
      <c r="BE62" s="27"/>
      <c r="BF62" s="27"/>
      <c r="BG62" s="34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156"/>
      <c r="BB63" s="27"/>
      <c r="BC63" s="27"/>
      <c r="BD63" s="27"/>
      <c r="BE63" s="27"/>
      <c r="BF63" s="27"/>
      <c r="BG63" s="34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156"/>
      <c r="BB64" s="27"/>
      <c r="BC64" s="27"/>
      <c r="BD64" s="27"/>
      <c r="BE64" s="27"/>
      <c r="BF64" s="27"/>
      <c r="BG64" s="34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156"/>
      <c r="BB65" s="27"/>
      <c r="BC65" s="27"/>
      <c r="BD65" s="27"/>
      <c r="BE65" s="27"/>
      <c r="BF65" s="27"/>
      <c r="BG65" s="34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156"/>
      <c r="BB66" s="27"/>
      <c r="BC66" s="27"/>
      <c r="BD66" s="27"/>
      <c r="BE66" s="27"/>
      <c r="BF66" s="27"/>
      <c r="BG66" s="34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156"/>
      <c r="BB67" s="27"/>
      <c r="BC67" s="27"/>
      <c r="BD67" s="27"/>
      <c r="BE67" s="27"/>
      <c r="BF67" s="27"/>
      <c r="BG67" s="34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156"/>
      <c r="BB68" s="27"/>
      <c r="BC68" s="27"/>
      <c r="BD68" s="27"/>
      <c r="BE68" s="27"/>
      <c r="BF68" s="27"/>
      <c r="BG68" s="34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156"/>
      <c r="BB69" s="27"/>
      <c r="BC69" s="27"/>
      <c r="BD69" s="27"/>
      <c r="BE69" s="27"/>
      <c r="BF69" s="27"/>
      <c r="BG69" s="34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156"/>
      <c r="BB70" s="27"/>
      <c r="BC70" s="27"/>
      <c r="BD70" s="27"/>
      <c r="BE70" s="27"/>
      <c r="BF70" s="27"/>
      <c r="BG70" s="34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156"/>
      <c r="BB71" s="27"/>
      <c r="BC71" s="27"/>
      <c r="BD71" s="27"/>
      <c r="BE71" s="27"/>
      <c r="BF71" s="27"/>
      <c r="BG71" s="34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156"/>
      <c r="BB72" s="27"/>
      <c r="BC72" s="27"/>
      <c r="BD72" s="27"/>
      <c r="BE72" s="27"/>
      <c r="BF72" s="27"/>
      <c r="BG72" s="34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156"/>
      <c r="BB73" s="27"/>
      <c r="BC73" s="27"/>
      <c r="BD73" s="27"/>
      <c r="BE73" s="27"/>
      <c r="BF73" s="27"/>
      <c r="BG73" s="34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156"/>
      <c r="BB74" s="27"/>
      <c r="BC74" s="27"/>
      <c r="BD74" s="27"/>
      <c r="BE74" s="27"/>
      <c r="BF74" s="27"/>
      <c r="BG74" s="34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156"/>
      <c r="BB75" s="27"/>
      <c r="BC75" s="27"/>
      <c r="BD75" s="27"/>
      <c r="BE75" s="27"/>
      <c r="BF75" s="27"/>
      <c r="BG75" s="34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156"/>
      <c r="BB76" s="27"/>
      <c r="BC76" s="27"/>
      <c r="BD76" s="27"/>
      <c r="BE76" s="27"/>
      <c r="BF76" s="27"/>
      <c r="BG76" s="34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156"/>
      <c r="BB77" s="27"/>
      <c r="BC77" s="27"/>
      <c r="BD77" s="27"/>
      <c r="BE77" s="27"/>
      <c r="BF77" s="27"/>
      <c r="BG77" s="34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156"/>
      <c r="BB78" s="27"/>
      <c r="BC78" s="27"/>
      <c r="BD78" s="27"/>
      <c r="BE78" s="27"/>
      <c r="BF78" s="27"/>
      <c r="BG78" s="34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156"/>
      <c r="BB79" s="27"/>
      <c r="BC79" s="27"/>
      <c r="BD79" s="27"/>
      <c r="BE79" s="27"/>
      <c r="BF79" s="27"/>
      <c r="BG79" s="34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156"/>
      <c r="BB80" s="27"/>
      <c r="BC80" s="27"/>
      <c r="BD80" s="27"/>
      <c r="BE80" s="27"/>
      <c r="BF80" s="27"/>
      <c r="BG80" s="34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156"/>
      <c r="BB81" s="27"/>
      <c r="BC81" s="27"/>
      <c r="BD81" s="27"/>
      <c r="BE81" s="27"/>
      <c r="BF81" s="27"/>
      <c r="BG81" s="34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156"/>
      <c r="BB82" s="27"/>
      <c r="BC82" s="27"/>
      <c r="BD82" s="27"/>
      <c r="BE82" s="27"/>
      <c r="BF82" s="27"/>
      <c r="BG82" s="34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156"/>
      <c r="BB83" s="27"/>
      <c r="BC83" s="27"/>
      <c r="BD83" s="27"/>
      <c r="BE83" s="27"/>
      <c r="BF83" s="27"/>
      <c r="BG83" s="34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156"/>
      <c r="BB84" s="27"/>
      <c r="BC84" s="27"/>
      <c r="BD84" s="27"/>
      <c r="BE84" s="27"/>
      <c r="BF84" s="27"/>
      <c r="BG84" s="34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156"/>
      <c r="BB85" s="27"/>
      <c r="BC85" s="27"/>
      <c r="BD85" s="27"/>
      <c r="BE85" s="27"/>
      <c r="BF85" s="27"/>
      <c r="BG85" s="34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156"/>
      <c r="BB86" s="27"/>
      <c r="BC86" s="27"/>
      <c r="BD86" s="27"/>
      <c r="BE86" s="27"/>
      <c r="BF86" s="27"/>
      <c r="BG86" s="34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156"/>
      <c r="BB87" s="27"/>
      <c r="BC87" s="27"/>
      <c r="BD87" s="27"/>
      <c r="BE87" s="27"/>
      <c r="BF87" s="27"/>
      <c r="BG87" s="34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156"/>
      <c r="BB88" s="27"/>
      <c r="BC88" s="27"/>
      <c r="BD88" s="27"/>
      <c r="BE88" s="27"/>
      <c r="BF88" s="27"/>
      <c r="BG88" s="34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156"/>
      <c r="BB89" s="27"/>
      <c r="BC89" s="27"/>
      <c r="BD89" s="27"/>
      <c r="BE89" s="27"/>
      <c r="BF89" s="27"/>
      <c r="BG89" s="34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156"/>
      <c r="BB90" s="27"/>
      <c r="BC90" s="27"/>
      <c r="BD90" s="27"/>
      <c r="BE90" s="27"/>
      <c r="BF90" s="27"/>
      <c r="BG90" s="34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156"/>
      <c r="BB91" s="27"/>
      <c r="BC91" s="27"/>
      <c r="BD91" s="27"/>
      <c r="BE91" s="27"/>
      <c r="BF91" s="27"/>
      <c r="BG91" s="34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156"/>
      <c r="BB92" s="27"/>
      <c r="BC92" s="27"/>
      <c r="BD92" s="27"/>
      <c r="BE92" s="27"/>
      <c r="BF92" s="27"/>
      <c r="BG92" s="34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156"/>
      <c r="BB93" s="27"/>
      <c r="BC93" s="27"/>
      <c r="BD93" s="27"/>
      <c r="BE93" s="27"/>
      <c r="BF93" s="27"/>
      <c r="BG93" s="34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156"/>
      <c r="BB94" s="27"/>
      <c r="BC94" s="27"/>
      <c r="BD94" s="27"/>
      <c r="BE94" s="27"/>
      <c r="BF94" s="27"/>
      <c r="BG94" s="34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156"/>
      <c r="BB95" s="27"/>
      <c r="BC95" s="27"/>
      <c r="BD95" s="27"/>
      <c r="BE95" s="27"/>
      <c r="BF95" s="27"/>
      <c r="BG95" s="34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156"/>
      <c r="BB96" s="27"/>
      <c r="BC96" s="27"/>
      <c r="BD96" s="27"/>
      <c r="BE96" s="27"/>
      <c r="BF96" s="27"/>
      <c r="BG96" s="34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156"/>
      <c r="BB97" s="27"/>
      <c r="BC97" s="27"/>
      <c r="BD97" s="27"/>
      <c r="BE97" s="27"/>
      <c r="BF97" s="27"/>
      <c r="BG97" s="34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156"/>
      <c r="BB98" s="27"/>
      <c r="BC98" s="27"/>
      <c r="BD98" s="27"/>
      <c r="BE98" s="27"/>
      <c r="BF98" s="27"/>
      <c r="BG98" s="34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156"/>
      <c r="BB99" s="27"/>
      <c r="BC99" s="27"/>
      <c r="BD99" s="27"/>
      <c r="BE99" s="27"/>
      <c r="BF99" s="27"/>
      <c r="BG99" s="34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156"/>
      <c r="BB100" s="27"/>
      <c r="BC100" s="27"/>
      <c r="BD100" s="27"/>
      <c r="BE100" s="27"/>
      <c r="BF100" s="27"/>
      <c r="BG100" s="34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156"/>
      <c r="BB101" s="27"/>
      <c r="BC101" s="27"/>
      <c r="BD101" s="27"/>
      <c r="BE101" s="27"/>
      <c r="BF101" s="27"/>
      <c r="BG101" s="34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156"/>
      <c r="BB102" s="27"/>
      <c r="BC102" s="27"/>
      <c r="BD102" s="27"/>
      <c r="BE102" s="27"/>
      <c r="BF102" s="27"/>
      <c r="BG102" s="34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156"/>
      <c r="BB103" s="27"/>
      <c r="BC103" s="27"/>
      <c r="BD103" s="27"/>
      <c r="BE103" s="27"/>
      <c r="BF103" s="27"/>
      <c r="BG103" s="34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156"/>
      <c r="BB104" s="27"/>
      <c r="BC104" s="27"/>
      <c r="BD104" s="27"/>
      <c r="BE104" s="27"/>
      <c r="BF104" s="27"/>
      <c r="BG104" s="34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156"/>
      <c r="BB105" s="27"/>
      <c r="BC105" s="27"/>
      <c r="BD105" s="27"/>
      <c r="BE105" s="27"/>
      <c r="BF105" s="27"/>
      <c r="BG105" s="34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156"/>
      <c r="BB106" s="27"/>
      <c r="BC106" s="27"/>
      <c r="BD106" s="27"/>
      <c r="BE106" s="27"/>
      <c r="BF106" s="27"/>
      <c r="BG106" s="34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156"/>
      <c r="BB107" s="27"/>
      <c r="BC107" s="27"/>
      <c r="BD107" s="27"/>
      <c r="BE107" s="27"/>
      <c r="BF107" s="27"/>
      <c r="BG107" s="34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156"/>
      <c r="BB108" s="27"/>
      <c r="BC108" s="27"/>
      <c r="BD108" s="27"/>
      <c r="BE108" s="27"/>
      <c r="BF108" s="27"/>
      <c r="BG108" s="34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156"/>
      <c r="BB109" s="27"/>
      <c r="BC109" s="27"/>
      <c r="BD109" s="27"/>
      <c r="BE109" s="27"/>
      <c r="BF109" s="27"/>
      <c r="BG109" s="34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156"/>
      <c r="BB110" s="27"/>
      <c r="BC110" s="27"/>
      <c r="BD110" s="27"/>
      <c r="BE110" s="27"/>
      <c r="BF110" s="27"/>
      <c r="BG110" s="34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156"/>
      <c r="BB111" s="27"/>
      <c r="BC111" s="27"/>
      <c r="BD111" s="27"/>
      <c r="BE111" s="27"/>
      <c r="BF111" s="27"/>
      <c r="BG111" s="34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156"/>
      <c r="BB112" s="27"/>
      <c r="BC112" s="27"/>
      <c r="BD112" s="27"/>
      <c r="BE112" s="27"/>
      <c r="BF112" s="27"/>
      <c r="BG112" s="34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156"/>
      <c r="BB113" s="27"/>
      <c r="BC113" s="27"/>
      <c r="BD113" s="27"/>
      <c r="BE113" s="27"/>
      <c r="BF113" s="27"/>
      <c r="BG113" s="34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156"/>
      <c r="BB114" s="27"/>
      <c r="BC114" s="27"/>
      <c r="BD114" s="27"/>
      <c r="BE114" s="27"/>
      <c r="BF114" s="27"/>
      <c r="BG114" s="34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156"/>
      <c r="BB115" s="27"/>
      <c r="BC115" s="27"/>
      <c r="BD115" s="27"/>
      <c r="BE115" s="27"/>
      <c r="BF115" s="27"/>
      <c r="BG115" s="34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156"/>
      <c r="BB116" s="27"/>
      <c r="BC116" s="27"/>
      <c r="BD116" s="27"/>
      <c r="BE116" s="27"/>
      <c r="BF116" s="27"/>
      <c r="BG116" s="34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156"/>
      <c r="BB117" s="27"/>
      <c r="BC117" s="27"/>
      <c r="BD117" s="27"/>
      <c r="BE117" s="27"/>
      <c r="BF117" s="27"/>
      <c r="BG117" s="34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156"/>
      <c r="BB118" s="27"/>
      <c r="BC118" s="27"/>
      <c r="BD118" s="27"/>
      <c r="BE118" s="27"/>
      <c r="BF118" s="27"/>
      <c r="BG118" s="34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156"/>
      <c r="BB119" s="27"/>
      <c r="BC119" s="27"/>
      <c r="BD119" s="27"/>
      <c r="BE119" s="27"/>
      <c r="BF119" s="27"/>
      <c r="BG119" s="34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156"/>
      <c r="BB120" s="27"/>
      <c r="BC120" s="27"/>
      <c r="BD120" s="27"/>
      <c r="BE120" s="27"/>
      <c r="BF120" s="27"/>
      <c r="BG120" s="34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156"/>
      <c r="BB121" s="27"/>
      <c r="BC121" s="27"/>
      <c r="BD121" s="27"/>
      <c r="BE121" s="27"/>
      <c r="BF121" s="27"/>
      <c r="BG121" s="34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156"/>
      <c r="BB122" s="27"/>
      <c r="BC122" s="27"/>
      <c r="BD122" s="27"/>
      <c r="BE122" s="27"/>
      <c r="BF122" s="27"/>
      <c r="BG122" s="34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156"/>
      <c r="BB123" s="27"/>
      <c r="BC123" s="27"/>
      <c r="BD123" s="27"/>
      <c r="BE123" s="27"/>
      <c r="BF123" s="27"/>
      <c r="BG123" s="34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156"/>
      <c r="BB124" s="27"/>
      <c r="BC124" s="27"/>
      <c r="BD124" s="27"/>
      <c r="BE124" s="27"/>
      <c r="BF124" s="27"/>
      <c r="BG124" s="34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156"/>
      <c r="BB125" s="27"/>
      <c r="BC125" s="27"/>
      <c r="BD125" s="27"/>
      <c r="BE125" s="27"/>
      <c r="BF125" s="27"/>
      <c r="BG125" s="34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156"/>
      <c r="BB126" s="27"/>
      <c r="BC126" s="27"/>
      <c r="BD126" s="27"/>
      <c r="BE126" s="27"/>
      <c r="BF126" s="27"/>
      <c r="BG126" s="34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156"/>
      <c r="BB127" s="27"/>
      <c r="BC127" s="27"/>
      <c r="BD127" s="27"/>
      <c r="BE127" s="27"/>
      <c r="BF127" s="27"/>
      <c r="BG127" s="34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156"/>
      <c r="BB128" s="27"/>
      <c r="BC128" s="27"/>
      <c r="BD128" s="27"/>
      <c r="BE128" s="27"/>
      <c r="BF128" s="27"/>
      <c r="BG128" s="34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156"/>
      <c r="BB129" s="27"/>
      <c r="BC129" s="27"/>
      <c r="BD129" s="27"/>
      <c r="BE129" s="27"/>
      <c r="BF129" s="27"/>
      <c r="BG129" s="34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156"/>
      <c r="BB130" s="27"/>
      <c r="BC130" s="27"/>
      <c r="BD130" s="27"/>
      <c r="BE130" s="27"/>
      <c r="BF130" s="27"/>
      <c r="BG130" s="34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156"/>
      <c r="BB131" s="27"/>
      <c r="BC131" s="27"/>
      <c r="BD131" s="27"/>
      <c r="BE131" s="27"/>
      <c r="BF131" s="27"/>
      <c r="BG131" s="34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156"/>
      <c r="BB132" s="27"/>
      <c r="BC132" s="27"/>
      <c r="BD132" s="27"/>
      <c r="BE132" s="27"/>
      <c r="BF132" s="27"/>
      <c r="BG132" s="34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156"/>
      <c r="BB133" s="27"/>
      <c r="BC133" s="27"/>
      <c r="BD133" s="27"/>
      <c r="BE133" s="27"/>
      <c r="BF133" s="27"/>
      <c r="BG133" s="34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156"/>
      <c r="BB134" s="27"/>
      <c r="BC134" s="27"/>
      <c r="BD134" s="27"/>
      <c r="BE134" s="27"/>
      <c r="BF134" s="27"/>
      <c r="BG134" s="34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156"/>
      <c r="BB135" s="27"/>
      <c r="BC135" s="27"/>
      <c r="BD135" s="27"/>
      <c r="BE135" s="27"/>
      <c r="BF135" s="27"/>
      <c r="BG135" s="34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156"/>
      <c r="BB136" s="27"/>
      <c r="BC136" s="27"/>
      <c r="BD136" s="27"/>
      <c r="BE136" s="27"/>
      <c r="BF136" s="27"/>
      <c r="BG136" s="34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156"/>
      <c r="BB137" s="27"/>
      <c r="BC137" s="27"/>
      <c r="BD137" s="27"/>
      <c r="BE137" s="27"/>
      <c r="BF137" s="27"/>
      <c r="BG137" s="34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156"/>
      <c r="BB138" s="27"/>
      <c r="BC138" s="27"/>
      <c r="BD138" s="27"/>
      <c r="BE138" s="27"/>
      <c r="BF138" s="27"/>
      <c r="BG138" s="34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156"/>
      <c r="BB139" s="27"/>
      <c r="BC139" s="27"/>
      <c r="BD139" s="27"/>
      <c r="BE139" s="27"/>
      <c r="BF139" s="27"/>
      <c r="BG139" s="34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156"/>
      <c r="BB140" s="27"/>
      <c r="BC140" s="27"/>
      <c r="BD140" s="27"/>
      <c r="BE140" s="27"/>
      <c r="BF140" s="27"/>
      <c r="BG140" s="34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156"/>
      <c r="BB141" s="27"/>
      <c r="BC141" s="27"/>
      <c r="BD141" s="27"/>
      <c r="BE141" s="27"/>
      <c r="BF141" s="27"/>
      <c r="BG141" s="34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156"/>
      <c r="BB142" s="27"/>
      <c r="BC142" s="27"/>
      <c r="BD142" s="27"/>
      <c r="BE142" s="27"/>
      <c r="BF142" s="27"/>
      <c r="BG142" s="34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156"/>
      <c r="BB143" s="27"/>
      <c r="BC143" s="27"/>
      <c r="BD143" s="27"/>
      <c r="BE143" s="27"/>
      <c r="BF143" s="27"/>
      <c r="BG143" s="34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156"/>
      <c r="BB144" s="27"/>
      <c r="BC144" s="27"/>
      <c r="BD144" s="27"/>
      <c r="BE144" s="27"/>
      <c r="BF144" s="27"/>
      <c r="BG144" s="34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156"/>
      <c r="BB145" s="27"/>
      <c r="BC145" s="27"/>
      <c r="BD145" s="27"/>
      <c r="BE145" s="27"/>
      <c r="BF145" s="27"/>
      <c r="BG145" s="34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156"/>
      <c r="BB146" s="27"/>
      <c r="BC146" s="27"/>
      <c r="BD146" s="27"/>
      <c r="BE146" s="27"/>
      <c r="BF146" s="27"/>
      <c r="BG146" s="34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156"/>
      <c r="BB147" s="27"/>
      <c r="BC147" s="27"/>
      <c r="BD147" s="27"/>
      <c r="BE147" s="27"/>
      <c r="BF147" s="27"/>
      <c r="BG147" s="34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156"/>
      <c r="BB148" s="27"/>
      <c r="BC148" s="27"/>
      <c r="BD148" s="27"/>
      <c r="BE148" s="27"/>
      <c r="BF148" s="27"/>
      <c r="BG148" s="34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156"/>
      <c r="BB149" s="27"/>
      <c r="BC149" s="27"/>
      <c r="BD149" s="27"/>
      <c r="BE149" s="27"/>
      <c r="BF149" s="27"/>
      <c r="BG149" s="34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156"/>
      <c r="BB150" s="27"/>
      <c r="BC150" s="27"/>
      <c r="BD150" s="27"/>
      <c r="BE150" s="27"/>
      <c r="BF150" s="27"/>
      <c r="BG150" s="34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156"/>
      <c r="BB151" s="27"/>
      <c r="BC151" s="27"/>
      <c r="BD151" s="27"/>
      <c r="BE151" s="27"/>
      <c r="BF151" s="27"/>
      <c r="BG151" s="34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156"/>
      <c r="BB152" s="27"/>
      <c r="BC152" s="27"/>
      <c r="BD152" s="27"/>
      <c r="BE152" s="27"/>
      <c r="BF152" s="27"/>
      <c r="BG152" s="34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156"/>
      <c r="BB153" s="27"/>
      <c r="BC153" s="27"/>
      <c r="BD153" s="27"/>
      <c r="BE153" s="27"/>
      <c r="BF153" s="27"/>
      <c r="BG153" s="34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156"/>
      <c r="BB154" s="27"/>
      <c r="BC154" s="27"/>
      <c r="BD154" s="27"/>
      <c r="BE154" s="27"/>
      <c r="BF154" s="27"/>
      <c r="BG154" s="34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156"/>
      <c r="BB155" s="27"/>
      <c r="BC155" s="27"/>
      <c r="BD155" s="27"/>
      <c r="BE155" s="27"/>
      <c r="BF155" s="27"/>
      <c r="BG155" s="34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156"/>
      <c r="BB156" s="27"/>
      <c r="BC156" s="27"/>
      <c r="BD156" s="27"/>
      <c r="BE156" s="27"/>
      <c r="BF156" s="27"/>
      <c r="BG156" s="34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156"/>
      <c r="BB157" s="27"/>
      <c r="BC157" s="27"/>
      <c r="BD157" s="27"/>
      <c r="BE157" s="27"/>
      <c r="BF157" s="27"/>
      <c r="BG157" s="34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156"/>
      <c r="BB158" s="27"/>
      <c r="BC158" s="27"/>
      <c r="BD158" s="27"/>
      <c r="BE158" s="27"/>
      <c r="BF158" s="27"/>
      <c r="BG158" s="34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156"/>
      <c r="BB159" s="27"/>
      <c r="BC159" s="27"/>
      <c r="BD159" s="27"/>
      <c r="BE159" s="27"/>
      <c r="BF159" s="27"/>
      <c r="BG159" s="34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156"/>
      <c r="BB160" s="27"/>
      <c r="BC160" s="27"/>
      <c r="BD160" s="27"/>
      <c r="BE160" s="27"/>
      <c r="BF160" s="27"/>
      <c r="BG160" s="34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156"/>
      <c r="BB161" s="27"/>
      <c r="BC161" s="27"/>
      <c r="BD161" s="27"/>
      <c r="BE161" s="27"/>
      <c r="BF161" s="27"/>
      <c r="BG161" s="34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156"/>
      <c r="BB162" s="27"/>
      <c r="BC162" s="27"/>
      <c r="BD162" s="27"/>
      <c r="BE162" s="27"/>
      <c r="BF162" s="27"/>
      <c r="BG162" s="34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156"/>
      <c r="BB163" s="27"/>
      <c r="BC163" s="27"/>
      <c r="BD163" s="27"/>
      <c r="BE163" s="27"/>
      <c r="BF163" s="27"/>
      <c r="BG163" s="34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156"/>
      <c r="BB164" s="27"/>
      <c r="BC164" s="27"/>
      <c r="BD164" s="27"/>
      <c r="BE164" s="27"/>
      <c r="BF164" s="27"/>
      <c r="BG164" s="34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156"/>
      <c r="BB165" s="27"/>
      <c r="BC165" s="27"/>
      <c r="BD165" s="27"/>
      <c r="BE165" s="27"/>
      <c r="BF165" s="27"/>
      <c r="BG165" s="34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156"/>
      <c r="BB166" s="27"/>
      <c r="BC166" s="27"/>
      <c r="BD166" s="27"/>
      <c r="BE166" s="27"/>
      <c r="BF166" s="27"/>
      <c r="BG166" s="34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156"/>
      <c r="BB167" s="27"/>
      <c r="BC167" s="27"/>
      <c r="BD167" s="27"/>
      <c r="BE167" s="27"/>
      <c r="BF167" s="27"/>
      <c r="BG167" s="34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156"/>
      <c r="BB168" s="27"/>
      <c r="BC168" s="27"/>
      <c r="BD168" s="27"/>
      <c r="BE168" s="27"/>
      <c r="BF168" s="27"/>
      <c r="BG168" s="34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156"/>
      <c r="BB169" s="27"/>
      <c r="BC169" s="27"/>
      <c r="BD169" s="27"/>
      <c r="BE169" s="27"/>
      <c r="BF169" s="27"/>
      <c r="BG169" s="34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156"/>
      <c r="BB170" s="27"/>
      <c r="BC170" s="27"/>
      <c r="BD170" s="27"/>
      <c r="BE170" s="27"/>
      <c r="BF170" s="27"/>
      <c r="BG170" s="34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156"/>
      <c r="BB171" s="27"/>
      <c r="BC171" s="27"/>
      <c r="BD171" s="27"/>
      <c r="BE171" s="27"/>
      <c r="BF171" s="27"/>
      <c r="BG171" s="34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156"/>
      <c r="BB172" s="27"/>
      <c r="BC172" s="27"/>
      <c r="BD172" s="27"/>
      <c r="BE172" s="27"/>
      <c r="BF172" s="27"/>
      <c r="BG172" s="34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156"/>
      <c r="BB173" s="27"/>
      <c r="BC173" s="27"/>
      <c r="BD173" s="27"/>
      <c r="BE173" s="27"/>
      <c r="BF173" s="27"/>
      <c r="BG173" s="34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156"/>
      <c r="BB174" s="27"/>
      <c r="BC174" s="27"/>
      <c r="BD174" s="27"/>
      <c r="BE174" s="27"/>
      <c r="BF174" s="27"/>
      <c r="BG174" s="34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156"/>
      <c r="BB175" s="27"/>
      <c r="BC175" s="27"/>
      <c r="BD175" s="27"/>
      <c r="BE175" s="27"/>
      <c r="BF175" s="27"/>
      <c r="BG175" s="34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156"/>
      <c r="BB176" s="27"/>
      <c r="BC176" s="27"/>
      <c r="BD176" s="27"/>
      <c r="BE176" s="27"/>
      <c r="BF176" s="27"/>
      <c r="BG176" s="34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156"/>
      <c r="BB177" s="27"/>
      <c r="BC177" s="27"/>
      <c r="BD177" s="27"/>
      <c r="BE177" s="27"/>
      <c r="BF177" s="27"/>
      <c r="BG177" s="34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156"/>
      <c r="BB178" s="27"/>
      <c r="BC178" s="27"/>
      <c r="BD178" s="27"/>
      <c r="BE178" s="27"/>
      <c r="BF178" s="27"/>
      <c r="BG178" s="34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156"/>
      <c r="BB179" s="27"/>
      <c r="BC179" s="27"/>
      <c r="BD179" s="27"/>
      <c r="BE179" s="27"/>
      <c r="BF179" s="27"/>
      <c r="BG179" s="34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156"/>
      <c r="BB180" s="27"/>
      <c r="BC180" s="27"/>
      <c r="BD180" s="27"/>
      <c r="BE180" s="27"/>
      <c r="BF180" s="27"/>
      <c r="BG180" s="34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156"/>
      <c r="BB181" s="27"/>
      <c r="BC181" s="27"/>
      <c r="BD181" s="27"/>
      <c r="BE181" s="27"/>
      <c r="BF181" s="27"/>
      <c r="BG181" s="34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156"/>
      <c r="BB182" s="27"/>
      <c r="BC182" s="27"/>
      <c r="BD182" s="27"/>
      <c r="BE182" s="27"/>
      <c r="BF182" s="27"/>
      <c r="BG182" s="34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156"/>
      <c r="BB183" s="27"/>
      <c r="BC183" s="27"/>
      <c r="BD183" s="27"/>
      <c r="BE183" s="27"/>
      <c r="BF183" s="27"/>
      <c r="BG183" s="34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156"/>
      <c r="BB184" s="27"/>
      <c r="BC184" s="27"/>
      <c r="BD184" s="27"/>
      <c r="BE184" s="27"/>
      <c r="BF184" s="27"/>
      <c r="BG184" s="34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156"/>
      <c r="BB185" s="27"/>
      <c r="BC185" s="27"/>
      <c r="BD185" s="27"/>
      <c r="BE185" s="27"/>
      <c r="BF185" s="27"/>
      <c r="BG185" s="34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156"/>
      <c r="BB186" s="27"/>
      <c r="BC186" s="27"/>
      <c r="BD186" s="27"/>
      <c r="BE186" s="27"/>
      <c r="BF186" s="27"/>
      <c r="BG186" s="34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156"/>
      <c r="BB187" s="27"/>
      <c r="BC187" s="27"/>
      <c r="BD187" s="27"/>
      <c r="BE187" s="27"/>
      <c r="BF187" s="27"/>
      <c r="BG187" s="34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156"/>
      <c r="BB188" s="27"/>
      <c r="BC188" s="27"/>
      <c r="BD188" s="27"/>
      <c r="BE188" s="27"/>
      <c r="BF188" s="27"/>
      <c r="BG188" s="34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156"/>
      <c r="BB189" s="27"/>
      <c r="BC189" s="27"/>
      <c r="BD189" s="27"/>
      <c r="BE189" s="27"/>
      <c r="BF189" s="27"/>
      <c r="BG189" s="34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156"/>
      <c r="BB190" s="27"/>
      <c r="BC190" s="27"/>
      <c r="BD190" s="27"/>
      <c r="BE190" s="27"/>
      <c r="BF190" s="27"/>
      <c r="BG190" s="34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156"/>
      <c r="BB191" s="27"/>
      <c r="BC191" s="27"/>
      <c r="BD191" s="27"/>
      <c r="BE191" s="27"/>
      <c r="BF191" s="27"/>
      <c r="BG191" s="34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156"/>
      <c r="BB192" s="27"/>
      <c r="BC192" s="27"/>
      <c r="BD192" s="27"/>
      <c r="BE192" s="27"/>
      <c r="BF192" s="27"/>
      <c r="BG192" s="34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156"/>
      <c r="BB193" s="27"/>
      <c r="BC193" s="27"/>
      <c r="BD193" s="27"/>
      <c r="BE193" s="27"/>
      <c r="BF193" s="27"/>
      <c r="BG193" s="34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156"/>
      <c r="BB194" s="27"/>
      <c r="BC194" s="27"/>
      <c r="BD194" s="27"/>
      <c r="BE194" s="27"/>
      <c r="BF194" s="27"/>
      <c r="BG194" s="34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156"/>
      <c r="BB195" s="27"/>
      <c r="BC195" s="27"/>
      <c r="BD195" s="27"/>
      <c r="BE195" s="27"/>
      <c r="BF195" s="27"/>
      <c r="BG195" s="34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156"/>
      <c r="BB196" s="27"/>
      <c r="BC196" s="27"/>
      <c r="BD196" s="27"/>
      <c r="BE196" s="27"/>
      <c r="BF196" s="27"/>
      <c r="BG196" s="34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156"/>
      <c r="BB197" s="27"/>
      <c r="BC197" s="27"/>
      <c r="BD197" s="27"/>
      <c r="BE197" s="27"/>
      <c r="BF197" s="27"/>
      <c r="BG197" s="34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156"/>
      <c r="BB198" s="27"/>
      <c r="BC198" s="27"/>
      <c r="BD198" s="27"/>
      <c r="BE198" s="27"/>
      <c r="BF198" s="27"/>
      <c r="BG198" s="34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156"/>
      <c r="BB199" s="27"/>
      <c r="BC199" s="27"/>
      <c r="BD199" s="27"/>
      <c r="BE199" s="27"/>
      <c r="BF199" s="27"/>
      <c r="BG199" s="34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156"/>
      <c r="BB200" s="27"/>
      <c r="BC200" s="27"/>
      <c r="BD200" s="27"/>
      <c r="BE200" s="27"/>
      <c r="BF200" s="27"/>
      <c r="BG200" s="34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156"/>
      <c r="BB201" s="27"/>
      <c r="BC201" s="27"/>
      <c r="BD201" s="27"/>
      <c r="BE201" s="27"/>
      <c r="BF201" s="27"/>
      <c r="BG201" s="34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156"/>
      <c r="BB202" s="27"/>
      <c r="BC202" s="27"/>
      <c r="BD202" s="27"/>
      <c r="BE202" s="27"/>
      <c r="BF202" s="27"/>
      <c r="BG202" s="34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156"/>
      <c r="BB203" s="27"/>
      <c r="BC203" s="27"/>
      <c r="BD203" s="27"/>
      <c r="BE203" s="27"/>
      <c r="BF203" s="27"/>
      <c r="BG203" s="34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156"/>
      <c r="BB204" s="27"/>
      <c r="BC204" s="27"/>
      <c r="BD204" s="27"/>
      <c r="BE204" s="27"/>
      <c r="BF204" s="27"/>
      <c r="BG204" s="34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156"/>
      <c r="BB205" s="27"/>
      <c r="BC205" s="27"/>
      <c r="BD205" s="27"/>
      <c r="BE205" s="27"/>
      <c r="BF205" s="27"/>
      <c r="BG205" s="34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156"/>
      <c r="BB206" s="27"/>
      <c r="BC206" s="27"/>
      <c r="BD206" s="27"/>
      <c r="BE206" s="27"/>
      <c r="BF206" s="27"/>
      <c r="BG206" s="34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156"/>
      <c r="BB207" s="27"/>
      <c r="BC207" s="27"/>
      <c r="BD207" s="27"/>
      <c r="BE207" s="27"/>
      <c r="BF207" s="27"/>
      <c r="BG207" s="34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156"/>
      <c r="BB208" s="27"/>
      <c r="BC208" s="27"/>
      <c r="BD208" s="27"/>
      <c r="BE208" s="27"/>
      <c r="BF208" s="27"/>
      <c r="BG208" s="34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156"/>
      <c r="BB209" s="27"/>
      <c r="BC209" s="27"/>
      <c r="BD209" s="27"/>
      <c r="BE209" s="27"/>
      <c r="BF209" s="27"/>
      <c r="BG209" s="34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156"/>
      <c r="BB210" s="27"/>
      <c r="BC210" s="27"/>
      <c r="BD210" s="27"/>
      <c r="BE210" s="27"/>
      <c r="BF210" s="27"/>
      <c r="BG210" s="34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156"/>
      <c r="BB211" s="27"/>
      <c r="BC211" s="27"/>
      <c r="BD211" s="27"/>
      <c r="BE211" s="27"/>
      <c r="BF211" s="27"/>
      <c r="BG211" s="34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156"/>
      <c r="BB212" s="27"/>
      <c r="BC212" s="27"/>
      <c r="BD212" s="27"/>
      <c r="BE212" s="27"/>
      <c r="BF212" s="27"/>
      <c r="BG212" s="34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156"/>
      <c r="BB213" s="27"/>
      <c r="BC213" s="27"/>
      <c r="BD213" s="27"/>
      <c r="BE213" s="27"/>
      <c r="BF213" s="27"/>
      <c r="BG213" s="34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156"/>
      <c r="BB214" s="27"/>
      <c r="BC214" s="27"/>
      <c r="BD214" s="27"/>
      <c r="BE214" s="27"/>
      <c r="BF214" s="27"/>
      <c r="BG214" s="34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156"/>
      <c r="BB215" s="27"/>
      <c r="BC215" s="27"/>
      <c r="BD215" s="27"/>
      <c r="BE215" s="27"/>
      <c r="BF215" s="27"/>
      <c r="BG215" s="34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156"/>
      <c r="BB216" s="27"/>
      <c r="BC216" s="27"/>
      <c r="BD216" s="27"/>
      <c r="BE216" s="27"/>
      <c r="BF216" s="27"/>
      <c r="BG216" s="34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156"/>
      <c r="BB217" s="27"/>
      <c r="BC217" s="27"/>
      <c r="BD217" s="27"/>
      <c r="BE217" s="27"/>
      <c r="BF217" s="27"/>
      <c r="BG217" s="34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156"/>
      <c r="BB218" s="27"/>
      <c r="BC218" s="27"/>
      <c r="BD218" s="27"/>
      <c r="BE218" s="27"/>
      <c r="BF218" s="27"/>
      <c r="BG218" s="34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156"/>
      <c r="BB219" s="27"/>
      <c r="BC219" s="27"/>
      <c r="BD219" s="27"/>
      <c r="BE219" s="27"/>
      <c r="BF219" s="27"/>
      <c r="BG219" s="34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156"/>
      <c r="BB220" s="27"/>
      <c r="BC220" s="27"/>
      <c r="BD220" s="27"/>
      <c r="BE220" s="27"/>
      <c r="BF220" s="27"/>
      <c r="BG220" s="34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156"/>
      <c r="BB221" s="27"/>
      <c r="BC221" s="27"/>
      <c r="BD221" s="27"/>
      <c r="BE221" s="27"/>
      <c r="BF221" s="27"/>
      <c r="BG221" s="34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156"/>
      <c r="BB222" s="27"/>
      <c r="BC222" s="27"/>
      <c r="BD222" s="27"/>
      <c r="BE222" s="27"/>
      <c r="BF222" s="27"/>
      <c r="BG222" s="34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156"/>
      <c r="BB223" s="27"/>
      <c r="BC223" s="27"/>
      <c r="BD223" s="27"/>
      <c r="BE223" s="27"/>
      <c r="BF223" s="27"/>
      <c r="BG223" s="34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156"/>
      <c r="BB224" s="27"/>
      <c r="BC224" s="27"/>
      <c r="BD224" s="27"/>
      <c r="BE224" s="27"/>
      <c r="BF224" s="27"/>
      <c r="BG224" s="34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4.43" defaultRowHeight="15.0" outlineLevelCol="1"/>
  <cols>
    <col customWidth="1" min="1" max="1" width="2.0"/>
    <col customWidth="1" min="2" max="2" width="42.86"/>
    <col customWidth="1" min="3" max="3" width="12.0"/>
    <col customWidth="1" min="4" max="4" width="5.0"/>
    <col customWidth="1" hidden="1" min="5" max="17" width="9.0" outlineLevel="1"/>
    <col customWidth="1" hidden="1" min="18" max="18" width="9.86" outlineLevel="1"/>
    <col customWidth="1" min="19" max="19" width="9.71"/>
    <col customWidth="1" min="20" max="20" width="9.57"/>
    <col customWidth="1" min="21" max="21" width="9.71"/>
    <col customWidth="1" min="22" max="22" width="9.43"/>
    <col customWidth="1" min="23" max="23" width="10.0"/>
    <col customWidth="1" min="24" max="24" width="9.71"/>
    <col customWidth="1" min="25" max="25" width="9.14"/>
    <col customWidth="1" min="26" max="27" width="9.86"/>
    <col customWidth="1" min="28" max="28" width="9.57"/>
    <col customWidth="1" min="29" max="30" width="9.86"/>
    <col customWidth="1" min="31" max="32" width="9.43"/>
    <col customWidth="1" min="33" max="33" width="9.57"/>
    <col customWidth="1" min="34" max="34" width="9.29"/>
    <col customWidth="1" min="35" max="35" width="9.86"/>
    <col customWidth="1" min="36" max="36" width="9.57"/>
    <col customWidth="1" min="37" max="37" width="8.86"/>
    <col customWidth="1" min="38" max="39" width="9.57"/>
    <col customWidth="1" min="40" max="40" width="9.29"/>
    <col customWidth="1" min="41" max="44" width="9.57"/>
    <col customWidth="1" min="45" max="45" width="9.71"/>
    <col customWidth="1" min="46" max="46" width="9.43"/>
    <col customWidth="1" min="47" max="47" width="10.0"/>
    <col customWidth="1" min="48" max="48" width="9.71"/>
    <col customWidth="1" min="49" max="49" width="9.14"/>
    <col customWidth="1" min="50" max="50" width="9.86"/>
    <col customWidth="1" min="51" max="51" width="9.71"/>
    <col customWidth="1" min="52" max="52" width="9.57"/>
    <col customWidth="1" min="53" max="54" width="9.86"/>
    <col customWidth="1" min="56" max="56" width="8.86"/>
    <col customWidth="1" min="57" max="57" width="10.57"/>
    <col customWidth="1" min="58" max="58" width="11.0"/>
    <col customWidth="1" min="59" max="59" width="10.86"/>
    <col customWidth="1" min="60" max="60" width="10.43" outlineLevel="1"/>
    <col customWidth="1" min="61" max="61" width="17.86" outlineLevel="1"/>
  </cols>
  <sheetData>
    <row r="1" ht="15.75" customHeight="1">
      <c r="A1" s="226"/>
      <c r="B1" s="135" t="s">
        <v>289</v>
      </c>
      <c r="C1" s="136"/>
      <c r="D1" s="227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228"/>
      <c r="Q1" s="228"/>
      <c r="R1" s="228"/>
      <c r="S1" s="228"/>
      <c r="T1" s="228"/>
      <c r="U1" s="228" t="s">
        <v>290</v>
      </c>
      <c r="V1" s="228" t="s">
        <v>291</v>
      </c>
      <c r="W1" s="228"/>
      <c r="X1" s="228"/>
      <c r="Y1" s="228"/>
      <c r="Z1" s="228"/>
      <c r="AA1" s="228"/>
      <c r="AB1" s="228"/>
      <c r="AC1" s="228"/>
      <c r="AD1" s="228"/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8"/>
      <c r="AP1" s="228"/>
      <c r="AQ1" s="228"/>
      <c r="AR1" s="228"/>
      <c r="AS1" s="228"/>
      <c r="AT1" s="228"/>
      <c r="AU1" s="228"/>
      <c r="AV1" s="228"/>
      <c r="AW1" s="228"/>
      <c r="AX1" s="169"/>
      <c r="AY1" s="169"/>
      <c r="AZ1" s="169"/>
      <c r="BA1" s="169"/>
      <c r="BB1" s="169"/>
      <c r="BC1" s="156"/>
      <c r="BD1" s="169"/>
      <c r="BE1" s="169"/>
      <c r="BF1" s="169"/>
      <c r="BG1" s="169"/>
      <c r="BH1" s="169"/>
      <c r="BI1" s="156"/>
    </row>
    <row r="2" ht="13.5" customHeight="1">
      <c r="A2" s="143"/>
      <c r="B2" s="144"/>
      <c r="C2" s="144"/>
      <c r="D2" s="144"/>
      <c r="E2" s="145"/>
      <c r="F2" s="145"/>
      <c r="G2" s="145">
        <v>2025.0</v>
      </c>
      <c r="H2" s="145"/>
      <c r="I2" s="145"/>
      <c r="J2" s="145"/>
      <c r="K2" s="145"/>
      <c r="L2" s="145"/>
      <c r="M2" s="145"/>
      <c r="N2" s="145"/>
      <c r="O2" s="145"/>
      <c r="P2" s="229"/>
      <c r="Q2" s="229"/>
      <c r="R2" s="229"/>
      <c r="S2" s="229" t="s">
        <v>195</v>
      </c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 t="s">
        <v>196</v>
      </c>
      <c r="AF2" s="229"/>
      <c r="AG2" s="229"/>
      <c r="AH2" s="229"/>
      <c r="AI2" s="229"/>
      <c r="AJ2" s="229"/>
      <c r="AK2" s="229"/>
      <c r="AL2" s="229"/>
      <c r="AM2" s="229"/>
      <c r="AN2" s="229"/>
      <c r="AO2" s="229"/>
      <c r="AP2" s="229"/>
      <c r="AQ2" s="229" t="s">
        <v>197</v>
      </c>
      <c r="AR2" s="229"/>
      <c r="AS2" s="229"/>
      <c r="AT2" s="229"/>
      <c r="AU2" s="229"/>
      <c r="AV2" s="229"/>
      <c r="AW2" s="229"/>
      <c r="AX2" s="230"/>
      <c r="AY2" s="230"/>
      <c r="AZ2" s="230"/>
      <c r="BA2" s="230"/>
      <c r="BB2" s="230"/>
      <c r="BC2" s="156"/>
      <c r="BD2" s="230"/>
      <c r="BE2" s="230"/>
      <c r="BF2" s="230"/>
      <c r="BG2" s="230"/>
      <c r="BH2" s="230"/>
      <c r="BI2" s="156"/>
    </row>
    <row r="3" ht="13.5" customHeight="1">
      <c r="A3" s="143"/>
      <c r="B3" s="144"/>
      <c r="C3" s="144"/>
      <c r="D3" s="144"/>
      <c r="E3" s="149"/>
      <c r="F3" s="149"/>
      <c r="G3" s="153">
        <v>45658.0</v>
      </c>
      <c r="H3" s="153">
        <v>45689.0</v>
      </c>
      <c r="I3" s="153">
        <v>45717.0</v>
      </c>
      <c r="J3" s="153">
        <v>45748.0</v>
      </c>
      <c r="K3" s="153">
        <v>45778.0</v>
      </c>
      <c r="L3" s="153">
        <v>45809.0</v>
      </c>
      <c r="M3" s="153">
        <v>45839.0</v>
      </c>
      <c r="N3" s="153">
        <v>45870.0</v>
      </c>
      <c r="O3" s="153">
        <v>45901.0</v>
      </c>
      <c r="P3" s="153">
        <v>45931.0</v>
      </c>
      <c r="Q3" s="153">
        <v>45962.0</v>
      </c>
      <c r="R3" s="153">
        <v>45992.0</v>
      </c>
      <c r="S3" s="153">
        <v>46023.0</v>
      </c>
      <c r="T3" s="153">
        <v>46054.0</v>
      </c>
      <c r="U3" s="153">
        <v>46082.0</v>
      </c>
      <c r="V3" s="153">
        <v>46113.0</v>
      </c>
      <c r="W3" s="153">
        <v>46143.0</v>
      </c>
      <c r="X3" s="153">
        <v>46174.0</v>
      </c>
      <c r="Y3" s="153">
        <v>46204.0</v>
      </c>
      <c r="Z3" s="153">
        <v>46235.0</v>
      </c>
      <c r="AA3" s="153">
        <v>46266.0</v>
      </c>
      <c r="AB3" s="153">
        <v>46296.0</v>
      </c>
      <c r="AC3" s="153">
        <v>46327.0</v>
      </c>
      <c r="AD3" s="153">
        <v>46357.0</v>
      </c>
      <c r="AE3" s="153">
        <v>46388.0</v>
      </c>
      <c r="AF3" s="153">
        <v>46419.0</v>
      </c>
      <c r="AG3" s="153">
        <v>46447.0</v>
      </c>
      <c r="AH3" s="153">
        <v>46478.0</v>
      </c>
      <c r="AI3" s="153">
        <v>46508.0</v>
      </c>
      <c r="AJ3" s="153">
        <v>46539.0</v>
      </c>
      <c r="AK3" s="153">
        <v>46569.0</v>
      </c>
      <c r="AL3" s="153">
        <v>46600.0</v>
      </c>
      <c r="AM3" s="153">
        <v>46631.0</v>
      </c>
      <c r="AN3" s="153">
        <v>46661.0</v>
      </c>
      <c r="AO3" s="153">
        <v>46692.0</v>
      </c>
      <c r="AP3" s="153">
        <v>46722.0</v>
      </c>
      <c r="AQ3" s="153">
        <v>46753.0</v>
      </c>
      <c r="AR3" s="153">
        <v>46784.0</v>
      </c>
      <c r="AS3" s="153">
        <v>46813.0</v>
      </c>
      <c r="AT3" s="153">
        <v>46844.0</v>
      </c>
      <c r="AU3" s="153">
        <v>46874.0</v>
      </c>
      <c r="AV3" s="153">
        <v>46905.0</v>
      </c>
      <c r="AW3" s="153">
        <v>46935.0</v>
      </c>
      <c r="AX3" s="153">
        <v>46966.0</v>
      </c>
      <c r="AY3" s="153">
        <v>46997.0</v>
      </c>
      <c r="AZ3" s="153">
        <v>47027.0</v>
      </c>
      <c r="BA3" s="153">
        <v>47058.0</v>
      </c>
      <c r="BB3" s="153">
        <v>47088.0</v>
      </c>
      <c r="BC3" s="156"/>
      <c r="BD3" s="222">
        <v>2025.0</v>
      </c>
      <c r="BE3" s="222">
        <v>2026.0</v>
      </c>
      <c r="BF3" s="222">
        <v>2027.0</v>
      </c>
      <c r="BG3" s="222">
        <v>2028.0</v>
      </c>
      <c r="BH3" s="222">
        <v>2029.0</v>
      </c>
      <c r="BI3" s="156"/>
    </row>
    <row r="4" ht="15.0" customHeight="1">
      <c r="A4" s="34"/>
      <c r="B4" s="27"/>
      <c r="C4" s="27"/>
      <c r="D4" s="77"/>
      <c r="E4" s="27"/>
      <c r="F4" s="27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</row>
    <row r="5" ht="15.75" customHeight="1">
      <c r="A5" s="34"/>
      <c r="B5" s="231" t="s">
        <v>292</v>
      </c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2"/>
      <c r="AD5" s="232"/>
      <c r="AE5" s="232"/>
      <c r="AF5" s="232"/>
      <c r="AG5" s="232"/>
      <c r="AH5" s="232"/>
      <c r="AI5" s="232"/>
      <c r="AJ5" s="232"/>
      <c r="AK5" s="232"/>
      <c r="AL5" s="232"/>
      <c r="AM5" s="232"/>
      <c r="AN5" s="232"/>
      <c r="AO5" s="232"/>
      <c r="AP5" s="232"/>
      <c r="AQ5" s="232"/>
      <c r="AR5" s="232"/>
      <c r="AS5" s="232"/>
      <c r="AT5" s="232"/>
      <c r="AU5" s="232"/>
      <c r="AV5" s="232"/>
      <c r="AW5" s="232"/>
      <c r="AX5" s="232"/>
      <c r="AY5" s="232"/>
      <c r="AZ5" s="232"/>
      <c r="BA5" s="232"/>
      <c r="BB5" s="232"/>
      <c r="BC5" s="156"/>
      <c r="BD5" s="232"/>
      <c r="BE5" s="232"/>
      <c r="BF5" s="232"/>
      <c r="BG5" s="232"/>
      <c r="BH5" s="232"/>
      <c r="BI5" s="156"/>
    </row>
    <row r="6" ht="13.5" customHeight="1">
      <c r="A6" s="34"/>
      <c r="B6" s="37" t="s">
        <v>149</v>
      </c>
      <c r="C6" s="27"/>
      <c r="D6" s="233" t="s">
        <v>201</v>
      </c>
      <c r="E6" s="37"/>
      <c r="F6" s="37"/>
      <c r="G6" s="234"/>
      <c r="H6" s="234"/>
      <c r="I6" s="234"/>
      <c r="J6" s="234"/>
      <c r="K6" s="234"/>
      <c r="L6" s="234"/>
      <c r="M6" s="234"/>
      <c r="N6" s="234"/>
      <c r="O6" s="235">
        <f>Personnel!Q49</f>
        <v>47500</v>
      </c>
      <c r="P6" s="235">
        <f>Personnel!R49</f>
        <v>47500</v>
      </c>
      <c r="Q6" s="235">
        <f>Personnel!S49</f>
        <v>47500</v>
      </c>
      <c r="R6" s="235">
        <f>Personnel!T49</f>
        <v>47500</v>
      </c>
      <c r="S6" s="235">
        <f>Personnel!U49</f>
        <v>50700</v>
      </c>
      <c r="T6" s="235">
        <f>Personnel!V49</f>
        <v>50700</v>
      </c>
      <c r="U6" s="235">
        <f>Personnel!W49</f>
        <v>50700</v>
      </c>
      <c r="V6" s="235">
        <f>Personnel!X49</f>
        <v>50700</v>
      </c>
      <c r="W6" s="235">
        <f>Personnel!Y49</f>
        <v>50700</v>
      </c>
      <c r="X6" s="235">
        <f>Personnel!Z49</f>
        <v>50700</v>
      </c>
      <c r="Y6" s="235">
        <f>Personnel!AA49</f>
        <v>58700</v>
      </c>
      <c r="Z6" s="235">
        <f>Personnel!AB49</f>
        <v>64700</v>
      </c>
      <c r="AA6" s="235">
        <f>Personnel!AC49</f>
        <v>68700</v>
      </c>
      <c r="AB6" s="235">
        <f>Personnel!AD49</f>
        <v>69620</v>
      </c>
      <c r="AC6" s="235">
        <f>Personnel!AE49</f>
        <v>69620</v>
      </c>
      <c r="AD6" s="235">
        <f>Personnel!AF49</f>
        <v>69620</v>
      </c>
      <c r="AE6" s="235">
        <f>Personnel!AG49</f>
        <v>94569.6</v>
      </c>
      <c r="AF6" s="235">
        <f>Personnel!AH49</f>
        <v>94569.6</v>
      </c>
      <c r="AG6" s="235">
        <f>Personnel!AI49</f>
        <v>94569.6</v>
      </c>
      <c r="AH6" s="235">
        <f>Personnel!AJ49</f>
        <v>94569.6</v>
      </c>
      <c r="AI6" s="235">
        <f>Personnel!AK49</f>
        <v>94569.6</v>
      </c>
      <c r="AJ6" s="235">
        <f>Personnel!AL49</f>
        <v>101069.6</v>
      </c>
      <c r="AK6" s="235">
        <f>Personnel!AM49</f>
        <v>101709.6</v>
      </c>
      <c r="AL6" s="235">
        <f>Personnel!AN49</f>
        <v>102189.6</v>
      </c>
      <c r="AM6" s="235">
        <f>Personnel!AO49</f>
        <v>102189.6</v>
      </c>
      <c r="AN6" s="235">
        <f>Personnel!AP49</f>
        <v>102189.6</v>
      </c>
      <c r="AO6" s="235">
        <f>Personnel!AQ49</f>
        <v>102189.6</v>
      </c>
      <c r="AP6" s="235">
        <f>Personnel!AR49</f>
        <v>102189.6</v>
      </c>
      <c r="AQ6" s="235">
        <f>Personnel!AS49</f>
        <v>108635.168</v>
      </c>
      <c r="AR6" s="235">
        <f>Personnel!AT49</f>
        <v>108635.168</v>
      </c>
      <c r="AS6" s="235">
        <f>Personnel!AU49</f>
        <v>108635.168</v>
      </c>
      <c r="AT6" s="235">
        <f>Personnel!AV49</f>
        <v>108635.168</v>
      </c>
      <c r="AU6" s="235">
        <f>Personnel!AW49</f>
        <v>108635.168</v>
      </c>
      <c r="AV6" s="235">
        <f>Personnel!AX49</f>
        <v>109155.168</v>
      </c>
      <c r="AW6" s="235">
        <f>Personnel!AY49</f>
        <v>109846.368</v>
      </c>
      <c r="AX6" s="235">
        <f>Personnel!AZ49</f>
        <v>110364.768</v>
      </c>
      <c r="AY6" s="235">
        <f>Personnel!BA49</f>
        <v>110364.768</v>
      </c>
      <c r="AZ6" s="235">
        <f>Personnel!BB49</f>
        <v>110364.768</v>
      </c>
      <c r="BA6" s="235">
        <f>Personnel!BC49</f>
        <v>110364.768</v>
      </c>
      <c r="BB6" s="235">
        <f>Personnel!BD49</f>
        <v>110364.768</v>
      </c>
      <c r="BC6" s="156"/>
      <c r="BD6" s="235">
        <f t="shared" ref="BD6:BD9" si="1">SUM(G6:R6)</f>
        <v>190000</v>
      </c>
      <c r="BE6" s="235">
        <f t="shared" ref="BE6:BE9" si="2">SUM(S6:AD6)</f>
        <v>705160</v>
      </c>
      <c r="BF6" s="235">
        <f t="shared" ref="BF6:BF9" si="3">SUM(AE6:AP6)</f>
        <v>1186575.2</v>
      </c>
      <c r="BG6" s="235">
        <f t="shared" ref="BG6:BG9" si="4">SUM(AQ6:BB6)</f>
        <v>1314001.216</v>
      </c>
      <c r="BH6" s="235">
        <f>BG6*('Financial Statements'!$BE$7/'Financial Statements'!$BD$7)^0.5</f>
        <v>2270248.323</v>
      </c>
      <c r="BI6" s="156"/>
    </row>
    <row r="7" ht="13.5" customHeight="1">
      <c r="A7" s="34"/>
      <c r="B7" s="37" t="s">
        <v>146</v>
      </c>
      <c r="C7" s="27"/>
      <c r="D7" s="233" t="s">
        <v>201</v>
      </c>
      <c r="E7" s="37"/>
      <c r="F7" s="236"/>
      <c r="G7" s="234"/>
      <c r="H7" s="234"/>
      <c r="I7" s="234"/>
      <c r="J7" s="234"/>
      <c r="K7" s="234"/>
      <c r="L7" s="234"/>
      <c r="M7" s="234"/>
      <c r="N7" s="234"/>
      <c r="O7" s="235">
        <f>Personnel!Q50</f>
        <v>0</v>
      </c>
      <c r="P7" s="235">
        <f>Personnel!R50</f>
        <v>0</v>
      </c>
      <c r="Q7" s="235">
        <f>Personnel!S50</f>
        <v>0</v>
      </c>
      <c r="R7" s="235">
        <f>Personnel!T50</f>
        <v>0</v>
      </c>
      <c r="S7" s="235">
        <f>Personnel!U50</f>
        <v>0</v>
      </c>
      <c r="T7" s="235">
        <f>Personnel!V50</f>
        <v>10800</v>
      </c>
      <c r="U7" s="235">
        <f>Personnel!W50</f>
        <v>10800</v>
      </c>
      <c r="V7" s="235">
        <f>Personnel!X50</f>
        <v>10800</v>
      </c>
      <c r="W7" s="235">
        <f>Personnel!Y50</f>
        <v>10800</v>
      </c>
      <c r="X7" s="235">
        <f>Personnel!Z50</f>
        <v>10800</v>
      </c>
      <c r="Y7" s="235">
        <f>Personnel!AA50</f>
        <v>10800</v>
      </c>
      <c r="Z7" s="235">
        <f>Personnel!AB50</f>
        <v>19800</v>
      </c>
      <c r="AA7" s="235">
        <f>Personnel!AC50</f>
        <v>19800</v>
      </c>
      <c r="AB7" s="235">
        <f>Personnel!AD50</f>
        <v>26300</v>
      </c>
      <c r="AC7" s="235">
        <f>Personnel!AE50</f>
        <v>26300</v>
      </c>
      <c r="AD7" s="235">
        <f>Personnel!AF50</f>
        <v>26300</v>
      </c>
      <c r="AE7" s="235">
        <f>Personnel!AG50</f>
        <v>27164</v>
      </c>
      <c r="AF7" s="235">
        <f>Personnel!AH50</f>
        <v>27164</v>
      </c>
      <c r="AG7" s="235">
        <f>Personnel!AI50</f>
        <v>27164</v>
      </c>
      <c r="AH7" s="235">
        <f>Personnel!AJ50</f>
        <v>27164</v>
      </c>
      <c r="AI7" s="235">
        <f>Personnel!AK50</f>
        <v>27164</v>
      </c>
      <c r="AJ7" s="235">
        <f>Personnel!AL50</f>
        <v>27164</v>
      </c>
      <c r="AK7" s="235">
        <f>Personnel!AM50</f>
        <v>27164</v>
      </c>
      <c r="AL7" s="235">
        <f>Personnel!AN50</f>
        <v>27884</v>
      </c>
      <c r="AM7" s="235">
        <f>Personnel!AO50</f>
        <v>27884</v>
      </c>
      <c r="AN7" s="235">
        <f>Personnel!AP50</f>
        <v>28404</v>
      </c>
      <c r="AO7" s="235">
        <f>Personnel!AQ50</f>
        <v>28404</v>
      </c>
      <c r="AP7" s="235">
        <f>Personnel!AR50</f>
        <v>28404</v>
      </c>
      <c r="AQ7" s="235">
        <f>Personnel!AS50</f>
        <v>44337.12</v>
      </c>
      <c r="AR7" s="235">
        <f>Personnel!AT50</f>
        <v>51837.12</v>
      </c>
      <c r="AS7" s="235">
        <f>Personnel!AU50</f>
        <v>51837.12</v>
      </c>
      <c r="AT7" s="235">
        <f>Personnel!AV50</f>
        <v>51837.12</v>
      </c>
      <c r="AU7" s="235">
        <f>Personnel!AW50</f>
        <v>51837.12</v>
      </c>
      <c r="AV7" s="235">
        <f>Personnel!AX50</f>
        <v>51837.12</v>
      </c>
      <c r="AW7" s="235">
        <f>Personnel!AY50</f>
        <v>51837.12</v>
      </c>
      <c r="AX7" s="235">
        <f>Personnel!AZ50</f>
        <v>52614.72</v>
      </c>
      <c r="AY7" s="235">
        <f>Personnel!BA50</f>
        <v>52614.72</v>
      </c>
      <c r="AZ7" s="235">
        <f>Personnel!BB50</f>
        <v>53176.32</v>
      </c>
      <c r="BA7" s="235">
        <f>Personnel!BC50</f>
        <v>53176.32</v>
      </c>
      <c r="BB7" s="235">
        <f>Personnel!BD50</f>
        <v>53176.32</v>
      </c>
      <c r="BC7" s="156"/>
      <c r="BD7" s="235">
        <f t="shared" si="1"/>
        <v>0</v>
      </c>
      <c r="BE7" s="235">
        <f t="shared" si="2"/>
        <v>183300</v>
      </c>
      <c r="BF7" s="235">
        <f t="shared" si="3"/>
        <v>331128</v>
      </c>
      <c r="BG7" s="235">
        <f t="shared" si="4"/>
        <v>620118.24</v>
      </c>
      <c r="BH7" s="235">
        <f>BG7*('Financial Statements'!$BE$7/'Financial Statements'!$BD$7)^0.5</f>
        <v>1071401.135</v>
      </c>
      <c r="BI7" s="156"/>
    </row>
    <row r="8" ht="13.5" customHeight="1">
      <c r="A8" s="34"/>
      <c r="B8" s="37" t="s">
        <v>142</v>
      </c>
      <c r="C8" s="27"/>
      <c r="D8" s="233" t="s">
        <v>201</v>
      </c>
      <c r="E8" s="37"/>
      <c r="F8" s="236"/>
      <c r="G8" s="234"/>
      <c r="H8" s="234"/>
      <c r="I8" s="234"/>
      <c r="J8" s="234"/>
      <c r="K8" s="234"/>
      <c r="L8" s="234"/>
      <c r="M8" s="234"/>
      <c r="N8" s="234"/>
      <c r="O8" s="235">
        <f>Personnel!Q51</f>
        <v>11500</v>
      </c>
      <c r="P8" s="235">
        <f>Personnel!R51</f>
        <v>11500</v>
      </c>
      <c r="Q8" s="235">
        <f>Personnel!S51</f>
        <v>11500</v>
      </c>
      <c r="R8" s="235">
        <f>Personnel!T51</f>
        <v>11500</v>
      </c>
      <c r="S8" s="235">
        <f>Personnel!U51</f>
        <v>11820</v>
      </c>
      <c r="T8" s="235">
        <f>Personnel!V51</f>
        <v>11820</v>
      </c>
      <c r="U8" s="235">
        <f>Personnel!W51</f>
        <v>11820</v>
      </c>
      <c r="V8" s="235">
        <f>Personnel!X51</f>
        <v>11820</v>
      </c>
      <c r="W8" s="235">
        <f>Personnel!Y51</f>
        <v>11820</v>
      </c>
      <c r="X8" s="235">
        <f>Personnel!Z51</f>
        <v>11820</v>
      </c>
      <c r="Y8" s="235">
        <f>Personnel!AA51</f>
        <v>11820</v>
      </c>
      <c r="Z8" s="235">
        <f>Personnel!AB51</f>
        <v>20820</v>
      </c>
      <c r="AA8" s="235">
        <f>Personnel!AC51</f>
        <v>25740</v>
      </c>
      <c r="AB8" s="235">
        <f>Personnel!AD51</f>
        <v>30920</v>
      </c>
      <c r="AC8" s="235">
        <f>Personnel!AE51</f>
        <v>30920</v>
      </c>
      <c r="AD8" s="235">
        <f>Personnel!AF51</f>
        <v>30920</v>
      </c>
      <c r="AE8" s="235">
        <f>Personnel!AG51</f>
        <v>42913.6</v>
      </c>
      <c r="AF8" s="235">
        <f>Personnel!AH51</f>
        <v>42913.6</v>
      </c>
      <c r="AG8" s="235">
        <f>Personnel!AI51</f>
        <v>42913.6</v>
      </c>
      <c r="AH8" s="235">
        <f>Personnel!AJ51</f>
        <v>42913.6</v>
      </c>
      <c r="AI8" s="235">
        <f>Personnel!AK51</f>
        <v>42913.6</v>
      </c>
      <c r="AJ8" s="235">
        <f>Personnel!AL51</f>
        <v>42913.6</v>
      </c>
      <c r="AK8" s="235">
        <f>Personnel!AM51</f>
        <v>42913.6</v>
      </c>
      <c r="AL8" s="235">
        <f>Personnel!AN51</f>
        <v>43633.6</v>
      </c>
      <c r="AM8" s="235">
        <f>Personnel!AO51</f>
        <v>43633.6</v>
      </c>
      <c r="AN8" s="235">
        <f>Personnel!AP51</f>
        <v>44393.6</v>
      </c>
      <c r="AO8" s="235">
        <f>Personnel!AQ51</f>
        <v>44393.6</v>
      </c>
      <c r="AP8" s="235">
        <f>Personnel!AR51</f>
        <v>44393.6</v>
      </c>
      <c r="AQ8" s="235">
        <f>Personnel!AS51</f>
        <v>46346.688</v>
      </c>
      <c r="AR8" s="235">
        <f>Personnel!AT51</f>
        <v>53846.688</v>
      </c>
      <c r="AS8" s="235">
        <f>Personnel!AU51</f>
        <v>53846.688</v>
      </c>
      <c r="AT8" s="235">
        <f>Personnel!AV51</f>
        <v>53846.688</v>
      </c>
      <c r="AU8" s="235">
        <f>Personnel!AW51</f>
        <v>53846.688</v>
      </c>
      <c r="AV8" s="235">
        <f>Personnel!AX51</f>
        <v>53846.688</v>
      </c>
      <c r="AW8" s="235">
        <f>Personnel!AY51</f>
        <v>53846.688</v>
      </c>
      <c r="AX8" s="235">
        <f>Personnel!AZ51</f>
        <v>54624.288</v>
      </c>
      <c r="AY8" s="235">
        <f>Personnel!BA51</f>
        <v>54624.288</v>
      </c>
      <c r="AZ8" s="235">
        <f>Personnel!BB51</f>
        <v>55445.088</v>
      </c>
      <c r="BA8" s="235">
        <f>Personnel!BC51</f>
        <v>55445.088</v>
      </c>
      <c r="BB8" s="235">
        <f>Personnel!BD51</f>
        <v>55445.088</v>
      </c>
      <c r="BC8" s="156"/>
      <c r="BD8" s="235">
        <f t="shared" si="1"/>
        <v>46000</v>
      </c>
      <c r="BE8" s="235">
        <f t="shared" si="2"/>
        <v>222060</v>
      </c>
      <c r="BF8" s="235">
        <f t="shared" si="3"/>
        <v>520843.2</v>
      </c>
      <c r="BG8" s="235">
        <f t="shared" si="4"/>
        <v>645010.656</v>
      </c>
      <c r="BH8" s="235">
        <f>BG8*('Financial Statements'!$BE$7/'Financial Statements'!$BD$7)^0.2</f>
        <v>802708.6226</v>
      </c>
      <c r="BI8" s="156"/>
    </row>
    <row r="9" ht="15.0" customHeight="1">
      <c r="A9" s="34"/>
      <c r="B9" s="135" t="s">
        <v>293</v>
      </c>
      <c r="C9" s="135"/>
      <c r="D9" s="221" t="s">
        <v>201</v>
      </c>
      <c r="E9" s="237"/>
      <c r="F9" s="237"/>
      <c r="G9" s="229">
        <f t="shared" ref="G9:N9" si="5">SUM(G6:G8)</f>
        <v>0</v>
      </c>
      <c r="H9" s="229">
        <f t="shared" si="5"/>
        <v>0</v>
      </c>
      <c r="I9" s="229">
        <f t="shared" si="5"/>
        <v>0</v>
      </c>
      <c r="J9" s="229">
        <f t="shared" si="5"/>
        <v>0</v>
      </c>
      <c r="K9" s="229">
        <f t="shared" si="5"/>
        <v>0</v>
      </c>
      <c r="L9" s="229">
        <f t="shared" si="5"/>
        <v>0</v>
      </c>
      <c r="M9" s="229">
        <f t="shared" si="5"/>
        <v>0</v>
      </c>
      <c r="N9" s="229">
        <f t="shared" si="5"/>
        <v>0</v>
      </c>
      <c r="O9" s="229">
        <f t="shared" ref="O9:BB9" si="6">sum(O6:O8)</f>
        <v>59000</v>
      </c>
      <c r="P9" s="229">
        <f t="shared" si="6"/>
        <v>59000</v>
      </c>
      <c r="Q9" s="229">
        <f t="shared" si="6"/>
        <v>59000</v>
      </c>
      <c r="R9" s="229">
        <f t="shared" si="6"/>
        <v>59000</v>
      </c>
      <c r="S9" s="229">
        <f t="shared" si="6"/>
        <v>62520</v>
      </c>
      <c r="T9" s="229">
        <f t="shared" si="6"/>
        <v>73320</v>
      </c>
      <c r="U9" s="229">
        <f t="shared" si="6"/>
        <v>73320</v>
      </c>
      <c r="V9" s="229">
        <f t="shared" si="6"/>
        <v>73320</v>
      </c>
      <c r="W9" s="229">
        <f t="shared" si="6"/>
        <v>73320</v>
      </c>
      <c r="X9" s="229">
        <f t="shared" si="6"/>
        <v>73320</v>
      </c>
      <c r="Y9" s="229">
        <f t="shared" si="6"/>
        <v>81320</v>
      </c>
      <c r="Z9" s="229">
        <f t="shared" si="6"/>
        <v>105320</v>
      </c>
      <c r="AA9" s="229">
        <f t="shared" si="6"/>
        <v>114240</v>
      </c>
      <c r="AB9" s="229">
        <f t="shared" si="6"/>
        <v>126840</v>
      </c>
      <c r="AC9" s="229">
        <f t="shared" si="6"/>
        <v>126840</v>
      </c>
      <c r="AD9" s="229">
        <f t="shared" si="6"/>
        <v>126840</v>
      </c>
      <c r="AE9" s="229">
        <f t="shared" si="6"/>
        <v>164647.2</v>
      </c>
      <c r="AF9" s="229">
        <f t="shared" si="6"/>
        <v>164647.2</v>
      </c>
      <c r="AG9" s="229">
        <f t="shared" si="6"/>
        <v>164647.2</v>
      </c>
      <c r="AH9" s="229">
        <f t="shared" si="6"/>
        <v>164647.2</v>
      </c>
      <c r="AI9" s="229">
        <f t="shared" si="6"/>
        <v>164647.2</v>
      </c>
      <c r="AJ9" s="229">
        <f t="shared" si="6"/>
        <v>171147.2</v>
      </c>
      <c r="AK9" s="229">
        <f t="shared" si="6"/>
        <v>171787.2</v>
      </c>
      <c r="AL9" s="229">
        <f t="shared" si="6"/>
        <v>173707.2</v>
      </c>
      <c r="AM9" s="229">
        <f t="shared" si="6"/>
        <v>173707.2</v>
      </c>
      <c r="AN9" s="229">
        <f t="shared" si="6"/>
        <v>174987.2</v>
      </c>
      <c r="AO9" s="229">
        <f t="shared" si="6"/>
        <v>174987.2</v>
      </c>
      <c r="AP9" s="229">
        <f t="shared" si="6"/>
        <v>174987.2</v>
      </c>
      <c r="AQ9" s="229">
        <f t="shared" si="6"/>
        <v>199318.976</v>
      </c>
      <c r="AR9" s="229">
        <f t="shared" si="6"/>
        <v>214318.976</v>
      </c>
      <c r="AS9" s="229">
        <f t="shared" si="6"/>
        <v>214318.976</v>
      </c>
      <c r="AT9" s="229">
        <f t="shared" si="6"/>
        <v>214318.976</v>
      </c>
      <c r="AU9" s="229">
        <f t="shared" si="6"/>
        <v>214318.976</v>
      </c>
      <c r="AV9" s="229">
        <f t="shared" si="6"/>
        <v>214838.976</v>
      </c>
      <c r="AW9" s="229">
        <f t="shared" si="6"/>
        <v>215530.176</v>
      </c>
      <c r="AX9" s="229">
        <f t="shared" si="6"/>
        <v>217603.776</v>
      </c>
      <c r="AY9" s="229">
        <f t="shared" si="6"/>
        <v>217603.776</v>
      </c>
      <c r="AZ9" s="229">
        <f t="shared" si="6"/>
        <v>218986.176</v>
      </c>
      <c r="BA9" s="229">
        <f t="shared" si="6"/>
        <v>218986.176</v>
      </c>
      <c r="BB9" s="229">
        <f t="shared" si="6"/>
        <v>218986.176</v>
      </c>
      <c r="BC9" s="156"/>
      <c r="BD9" s="229">
        <f t="shared" si="1"/>
        <v>236000</v>
      </c>
      <c r="BE9" s="229">
        <f t="shared" si="2"/>
        <v>1110520</v>
      </c>
      <c r="BF9" s="229">
        <f t="shared" si="3"/>
        <v>2038546.4</v>
      </c>
      <c r="BG9" s="229">
        <f t="shared" si="4"/>
        <v>2579130.112</v>
      </c>
      <c r="BH9" s="229">
        <f>sum(BH6:BH8)</f>
        <v>4144358.081</v>
      </c>
      <c r="BI9" s="156"/>
    </row>
    <row r="10" ht="13.5" customHeight="1">
      <c r="A10" s="34"/>
      <c r="B10" s="81"/>
      <c r="C10" s="27"/>
      <c r="D10" s="77"/>
      <c r="E10" s="27"/>
      <c r="F10" s="27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</row>
    <row r="11" ht="13.5" customHeight="1">
      <c r="A11" s="34"/>
      <c r="B11" s="204" t="s">
        <v>294</v>
      </c>
      <c r="C11" s="238"/>
      <c r="D11" s="239"/>
      <c r="E11" s="201"/>
      <c r="F11" s="20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61"/>
      <c r="BB11" s="161"/>
      <c r="BC11" s="156"/>
      <c r="BD11" s="161"/>
      <c r="BE11" s="161"/>
      <c r="BF11" s="161"/>
      <c r="BG11" s="161"/>
      <c r="BH11" s="161"/>
      <c r="BI11" s="156"/>
    </row>
    <row r="12" ht="13.5" customHeight="1">
      <c r="A12" s="34"/>
      <c r="B12" s="81"/>
      <c r="C12" s="27"/>
      <c r="D12" s="77"/>
      <c r="E12" s="27"/>
      <c r="F12" s="27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</row>
    <row r="13" ht="13.5" customHeight="1">
      <c r="A13" s="226"/>
      <c r="B13" s="204" t="s">
        <v>295</v>
      </c>
      <c r="C13" s="201"/>
      <c r="D13" s="239"/>
      <c r="E13" s="201"/>
      <c r="F13" s="20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1"/>
      <c r="AN13" s="161"/>
      <c r="AO13" s="161"/>
      <c r="AP13" s="161"/>
      <c r="AQ13" s="161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56"/>
      <c r="BD13" s="161"/>
      <c r="BE13" s="161"/>
      <c r="BF13" s="161"/>
      <c r="BG13" s="161"/>
      <c r="BH13" s="161"/>
      <c r="BI13" s="156"/>
    </row>
    <row r="14" ht="15.0" customHeight="1">
      <c r="A14" s="34"/>
      <c r="B14" s="45" t="s">
        <v>151</v>
      </c>
      <c r="C14" s="27"/>
      <c r="D14" s="240" t="s">
        <v>201</v>
      </c>
      <c r="E14" s="223"/>
      <c r="F14" s="223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>
        <f>Assumptions!E95</f>
        <v>168933</v>
      </c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6"/>
      <c r="BD14" s="157">
        <f t="shared" ref="BD14:BD19" si="7">SUM(G14:R14)</f>
        <v>168933</v>
      </c>
      <c r="BE14" s="157">
        <f t="shared" ref="BE14:BE15" si="8">SUM(S14:AD14)</f>
        <v>0</v>
      </c>
      <c r="BF14" s="157">
        <f t="shared" ref="BF14:BF19" si="9">SUM(AE14:AP14)</f>
        <v>0</v>
      </c>
      <c r="BG14" s="157">
        <f t="shared" ref="BG14:BG19" si="10">SUM(AQ14:BB14)</f>
        <v>0</v>
      </c>
      <c r="BH14" s="157">
        <v>0.0</v>
      </c>
      <c r="BI14" s="156"/>
    </row>
    <row r="15" ht="15.0" customHeight="1">
      <c r="A15" s="34"/>
      <c r="B15" s="241" t="s">
        <v>148</v>
      </c>
      <c r="C15" s="27"/>
      <c r="D15" s="240" t="s">
        <v>201</v>
      </c>
      <c r="E15" s="45"/>
      <c r="F15" s="45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>
        <f t="array" ref="S15">INDEX(Assumptions!$E$93:$I$93,MATCH(YEAR(S$3),Assumptions!$E$88:$I$88,0))</f>
        <v>10000</v>
      </c>
      <c r="T15" s="157">
        <f t="array" ref="T15">INDEX(Assumptions!$E$93:$I$93,MATCH(YEAR(T$3),Assumptions!$E$88:$I$88,0))</f>
        <v>10000</v>
      </c>
      <c r="U15" s="157">
        <f t="array" ref="U15">INDEX(Assumptions!$E$93:$I$93,MATCH(YEAR(U$3),Assumptions!$E$88:$I$88,0))</f>
        <v>10000</v>
      </c>
      <c r="V15" s="157">
        <f t="array" ref="V15">INDEX(Assumptions!$E$93:$I$93,MATCH(YEAR(V$3),Assumptions!$E$88:$I$88,0))</f>
        <v>10000</v>
      </c>
      <c r="W15" s="157">
        <f t="array" ref="W15">INDEX(Assumptions!$E$93:$I$93,MATCH(YEAR(W$3),Assumptions!$E$88:$I$88,0))</f>
        <v>10000</v>
      </c>
      <c r="X15" s="157">
        <f t="array" ref="X15">INDEX(Assumptions!$E$93:$I$93,MATCH(YEAR(X$3),Assumptions!$E$88:$I$88,0))</f>
        <v>10000</v>
      </c>
      <c r="Y15" s="157">
        <f t="array" ref="Y15">INDEX(Assumptions!$E$93:$I$93,MATCH(YEAR(Y$3),Assumptions!$E$88:$I$88,0))</f>
        <v>10000</v>
      </c>
      <c r="Z15" s="157">
        <f t="array" ref="Z15">INDEX(Assumptions!$E$93:$I$93,MATCH(YEAR(Z$3),Assumptions!$E$88:$I$88,0))</f>
        <v>10000</v>
      </c>
      <c r="AA15" s="157">
        <f t="array" ref="AA15">INDEX(Assumptions!$E$93:$I$93,MATCH(YEAR(AA$3),Assumptions!$E$88:$I$88,0))</f>
        <v>10000</v>
      </c>
      <c r="AB15" s="157">
        <f t="array" ref="AB15">INDEX(Assumptions!$E$93:$I$93,MATCH(YEAR(AB$3),Assumptions!$E$88:$I$88,0))</f>
        <v>10000</v>
      </c>
      <c r="AC15" s="157">
        <f t="array" ref="AC15">INDEX(Assumptions!$E$93:$I$93,MATCH(YEAR(AC$3),Assumptions!$E$88:$I$88,0))</f>
        <v>10000</v>
      </c>
      <c r="AD15" s="157">
        <f t="array" ref="AD15">INDEX(Assumptions!$E$93:$I$93,MATCH(YEAR(AD$3),Assumptions!$E$88:$I$88,0))</f>
        <v>10000</v>
      </c>
      <c r="AE15" s="157">
        <f t="array" ref="AE15">INDEX(Assumptions!$E$93:$I$93,MATCH(YEAR(AE$3),Assumptions!$E$88:$I$88,0))</f>
        <v>13000</v>
      </c>
      <c r="AF15" s="157">
        <f t="array" ref="AF15">INDEX(Assumptions!$E$93:$I$93,MATCH(YEAR(AF$3),Assumptions!$E$88:$I$88,0))</f>
        <v>13000</v>
      </c>
      <c r="AG15" s="157">
        <f t="array" ref="AG15">INDEX(Assumptions!$E$93:$I$93,MATCH(YEAR(AG$3),Assumptions!$E$88:$I$88,0))</f>
        <v>13000</v>
      </c>
      <c r="AH15" s="157">
        <f t="array" ref="AH15">INDEX(Assumptions!$E$93:$I$93,MATCH(YEAR(AH$3),Assumptions!$E$88:$I$88,0))</f>
        <v>13000</v>
      </c>
      <c r="AI15" s="157">
        <f t="array" ref="AI15">INDEX(Assumptions!$E$93:$I$93,MATCH(YEAR(AI$3),Assumptions!$E$88:$I$88,0))</f>
        <v>13000</v>
      </c>
      <c r="AJ15" s="157">
        <f t="array" ref="AJ15">INDEX(Assumptions!$E$93:$I$93,MATCH(YEAR(AJ$3),Assumptions!$E$88:$I$88,0))</f>
        <v>13000</v>
      </c>
      <c r="AK15" s="157">
        <f t="array" ref="AK15">INDEX(Assumptions!$E$93:$I$93,MATCH(YEAR(AK$3),Assumptions!$E$88:$I$88,0))</f>
        <v>13000</v>
      </c>
      <c r="AL15" s="157">
        <f t="array" ref="AL15">INDEX(Assumptions!$E$93:$I$93,MATCH(YEAR(AL$3),Assumptions!$E$88:$I$88,0))</f>
        <v>13000</v>
      </c>
      <c r="AM15" s="157">
        <f t="array" ref="AM15">INDEX(Assumptions!$E$93:$I$93,MATCH(YEAR(AM$3),Assumptions!$E$88:$I$88,0))</f>
        <v>13000</v>
      </c>
      <c r="AN15" s="157">
        <f t="array" ref="AN15">INDEX(Assumptions!$E$93:$I$93,MATCH(YEAR(AN$3),Assumptions!$E$88:$I$88,0))</f>
        <v>13000</v>
      </c>
      <c r="AO15" s="157">
        <f t="array" ref="AO15">INDEX(Assumptions!$E$93:$I$93,MATCH(YEAR(AO$3),Assumptions!$E$88:$I$88,0))</f>
        <v>13000</v>
      </c>
      <c r="AP15" s="157">
        <f t="array" ref="AP15">INDEX(Assumptions!$E$93:$I$93,MATCH(YEAR(AP$3),Assumptions!$E$88:$I$88,0))</f>
        <v>13000</v>
      </c>
      <c r="AQ15" s="157">
        <f t="array" ref="AQ15">INDEX(Assumptions!$E$93:$I$93,MATCH(YEAR(AQ$3),Assumptions!$E$88:$I$88,0))</f>
        <v>16900</v>
      </c>
      <c r="AR15" s="157">
        <f t="array" ref="AR15">INDEX(Assumptions!$E$93:$I$93,MATCH(YEAR(AR$3),Assumptions!$E$88:$I$88,0))</f>
        <v>16900</v>
      </c>
      <c r="AS15" s="157">
        <f t="array" ref="AS15">INDEX(Assumptions!$E$93:$I$93,MATCH(YEAR(AS$3),Assumptions!$E$88:$I$88,0))</f>
        <v>16900</v>
      </c>
      <c r="AT15" s="157">
        <f t="array" ref="AT15">INDEX(Assumptions!$E$93:$I$93,MATCH(YEAR(AT$3),Assumptions!$E$88:$I$88,0))</f>
        <v>16900</v>
      </c>
      <c r="AU15" s="157">
        <f t="array" ref="AU15">INDEX(Assumptions!$E$93:$I$93,MATCH(YEAR(AU$3),Assumptions!$E$88:$I$88,0))</f>
        <v>16900</v>
      </c>
      <c r="AV15" s="157">
        <f t="array" ref="AV15">INDEX(Assumptions!$E$93:$I$93,MATCH(YEAR(AV$3),Assumptions!$E$88:$I$88,0))</f>
        <v>16900</v>
      </c>
      <c r="AW15" s="157">
        <f t="array" ref="AW15">INDEX(Assumptions!$E$93:$I$93,MATCH(YEAR(AW$3),Assumptions!$E$88:$I$88,0))</f>
        <v>16900</v>
      </c>
      <c r="AX15" s="157">
        <f t="array" ref="AX15">INDEX(Assumptions!$E$93:$I$93,MATCH(YEAR(AX$3),Assumptions!$E$88:$I$88,0))</f>
        <v>16900</v>
      </c>
      <c r="AY15" s="157">
        <f t="array" ref="AY15">INDEX(Assumptions!$E$93:$I$93,MATCH(YEAR(AY$3),Assumptions!$E$88:$I$88,0))</f>
        <v>16900</v>
      </c>
      <c r="AZ15" s="157">
        <f t="array" ref="AZ15">INDEX(Assumptions!$E$93:$I$93,MATCH(YEAR(AZ$3),Assumptions!$E$88:$I$88,0))</f>
        <v>16900</v>
      </c>
      <c r="BA15" s="157">
        <f t="array" ref="BA15">INDEX(Assumptions!$E$93:$I$93,MATCH(YEAR(BA$3),Assumptions!$E$88:$I$88,0))</f>
        <v>16900</v>
      </c>
      <c r="BB15" s="157">
        <f t="array" ref="BB15">INDEX(Assumptions!$E$93:$I$93,MATCH(YEAR(BB$3),Assumptions!$E$88:$I$88,0))</f>
        <v>16900</v>
      </c>
      <c r="BC15" s="156"/>
      <c r="BD15" s="157">
        <f t="shared" si="7"/>
        <v>0</v>
      </c>
      <c r="BE15" s="157">
        <f t="shared" si="8"/>
        <v>120000</v>
      </c>
      <c r="BF15" s="157">
        <f t="shared" si="9"/>
        <v>156000</v>
      </c>
      <c r="BG15" s="157">
        <f t="shared" si="10"/>
        <v>202800</v>
      </c>
      <c r="BH15" s="157">
        <f>BG15*('Financial Statements'!$BE$7/'Financial Statements'!$BD$7)^0.4</f>
        <v>314087.0481</v>
      </c>
      <c r="BI15" s="156"/>
    </row>
    <row r="16" ht="15.0" customHeight="1">
      <c r="A16" s="34"/>
      <c r="B16" s="241" t="s">
        <v>155</v>
      </c>
      <c r="C16" s="27"/>
      <c r="D16" s="240" t="s">
        <v>201</v>
      </c>
      <c r="E16" s="45"/>
      <c r="F16" s="45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>
        <f>Assumptions!E98</f>
        <v>100000</v>
      </c>
      <c r="AC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6"/>
      <c r="BD16" s="157">
        <f t="shared" si="7"/>
        <v>0</v>
      </c>
      <c r="BE16" s="157">
        <f>SUM(S16:AC16)</f>
        <v>100000</v>
      </c>
      <c r="BF16" s="157">
        <f t="shared" si="9"/>
        <v>0</v>
      </c>
      <c r="BG16" s="157">
        <f t="shared" si="10"/>
        <v>0</v>
      </c>
      <c r="BH16" s="235"/>
      <c r="BI16" s="156"/>
    </row>
    <row r="17" ht="15.0" customHeight="1">
      <c r="A17" s="34"/>
      <c r="B17" s="45" t="s">
        <v>296</v>
      </c>
      <c r="C17" s="27"/>
      <c r="D17" s="240" t="s">
        <v>201</v>
      </c>
      <c r="E17" s="45"/>
      <c r="F17" s="45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>
        <f t="array" ref="S17">INDEX(Assumptions!$E$94:$I$94,MATCH(YEAR(S$3),Assumptions!$E$88:$I$88,0))</f>
        <v>15000</v>
      </c>
      <c r="T17" s="157">
        <f t="array" ref="T17">INDEX(Assumptions!$E$94:$I$94,MATCH(YEAR(T$3),Assumptions!$E$88:$I$88,0))</f>
        <v>15000</v>
      </c>
      <c r="U17" s="157">
        <f t="array" ref="U17">INDEX(Assumptions!$E$94:$I$94,MATCH(YEAR(U$3),Assumptions!$E$88:$I$88,0))</f>
        <v>15000</v>
      </c>
      <c r="V17" s="157">
        <f t="array" ref="V17">INDEX(Assumptions!$E$94:$I$94,MATCH(YEAR(V$3),Assumptions!$E$88:$I$88,0))</f>
        <v>15000</v>
      </c>
      <c r="W17" s="157">
        <f t="array" ref="W17">INDEX(Assumptions!$E$94:$I$94,MATCH(YEAR(W$3),Assumptions!$E$88:$I$88,0))</f>
        <v>15000</v>
      </c>
      <c r="X17" s="157">
        <f t="array" ref="X17">INDEX(Assumptions!$E$94:$I$94,MATCH(YEAR(X$3),Assumptions!$E$88:$I$88,0))</f>
        <v>15000</v>
      </c>
      <c r="Y17" s="157">
        <f t="array" ref="Y17">INDEX(Assumptions!$E$94:$I$94,MATCH(YEAR(Y$3),Assumptions!$E$88:$I$88,0))</f>
        <v>15000</v>
      </c>
      <c r="Z17" s="157">
        <f t="array" ref="Z17">INDEX(Assumptions!$E$94:$I$94,MATCH(YEAR(Z$3),Assumptions!$E$88:$I$88,0))</f>
        <v>15000</v>
      </c>
      <c r="AA17" s="157">
        <f t="array" ref="AA17">INDEX(Assumptions!$E$94:$I$94,MATCH(YEAR(AA$3),Assumptions!$E$88:$I$88,0))</f>
        <v>15000</v>
      </c>
      <c r="AB17" s="157">
        <f t="array" ref="AB17">INDEX(Assumptions!$E$94:$I$94,MATCH(YEAR(AB$3),Assumptions!$E$88:$I$88,0))</f>
        <v>15000</v>
      </c>
      <c r="AC17" s="157">
        <f t="array" ref="AC17">INDEX(Assumptions!$E$94:$I$94,MATCH(YEAR(AC$3),Assumptions!$E$88:$I$88,0))</f>
        <v>15000</v>
      </c>
      <c r="AD17" s="157">
        <f t="array" ref="AD17">INDEX(Assumptions!$E$94:$I$94,MATCH(YEAR(AD$3),Assumptions!$E$88:$I$88,0))</f>
        <v>15000</v>
      </c>
      <c r="AE17" s="157">
        <f t="array" ref="AE17">INDEX(Assumptions!$E$94:$I$94,MATCH(YEAR(AE$3),Assumptions!$E$88:$I$88,0))</f>
        <v>19500</v>
      </c>
      <c r="AF17" s="157">
        <f t="array" ref="AF17">INDEX(Assumptions!$E$94:$I$94,MATCH(YEAR(AF$3),Assumptions!$E$88:$I$88,0))</f>
        <v>19500</v>
      </c>
      <c r="AG17" s="157">
        <f t="array" ref="AG17">INDEX(Assumptions!$E$94:$I$94,MATCH(YEAR(AG$3),Assumptions!$E$88:$I$88,0))</f>
        <v>19500</v>
      </c>
      <c r="AH17" s="157">
        <f t="array" ref="AH17">INDEX(Assumptions!$E$94:$I$94,MATCH(YEAR(AH$3),Assumptions!$E$88:$I$88,0))</f>
        <v>19500</v>
      </c>
      <c r="AI17" s="157">
        <f t="array" ref="AI17">INDEX(Assumptions!$E$94:$I$94,MATCH(YEAR(AI$3),Assumptions!$E$88:$I$88,0))</f>
        <v>19500</v>
      </c>
      <c r="AJ17" s="157">
        <f t="array" ref="AJ17">INDEX(Assumptions!$E$94:$I$94,MATCH(YEAR(AJ$3),Assumptions!$E$88:$I$88,0))</f>
        <v>19500</v>
      </c>
      <c r="AK17" s="157">
        <f t="array" ref="AK17">INDEX(Assumptions!$E$94:$I$94,MATCH(YEAR(AK$3),Assumptions!$E$88:$I$88,0))</f>
        <v>19500</v>
      </c>
      <c r="AL17" s="157">
        <f t="array" ref="AL17">INDEX(Assumptions!$E$94:$I$94,MATCH(YEAR(AL$3),Assumptions!$E$88:$I$88,0))</f>
        <v>19500</v>
      </c>
      <c r="AM17" s="157">
        <f t="array" ref="AM17">INDEX(Assumptions!$E$94:$I$94,MATCH(YEAR(AM$3),Assumptions!$E$88:$I$88,0))</f>
        <v>19500</v>
      </c>
      <c r="AN17" s="157">
        <f t="array" ref="AN17">INDEX(Assumptions!$E$94:$I$94,MATCH(YEAR(AN$3),Assumptions!$E$88:$I$88,0))</f>
        <v>19500</v>
      </c>
      <c r="AO17" s="157">
        <f t="array" ref="AO17">INDEX(Assumptions!$E$94:$I$94,MATCH(YEAR(AO$3),Assumptions!$E$88:$I$88,0))</f>
        <v>19500</v>
      </c>
      <c r="AP17" s="157">
        <f t="array" ref="AP17">INDEX(Assumptions!$E$94:$I$94,MATCH(YEAR(AP$3),Assumptions!$E$88:$I$88,0))</f>
        <v>19500</v>
      </c>
      <c r="AQ17" s="157">
        <f t="array" ref="AQ17">INDEX(Assumptions!$E$94:$I$94,MATCH(YEAR(AQ$3),Assumptions!$E$88:$I$88,0))</f>
        <v>25350</v>
      </c>
      <c r="AR17" s="157">
        <f t="array" ref="AR17">INDEX(Assumptions!$E$94:$I$94,MATCH(YEAR(AR$3),Assumptions!$E$88:$I$88,0))</f>
        <v>25350</v>
      </c>
      <c r="AS17" s="157">
        <f t="array" ref="AS17">INDEX(Assumptions!$E$94:$I$94,MATCH(YEAR(AS$3),Assumptions!$E$88:$I$88,0))</f>
        <v>25350</v>
      </c>
      <c r="AT17" s="157">
        <f t="array" ref="AT17">INDEX(Assumptions!$E$94:$I$94,MATCH(YEAR(AT$3),Assumptions!$E$88:$I$88,0))</f>
        <v>25350</v>
      </c>
      <c r="AU17" s="157">
        <f t="array" ref="AU17">INDEX(Assumptions!$E$94:$I$94,MATCH(YEAR(AU$3),Assumptions!$E$88:$I$88,0))</f>
        <v>25350</v>
      </c>
      <c r="AV17" s="157">
        <f t="array" ref="AV17">INDEX(Assumptions!$E$94:$I$94,MATCH(YEAR(AV$3),Assumptions!$E$88:$I$88,0))</f>
        <v>25350</v>
      </c>
      <c r="AW17" s="157">
        <f t="array" ref="AW17">INDEX(Assumptions!$E$94:$I$94,MATCH(YEAR(AW$3),Assumptions!$E$88:$I$88,0))</f>
        <v>25350</v>
      </c>
      <c r="AX17" s="157">
        <f t="array" ref="AX17">INDEX(Assumptions!$E$94:$I$94,MATCH(YEAR(AX$3),Assumptions!$E$88:$I$88,0))</f>
        <v>25350</v>
      </c>
      <c r="AY17" s="157">
        <f t="array" ref="AY17">INDEX(Assumptions!$E$94:$I$94,MATCH(YEAR(AY$3),Assumptions!$E$88:$I$88,0))</f>
        <v>25350</v>
      </c>
      <c r="AZ17" s="157">
        <f t="array" ref="AZ17">INDEX(Assumptions!$E$94:$I$94,MATCH(YEAR(AZ$3),Assumptions!$E$88:$I$88,0))</f>
        <v>25350</v>
      </c>
      <c r="BA17" s="157">
        <f t="array" ref="BA17">INDEX(Assumptions!$E$94:$I$94,MATCH(YEAR(BA$3),Assumptions!$E$88:$I$88,0))</f>
        <v>25350</v>
      </c>
      <c r="BB17" s="157">
        <f t="array" ref="BB17">INDEX(Assumptions!$E$94:$I$94,MATCH(YEAR(BB$3),Assumptions!$E$88:$I$88,0))</f>
        <v>25350</v>
      </c>
      <c r="BC17" s="156"/>
      <c r="BD17" s="157">
        <f t="shared" si="7"/>
        <v>0</v>
      </c>
      <c r="BE17" s="157">
        <f>SUM(S17:AD17)</f>
        <v>180000</v>
      </c>
      <c r="BF17" s="157">
        <f t="shared" si="9"/>
        <v>234000</v>
      </c>
      <c r="BG17" s="157">
        <f t="shared" si="10"/>
        <v>304200</v>
      </c>
      <c r="BH17" s="157">
        <f>BG17*('Financial Statements'!$BE$7/'Financial Statements'!$BD$7)^0.4</f>
        <v>471130.5721</v>
      </c>
      <c r="BI17" s="156"/>
    </row>
    <row r="18" ht="15.0" customHeight="1">
      <c r="A18" s="34"/>
      <c r="B18" s="241" t="s">
        <v>156</v>
      </c>
      <c r="C18" s="27"/>
      <c r="D18" s="240" t="s">
        <v>201</v>
      </c>
      <c r="E18" s="45"/>
      <c r="F18" s="45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>
        <f>Assumptions!E99</f>
        <v>45000</v>
      </c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6"/>
      <c r="BD18" s="157">
        <f t="shared" si="7"/>
        <v>0</v>
      </c>
      <c r="BE18" s="157">
        <f>SUM(S18:AC18)</f>
        <v>45000</v>
      </c>
      <c r="BF18" s="157">
        <f t="shared" si="9"/>
        <v>0</v>
      </c>
      <c r="BG18" s="157">
        <f t="shared" si="10"/>
        <v>0</v>
      </c>
      <c r="BH18" s="235">
        <v>0.0</v>
      </c>
      <c r="BI18" s="156"/>
    </row>
    <row r="19" ht="12.75" customHeight="1">
      <c r="A19" s="226"/>
      <c r="B19" s="214" t="s">
        <v>297</v>
      </c>
      <c r="C19" s="242"/>
      <c r="D19" s="243"/>
      <c r="E19" s="244"/>
      <c r="F19" s="244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>
        <f>R14+R15+R16</f>
        <v>168933</v>
      </c>
      <c r="S19" s="179">
        <f t="shared" ref="S19:BB19" si="11">sum(S14:S18)</f>
        <v>25000</v>
      </c>
      <c r="T19" s="179">
        <f t="shared" si="11"/>
        <v>25000</v>
      </c>
      <c r="U19" s="179">
        <f t="shared" si="11"/>
        <v>25000</v>
      </c>
      <c r="V19" s="179">
        <f t="shared" si="11"/>
        <v>25000</v>
      </c>
      <c r="W19" s="179">
        <f t="shared" si="11"/>
        <v>25000</v>
      </c>
      <c r="X19" s="179">
        <f t="shared" si="11"/>
        <v>25000</v>
      </c>
      <c r="Y19" s="179">
        <f t="shared" si="11"/>
        <v>25000</v>
      </c>
      <c r="Z19" s="179">
        <f t="shared" si="11"/>
        <v>25000</v>
      </c>
      <c r="AA19" s="179">
        <f t="shared" si="11"/>
        <v>25000</v>
      </c>
      <c r="AB19" s="179">
        <f t="shared" si="11"/>
        <v>125000</v>
      </c>
      <c r="AC19" s="179">
        <f t="shared" si="11"/>
        <v>70000</v>
      </c>
      <c r="AD19" s="179">
        <f t="shared" si="11"/>
        <v>25000</v>
      </c>
      <c r="AE19" s="179">
        <f t="shared" si="11"/>
        <v>32500</v>
      </c>
      <c r="AF19" s="179">
        <f t="shared" si="11"/>
        <v>32500</v>
      </c>
      <c r="AG19" s="179">
        <f t="shared" si="11"/>
        <v>32500</v>
      </c>
      <c r="AH19" s="179">
        <f t="shared" si="11"/>
        <v>32500</v>
      </c>
      <c r="AI19" s="179">
        <f t="shared" si="11"/>
        <v>32500</v>
      </c>
      <c r="AJ19" s="179">
        <f t="shared" si="11"/>
        <v>32500</v>
      </c>
      <c r="AK19" s="179">
        <f t="shared" si="11"/>
        <v>32500</v>
      </c>
      <c r="AL19" s="179">
        <f t="shared" si="11"/>
        <v>32500</v>
      </c>
      <c r="AM19" s="179">
        <f t="shared" si="11"/>
        <v>32500</v>
      </c>
      <c r="AN19" s="179">
        <f t="shared" si="11"/>
        <v>32500</v>
      </c>
      <c r="AO19" s="179">
        <f t="shared" si="11"/>
        <v>32500</v>
      </c>
      <c r="AP19" s="179">
        <f t="shared" si="11"/>
        <v>32500</v>
      </c>
      <c r="AQ19" s="179">
        <f t="shared" si="11"/>
        <v>42250</v>
      </c>
      <c r="AR19" s="179">
        <f t="shared" si="11"/>
        <v>42250</v>
      </c>
      <c r="AS19" s="179">
        <f t="shared" si="11"/>
        <v>42250</v>
      </c>
      <c r="AT19" s="179">
        <f t="shared" si="11"/>
        <v>42250</v>
      </c>
      <c r="AU19" s="179">
        <f t="shared" si="11"/>
        <v>42250</v>
      </c>
      <c r="AV19" s="179">
        <f t="shared" si="11"/>
        <v>42250</v>
      </c>
      <c r="AW19" s="179">
        <f t="shared" si="11"/>
        <v>42250</v>
      </c>
      <c r="AX19" s="179">
        <f t="shared" si="11"/>
        <v>42250</v>
      </c>
      <c r="AY19" s="179">
        <f t="shared" si="11"/>
        <v>42250</v>
      </c>
      <c r="AZ19" s="179">
        <f t="shared" si="11"/>
        <v>42250</v>
      </c>
      <c r="BA19" s="179">
        <f t="shared" si="11"/>
        <v>42250</v>
      </c>
      <c r="BB19" s="179">
        <f t="shared" si="11"/>
        <v>42250</v>
      </c>
      <c r="BC19" s="156"/>
      <c r="BD19" s="179">
        <f t="shared" si="7"/>
        <v>168933</v>
      </c>
      <c r="BE19" s="179">
        <f>SUM(S19:AD19)</f>
        <v>445000</v>
      </c>
      <c r="BF19" s="179">
        <f t="shared" si="9"/>
        <v>390000</v>
      </c>
      <c r="BG19" s="179">
        <f t="shared" si="10"/>
        <v>507000</v>
      </c>
      <c r="BH19" s="179">
        <f>sum(BH14:BH18)</f>
        <v>785217.6201</v>
      </c>
      <c r="BI19" s="156"/>
    </row>
    <row r="20">
      <c r="A20" s="34"/>
      <c r="B20" s="27"/>
      <c r="C20" s="27"/>
      <c r="D20" s="77"/>
      <c r="E20" s="27"/>
      <c r="F20" s="27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77"/>
      <c r="BE20" s="177">
        <f t="shared" ref="BE20:BH20" si="12">BE19/BD19-1</f>
        <v>1.634180415</v>
      </c>
      <c r="BF20" s="177">
        <f t="shared" si="12"/>
        <v>-0.1235955056</v>
      </c>
      <c r="BG20" s="177">
        <f t="shared" si="12"/>
        <v>0.3</v>
      </c>
      <c r="BH20" s="177">
        <f t="shared" si="12"/>
        <v>0.5487527024</v>
      </c>
      <c r="BI20" s="156"/>
    </row>
    <row r="21" ht="13.5" customHeight="1">
      <c r="A21" s="226"/>
      <c r="B21" s="204" t="s">
        <v>298</v>
      </c>
      <c r="C21" s="201"/>
      <c r="D21" s="239"/>
      <c r="E21" s="201"/>
      <c r="F21" s="20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1"/>
      <c r="AQ21" s="161"/>
      <c r="AR21" s="161"/>
      <c r="AS21" s="161"/>
      <c r="AT21" s="161"/>
      <c r="AU21" s="161"/>
      <c r="AV21" s="161"/>
      <c r="AW21" s="161"/>
      <c r="AX21" s="161"/>
      <c r="AY21" s="161"/>
      <c r="AZ21" s="161"/>
      <c r="BA21" s="161"/>
      <c r="BB21" s="161"/>
      <c r="BC21" s="156"/>
      <c r="BD21" s="161"/>
      <c r="BE21" s="161"/>
      <c r="BF21" s="161"/>
      <c r="BG21" s="161"/>
      <c r="BH21" s="161"/>
      <c r="BI21" s="156"/>
    </row>
    <row r="22" ht="15.0" customHeight="1">
      <c r="A22" s="34"/>
      <c r="B22" s="241" t="s">
        <v>299</v>
      </c>
      <c r="C22" s="27"/>
      <c r="D22" s="240"/>
      <c r="E22" s="223"/>
      <c r="F22" s="223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6"/>
      <c r="S22" s="157">
        <f t="array" ref="S22">INDEX(Assumptions!$E$91:$I$91,MATCH(YEAR(S$3),Assumptions!$E$88:$I$88,0))</f>
        <v>14000</v>
      </c>
      <c r="T22" s="157">
        <f t="array" ref="T22">INDEX(Assumptions!$E$91:$I$91,MATCH(YEAR(T$3),Assumptions!$E$88:$I$88,0))</f>
        <v>14000</v>
      </c>
      <c r="U22" s="157">
        <f t="array" ref="U22">INDEX(Assumptions!$E$91:$I$91,MATCH(YEAR(U$3),Assumptions!$E$88:$I$88,0))</f>
        <v>14000</v>
      </c>
      <c r="V22" s="157">
        <f t="array" ref="V22">INDEX(Assumptions!$E$91:$I$91,MATCH(YEAR(V$3),Assumptions!$E$88:$I$88,0))</f>
        <v>14000</v>
      </c>
      <c r="W22" s="157">
        <f t="array" ref="W22">INDEX(Assumptions!$E$91:$I$91,MATCH(YEAR(W$3),Assumptions!$E$88:$I$88,0))</f>
        <v>14000</v>
      </c>
      <c r="X22" s="157">
        <f t="array" ref="X22">INDEX(Assumptions!$E$91:$I$91,MATCH(YEAR(X$3),Assumptions!$E$88:$I$88,0))</f>
        <v>14000</v>
      </c>
      <c r="Y22" s="157">
        <f t="array" ref="Y22">INDEX(Assumptions!$E$91:$I$91,MATCH(YEAR(Y$3),Assumptions!$E$88:$I$88,0))</f>
        <v>14000</v>
      </c>
      <c r="Z22" s="157">
        <f t="array" ref="Z22">INDEX(Assumptions!$E$91:$I$91,MATCH(YEAR(Z$3),Assumptions!$E$88:$I$88,0))</f>
        <v>14000</v>
      </c>
      <c r="AA22" s="157">
        <f t="array" ref="AA22">INDEX(Assumptions!$E$91:$I$91,MATCH(YEAR(AA$3),Assumptions!$E$88:$I$88,0))</f>
        <v>14000</v>
      </c>
      <c r="AB22" s="157">
        <f t="array" ref="AB22">INDEX(Assumptions!$E$91:$I$91,MATCH(YEAR(AB$3),Assumptions!$E$88:$I$88,0))</f>
        <v>14000</v>
      </c>
      <c r="AC22" s="157">
        <f t="array" ref="AC22">INDEX(Assumptions!$E$91:$I$91,MATCH(YEAR(AC$3),Assumptions!$E$88:$I$88,0))</f>
        <v>14000</v>
      </c>
      <c r="AD22" s="157">
        <f t="array" ref="AD22">INDEX(Assumptions!$E$91:$I$91,MATCH(YEAR(AD$3),Assumptions!$E$88:$I$88,0))</f>
        <v>14000</v>
      </c>
      <c r="AE22" s="157">
        <f t="array" ref="AE22">INDEX(Assumptions!$E$91:$I$91,MATCH(YEAR(AE$3),Assumptions!$E$88:$I$88,0))</f>
        <v>18200</v>
      </c>
      <c r="AF22" s="157">
        <f t="array" ref="AF22">INDEX(Assumptions!$E$91:$I$91,MATCH(YEAR(AF$3),Assumptions!$E$88:$I$88,0))</f>
        <v>18200</v>
      </c>
      <c r="AG22" s="157">
        <f t="array" ref="AG22">INDEX(Assumptions!$E$91:$I$91,MATCH(YEAR(AG$3),Assumptions!$E$88:$I$88,0))</f>
        <v>18200</v>
      </c>
      <c r="AH22" s="157">
        <f t="array" ref="AH22">INDEX(Assumptions!$E$91:$I$91,MATCH(YEAR(AH$3),Assumptions!$E$88:$I$88,0))</f>
        <v>18200</v>
      </c>
      <c r="AI22" s="157">
        <f t="array" ref="AI22">INDEX(Assumptions!$E$91:$I$91,MATCH(YEAR(AI$3),Assumptions!$E$88:$I$88,0))</f>
        <v>18200</v>
      </c>
      <c r="AJ22" s="157">
        <f t="array" ref="AJ22">INDEX(Assumptions!$E$91:$I$91,MATCH(YEAR(AJ$3),Assumptions!$E$88:$I$88,0))</f>
        <v>18200</v>
      </c>
      <c r="AK22" s="157">
        <f t="array" ref="AK22">INDEX(Assumptions!$E$91:$I$91,MATCH(YEAR(AK$3),Assumptions!$E$88:$I$88,0))</f>
        <v>18200</v>
      </c>
      <c r="AL22" s="157">
        <f t="array" ref="AL22">INDEX(Assumptions!$E$91:$I$91,MATCH(YEAR(AL$3),Assumptions!$E$88:$I$88,0))</f>
        <v>18200</v>
      </c>
      <c r="AM22" s="157">
        <f t="array" ref="AM22">INDEX(Assumptions!$E$91:$I$91,MATCH(YEAR(AM$3),Assumptions!$E$88:$I$88,0))</f>
        <v>18200</v>
      </c>
      <c r="AN22" s="157">
        <f t="array" ref="AN22">INDEX(Assumptions!$E$91:$I$91,MATCH(YEAR(AN$3),Assumptions!$E$88:$I$88,0))</f>
        <v>18200</v>
      </c>
      <c r="AO22" s="157">
        <f t="array" ref="AO22">INDEX(Assumptions!$E$91:$I$91,MATCH(YEAR(AO$3),Assumptions!$E$88:$I$88,0))</f>
        <v>18200</v>
      </c>
      <c r="AP22" s="157">
        <f t="array" ref="AP22">INDEX(Assumptions!$E$91:$I$91,MATCH(YEAR(AP$3),Assumptions!$E$88:$I$88,0))</f>
        <v>18200</v>
      </c>
      <c r="AQ22" s="157">
        <f t="array" ref="AQ22">INDEX(Assumptions!$E$91:$I$91,MATCH(YEAR(AQ$3),Assumptions!$E$88:$I$88,0))</f>
        <v>23660</v>
      </c>
      <c r="AR22" s="157">
        <f t="array" ref="AR22">INDEX(Assumptions!$E$91:$I$91,MATCH(YEAR(AR$3),Assumptions!$E$88:$I$88,0))</f>
        <v>23660</v>
      </c>
      <c r="AS22" s="157">
        <f t="array" ref="AS22">INDEX(Assumptions!$E$91:$I$91,MATCH(YEAR(AS$3),Assumptions!$E$88:$I$88,0))</f>
        <v>23660</v>
      </c>
      <c r="AT22" s="157">
        <f t="array" ref="AT22">INDEX(Assumptions!$E$91:$I$91,MATCH(YEAR(AT$3),Assumptions!$E$88:$I$88,0))</f>
        <v>23660</v>
      </c>
      <c r="AU22" s="157">
        <f t="array" ref="AU22">INDEX(Assumptions!$E$91:$I$91,MATCH(YEAR(AU$3),Assumptions!$E$88:$I$88,0))</f>
        <v>23660</v>
      </c>
      <c r="AV22" s="157">
        <f t="array" ref="AV22">INDEX(Assumptions!$E$91:$I$91,MATCH(YEAR(AV$3),Assumptions!$E$88:$I$88,0))</f>
        <v>23660</v>
      </c>
      <c r="AW22" s="157">
        <f t="array" ref="AW22">INDEX(Assumptions!$E$91:$I$91,MATCH(YEAR(AW$3),Assumptions!$E$88:$I$88,0))</f>
        <v>23660</v>
      </c>
      <c r="AX22" s="157">
        <f t="array" ref="AX22">INDEX(Assumptions!$E$91:$I$91,MATCH(YEAR(AX$3),Assumptions!$E$88:$I$88,0))</f>
        <v>23660</v>
      </c>
      <c r="AY22" s="157">
        <f t="array" ref="AY22">INDEX(Assumptions!$E$91:$I$91,MATCH(YEAR(AY$3),Assumptions!$E$88:$I$88,0))</f>
        <v>23660</v>
      </c>
      <c r="AZ22" s="157">
        <f t="array" ref="AZ22">INDEX(Assumptions!$E$91:$I$91,MATCH(YEAR(AZ$3),Assumptions!$E$88:$I$88,0))</f>
        <v>23660</v>
      </c>
      <c r="BA22" s="157">
        <f t="array" ref="BA22">INDEX(Assumptions!$E$91:$I$91,MATCH(YEAR(BA$3),Assumptions!$E$88:$I$88,0))</f>
        <v>23660</v>
      </c>
      <c r="BB22" s="157">
        <f t="array" ref="BB22">INDEX(Assumptions!$E$91:$I$91,MATCH(YEAR(BB$3),Assumptions!$E$88:$I$88,0))</f>
        <v>23660</v>
      </c>
      <c r="BC22" s="156"/>
      <c r="BD22" s="157">
        <f t="shared" ref="BD22:BD26" si="13">SUM(G22:R22)</f>
        <v>0</v>
      </c>
      <c r="BE22" s="157">
        <f t="shared" ref="BE22:BE23" si="14">SUM(S22:AD22)</f>
        <v>168000</v>
      </c>
      <c r="BF22" s="157">
        <f t="shared" ref="BF22:BF26" si="15">SUM(AE22:AP22)</f>
        <v>218400</v>
      </c>
      <c r="BG22" s="157">
        <f t="shared" ref="BG22:BG26" si="16">SUM(AQ22:BB22)</f>
        <v>283920</v>
      </c>
      <c r="BH22" s="235">
        <f>BG22*('Financial Statements'!$BE$7/'Financial Statements'!$BD$7)^0.5</f>
        <v>490539.0468</v>
      </c>
      <c r="BI22" s="156"/>
    </row>
    <row r="23" ht="15.0" customHeight="1">
      <c r="A23" s="34"/>
      <c r="B23" s="241" t="s">
        <v>300</v>
      </c>
      <c r="C23" s="27"/>
      <c r="D23" s="240" t="s">
        <v>201</v>
      </c>
      <c r="E23" s="223"/>
      <c r="F23" s="223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6"/>
      <c r="S23" s="157">
        <v>7000.0</v>
      </c>
      <c r="T23" s="157">
        <v>7000.0</v>
      </c>
      <c r="U23" s="157">
        <v>7000.0</v>
      </c>
      <c r="V23" s="157">
        <v>7000.0</v>
      </c>
      <c r="W23" s="157">
        <v>7000.0</v>
      </c>
      <c r="X23" s="157">
        <v>7000.0</v>
      </c>
      <c r="Y23" s="157">
        <v>7000.0</v>
      </c>
      <c r="Z23" s="157">
        <v>7000.0</v>
      </c>
      <c r="AA23" s="157">
        <v>7000.0</v>
      </c>
      <c r="AB23" s="157">
        <v>10000.0</v>
      </c>
      <c r="AC23" s="157">
        <v>10000.0</v>
      </c>
      <c r="AD23" s="157">
        <v>10000.0</v>
      </c>
      <c r="AE23" s="157">
        <f>('Revenue Forecast'!AC6+'Revenue Forecast'!AC12)*VLOOKUP('Revenue Forecast'!AC33,Assumptions!$G$103:$H$110,2,TRUE)</f>
        <v>40800</v>
      </c>
      <c r="AF23" s="157">
        <f>('Revenue Forecast'!AD6+'Revenue Forecast'!AD12)*VLOOKUP('Revenue Forecast'!AD33,Assumptions!$G$103:$H$110,2,TRUE)</f>
        <v>45600</v>
      </c>
      <c r="AG23" s="157">
        <f>('Revenue Forecast'!AE6+'Revenue Forecast'!AE12)*VLOOKUP('Revenue Forecast'!AE33,Assumptions!$G$103:$H$110,2,TRUE)</f>
        <v>50400</v>
      </c>
      <c r="AH23" s="157">
        <f>('Revenue Forecast'!AF6+'Revenue Forecast'!AF12)*VLOOKUP('Revenue Forecast'!AF33,Assumptions!$G$103:$H$110,2,TRUE)</f>
        <v>55800</v>
      </c>
      <c r="AI23" s="157">
        <f>('Revenue Forecast'!AG6+'Revenue Forecast'!AG12)*VLOOKUP('Revenue Forecast'!AG33,Assumptions!$G$103:$H$110,2,TRUE)</f>
        <v>61200</v>
      </c>
      <c r="AJ23" s="157">
        <f>('Revenue Forecast'!AH6+'Revenue Forecast'!AH12)*VLOOKUP('Revenue Forecast'!AH33,Assumptions!$G$103:$H$110,2,TRUE)</f>
        <v>67200</v>
      </c>
      <c r="AK23" s="157">
        <f>('Revenue Forecast'!AI6+'Revenue Forecast'!AI12)*VLOOKUP('Revenue Forecast'!AI33,Assumptions!$G$103:$H$110,2,TRUE)</f>
        <v>74400</v>
      </c>
      <c r="AL23" s="157">
        <f>('Revenue Forecast'!AJ6+'Revenue Forecast'!AJ12)*VLOOKUP('Revenue Forecast'!AJ33,Assumptions!$G$103:$H$110,2,TRUE)</f>
        <v>82200</v>
      </c>
      <c r="AM23" s="157">
        <f>('Revenue Forecast'!AK6+'Revenue Forecast'!AK12)*VLOOKUP('Revenue Forecast'!AK33,Assumptions!$G$103:$H$110,2,TRUE)</f>
        <v>72480</v>
      </c>
      <c r="AN23" s="157">
        <f>('Revenue Forecast'!AL6+'Revenue Forecast'!AL12)*VLOOKUP('Revenue Forecast'!AL33,Assumptions!$G$103:$H$110,2,TRUE)</f>
        <v>80640</v>
      </c>
      <c r="AO23" s="157">
        <f>('Revenue Forecast'!AM6+'Revenue Forecast'!AM12)*VLOOKUP('Revenue Forecast'!AM33,Assumptions!$G$103:$H$110,2,TRUE)</f>
        <v>88800</v>
      </c>
      <c r="AP23" s="157">
        <f>('Revenue Forecast'!AN6+'Revenue Forecast'!AN12)*VLOOKUP('Revenue Forecast'!AN33,Assumptions!$G$103:$H$110,2,TRUE)</f>
        <v>98400</v>
      </c>
      <c r="AQ23" s="157">
        <f>('Revenue Forecast'!AO6+'Revenue Forecast'!AO12)*VLOOKUP('Revenue Forecast'!AO33,Assumptions!$G$103:$H$110,2,TRUE)</f>
        <v>86784</v>
      </c>
      <c r="AR23" s="157">
        <f>('Revenue Forecast'!AP6+'Revenue Forecast'!AP12)*VLOOKUP('Revenue Forecast'!AP33,Assumptions!$G$103:$H$110,2,TRUE)</f>
        <v>96000</v>
      </c>
      <c r="AS23" s="157">
        <f>('Revenue Forecast'!AQ6+'Revenue Forecast'!AQ12)*VLOOKUP('Revenue Forecast'!AQ33,Assumptions!$G$103:$H$110,2,TRUE)</f>
        <v>105984</v>
      </c>
      <c r="AT23" s="157">
        <f>('Revenue Forecast'!AR6+'Revenue Forecast'!AR12)*VLOOKUP('Revenue Forecast'!AR33,Assumptions!$G$103:$H$110,2,TRUE)</f>
        <v>116736</v>
      </c>
      <c r="AU23" s="157">
        <f>('Revenue Forecast'!AS6+'Revenue Forecast'!AS12)*VLOOKUP('Revenue Forecast'!AS33,Assumptions!$G$103:$H$110,2,TRUE)</f>
        <v>129408</v>
      </c>
      <c r="AV23" s="157">
        <f>('Revenue Forecast'!AT6+'Revenue Forecast'!AT12)*VLOOKUP('Revenue Forecast'!AT33,Assumptions!$G$103:$H$110,2,TRUE)</f>
        <v>114278.4</v>
      </c>
      <c r="AW23" s="157">
        <f>('Revenue Forecast'!AU6+'Revenue Forecast'!AU12)*VLOOKUP('Revenue Forecast'!AU33,Assumptions!$G$103:$H$110,2,TRUE)</f>
        <v>126566.4</v>
      </c>
      <c r="AX23" s="157">
        <f>('Revenue Forecast'!AV6+'Revenue Forecast'!AV12)*VLOOKUP('Revenue Forecast'!AV33,Assumptions!$G$103:$H$110,2,TRUE)</f>
        <v>140083.2</v>
      </c>
      <c r="AY23" s="157">
        <f>('Revenue Forecast'!AW6+'Revenue Forecast'!AW12)*VLOOKUP('Revenue Forecast'!AW33,Assumptions!$G$103:$H$110,2,TRUE)</f>
        <v>155136</v>
      </c>
      <c r="AZ23" s="157">
        <f>('Revenue Forecast'!AX6+'Revenue Forecast'!AX12)*VLOOKUP('Revenue Forecast'!AX33,Assumptions!$G$103:$H$110,2,TRUE)</f>
        <v>171724.8</v>
      </c>
      <c r="BA23" s="157">
        <f>('Revenue Forecast'!AY6+'Revenue Forecast'!AY12)*VLOOKUP('Revenue Forecast'!AY33,Assumptions!$G$103:$H$110,2,TRUE)</f>
        <v>189849.6</v>
      </c>
      <c r="BB23" s="157">
        <f>('Revenue Forecast'!AZ6+'Revenue Forecast'!AZ12)*VLOOKUP('Revenue Forecast'!AZ33,Assumptions!$G$103:$H$110,2,TRUE)</f>
        <v>168345.6</v>
      </c>
      <c r="BC23" s="156"/>
      <c r="BD23" s="157">
        <f t="shared" si="13"/>
        <v>0</v>
      </c>
      <c r="BE23" s="157">
        <f t="shared" si="14"/>
        <v>93000</v>
      </c>
      <c r="BF23" s="157">
        <f t="shared" si="15"/>
        <v>817920</v>
      </c>
      <c r="BG23" s="157">
        <f t="shared" si="16"/>
        <v>1600896</v>
      </c>
      <c r="BH23" s="157">
        <f>('Revenue Forecast'!BF6+'Revenue Forecast'!BF12)*VLOOKUP('Revenue Forecast'!BF33,Assumptions!$G$103:$H$110,2,TRUE)</f>
        <v>2457600</v>
      </c>
      <c r="BI23" s="156"/>
    </row>
    <row r="24" ht="15.0" customHeight="1">
      <c r="A24" s="34"/>
      <c r="B24" s="241" t="s">
        <v>153</v>
      </c>
      <c r="C24" s="27"/>
      <c r="D24" s="240" t="s">
        <v>201</v>
      </c>
      <c r="E24" s="45"/>
      <c r="F24" s="45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>
        <f>Assumptions!$E$96</f>
        <v>10000</v>
      </c>
      <c r="T24" s="157"/>
      <c r="U24" s="157"/>
      <c r="V24" s="157"/>
      <c r="W24" s="157"/>
      <c r="X24" s="157">
        <f>Assumptions!E96</f>
        <v>10000</v>
      </c>
      <c r="Y24" s="157"/>
      <c r="Z24" s="157"/>
      <c r="AA24" s="157"/>
      <c r="AB24" s="157"/>
      <c r="AC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6"/>
      <c r="BD24" s="157">
        <f t="shared" si="13"/>
        <v>10000</v>
      </c>
      <c r="BE24" s="157">
        <f>SUM(T24:AC24)</f>
        <v>10000</v>
      </c>
      <c r="BF24" s="157">
        <f t="shared" si="15"/>
        <v>0</v>
      </c>
      <c r="BG24" s="157">
        <f t="shared" si="16"/>
        <v>0</v>
      </c>
      <c r="BH24" s="235">
        <f>BG24*('Financial Statements'!$BE$7/'Financial Statements'!$BD$7)^0.5</f>
        <v>0</v>
      </c>
      <c r="BI24" s="156"/>
    </row>
    <row r="25" ht="15.0" customHeight="1">
      <c r="A25" s="34"/>
      <c r="B25" s="241" t="s">
        <v>154</v>
      </c>
      <c r="C25" s="27"/>
      <c r="D25" s="240" t="s">
        <v>201</v>
      </c>
      <c r="E25" s="45"/>
      <c r="F25" s="45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>
        <f>Assumptions!$E$97</f>
        <v>10000</v>
      </c>
      <c r="S25" s="157"/>
      <c r="T25" s="157"/>
      <c r="U25" s="157"/>
      <c r="V25" s="157"/>
      <c r="W25" s="157">
        <f>Assumptions!E97</f>
        <v>10000</v>
      </c>
      <c r="X25" s="157"/>
      <c r="Y25" s="157"/>
      <c r="Z25" s="157"/>
      <c r="AA25" s="157"/>
      <c r="AB25" s="157"/>
      <c r="AC25" s="157"/>
      <c r="AE25" s="157"/>
      <c r="AF25" s="157"/>
      <c r="AG25" s="157"/>
      <c r="AH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6"/>
      <c r="BD25" s="157">
        <f t="shared" si="13"/>
        <v>10000</v>
      </c>
      <c r="BE25" s="157">
        <f>SUM(S25:AH25)</f>
        <v>10000</v>
      </c>
      <c r="BF25" s="157">
        <f t="shared" si="15"/>
        <v>0</v>
      </c>
      <c r="BG25" s="157">
        <f t="shared" si="16"/>
        <v>0</v>
      </c>
      <c r="BH25" s="235">
        <f>BG25*('Financial Statements'!$BE$7/'Financial Statements'!$BD$7)^0.5</f>
        <v>0</v>
      </c>
      <c r="BI25" s="156"/>
    </row>
    <row r="26" ht="12.75" customHeight="1">
      <c r="A26" s="226"/>
      <c r="B26" s="214" t="s">
        <v>301</v>
      </c>
      <c r="C26" s="242"/>
      <c r="D26" s="243"/>
      <c r="E26" s="244"/>
      <c r="F26" s="244"/>
      <c r="G26" s="179">
        <f t="shared" ref="G26:R26" si="17">SUM(G23:G25)</f>
        <v>0</v>
      </c>
      <c r="H26" s="179">
        <f t="shared" si="17"/>
        <v>0</v>
      </c>
      <c r="I26" s="179">
        <f t="shared" si="17"/>
        <v>0</v>
      </c>
      <c r="J26" s="179">
        <f t="shared" si="17"/>
        <v>0</v>
      </c>
      <c r="K26" s="179">
        <f t="shared" si="17"/>
        <v>0</v>
      </c>
      <c r="L26" s="179">
        <f t="shared" si="17"/>
        <v>0</v>
      </c>
      <c r="M26" s="179">
        <f t="shared" si="17"/>
        <v>0</v>
      </c>
      <c r="N26" s="179">
        <f t="shared" si="17"/>
        <v>0</v>
      </c>
      <c r="O26" s="179">
        <f t="shared" si="17"/>
        <v>0</v>
      </c>
      <c r="P26" s="179">
        <f t="shared" si="17"/>
        <v>0</v>
      </c>
      <c r="Q26" s="179">
        <f t="shared" si="17"/>
        <v>0</v>
      </c>
      <c r="R26" s="179">
        <f t="shared" si="17"/>
        <v>20000</v>
      </c>
      <c r="S26" s="179">
        <f t="shared" ref="S26:BB26" si="18">sum(S22:S25)</f>
        <v>21000</v>
      </c>
      <c r="T26" s="179">
        <f t="shared" si="18"/>
        <v>21000</v>
      </c>
      <c r="U26" s="179">
        <f t="shared" si="18"/>
        <v>21000</v>
      </c>
      <c r="V26" s="179">
        <f t="shared" si="18"/>
        <v>21000</v>
      </c>
      <c r="W26" s="179">
        <f t="shared" si="18"/>
        <v>31000</v>
      </c>
      <c r="X26" s="179">
        <f t="shared" si="18"/>
        <v>31000</v>
      </c>
      <c r="Y26" s="179">
        <f t="shared" si="18"/>
        <v>21000</v>
      </c>
      <c r="Z26" s="179">
        <f t="shared" si="18"/>
        <v>21000</v>
      </c>
      <c r="AA26" s="179">
        <f t="shared" si="18"/>
        <v>21000</v>
      </c>
      <c r="AB26" s="179">
        <f t="shared" si="18"/>
        <v>24000</v>
      </c>
      <c r="AC26" s="179">
        <f t="shared" si="18"/>
        <v>24000</v>
      </c>
      <c r="AD26" s="179">
        <f t="shared" si="18"/>
        <v>24000</v>
      </c>
      <c r="AE26" s="179">
        <f t="shared" si="18"/>
        <v>59000</v>
      </c>
      <c r="AF26" s="179">
        <f t="shared" si="18"/>
        <v>63800</v>
      </c>
      <c r="AG26" s="179">
        <f t="shared" si="18"/>
        <v>68600</v>
      </c>
      <c r="AH26" s="179">
        <f t="shared" si="18"/>
        <v>74000</v>
      </c>
      <c r="AI26" s="179">
        <f t="shared" si="18"/>
        <v>79400</v>
      </c>
      <c r="AJ26" s="179">
        <f t="shared" si="18"/>
        <v>85400</v>
      </c>
      <c r="AK26" s="179">
        <f t="shared" si="18"/>
        <v>92600</v>
      </c>
      <c r="AL26" s="179">
        <f t="shared" si="18"/>
        <v>100400</v>
      </c>
      <c r="AM26" s="179">
        <f t="shared" si="18"/>
        <v>90680</v>
      </c>
      <c r="AN26" s="179">
        <f t="shared" si="18"/>
        <v>98840</v>
      </c>
      <c r="AO26" s="179">
        <f t="shared" si="18"/>
        <v>107000</v>
      </c>
      <c r="AP26" s="179">
        <f t="shared" si="18"/>
        <v>116600</v>
      </c>
      <c r="AQ26" s="179">
        <f t="shared" si="18"/>
        <v>110444</v>
      </c>
      <c r="AR26" s="179">
        <f t="shared" si="18"/>
        <v>119660</v>
      </c>
      <c r="AS26" s="179">
        <f t="shared" si="18"/>
        <v>129644</v>
      </c>
      <c r="AT26" s="179">
        <f t="shared" si="18"/>
        <v>140396</v>
      </c>
      <c r="AU26" s="179">
        <f t="shared" si="18"/>
        <v>153068</v>
      </c>
      <c r="AV26" s="179">
        <f t="shared" si="18"/>
        <v>137938.4</v>
      </c>
      <c r="AW26" s="179">
        <f t="shared" si="18"/>
        <v>150226.4</v>
      </c>
      <c r="AX26" s="179">
        <f t="shared" si="18"/>
        <v>163743.2</v>
      </c>
      <c r="AY26" s="179">
        <f t="shared" si="18"/>
        <v>178796</v>
      </c>
      <c r="AZ26" s="179">
        <f t="shared" si="18"/>
        <v>195384.8</v>
      </c>
      <c r="BA26" s="179">
        <f t="shared" si="18"/>
        <v>213509.6</v>
      </c>
      <c r="BB26" s="179">
        <f t="shared" si="18"/>
        <v>192005.6</v>
      </c>
      <c r="BC26" s="156"/>
      <c r="BD26" s="179">
        <f t="shared" si="13"/>
        <v>20000</v>
      </c>
      <c r="BE26" s="179">
        <f>SUM(S26:AD26)</f>
        <v>281000</v>
      </c>
      <c r="BF26" s="179">
        <f t="shared" si="15"/>
        <v>1036320</v>
      </c>
      <c r="BG26" s="179">
        <f t="shared" si="16"/>
        <v>1884816</v>
      </c>
      <c r="BH26" s="179">
        <f>sum(BH22:BH25)</f>
        <v>2948139.047</v>
      </c>
      <c r="BI26" s="156"/>
    </row>
    <row r="27" ht="15.75" customHeight="1">
      <c r="A27" s="34"/>
      <c r="B27" s="27"/>
      <c r="C27" s="27"/>
      <c r="D27" s="77"/>
      <c r="E27" s="27"/>
      <c r="F27" s="27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77">
        <f t="shared" ref="BE27:BH27" si="19">BE26/BD26-1</f>
        <v>13.05</v>
      </c>
      <c r="BF27" s="177">
        <f t="shared" si="19"/>
        <v>2.68797153</v>
      </c>
      <c r="BG27" s="177">
        <f t="shared" si="19"/>
        <v>0.8187586846</v>
      </c>
      <c r="BH27" s="177">
        <f t="shared" si="19"/>
        <v>0.5641521755</v>
      </c>
      <c r="BI27" s="156"/>
    </row>
    <row r="28" ht="13.5" customHeight="1">
      <c r="A28" s="226"/>
      <c r="B28" s="204" t="s">
        <v>302</v>
      </c>
      <c r="C28" s="201"/>
      <c r="D28" s="239"/>
      <c r="E28" s="201"/>
      <c r="F28" s="20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1"/>
      <c r="AU28" s="161"/>
      <c r="AV28" s="161"/>
      <c r="AW28" s="161"/>
      <c r="AX28" s="161"/>
      <c r="AY28" s="161"/>
      <c r="AZ28" s="161"/>
      <c r="BA28" s="161"/>
      <c r="BB28" s="161"/>
      <c r="BC28" s="156"/>
      <c r="BD28" s="161"/>
      <c r="BE28" s="161"/>
      <c r="BF28" s="161"/>
      <c r="BG28" s="161"/>
      <c r="BH28" s="161"/>
      <c r="BI28" s="156"/>
    </row>
    <row r="29" ht="15.75" customHeight="1">
      <c r="A29" s="34"/>
      <c r="B29" s="241" t="s">
        <v>141</v>
      </c>
      <c r="C29" s="27"/>
      <c r="D29" s="240" t="s">
        <v>201</v>
      </c>
      <c r="E29" s="223"/>
      <c r="F29" s="223"/>
      <c r="G29" s="157">
        <f>Assumptions!$E$89</f>
        <v>5000</v>
      </c>
      <c r="H29" s="157">
        <f>Assumptions!$E$89</f>
        <v>5000</v>
      </c>
      <c r="I29" s="157">
        <f>Assumptions!$E$89</f>
        <v>5000</v>
      </c>
      <c r="J29" s="157">
        <f>Assumptions!$E$89</f>
        <v>5000</v>
      </c>
      <c r="K29" s="157">
        <f>Assumptions!$E$89</f>
        <v>5000</v>
      </c>
      <c r="L29" s="157">
        <f>Assumptions!$E$89</f>
        <v>5000</v>
      </c>
      <c r="M29" s="157">
        <f>Assumptions!$E$89</f>
        <v>5000</v>
      </c>
      <c r="N29" s="157">
        <f>Assumptions!$E$89</f>
        <v>5000</v>
      </c>
      <c r="O29" s="157">
        <f>Assumptions!$E$89</f>
        <v>5000</v>
      </c>
      <c r="P29" s="157">
        <f>Assumptions!$E$89</f>
        <v>5000</v>
      </c>
      <c r="Q29" s="157">
        <f>Assumptions!$E$89</f>
        <v>5000</v>
      </c>
      <c r="R29" s="157">
        <f>Assumptions!$E$89</f>
        <v>5000</v>
      </c>
      <c r="S29" s="157">
        <f t="array" ref="S29">INDEX(Assumptions!$E$89:$I$89,MATCH(YEAR(S$3),Assumptions!$E$88:$I$88,0))</f>
        <v>5000</v>
      </c>
      <c r="T29" s="157">
        <f t="array" ref="T29">INDEX(Assumptions!$E$89:$I$89,MATCH(YEAR(T$3),Assumptions!$E$88:$I$88,0))</f>
        <v>5000</v>
      </c>
      <c r="U29" s="157">
        <f t="array" ref="U29">INDEX(Assumptions!$E$89:$I$89,MATCH(YEAR(U$3),Assumptions!$E$88:$I$88,0))</f>
        <v>5000</v>
      </c>
      <c r="V29" s="157">
        <f t="array" ref="V29">INDEX(Assumptions!$E$89:$I$89,MATCH(YEAR(V$3),Assumptions!$E$88:$I$88,0))</f>
        <v>5000</v>
      </c>
      <c r="W29" s="157">
        <f t="array" ref="W29">INDEX(Assumptions!$E$89:$I$89,MATCH(YEAR(W$3),Assumptions!$E$88:$I$88,0))</f>
        <v>5000</v>
      </c>
      <c r="X29" s="157">
        <f t="array" ref="X29">INDEX(Assumptions!$E$89:$I$89,MATCH(YEAR(X$3),Assumptions!$E$88:$I$88,0))</f>
        <v>5000</v>
      </c>
      <c r="Y29" s="157">
        <f t="array" ref="Y29">INDEX(Assumptions!$E$89:$I$89,MATCH(YEAR(Y$3),Assumptions!$E$88:$I$88,0))</f>
        <v>5000</v>
      </c>
      <c r="Z29" s="157">
        <f t="array" ref="Z29">INDEX(Assumptions!$E$89:$I$89,MATCH(YEAR(Z$3),Assumptions!$E$88:$I$88,0))</f>
        <v>5000</v>
      </c>
      <c r="AA29" s="157">
        <f t="array" ref="AA29">INDEX(Assumptions!$E$89:$I$89,MATCH(YEAR(AA$3),Assumptions!$E$88:$I$88,0))</f>
        <v>5000</v>
      </c>
      <c r="AB29" s="157">
        <f t="array" ref="AB29">INDEX(Assumptions!$E$89:$I$89,MATCH(YEAR(AB$3),Assumptions!$E$88:$I$88,0))</f>
        <v>5000</v>
      </c>
      <c r="AC29" s="157">
        <f t="array" ref="AC29">INDEX(Assumptions!$E$89:$I$89,MATCH(YEAR(AC$3),Assumptions!$E$88:$I$88,0))</f>
        <v>5000</v>
      </c>
      <c r="AD29" s="157">
        <f t="array" ref="AD29">INDEX(Assumptions!$E$89:$I$89,MATCH(YEAR(AD$3),Assumptions!$E$88:$I$88,0))</f>
        <v>5000</v>
      </c>
      <c r="AE29" s="157">
        <f t="array" ref="AE29">INDEX(Assumptions!$E$89:$I$89,MATCH(YEAR(AE$3),Assumptions!$E$88:$I$88,0))</f>
        <v>6500</v>
      </c>
      <c r="AF29" s="157">
        <f t="array" ref="AF29">INDEX(Assumptions!$E$89:$I$89,MATCH(YEAR(AF$3),Assumptions!$E$88:$I$88,0))</f>
        <v>6500</v>
      </c>
      <c r="AG29" s="157">
        <f t="array" ref="AG29">INDEX(Assumptions!$E$89:$I$89,MATCH(YEAR(AG$3),Assumptions!$E$88:$I$88,0))</f>
        <v>6500</v>
      </c>
      <c r="AH29" s="157">
        <f t="array" ref="AH29">INDEX(Assumptions!$E$89:$I$89,MATCH(YEAR(AH$3),Assumptions!$E$88:$I$88,0))</f>
        <v>6500</v>
      </c>
      <c r="AI29" s="157">
        <f t="array" ref="AI29">INDEX(Assumptions!$E$89:$I$89,MATCH(YEAR(AI$3),Assumptions!$E$88:$I$88,0))</f>
        <v>6500</v>
      </c>
      <c r="AJ29" s="157">
        <f t="array" ref="AJ29">INDEX(Assumptions!$E$89:$I$89,MATCH(YEAR(AJ$3),Assumptions!$E$88:$I$88,0))</f>
        <v>6500</v>
      </c>
      <c r="AK29" s="157">
        <f t="array" ref="AK29">INDEX(Assumptions!$E$89:$I$89,MATCH(YEAR(AK$3),Assumptions!$E$88:$I$88,0))</f>
        <v>6500</v>
      </c>
      <c r="AL29" s="157">
        <f t="array" ref="AL29">INDEX(Assumptions!$E$89:$I$89,MATCH(YEAR(AL$3),Assumptions!$E$88:$I$88,0))</f>
        <v>6500</v>
      </c>
      <c r="AM29" s="157">
        <f t="array" ref="AM29">INDEX(Assumptions!$E$89:$I$89,MATCH(YEAR(AM$3),Assumptions!$E$88:$I$88,0))</f>
        <v>6500</v>
      </c>
      <c r="AN29" s="157">
        <f t="array" ref="AN29">INDEX(Assumptions!$E$89:$I$89,MATCH(YEAR(AN$3),Assumptions!$E$88:$I$88,0))</f>
        <v>6500</v>
      </c>
      <c r="AO29" s="157">
        <f t="array" ref="AO29">INDEX(Assumptions!$E$89:$I$89,MATCH(YEAR(AO$3),Assumptions!$E$88:$I$88,0))</f>
        <v>6500</v>
      </c>
      <c r="AP29" s="157">
        <f t="array" ref="AP29">INDEX(Assumptions!$E$89:$I$89,MATCH(YEAR(AP$3),Assumptions!$E$88:$I$88,0))</f>
        <v>6500</v>
      </c>
      <c r="AQ29" s="157">
        <f t="array" ref="AQ29">INDEX(Assumptions!$E$89:$I$89,MATCH(YEAR(AQ$3),Assumptions!$E$88:$I$88,0))</f>
        <v>8450</v>
      </c>
      <c r="AR29" s="157">
        <f t="array" ref="AR29">INDEX(Assumptions!$E$89:$I$89,MATCH(YEAR(AR$3),Assumptions!$E$88:$I$88,0))</f>
        <v>8450</v>
      </c>
      <c r="AS29" s="157">
        <f t="array" ref="AS29">INDEX(Assumptions!$E$89:$I$89,MATCH(YEAR(AS$3),Assumptions!$E$88:$I$88,0))</f>
        <v>8450</v>
      </c>
      <c r="AT29" s="157">
        <f t="array" ref="AT29">INDEX(Assumptions!$E$89:$I$89,MATCH(YEAR(AT$3),Assumptions!$E$88:$I$88,0))</f>
        <v>8450</v>
      </c>
      <c r="AU29" s="157">
        <f t="array" ref="AU29">INDEX(Assumptions!$E$89:$I$89,MATCH(YEAR(AU$3),Assumptions!$E$88:$I$88,0))</f>
        <v>8450</v>
      </c>
      <c r="AV29" s="157">
        <f t="array" ref="AV29">INDEX(Assumptions!$E$89:$I$89,MATCH(YEAR(AV$3),Assumptions!$E$88:$I$88,0))</f>
        <v>8450</v>
      </c>
      <c r="AW29" s="157">
        <f t="array" ref="AW29">INDEX(Assumptions!$E$89:$I$89,MATCH(YEAR(AW$3),Assumptions!$E$88:$I$88,0))</f>
        <v>8450</v>
      </c>
      <c r="AX29" s="157">
        <f t="array" ref="AX29">INDEX(Assumptions!$E$89:$I$89,MATCH(YEAR(AX$3),Assumptions!$E$88:$I$88,0))</f>
        <v>8450</v>
      </c>
      <c r="AY29" s="157">
        <f t="array" ref="AY29">INDEX(Assumptions!$E$89:$I$89,MATCH(YEAR(AY$3),Assumptions!$E$88:$I$88,0))</f>
        <v>8450</v>
      </c>
      <c r="AZ29" s="157">
        <f t="array" ref="AZ29">INDEX(Assumptions!$E$89:$I$89,MATCH(YEAR(AZ$3),Assumptions!$E$88:$I$88,0))</f>
        <v>8450</v>
      </c>
      <c r="BA29" s="157">
        <f t="array" ref="BA29">INDEX(Assumptions!$E$89:$I$89,MATCH(YEAR(BA$3),Assumptions!$E$88:$I$88,0))</f>
        <v>8450</v>
      </c>
      <c r="BB29" s="157">
        <f t="array" ref="BB29">INDEX(Assumptions!$E$89:$I$89,MATCH(YEAR(BB$3),Assumptions!$E$88:$I$88,0))</f>
        <v>8450</v>
      </c>
      <c r="BC29" s="156"/>
      <c r="BD29" s="157">
        <f t="shared" ref="BD29:BD32" si="20">SUM(G29:R29)</f>
        <v>60000</v>
      </c>
      <c r="BE29" s="157">
        <f t="shared" ref="BE29:BE32" si="21">SUM(S29:AD29)</f>
        <v>60000</v>
      </c>
      <c r="BF29" s="157">
        <f t="shared" ref="BF29:BF32" si="22">SUM(AE29:AP29)</f>
        <v>78000</v>
      </c>
      <c r="BG29" s="157">
        <f t="shared" ref="BG29:BG32" si="23">SUM(AQ29:BB29)</f>
        <v>101400</v>
      </c>
      <c r="BH29" s="235">
        <f>BG29*('Financial Statements'!$BE$7/'Financial Statements'!$BD$7)^0.2</f>
        <v>126191.1777</v>
      </c>
      <c r="BI29" s="156"/>
    </row>
    <row r="30" ht="15.75" customHeight="1">
      <c r="A30" s="34"/>
      <c r="B30" s="241" t="s">
        <v>144</v>
      </c>
      <c r="C30" s="27"/>
      <c r="D30" s="240" t="s">
        <v>201</v>
      </c>
      <c r="E30" s="223"/>
      <c r="F30" s="223"/>
      <c r="G30" s="157">
        <f>Assumptions!$E$90</f>
        <v>7000</v>
      </c>
      <c r="H30" s="157">
        <f>Assumptions!$E$90</f>
        <v>7000</v>
      </c>
      <c r="I30" s="157">
        <f>Assumptions!$E$90</f>
        <v>7000</v>
      </c>
      <c r="J30" s="157">
        <f>Assumptions!$E$90</f>
        <v>7000</v>
      </c>
      <c r="K30" s="157">
        <f>Assumptions!$E$90</f>
        <v>7000</v>
      </c>
      <c r="L30" s="157">
        <f>Assumptions!$E$90</f>
        <v>7000</v>
      </c>
      <c r="M30" s="157">
        <f>Assumptions!$E$90</f>
        <v>7000</v>
      </c>
      <c r="N30" s="157">
        <f>Assumptions!$E$90</f>
        <v>7000</v>
      </c>
      <c r="O30" s="157">
        <f>Assumptions!$E$90</f>
        <v>7000</v>
      </c>
      <c r="P30" s="157">
        <f>Assumptions!$E$90</f>
        <v>7000</v>
      </c>
      <c r="Q30" s="157">
        <f>Assumptions!$E$90</f>
        <v>7000</v>
      </c>
      <c r="R30" s="157">
        <f>Assumptions!$E$90</f>
        <v>7000</v>
      </c>
      <c r="S30" s="157">
        <f t="array" ref="S30">INDEX(Assumptions!$E$90:$I$90,MATCH(YEAR(S$3),Assumptions!$E$88:$I$88,0))</f>
        <v>7000</v>
      </c>
      <c r="T30" s="157">
        <f t="array" ref="T30">INDEX(Assumptions!$E$90:$I$90,MATCH(YEAR(T$3),Assumptions!$E$88:$I$88,0))</f>
        <v>7000</v>
      </c>
      <c r="U30" s="157">
        <f t="array" ref="U30">INDEX(Assumptions!$E$90:$I$90,MATCH(YEAR(U$3),Assumptions!$E$88:$I$88,0))</f>
        <v>7000</v>
      </c>
      <c r="V30" s="157">
        <f t="array" ref="V30">INDEX(Assumptions!$E$90:$I$90,MATCH(YEAR(V$3),Assumptions!$E$88:$I$88,0))</f>
        <v>7000</v>
      </c>
      <c r="W30" s="157">
        <f t="array" ref="W30">INDEX(Assumptions!$E$90:$I$90,MATCH(YEAR(W$3),Assumptions!$E$88:$I$88,0))</f>
        <v>7000</v>
      </c>
      <c r="X30" s="157">
        <f t="array" ref="X30">INDEX(Assumptions!$E$90:$I$90,MATCH(YEAR(X$3),Assumptions!$E$88:$I$88,0))</f>
        <v>7000</v>
      </c>
      <c r="Y30" s="157">
        <f t="array" ref="Y30">INDEX(Assumptions!$E$90:$I$90,MATCH(YEAR(Y$3),Assumptions!$E$88:$I$88,0))</f>
        <v>7000</v>
      </c>
      <c r="Z30" s="157">
        <f t="array" ref="Z30">INDEX(Assumptions!$E$90:$I$90,MATCH(YEAR(Z$3),Assumptions!$E$88:$I$88,0))</f>
        <v>7000</v>
      </c>
      <c r="AA30" s="157">
        <f t="array" ref="AA30">INDEX(Assumptions!$E$90:$I$90,MATCH(YEAR(AA$3),Assumptions!$E$88:$I$88,0))</f>
        <v>7000</v>
      </c>
      <c r="AB30" s="157">
        <f t="array" ref="AB30">INDEX(Assumptions!$E$90:$I$90,MATCH(YEAR(AB$3),Assumptions!$E$88:$I$88,0))</f>
        <v>7000</v>
      </c>
      <c r="AC30" s="157">
        <f t="array" ref="AC30">INDEX(Assumptions!$E$90:$I$90,MATCH(YEAR(AC$3),Assumptions!$E$88:$I$88,0))</f>
        <v>7000</v>
      </c>
      <c r="AD30" s="157">
        <f t="array" ref="AD30">INDEX(Assumptions!$E$90:$I$90,MATCH(YEAR(AD$3),Assumptions!$E$88:$I$88,0))</f>
        <v>7000</v>
      </c>
      <c r="AE30" s="157">
        <f t="array" ref="AE30">INDEX(Assumptions!$E$90:$I$90,MATCH(YEAR(AE$3),Assumptions!$E$88:$I$88,0))</f>
        <v>9100</v>
      </c>
      <c r="AF30" s="157">
        <f t="array" ref="AF30">INDEX(Assumptions!$E$90:$I$90,MATCH(YEAR(AF$3),Assumptions!$E$88:$I$88,0))</f>
        <v>9100</v>
      </c>
      <c r="AG30" s="157">
        <f t="array" ref="AG30">INDEX(Assumptions!$E$90:$I$90,MATCH(YEAR(AG$3),Assumptions!$E$88:$I$88,0))</f>
        <v>9100</v>
      </c>
      <c r="AH30" s="157">
        <f t="array" ref="AH30">INDEX(Assumptions!$E$90:$I$90,MATCH(YEAR(AH$3),Assumptions!$E$88:$I$88,0))</f>
        <v>9100</v>
      </c>
      <c r="AI30" s="157">
        <f t="array" ref="AI30">INDEX(Assumptions!$E$90:$I$90,MATCH(YEAR(AI$3),Assumptions!$E$88:$I$88,0))</f>
        <v>9100</v>
      </c>
      <c r="AJ30" s="157">
        <f t="array" ref="AJ30">INDEX(Assumptions!$E$90:$I$90,MATCH(YEAR(AJ$3),Assumptions!$E$88:$I$88,0))</f>
        <v>9100</v>
      </c>
      <c r="AK30" s="157">
        <f t="array" ref="AK30">INDEX(Assumptions!$E$90:$I$90,MATCH(YEAR(AK$3),Assumptions!$E$88:$I$88,0))</f>
        <v>9100</v>
      </c>
      <c r="AL30" s="157">
        <f t="array" ref="AL30">INDEX(Assumptions!$E$90:$I$90,MATCH(YEAR(AL$3),Assumptions!$E$88:$I$88,0))</f>
        <v>9100</v>
      </c>
      <c r="AM30" s="157">
        <f t="array" ref="AM30">INDEX(Assumptions!$E$90:$I$90,MATCH(YEAR(AM$3),Assumptions!$E$88:$I$88,0))</f>
        <v>9100</v>
      </c>
      <c r="AN30" s="157">
        <f t="array" ref="AN30">INDEX(Assumptions!$E$90:$I$90,MATCH(YEAR(AN$3),Assumptions!$E$88:$I$88,0))</f>
        <v>9100</v>
      </c>
      <c r="AO30" s="157">
        <f t="array" ref="AO30">INDEX(Assumptions!$E$90:$I$90,MATCH(YEAR(AO$3),Assumptions!$E$88:$I$88,0))</f>
        <v>9100</v>
      </c>
      <c r="AP30" s="157">
        <f t="array" ref="AP30">INDEX(Assumptions!$E$90:$I$90,MATCH(YEAR(AP$3),Assumptions!$E$88:$I$88,0))</f>
        <v>9100</v>
      </c>
      <c r="AQ30" s="157">
        <f t="array" ref="AQ30">INDEX(Assumptions!$E$90:$I$90,MATCH(YEAR(AQ$3),Assumptions!$E$88:$I$88,0))</f>
        <v>11830</v>
      </c>
      <c r="AR30" s="157">
        <f t="array" ref="AR30">INDEX(Assumptions!$E$90:$I$90,MATCH(YEAR(AR$3),Assumptions!$E$88:$I$88,0))</f>
        <v>11830</v>
      </c>
      <c r="AS30" s="157">
        <f t="array" ref="AS30">INDEX(Assumptions!$E$90:$I$90,MATCH(YEAR(AS$3),Assumptions!$E$88:$I$88,0))</f>
        <v>11830</v>
      </c>
      <c r="AT30" s="157">
        <f t="array" ref="AT30">INDEX(Assumptions!$E$90:$I$90,MATCH(YEAR(AT$3),Assumptions!$E$88:$I$88,0))</f>
        <v>11830</v>
      </c>
      <c r="AU30" s="157">
        <f t="array" ref="AU30">INDEX(Assumptions!$E$90:$I$90,MATCH(YEAR(AU$3),Assumptions!$E$88:$I$88,0))</f>
        <v>11830</v>
      </c>
      <c r="AV30" s="157">
        <f t="array" ref="AV30">INDEX(Assumptions!$E$90:$I$90,MATCH(YEAR(AV$3),Assumptions!$E$88:$I$88,0))</f>
        <v>11830</v>
      </c>
      <c r="AW30" s="157">
        <f t="array" ref="AW30">INDEX(Assumptions!$E$90:$I$90,MATCH(YEAR(AW$3),Assumptions!$E$88:$I$88,0))</f>
        <v>11830</v>
      </c>
      <c r="AX30" s="157">
        <f t="array" ref="AX30">INDEX(Assumptions!$E$90:$I$90,MATCH(YEAR(AX$3),Assumptions!$E$88:$I$88,0))</f>
        <v>11830</v>
      </c>
      <c r="AY30" s="157">
        <f t="array" ref="AY30">INDEX(Assumptions!$E$90:$I$90,MATCH(YEAR(AY$3),Assumptions!$E$88:$I$88,0))</f>
        <v>11830</v>
      </c>
      <c r="AZ30" s="157">
        <f t="array" ref="AZ30">INDEX(Assumptions!$E$90:$I$90,MATCH(YEAR(AZ$3),Assumptions!$E$88:$I$88,0))</f>
        <v>11830</v>
      </c>
      <c r="BA30" s="157">
        <f t="array" ref="BA30">INDEX(Assumptions!$E$90:$I$90,MATCH(YEAR(BA$3),Assumptions!$E$88:$I$88,0))</f>
        <v>11830</v>
      </c>
      <c r="BB30" s="157">
        <f t="array" ref="BB30">INDEX(Assumptions!$E$90:$I$90,MATCH(YEAR(BB$3),Assumptions!$E$88:$I$88,0))</f>
        <v>11830</v>
      </c>
      <c r="BC30" s="156"/>
      <c r="BD30" s="157">
        <f t="shared" si="20"/>
        <v>84000</v>
      </c>
      <c r="BE30" s="157">
        <f t="shared" si="21"/>
        <v>84000</v>
      </c>
      <c r="BF30" s="157">
        <f t="shared" si="22"/>
        <v>109200</v>
      </c>
      <c r="BG30" s="157">
        <f t="shared" si="23"/>
        <v>141960</v>
      </c>
      <c r="BH30" s="235">
        <f>BG30*('Financial Statements'!$BE$7/'Financial Statements'!$BD$7)^0.2</f>
        <v>176667.6488</v>
      </c>
      <c r="BI30" s="156"/>
    </row>
    <row r="31" ht="15.75" customHeight="1">
      <c r="A31" s="34"/>
      <c r="B31" s="241" t="s">
        <v>147</v>
      </c>
      <c r="C31" s="27"/>
      <c r="D31" s="240" t="s">
        <v>201</v>
      </c>
      <c r="E31" s="223"/>
      <c r="F31" s="223"/>
      <c r="G31" s="157">
        <f>Assumptions!$E$92</f>
        <v>8000</v>
      </c>
      <c r="H31" s="157">
        <f>Assumptions!$E$92</f>
        <v>8000</v>
      </c>
      <c r="I31" s="157">
        <f>Assumptions!$E$92</f>
        <v>8000</v>
      </c>
      <c r="J31" s="157">
        <f>Assumptions!$E$92</f>
        <v>8000</v>
      </c>
      <c r="K31" s="157">
        <f>Assumptions!$E$92</f>
        <v>8000</v>
      </c>
      <c r="L31" s="157">
        <f>Assumptions!$E$92</f>
        <v>8000</v>
      </c>
      <c r="M31" s="157">
        <f>Assumptions!$E$92</f>
        <v>8000</v>
      </c>
      <c r="N31" s="157">
        <f>Assumptions!$E$92</f>
        <v>8000</v>
      </c>
      <c r="O31" s="157">
        <f>Assumptions!$E$92</f>
        <v>8000</v>
      </c>
      <c r="P31" s="157">
        <f>Assumptions!$E$92</f>
        <v>8000</v>
      </c>
      <c r="Q31" s="157">
        <f>Assumptions!$E$92</f>
        <v>8000</v>
      </c>
      <c r="R31" s="157">
        <f>Assumptions!$E$92</f>
        <v>8000</v>
      </c>
      <c r="S31" s="157">
        <f t="array" ref="S31">INDEX(Assumptions!$E$92:$I$92,MATCH(YEAR(S$3),Assumptions!$E$88:$I$88,0))</f>
        <v>8000</v>
      </c>
      <c r="T31" s="157">
        <f t="array" ref="T31">INDEX(Assumptions!$E$92:$I$92,MATCH(YEAR(T$3),Assumptions!$E$88:$I$88,0))</f>
        <v>8000</v>
      </c>
      <c r="U31" s="157">
        <f t="array" ref="U31">INDEX(Assumptions!$E$92:$I$92,MATCH(YEAR(U$3),Assumptions!$E$88:$I$88,0))</f>
        <v>8000</v>
      </c>
      <c r="V31" s="157">
        <f t="array" ref="V31">INDEX(Assumptions!$E$92:$I$92,MATCH(YEAR(V$3),Assumptions!$E$88:$I$88,0))</f>
        <v>8000</v>
      </c>
      <c r="W31" s="157">
        <f t="array" ref="W31">INDEX(Assumptions!$E$92:$I$92,MATCH(YEAR(W$3),Assumptions!$E$88:$I$88,0))</f>
        <v>8000</v>
      </c>
      <c r="X31" s="157">
        <f t="array" ref="X31">INDEX(Assumptions!$E$92:$I$92,MATCH(YEAR(X$3),Assumptions!$E$88:$I$88,0))</f>
        <v>8000</v>
      </c>
      <c r="Y31" s="157">
        <f t="array" ref="Y31">INDEX(Assumptions!$E$92:$I$92,MATCH(YEAR(Y$3),Assumptions!$E$88:$I$88,0))</f>
        <v>8000</v>
      </c>
      <c r="Z31" s="157">
        <f t="array" ref="Z31">INDEX(Assumptions!$E$92:$I$92,MATCH(YEAR(Z$3),Assumptions!$E$88:$I$88,0))</f>
        <v>8000</v>
      </c>
      <c r="AA31" s="157">
        <f t="array" ref="AA31">INDEX(Assumptions!$E$92:$I$92,MATCH(YEAR(AA$3),Assumptions!$E$88:$I$88,0))</f>
        <v>8000</v>
      </c>
      <c r="AB31" s="157">
        <f t="array" ref="AB31">INDEX(Assumptions!$E$92:$I$92,MATCH(YEAR(AB$3),Assumptions!$E$88:$I$88,0))</f>
        <v>8000</v>
      </c>
      <c r="AC31" s="157">
        <f t="array" ref="AC31">INDEX(Assumptions!$E$92:$I$92,MATCH(YEAR(AC$3),Assumptions!$E$88:$I$88,0))</f>
        <v>8000</v>
      </c>
      <c r="AD31" s="157">
        <f t="array" ref="AD31">INDEX(Assumptions!$E$92:$I$92,MATCH(YEAR(AD$3),Assumptions!$E$88:$I$88,0))</f>
        <v>8000</v>
      </c>
      <c r="AE31" s="157">
        <f t="array" ref="AE31">INDEX(Assumptions!$E$92:$I$92,MATCH(YEAR(AE$3),Assumptions!$E$88:$I$88,0))</f>
        <v>10400</v>
      </c>
      <c r="AF31" s="157">
        <f t="array" ref="AF31">INDEX(Assumptions!$E$92:$I$92,MATCH(YEAR(AF$3),Assumptions!$E$88:$I$88,0))</f>
        <v>10400</v>
      </c>
      <c r="AG31" s="157">
        <f t="array" ref="AG31">INDEX(Assumptions!$E$92:$I$92,MATCH(YEAR(AG$3),Assumptions!$E$88:$I$88,0))</f>
        <v>10400</v>
      </c>
      <c r="AH31" s="157">
        <f t="array" ref="AH31">INDEX(Assumptions!$E$92:$I$92,MATCH(YEAR(AH$3),Assumptions!$E$88:$I$88,0))</f>
        <v>10400</v>
      </c>
      <c r="AI31" s="157">
        <f t="array" ref="AI31">INDEX(Assumptions!$E$92:$I$92,MATCH(YEAR(AI$3),Assumptions!$E$88:$I$88,0))</f>
        <v>10400</v>
      </c>
      <c r="AJ31" s="157">
        <f t="array" ref="AJ31">INDEX(Assumptions!$E$92:$I$92,MATCH(YEAR(AJ$3),Assumptions!$E$88:$I$88,0))</f>
        <v>10400</v>
      </c>
      <c r="AK31" s="157">
        <f t="array" ref="AK31">INDEX(Assumptions!$E$92:$I$92,MATCH(YEAR(AK$3),Assumptions!$E$88:$I$88,0))</f>
        <v>10400</v>
      </c>
      <c r="AL31" s="157">
        <f t="array" ref="AL31">INDEX(Assumptions!$E$92:$I$92,MATCH(YEAR(AL$3),Assumptions!$E$88:$I$88,0))</f>
        <v>10400</v>
      </c>
      <c r="AM31" s="157">
        <f t="array" ref="AM31">INDEX(Assumptions!$E$92:$I$92,MATCH(YEAR(AM$3),Assumptions!$E$88:$I$88,0))</f>
        <v>10400</v>
      </c>
      <c r="AN31" s="157">
        <f t="array" ref="AN31">INDEX(Assumptions!$E$92:$I$92,MATCH(YEAR(AN$3),Assumptions!$E$88:$I$88,0))</f>
        <v>10400</v>
      </c>
      <c r="AO31" s="157">
        <f t="array" ref="AO31">INDEX(Assumptions!$E$92:$I$92,MATCH(YEAR(AO$3),Assumptions!$E$88:$I$88,0))</f>
        <v>10400</v>
      </c>
      <c r="AP31" s="157">
        <f t="array" ref="AP31">INDEX(Assumptions!$E$92:$I$92,MATCH(YEAR(AP$3),Assumptions!$E$88:$I$88,0))</f>
        <v>10400</v>
      </c>
      <c r="AQ31" s="157">
        <f t="array" ref="AQ31">INDEX(Assumptions!$E$92:$I$92,MATCH(YEAR(AQ$3),Assumptions!$E$88:$I$88,0))</f>
        <v>13520</v>
      </c>
      <c r="AR31" s="157">
        <f t="array" ref="AR31">INDEX(Assumptions!$E$92:$I$92,MATCH(YEAR(AR$3),Assumptions!$E$88:$I$88,0))</f>
        <v>13520</v>
      </c>
      <c r="AS31" s="157">
        <f t="array" ref="AS31">INDEX(Assumptions!$E$92:$I$92,MATCH(YEAR(AS$3),Assumptions!$E$88:$I$88,0))</f>
        <v>13520</v>
      </c>
      <c r="AT31" s="157">
        <f t="array" ref="AT31">INDEX(Assumptions!$E$92:$I$92,MATCH(YEAR(AT$3),Assumptions!$E$88:$I$88,0))</f>
        <v>13520</v>
      </c>
      <c r="AU31" s="157">
        <f t="array" ref="AU31">INDEX(Assumptions!$E$92:$I$92,MATCH(YEAR(AU$3),Assumptions!$E$88:$I$88,0))</f>
        <v>13520</v>
      </c>
      <c r="AV31" s="157">
        <f t="array" ref="AV31">INDEX(Assumptions!$E$92:$I$92,MATCH(YEAR(AV$3),Assumptions!$E$88:$I$88,0))</f>
        <v>13520</v>
      </c>
      <c r="AW31" s="157">
        <f t="array" ref="AW31">INDEX(Assumptions!$E$92:$I$92,MATCH(YEAR(AW$3),Assumptions!$E$88:$I$88,0))</f>
        <v>13520</v>
      </c>
      <c r="AX31" s="157">
        <f t="array" ref="AX31">INDEX(Assumptions!$E$92:$I$92,MATCH(YEAR(AX$3),Assumptions!$E$88:$I$88,0))</f>
        <v>13520</v>
      </c>
      <c r="AY31" s="157">
        <f t="array" ref="AY31">INDEX(Assumptions!$E$92:$I$92,MATCH(YEAR(AY$3),Assumptions!$E$88:$I$88,0))</f>
        <v>13520</v>
      </c>
      <c r="AZ31" s="157">
        <f t="array" ref="AZ31">INDEX(Assumptions!$E$92:$I$92,MATCH(YEAR(AZ$3),Assumptions!$E$88:$I$88,0))</f>
        <v>13520</v>
      </c>
      <c r="BA31" s="157">
        <f t="array" ref="BA31">INDEX(Assumptions!$E$92:$I$92,MATCH(YEAR(BA$3),Assumptions!$E$88:$I$88,0))</f>
        <v>13520</v>
      </c>
      <c r="BB31" s="157">
        <f t="array" ref="BB31">INDEX(Assumptions!$E$92:$I$92,MATCH(YEAR(BB$3),Assumptions!$E$88:$I$88,0))</f>
        <v>13520</v>
      </c>
      <c r="BC31" s="156"/>
      <c r="BD31" s="157">
        <f t="shared" si="20"/>
        <v>96000</v>
      </c>
      <c r="BE31" s="157">
        <f t="shared" si="21"/>
        <v>96000</v>
      </c>
      <c r="BF31" s="157">
        <f t="shared" si="22"/>
        <v>124800</v>
      </c>
      <c r="BG31" s="157">
        <f t="shared" si="23"/>
        <v>162240</v>
      </c>
      <c r="BH31" s="235">
        <f>BG31*('Financial Statements'!$BE$7/'Financial Statements'!$BD$7)^0.2</f>
        <v>201905.8844</v>
      </c>
      <c r="BI31" s="156"/>
    </row>
    <row r="32" ht="12.75" customHeight="1">
      <c r="A32" s="226"/>
      <c r="B32" s="214" t="s">
        <v>303</v>
      </c>
      <c r="C32" s="242"/>
      <c r="D32" s="243"/>
      <c r="E32" s="244"/>
      <c r="F32" s="244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>
        <f t="shared" ref="S32:BB32" si="24">sum(S29:S31)</f>
        <v>20000</v>
      </c>
      <c r="T32" s="179">
        <f t="shared" si="24"/>
        <v>20000</v>
      </c>
      <c r="U32" s="179">
        <f t="shared" si="24"/>
        <v>20000</v>
      </c>
      <c r="V32" s="179">
        <f t="shared" si="24"/>
        <v>20000</v>
      </c>
      <c r="W32" s="179">
        <f t="shared" si="24"/>
        <v>20000</v>
      </c>
      <c r="X32" s="179">
        <f t="shared" si="24"/>
        <v>20000</v>
      </c>
      <c r="Y32" s="179">
        <f t="shared" si="24"/>
        <v>20000</v>
      </c>
      <c r="Z32" s="179">
        <f t="shared" si="24"/>
        <v>20000</v>
      </c>
      <c r="AA32" s="179">
        <f t="shared" si="24"/>
        <v>20000</v>
      </c>
      <c r="AB32" s="179">
        <f t="shared" si="24"/>
        <v>20000</v>
      </c>
      <c r="AC32" s="179">
        <f t="shared" si="24"/>
        <v>20000</v>
      </c>
      <c r="AD32" s="179">
        <f t="shared" si="24"/>
        <v>20000</v>
      </c>
      <c r="AE32" s="179">
        <f t="shared" si="24"/>
        <v>26000</v>
      </c>
      <c r="AF32" s="179">
        <f t="shared" si="24"/>
        <v>26000</v>
      </c>
      <c r="AG32" s="179">
        <f t="shared" si="24"/>
        <v>26000</v>
      </c>
      <c r="AH32" s="179">
        <f t="shared" si="24"/>
        <v>26000</v>
      </c>
      <c r="AI32" s="179">
        <f t="shared" si="24"/>
        <v>26000</v>
      </c>
      <c r="AJ32" s="179">
        <f t="shared" si="24"/>
        <v>26000</v>
      </c>
      <c r="AK32" s="179">
        <f t="shared" si="24"/>
        <v>26000</v>
      </c>
      <c r="AL32" s="179">
        <f t="shared" si="24"/>
        <v>26000</v>
      </c>
      <c r="AM32" s="179">
        <f t="shared" si="24"/>
        <v>26000</v>
      </c>
      <c r="AN32" s="179">
        <f t="shared" si="24"/>
        <v>26000</v>
      </c>
      <c r="AO32" s="179">
        <f t="shared" si="24"/>
        <v>26000</v>
      </c>
      <c r="AP32" s="179">
        <f t="shared" si="24"/>
        <v>26000</v>
      </c>
      <c r="AQ32" s="179">
        <f t="shared" si="24"/>
        <v>33800</v>
      </c>
      <c r="AR32" s="179">
        <f t="shared" si="24"/>
        <v>33800</v>
      </c>
      <c r="AS32" s="179">
        <f t="shared" si="24"/>
        <v>33800</v>
      </c>
      <c r="AT32" s="179">
        <f t="shared" si="24"/>
        <v>33800</v>
      </c>
      <c r="AU32" s="179">
        <f t="shared" si="24"/>
        <v>33800</v>
      </c>
      <c r="AV32" s="179">
        <f t="shared" si="24"/>
        <v>33800</v>
      </c>
      <c r="AW32" s="179">
        <f t="shared" si="24"/>
        <v>33800</v>
      </c>
      <c r="AX32" s="179">
        <f t="shared" si="24"/>
        <v>33800</v>
      </c>
      <c r="AY32" s="179">
        <f t="shared" si="24"/>
        <v>33800</v>
      </c>
      <c r="AZ32" s="179">
        <f t="shared" si="24"/>
        <v>33800</v>
      </c>
      <c r="BA32" s="179">
        <f t="shared" si="24"/>
        <v>33800</v>
      </c>
      <c r="BB32" s="179">
        <f t="shared" si="24"/>
        <v>33800</v>
      </c>
      <c r="BC32" s="156"/>
      <c r="BD32" s="179">
        <f t="shared" si="20"/>
        <v>0</v>
      </c>
      <c r="BE32" s="179">
        <f t="shared" si="21"/>
        <v>240000</v>
      </c>
      <c r="BF32" s="179">
        <f t="shared" si="22"/>
        <v>312000</v>
      </c>
      <c r="BG32" s="179">
        <f t="shared" si="23"/>
        <v>405600</v>
      </c>
      <c r="BH32" s="179">
        <f>sum(BH29:BH31)</f>
        <v>504764.7109</v>
      </c>
      <c r="BI32" s="156"/>
    </row>
    <row r="33" ht="15.75" customHeight="1">
      <c r="A33" s="34"/>
      <c r="B33" s="27"/>
      <c r="C33" s="27"/>
      <c r="D33" s="77"/>
      <c r="E33" s="27"/>
      <c r="F33" s="27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  <c r="BI33" s="156"/>
    </row>
    <row r="34" ht="15.75" customHeight="1">
      <c r="A34" s="245"/>
      <c r="B34" s="135" t="s">
        <v>304</v>
      </c>
      <c r="C34" s="222"/>
      <c r="D34" s="246" t="s">
        <v>201</v>
      </c>
      <c r="E34" s="222"/>
      <c r="F34" s="222"/>
      <c r="G34" s="168">
        <f t="shared" ref="G34:BB34" si="25">G32+G26+G19</f>
        <v>0</v>
      </c>
      <c r="H34" s="168">
        <f t="shared" si="25"/>
        <v>0</v>
      </c>
      <c r="I34" s="168">
        <f t="shared" si="25"/>
        <v>0</v>
      </c>
      <c r="J34" s="168">
        <f t="shared" si="25"/>
        <v>0</v>
      </c>
      <c r="K34" s="168">
        <f t="shared" si="25"/>
        <v>0</v>
      </c>
      <c r="L34" s="168">
        <f t="shared" si="25"/>
        <v>0</v>
      </c>
      <c r="M34" s="168">
        <f t="shared" si="25"/>
        <v>0</v>
      </c>
      <c r="N34" s="168">
        <f t="shared" si="25"/>
        <v>0</v>
      </c>
      <c r="O34" s="168">
        <f t="shared" si="25"/>
        <v>0</v>
      </c>
      <c r="P34" s="168">
        <f t="shared" si="25"/>
        <v>0</v>
      </c>
      <c r="Q34" s="168">
        <f t="shared" si="25"/>
        <v>0</v>
      </c>
      <c r="R34" s="168">
        <f t="shared" si="25"/>
        <v>188933</v>
      </c>
      <c r="S34" s="168">
        <f t="shared" si="25"/>
        <v>66000</v>
      </c>
      <c r="T34" s="168">
        <f t="shared" si="25"/>
        <v>66000</v>
      </c>
      <c r="U34" s="168">
        <f t="shared" si="25"/>
        <v>66000</v>
      </c>
      <c r="V34" s="168">
        <f t="shared" si="25"/>
        <v>66000</v>
      </c>
      <c r="W34" s="168">
        <f t="shared" si="25"/>
        <v>76000</v>
      </c>
      <c r="X34" s="168">
        <f t="shared" si="25"/>
        <v>76000</v>
      </c>
      <c r="Y34" s="168">
        <f t="shared" si="25"/>
        <v>66000</v>
      </c>
      <c r="Z34" s="168">
        <f t="shared" si="25"/>
        <v>66000</v>
      </c>
      <c r="AA34" s="168">
        <f t="shared" si="25"/>
        <v>66000</v>
      </c>
      <c r="AB34" s="168">
        <f t="shared" si="25"/>
        <v>169000</v>
      </c>
      <c r="AC34" s="168">
        <f t="shared" si="25"/>
        <v>114000</v>
      </c>
      <c r="AD34" s="168">
        <f t="shared" si="25"/>
        <v>69000</v>
      </c>
      <c r="AE34" s="168">
        <f t="shared" si="25"/>
        <v>117500</v>
      </c>
      <c r="AF34" s="168">
        <f t="shared" si="25"/>
        <v>122300</v>
      </c>
      <c r="AG34" s="168">
        <f t="shared" si="25"/>
        <v>127100</v>
      </c>
      <c r="AH34" s="168">
        <f t="shared" si="25"/>
        <v>132500</v>
      </c>
      <c r="AI34" s="168">
        <f t="shared" si="25"/>
        <v>137900</v>
      </c>
      <c r="AJ34" s="168">
        <f t="shared" si="25"/>
        <v>143900</v>
      </c>
      <c r="AK34" s="168">
        <f t="shared" si="25"/>
        <v>151100</v>
      </c>
      <c r="AL34" s="168">
        <f t="shared" si="25"/>
        <v>158900</v>
      </c>
      <c r="AM34" s="168">
        <f t="shared" si="25"/>
        <v>149180</v>
      </c>
      <c r="AN34" s="168">
        <f t="shared" si="25"/>
        <v>157340</v>
      </c>
      <c r="AO34" s="168">
        <f t="shared" si="25"/>
        <v>165500</v>
      </c>
      <c r="AP34" s="168">
        <f t="shared" si="25"/>
        <v>175100</v>
      </c>
      <c r="AQ34" s="168">
        <f t="shared" si="25"/>
        <v>186494</v>
      </c>
      <c r="AR34" s="168">
        <f t="shared" si="25"/>
        <v>195710</v>
      </c>
      <c r="AS34" s="168">
        <f t="shared" si="25"/>
        <v>205694</v>
      </c>
      <c r="AT34" s="168">
        <f t="shared" si="25"/>
        <v>216446</v>
      </c>
      <c r="AU34" s="168">
        <f t="shared" si="25"/>
        <v>229118</v>
      </c>
      <c r="AV34" s="168">
        <f t="shared" si="25"/>
        <v>213988.4</v>
      </c>
      <c r="AW34" s="168">
        <f t="shared" si="25"/>
        <v>226276.4</v>
      </c>
      <c r="AX34" s="168">
        <f t="shared" si="25"/>
        <v>239793.2</v>
      </c>
      <c r="AY34" s="168">
        <f t="shared" si="25"/>
        <v>254846</v>
      </c>
      <c r="AZ34" s="168">
        <f t="shared" si="25"/>
        <v>271434.8</v>
      </c>
      <c r="BA34" s="168">
        <f t="shared" si="25"/>
        <v>289559.6</v>
      </c>
      <c r="BB34" s="168">
        <f t="shared" si="25"/>
        <v>268055.6</v>
      </c>
      <c r="BC34" s="205"/>
      <c r="BD34" s="168">
        <f>SUM(G34:R34)</f>
        <v>188933</v>
      </c>
      <c r="BE34" s="168">
        <f>SUM(S34:AD34)</f>
        <v>966000</v>
      </c>
      <c r="BF34" s="168">
        <f>SUM(AE34:AP34)</f>
        <v>1738320</v>
      </c>
      <c r="BG34" s="168">
        <f>SUM(AQ34:BB34)</f>
        <v>2797416</v>
      </c>
      <c r="BH34" s="168">
        <f>BH32+BH26+BH19</f>
        <v>4238121.378</v>
      </c>
      <c r="BI34" s="205"/>
    </row>
    <row r="35" ht="15.75" customHeight="1">
      <c r="A35" s="35"/>
      <c r="B35" s="247"/>
      <c r="C35" s="35"/>
      <c r="D35" s="248"/>
      <c r="E35" s="249"/>
      <c r="F35" s="249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  <c r="AV35" s="250"/>
      <c r="AW35" s="250"/>
      <c r="AX35" s="250"/>
      <c r="AY35" s="250"/>
      <c r="AZ35" s="250"/>
      <c r="BA35" s="250"/>
      <c r="BB35" s="250"/>
      <c r="BC35" s="205"/>
      <c r="BD35" s="250"/>
      <c r="BE35" s="250"/>
      <c r="BF35" s="250"/>
      <c r="BG35" s="250"/>
      <c r="BH35" s="250"/>
      <c r="BI35" s="205"/>
    </row>
    <row r="36" ht="15.75" customHeight="1">
      <c r="A36" s="245"/>
      <c r="B36" s="135" t="s">
        <v>305</v>
      </c>
      <c r="C36" s="222"/>
      <c r="D36" s="246" t="s">
        <v>201</v>
      </c>
      <c r="E36" s="222"/>
      <c r="F36" s="222"/>
      <c r="G36" s="168">
        <f t="shared" ref="G36:BB36" si="26">G34+G9</f>
        <v>0</v>
      </c>
      <c r="H36" s="168">
        <f t="shared" si="26"/>
        <v>0</v>
      </c>
      <c r="I36" s="168">
        <f t="shared" si="26"/>
        <v>0</v>
      </c>
      <c r="J36" s="168">
        <f t="shared" si="26"/>
        <v>0</v>
      </c>
      <c r="K36" s="168">
        <f t="shared" si="26"/>
        <v>0</v>
      </c>
      <c r="L36" s="168">
        <f t="shared" si="26"/>
        <v>0</v>
      </c>
      <c r="M36" s="168">
        <f t="shared" si="26"/>
        <v>0</v>
      </c>
      <c r="N36" s="168">
        <f t="shared" si="26"/>
        <v>0</v>
      </c>
      <c r="O36" s="168">
        <f t="shared" si="26"/>
        <v>59000</v>
      </c>
      <c r="P36" s="168">
        <f t="shared" si="26"/>
        <v>59000</v>
      </c>
      <c r="Q36" s="168">
        <f t="shared" si="26"/>
        <v>59000</v>
      </c>
      <c r="R36" s="168">
        <f t="shared" si="26"/>
        <v>247933</v>
      </c>
      <c r="S36" s="168">
        <f t="shared" si="26"/>
        <v>128520</v>
      </c>
      <c r="T36" s="168">
        <f t="shared" si="26"/>
        <v>139320</v>
      </c>
      <c r="U36" s="168">
        <f t="shared" si="26"/>
        <v>139320</v>
      </c>
      <c r="V36" s="168">
        <f t="shared" si="26"/>
        <v>139320</v>
      </c>
      <c r="W36" s="168">
        <f t="shared" si="26"/>
        <v>149320</v>
      </c>
      <c r="X36" s="168">
        <f t="shared" si="26"/>
        <v>149320</v>
      </c>
      <c r="Y36" s="168">
        <f t="shared" si="26"/>
        <v>147320</v>
      </c>
      <c r="Z36" s="168">
        <f t="shared" si="26"/>
        <v>171320</v>
      </c>
      <c r="AA36" s="168">
        <f t="shared" si="26"/>
        <v>180240</v>
      </c>
      <c r="AB36" s="168">
        <f t="shared" si="26"/>
        <v>295840</v>
      </c>
      <c r="AC36" s="168">
        <f t="shared" si="26"/>
        <v>240840</v>
      </c>
      <c r="AD36" s="168">
        <f t="shared" si="26"/>
        <v>195840</v>
      </c>
      <c r="AE36" s="168">
        <f t="shared" si="26"/>
        <v>282147.2</v>
      </c>
      <c r="AF36" s="168">
        <f t="shared" si="26"/>
        <v>286947.2</v>
      </c>
      <c r="AG36" s="168">
        <f t="shared" si="26"/>
        <v>291747.2</v>
      </c>
      <c r="AH36" s="168">
        <f t="shared" si="26"/>
        <v>297147.2</v>
      </c>
      <c r="AI36" s="168">
        <f t="shared" si="26"/>
        <v>302547.2</v>
      </c>
      <c r="AJ36" s="168">
        <f t="shared" si="26"/>
        <v>315047.2</v>
      </c>
      <c r="AK36" s="168">
        <f t="shared" si="26"/>
        <v>322887.2</v>
      </c>
      <c r="AL36" s="168">
        <f t="shared" si="26"/>
        <v>332607.2</v>
      </c>
      <c r="AM36" s="168">
        <f t="shared" si="26"/>
        <v>322887.2</v>
      </c>
      <c r="AN36" s="168">
        <f t="shared" si="26"/>
        <v>332327.2</v>
      </c>
      <c r="AO36" s="168">
        <f t="shared" si="26"/>
        <v>340487.2</v>
      </c>
      <c r="AP36" s="168">
        <f t="shared" si="26"/>
        <v>350087.2</v>
      </c>
      <c r="AQ36" s="168">
        <f t="shared" si="26"/>
        <v>385812.976</v>
      </c>
      <c r="AR36" s="168">
        <f t="shared" si="26"/>
        <v>410028.976</v>
      </c>
      <c r="AS36" s="168">
        <f t="shared" si="26"/>
        <v>420012.976</v>
      </c>
      <c r="AT36" s="168">
        <f t="shared" si="26"/>
        <v>430764.976</v>
      </c>
      <c r="AU36" s="168">
        <f t="shared" si="26"/>
        <v>443436.976</v>
      </c>
      <c r="AV36" s="168">
        <f t="shared" si="26"/>
        <v>428827.376</v>
      </c>
      <c r="AW36" s="168">
        <f t="shared" si="26"/>
        <v>441806.576</v>
      </c>
      <c r="AX36" s="168">
        <f t="shared" si="26"/>
        <v>457396.976</v>
      </c>
      <c r="AY36" s="168">
        <f t="shared" si="26"/>
        <v>472449.776</v>
      </c>
      <c r="AZ36" s="168">
        <f t="shared" si="26"/>
        <v>490420.976</v>
      </c>
      <c r="BA36" s="168">
        <f t="shared" si="26"/>
        <v>508545.776</v>
      </c>
      <c r="BB36" s="168">
        <f t="shared" si="26"/>
        <v>487041.776</v>
      </c>
      <c r="BC36" s="205"/>
      <c r="BD36" s="168">
        <f>SUM(G36:R36)</f>
        <v>424933</v>
      </c>
      <c r="BE36" s="168">
        <f>SUM(S36:AD36)</f>
        <v>2076520</v>
      </c>
      <c r="BF36" s="168">
        <f>SUM(AE36:AP36)</f>
        <v>3776866.4</v>
      </c>
      <c r="BG36" s="168">
        <f>SUM(AQ36:BB36)</f>
        <v>5376546.112</v>
      </c>
      <c r="BH36" s="168">
        <f>BH34+BH9</f>
        <v>8382479.459</v>
      </c>
      <c r="BI36" s="205"/>
    </row>
    <row r="37" ht="15.75" customHeight="1">
      <c r="A37" s="85"/>
      <c r="B37" s="55"/>
      <c r="C37" s="55"/>
      <c r="D37" s="82"/>
      <c r="E37" s="55"/>
      <c r="F37" s="5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  <c r="AQ37" s="205"/>
      <c r="AR37" s="205"/>
      <c r="AS37" s="205"/>
      <c r="AT37" s="205"/>
      <c r="AU37" s="205"/>
      <c r="AV37" s="205"/>
      <c r="AW37" s="205"/>
      <c r="AX37" s="205"/>
      <c r="AY37" s="205"/>
      <c r="AZ37" s="205"/>
      <c r="BA37" s="205"/>
      <c r="BB37" s="205"/>
      <c r="BC37" s="205"/>
      <c r="BD37" s="205"/>
      <c r="BE37" s="205"/>
      <c r="BF37" s="205"/>
      <c r="BG37" s="205"/>
      <c r="BH37" s="205"/>
      <c r="BI37" s="205"/>
    </row>
    <row r="38" ht="15.75" customHeight="1">
      <c r="A38" s="245"/>
      <c r="B38" s="135" t="s">
        <v>297</v>
      </c>
      <c r="C38" s="222"/>
      <c r="D38" s="246" t="s">
        <v>201</v>
      </c>
      <c r="E38" s="222"/>
      <c r="F38" s="222"/>
      <c r="G38" s="168">
        <f t="shared" ref="G38:BB38" si="27">G19+G6</f>
        <v>0</v>
      </c>
      <c r="H38" s="168">
        <f t="shared" si="27"/>
        <v>0</v>
      </c>
      <c r="I38" s="168">
        <f t="shared" si="27"/>
        <v>0</v>
      </c>
      <c r="J38" s="168">
        <f t="shared" si="27"/>
        <v>0</v>
      </c>
      <c r="K38" s="168">
        <f t="shared" si="27"/>
        <v>0</v>
      </c>
      <c r="L38" s="168">
        <f t="shared" si="27"/>
        <v>0</v>
      </c>
      <c r="M38" s="168">
        <f t="shared" si="27"/>
        <v>0</v>
      </c>
      <c r="N38" s="168">
        <f t="shared" si="27"/>
        <v>0</v>
      </c>
      <c r="O38" s="168">
        <f t="shared" si="27"/>
        <v>47500</v>
      </c>
      <c r="P38" s="168">
        <f t="shared" si="27"/>
        <v>47500</v>
      </c>
      <c r="Q38" s="168">
        <f t="shared" si="27"/>
        <v>47500</v>
      </c>
      <c r="R38" s="168">
        <f t="shared" si="27"/>
        <v>216433</v>
      </c>
      <c r="S38" s="168">
        <f t="shared" si="27"/>
        <v>75700</v>
      </c>
      <c r="T38" s="168">
        <f t="shared" si="27"/>
        <v>75700</v>
      </c>
      <c r="U38" s="168">
        <f t="shared" si="27"/>
        <v>75700</v>
      </c>
      <c r="V38" s="168">
        <f t="shared" si="27"/>
        <v>75700</v>
      </c>
      <c r="W38" s="168">
        <f t="shared" si="27"/>
        <v>75700</v>
      </c>
      <c r="X38" s="168">
        <f t="shared" si="27"/>
        <v>75700</v>
      </c>
      <c r="Y38" s="168">
        <f t="shared" si="27"/>
        <v>83700</v>
      </c>
      <c r="Z38" s="168">
        <f t="shared" si="27"/>
        <v>89700</v>
      </c>
      <c r="AA38" s="168">
        <f t="shared" si="27"/>
        <v>93700</v>
      </c>
      <c r="AB38" s="168">
        <f t="shared" si="27"/>
        <v>194620</v>
      </c>
      <c r="AC38" s="168">
        <f t="shared" si="27"/>
        <v>139620</v>
      </c>
      <c r="AD38" s="168">
        <f t="shared" si="27"/>
        <v>94620</v>
      </c>
      <c r="AE38" s="168">
        <f t="shared" si="27"/>
        <v>127069.6</v>
      </c>
      <c r="AF38" s="168">
        <f t="shared" si="27"/>
        <v>127069.6</v>
      </c>
      <c r="AG38" s="168">
        <f t="shared" si="27"/>
        <v>127069.6</v>
      </c>
      <c r="AH38" s="168">
        <f t="shared" si="27"/>
        <v>127069.6</v>
      </c>
      <c r="AI38" s="168">
        <f t="shared" si="27"/>
        <v>127069.6</v>
      </c>
      <c r="AJ38" s="168">
        <f t="shared" si="27"/>
        <v>133569.6</v>
      </c>
      <c r="AK38" s="168">
        <f t="shared" si="27"/>
        <v>134209.6</v>
      </c>
      <c r="AL38" s="168">
        <f t="shared" si="27"/>
        <v>134689.6</v>
      </c>
      <c r="AM38" s="168">
        <f t="shared" si="27"/>
        <v>134689.6</v>
      </c>
      <c r="AN38" s="168">
        <f t="shared" si="27"/>
        <v>134689.6</v>
      </c>
      <c r="AO38" s="168">
        <f t="shared" si="27"/>
        <v>134689.6</v>
      </c>
      <c r="AP38" s="168">
        <f t="shared" si="27"/>
        <v>134689.6</v>
      </c>
      <c r="AQ38" s="168">
        <f t="shared" si="27"/>
        <v>150885.168</v>
      </c>
      <c r="AR38" s="168">
        <f t="shared" si="27"/>
        <v>150885.168</v>
      </c>
      <c r="AS38" s="168">
        <f t="shared" si="27"/>
        <v>150885.168</v>
      </c>
      <c r="AT38" s="168">
        <f t="shared" si="27"/>
        <v>150885.168</v>
      </c>
      <c r="AU38" s="168">
        <f t="shared" si="27"/>
        <v>150885.168</v>
      </c>
      <c r="AV38" s="168">
        <f t="shared" si="27"/>
        <v>151405.168</v>
      </c>
      <c r="AW38" s="168">
        <f t="shared" si="27"/>
        <v>152096.368</v>
      </c>
      <c r="AX38" s="168">
        <f t="shared" si="27"/>
        <v>152614.768</v>
      </c>
      <c r="AY38" s="168">
        <f t="shared" si="27"/>
        <v>152614.768</v>
      </c>
      <c r="AZ38" s="168">
        <f t="shared" si="27"/>
        <v>152614.768</v>
      </c>
      <c r="BA38" s="168">
        <f t="shared" si="27"/>
        <v>152614.768</v>
      </c>
      <c r="BB38" s="168">
        <f t="shared" si="27"/>
        <v>152614.768</v>
      </c>
      <c r="BC38" s="205"/>
      <c r="BD38" s="168">
        <f t="shared" ref="BD38:BH38" si="28">BD19+BD6</f>
        <v>358933</v>
      </c>
      <c r="BE38" s="168">
        <f t="shared" si="28"/>
        <v>1150160</v>
      </c>
      <c r="BF38" s="168">
        <f t="shared" si="28"/>
        <v>1576575.2</v>
      </c>
      <c r="BG38" s="168">
        <f t="shared" si="28"/>
        <v>1821001.216</v>
      </c>
      <c r="BH38" s="168">
        <f t="shared" si="28"/>
        <v>3055465.943</v>
      </c>
      <c r="BI38" s="205"/>
    </row>
    <row r="39" ht="15.75" customHeight="1">
      <c r="A39" s="245"/>
      <c r="B39" s="135" t="s">
        <v>301</v>
      </c>
      <c r="C39" s="222"/>
      <c r="D39" s="246" t="s">
        <v>201</v>
      </c>
      <c r="E39" s="222"/>
      <c r="F39" s="222"/>
      <c r="G39" s="168">
        <f t="shared" ref="G39:BB39" si="29">G26+G7</f>
        <v>0</v>
      </c>
      <c r="H39" s="168">
        <f t="shared" si="29"/>
        <v>0</v>
      </c>
      <c r="I39" s="168">
        <f t="shared" si="29"/>
        <v>0</v>
      </c>
      <c r="J39" s="168">
        <f t="shared" si="29"/>
        <v>0</v>
      </c>
      <c r="K39" s="168">
        <f t="shared" si="29"/>
        <v>0</v>
      </c>
      <c r="L39" s="168">
        <f t="shared" si="29"/>
        <v>0</v>
      </c>
      <c r="M39" s="168">
        <f t="shared" si="29"/>
        <v>0</v>
      </c>
      <c r="N39" s="168">
        <f t="shared" si="29"/>
        <v>0</v>
      </c>
      <c r="O39" s="168">
        <f t="shared" si="29"/>
        <v>0</v>
      </c>
      <c r="P39" s="168">
        <f t="shared" si="29"/>
        <v>0</v>
      </c>
      <c r="Q39" s="168">
        <f t="shared" si="29"/>
        <v>0</v>
      </c>
      <c r="R39" s="168">
        <f t="shared" si="29"/>
        <v>20000</v>
      </c>
      <c r="S39" s="168">
        <f t="shared" si="29"/>
        <v>21000</v>
      </c>
      <c r="T39" s="168">
        <f t="shared" si="29"/>
        <v>31800</v>
      </c>
      <c r="U39" s="168">
        <f t="shared" si="29"/>
        <v>31800</v>
      </c>
      <c r="V39" s="168">
        <f t="shared" si="29"/>
        <v>31800</v>
      </c>
      <c r="W39" s="168">
        <f t="shared" si="29"/>
        <v>41800</v>
      </c>
      <c r="X39" s="168">
        <f t="shared" si="29"/>
        <v>41800</v>
      </c>
      <c r="Y39" s="168">
        <f t="shared" si="29"/>
        <v>31800</v>
      </c>
      <c r="Z39" s="168">
        <f t="shared" si="29"/>
        <v>40800</v>
      </c>
      <c r="AA39" s="168">
        <f t="shared" si="29"/>
        <v>40800</v>
      </c>
      <c r="AB39" s="168">
        <f t="shared" si="29"/>
        <v>50300</v>
      </c>
      <c r="AC39" s="168">
        <f t="shared" si="29"/>
        <v>50300</v>
      </c>
      <c r="AD39" s="168">
        <f t="shared" si="29"/>
        <v>50300</v>
      </c>
      <c r="AE39" s="168">
        <f t="shared" si="29"/>
        <v>86164</v>
      </c>
      <c r="AF39" s="168">
        <f t="shared" si="29"/>
        <v>90964</v>
      </c>
      <c r="AG39" s="168">
        <f t="shared" si="29"/>
        <v>95764</v>
      </c>
      <c r="AH39" s="168">
        <f t="shared" si="29"/>
        <v>101164</v>
      </c>
      <c r="AI39" s="168">
        <f t="shared" si="29"/>
        <v>106564</v>
      </c>
      <c r="AJ39" s="168">
        <f t="shared" si="29"/>
        <v>112564</v>
      </c>
      <c r="AK39" s="168">
        <f t="shared" si="29"/>
        <v>119764</v>
      </c>
      <c r="AL39" s="168">
        <f t="shared" si="29"/>
        <v>128284</v>
      </c>
      <c r="AM39" s="168">
        <f t="shared" si="29"/>
        <v>118564</v>
      </c>
      <c r="AN39" s="168">
        <f t="shared" si="29"/>
        <v>127244</v>
      </c>
      <c r="AO39" s="168">
        <f t="shared" si="29"/>
        <v>135404</v>
      </c>
      <c r="AP39" s="168">
        <f t="shared" si="29"/>
        <v>145004</v>
      </c>
      <c r="AQ39" s="168">
        <f t="shared" si="29"/>
        <v>154781.12</v>
      </c>
      <c r="AR39" s="168">
        <f t="shared" si="29"/>
        <v>171497.12</v>
      </c>
      <c r="AS39" s="168">
        <f t="shared" si="29"/>
        <v>181481.12</v>
      </c>
      <c r="AT39" s="168">
        <f t="shared" si="29"/>
        <v>192233.12</v>
      </c>
      <c r="AU39" s="168">
        <f t="shared" si="29"/>
        <v>204905.12</v>
      </c>
      <c r="AV39" s="168">
        <f t="shared" si="29"/>
        <v>189775.52</v>
      </c>
      <c r="AW39" s="168">
        <f t="shared" si="29"/>
        <v>202063.52</v>
      </c>
      <c r="AX39" s="168">
        <f t="shared" si="29"/>
        <v>216357.92</v>
      </c>
      <c r="AY39" s="168">
        <f t="shared" si="29"/>
        <v>231410.72</v>
      </c>
      <c r="AZ39" s="168">
        <f t="shared" si="29"/>
        <v>248561.12</v>
      </c>
      <c r="BA39" s="168">
        <f t="shared" si="29"/>
        <v>266685.92</v>
      </c>
      <c r="BB39" s="168">
        <f t="shared" si="29"/>
        <v>245181.92</v>
      </c>
      <c r="BC39" s="205"/>
      <c r="BD39" s="168">
        <f t="shared" ref="BD39:BH39" si="30">BD26+BD7</f>
        <v>20000</v>
      </c>
      <c r="BE39" s="168">
        <f t="shared" si="30"/>
        <v>464300</v>
      </c>
      <c r="BF39" s="168">
        <f t="shared" si="30"/>
        <v>1367448</v>
      </c>
      <c r="BG39" s="168">
        <f t="shared" si="30"/>
        <v>2504934.24</v>
      </c>
      <c r="BH39" s="168">
        <f t="shared" si="30"/>
        <v>4019540.182</v>
      </c>
      <c r="BI39" s="205"/>
    </row>
    <row r="40" ht="15.75" customHeight="1">
      <c r="A40" s="245"/>
      <c r="B40" s="135" t="s">
        <v>303</v>
      </c>
      <c r="C40" s="222"/>
      <c r="D40" s="246" t="s">
        <v>201</v>
      </c>
      <c r="E40" s="222"/>
      <c r="F40" s="222"/>
      <c r="G40" s="168">
        <f t="shared" ref="G40:BB40" si="31">G32+G8</f>
        <v>0</v>
      </c>
      <c r="H40" s="168">
        <f t="shared" si="31"/>
        <v>0</v>
      </c>
      <c r="I40" s="168">
        <f t="shared" si="31"/>
        <v>0</v>
      </c>
      <c r="J40" s="168">
        <f t="shared" si="31"/>
        <v>0</v>
      </c>
      <c r="K40" s="168">
        <f t="shared" si="31"/>
        <v>0</v>
      </c>
      <c r="L40" s="168">
        <f t="shared" si="31"/>
        <v>0</v>
      </c>
      <c r="M40" s="168">
        <f t="shared" si="31"/>
        <v>0</v>
      </c>
      <c r="N40" s="168">
        <f t="shared" si="31"/>
        <v>0</v>
      </c>
      <c r="O40" s="168">
        <f t="shared" si="31"/>
        <v>11500</v>
      </c>
      <c r="P40" s="168">
        <f t="shared" si="31"/>
        <v>11500</v>
      </c>
      <c r="Q40" s="168">
        <f t="shared" si="31"/>
        <v>11500</v>
      </c>
      <c r="R40" s="168">
        <f t="shared" si="31"/>
        <v>11500</v>
      </c>
      <c r="S40" s="168">
        <f t="shared" si="31"/>
        <v>31820</v>
      </c>
      <c r="T40" s="168">
        <f t="shared" si="31"/>
        <v>31820</v>
      </c>
      <c r="U40" s="168">
        <f t="shared" si="31"/>
        <v>31820</v>
      </c>
      <c r="V40" s="168">
        <f t="shared" si="31"/>
        <v>31820</v>
      </c>
      <c r="W40" s="168">
        <f t="shared" si="31"/>
        <v>31820</v>
      </c>
      <c r="X40" s="168">
        <f t="shared" si="31"/>
        <v>31820</v>
      </c>
      <c r="Y40" s="168">
        <f t="shared" si="31"/>
        <v>31820</v>
      </c>
      <c r="Z40" s="168">
        <f t="shared" si="31"/>
        <v>40820</v>
      </c>
      <c r="AA40" s="168">
        <f t="shared" si="31"/>
        <v>45740</v>
      </c>
      <c r="AB40" s="168">
        <f t="shared" si="31"/>
        <v>50920</v>
      </c>
      <c r="AC40" s="168">
        <f t="shared" si="31"/>
        <v>50920</v>
      </c>
      <c r="AD40" s="168">
        <f t="shared" si="31"/>
        <v>50920</v>
      </c>
      <c r="AE40" s="168">
        <f t="shared" si="31"/>
        <v>68913.6</v>
      </c>
      <c r="AF40" s="168">
        <f t="shared" si="31"/>
        <v>68913.6</v>
      </c>
      <c r="AG40" s="168">
        <f t="shared" si="31"/>
        <v>68913.6</v>
      </c>
      <c r="AH40" s="168">
        <f t="shared" si="31"/>
        <v>68913.6</v>
      </c>
      <c r="AI40" s="168">
        <f t="shared" si="31"/>
        <v>68913.6</v>
      </c>
      <c r="AJ40" s="168">
        <f t="shared" si="31"/>
        <v>68913.6</v>
      </c>
      <c r="AK40" s="168">
        <f t="shared" si="31"/>
        <v>68913.6</v>
      </c>
      <c r="AL40" s="168">
        <f t="shared" si="31"/>
        <v>69633.6</v>
      </c>
      <c r="AM40" s="168">
        <f t="shared" si="31"/>
        <v>69633.6</v>
      </c>
      <c r="AN40" s="168">
        <f t="shared" si="31"/>
        <v>70393.6</v>
      </c>
      <c r="AO40" s="168">
        <f t="shared" si="31"/>
        <v>70393.6</v>
      </c>
      <c r="AP40" s="168">
        <f t="shared" si="31"/>
        <v>70393.6</v>
      </c>
      <c r="AQ40" s="168">
        <f t="shared" si="31"/>
        <v>80146.688</v>
      </c>
      <c r="AR40" s="168">
        <f t="shared" si="31"/>
        <v>87646.688</v>
      </c>
      <c r="AS40" s="168">
        <f t="shared" si="31"/>
        <v>87646.688</v>
      </c>
      <c r="AT40" s="168">
        <f t="shared" si="31"/>
        <v>87646.688</v>
      </c>
      <c r="AU40" s="168">
        <f t="shared" si="31"/>
        <v>87646.688</v>
      </c>
      <c r="AV40" s="168">
        <f t="shared" si="31"/>
        <v>87646.688</v>
      </c>
      <c r="AW40" s="168">
        <f t="shared" si="31"/>
        <v>87646.688</v>
      </c>
      <c r="AX40" s="168">
        <f t="shared" si="31"/>
        <v>88424.288</v>
      </c>
      <c r="AY40" s="168">
        <f t="shared" si="31"/>
        <v>88424.288</v>
      </c>
      <c r="AZ40" s="168">
        <f t="shared" si="31"/>
        <v>89245.088</v>
      </c>
      <c r="BA40" s="168">
        <f t="shared" si="31"/>
        <v>89245.088</v>
      </c>
      <c r="BB40" s="168">
        <f t="shared" si="31"/>
        <v>89245.088</v>
      </c>
      <c r="BC40" s="205"/>
      <c r="BD40" s="168">
        <f t="shared" ref="BD40:BH40" si="32">BD32+BD8</f>
        <v>46000</v>
      </c>
      <c r="BE40" s="168">
        <f t="shared" si="32"/>
        <v>462060</v>
      </c>
      <c r="BF40" s="168">
        <f t="shared" si="32"/>
        <v>832843.2</v>
      </c>
      <c r="BG40" s="168">
        <f t="shared" si="32"/>
        <v>1050610.656</v>
      </c>
      <c r="BH40" s="168">
        <f t="shared" si="32"/>
        <v>1307473.333</v>
      </c>
      <c r="BI40" s="205"/>
    </row>
    <row r="41" ht="15.75" customHeight="1">
      <c r="A41" s="251"/>
      <c r="B41" s="251" t="s">
        <v>306</v>
      </c>
      <c r="C41" s="251"/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1"/>
      <c r="S41" s="252">
        <f t="shared" ref="S41:BB41" si="33">S38/S$36</f>
        <v>0.5890133831</v>
      </c>
      <c r="T41" s="252">
        <f t="shared" si="33"/>
        <v>0.543353431</v>
      </c>
      <c r="U41" s="252">
        <f t="shared" si="33"/>
        <v>0.543353431</v>
      </c>
      <c r="V41" s="252">
        <f t="shared" si="33"/>
        <v>0.543353431</v>
      </c>
      <c r="W41" s="252">
        <f t="shared" si="33"/>
        <v>0.5069649076</v>
      </c>
      <c r="X41" s="252">
        <f t="shared" si="33"/>
        <v>0.5069649076</v>
      </c>
      <c r="Y41" s="252">
        <f t="shared" si="33"/>
        <v>0.5681509639</v>
      </c>
      <c r="Z41" s="252">
        <f t="shared" si="33"/>
        <v>0.5235816017</v>
      </c>
      <c r="AA41" s="252">
        <f t="shared" si="33"/>
        <v>0.5198624057</v>
      </c>
      <c r="AB41" s="252">
        <f t="shared" si="33"/>
        <v>0.6578555976</v>
      </c>
      <c r="AC41" s="252">
        <f t="shared" si="33"/>
        <v>0.5797209766</v>
      </c>
      <c r="AD41" s="252">
        <f t="shared" si="33"/>
        <v>0.4831495098</v>
      </c>
      <c r="AE41" s="252">
        <f t="shared" si="33"/>
        <v>0.4503663336</v>
      </c>
      <c r="AF41" s="252">
        <f t="shared" si="33"/>
        <v>0.4428326884</v>
      </c>
      <c r="AG41" s="252">
        <f t="shared" si="33"/>
        <v>0.4355469393</v>
      </c>
      <c r="AH41" s="252">
        <f t="shared" si="33"/>
        <v>0.4276318269</v>
      </c>
      <c r="AI41" s="252">
        <f t="shared" si="33"/>
        <v>0.4199992596</v>
      </c>
      <c r="AJ41" s="252">
        <f t="shared" si="33"/>
        <v>0.4239669484</v>
      </c>
      <c r="AK41" s="252">
        <f t="shared" si="33"/>
        <v>0.415654755</v>
      </c>
      <c r="AL41" s="252">
        <f t="shared" si="33"/>
        <v>0.4049509451</v>
      </c>
      <c r="AM41" s="252">
        <f t="shared" si="33"/>
        <v>0.4171413422</v>
      </c>
      <c r="AN41" s="252">
        <f t="shared" si="33"/>
        <v>0.4052921338</v>
      </c>
      <c r="AO41" s="252">
        <f t="shared" si="33"/>
        <v>0.3955790409</v>
      </c>
      <c r="AP41" s="252">
        <f t="shared" si="33"/>
        <v>0.3847315754</v>
      </c>
      <c r="AQ41" s="252">
        <f t="shared" si="33"/>
        <v>0.3910837048</v>
      </c>
      <c r="AR41" s="252">
        <f t="shared" si="33"/>
        <v>0.3679865981</v>
      </c>
      <c r="AS41" s="252">
        <f t="shared" si="33"/>
        <v>0.3592393012</v>
      </c>
      <c r="AT41" s="252">
        <f t="shared" si="33"/>
        <v>0.3502725997</v>
      </c>
      <c r="AU41" s="252">
        <f t="shared" si="33"/>
        <v>0.3402629374</v>
      </c>
      <c r="AV41" s="252">
        <f t="shared" si="33"/>
        <v>0.3530678694</v>
      </c>
      <c r="AW41" s="252">
        <f t="shared" si="33"/>
        <v>0.3442600818</v>
      </c>
      <c r="AX41" s="252">
        <f t="shared" si="33"/>
        <v>0.3336593288</v>
      </c>
      <c r="AY41" s="252">
        <f t="shared" si="33"/>
        <v>0.323028554</v>
      </c>
      <c r="AZ41" s="252">
        <f t="shared" si="33"/>
        <v>0.3111913549</v>
      </c>
      <c r="BA41" s="252">
        <f t="shared" si="33"/>
        <v>0.3001003552</v>
      </c>
      <c r="BB41" s="252">
        <f t="shared" si="33"/>
        <v>0.3133504671</v>
      </c>
      <c r="BC41" s="156"/>
      <c r="BD41" s="252">
        <f t="shared" ref="BD41:BH41" si="34">BD38/BD$36</f>
        <v>0.8446813968</v>
      </c>
      <c r="BE41" s="252">
        <f t="shared" si="34"/>
        <v>0.5538882361</v>
      </c>
      <c r="BF41" s="252">
        <f t="shared" si="34"/>
        <v>0.417429433</v>
      </c>
      <c r="BG41" s="252">
        <f t="shared" si="34"/>
        <v>0.3386934991</v>
      </c>
      <c r="BH41" s="252">
        <f t="shared" si="34"/>
        <v>0.364506225</v>
      </c>
      <c r="BI41" s="156"/>
    </row>
    <row r="42" ht="15.75" customHeight="1">
      <c r="A42" s="251"/>
      <c r="B42" s="251" t="s">
        <v>307</v>
      </c>
      <c r="C42" s="251"/>
      <c r="D42" s="251"/>
      <c r="E42" s="251"/>
      <c r="F42" s="251"/>
      <c r="G42" s="251"/>
      <c r="H42" s="251"/>
      <c r="I42" s="251"/>
      <c r="J42" s="251"/>
      <c r="K42" s="251"/>
      <c r="L42" s="251"/>
      <c r="M42" s="251"/>
      <c r="N42" s="251"/>
      <c r="O42" s="251"/>
      <c r="P42" s="251"/>
      <c r="Q42" s="251"/>
      <c r="R42" s="251"/>
      <c r="S42" s="252">
        <f t="shared" ref="S42:BB42" si="35">S39/S$36</f>
        <v>0.1633986928</v>
      </c>
      <c r="T42" s="252">
        <f t="shared" si="35"/>
        <v>0.2282515073</v>
      </c>
      <c r="U42" s="252">
        <f t="shared" si="35"/>
        <v>0.2282515073</v>
      </c>
      <c r="V42" s="252">
        <f t="shared" si="35"/>
        <v>0.2282515073</v>
      </c>
      <c r="W42" s="252">
        <f t="shared" si="35"/>
        <v>0.2799357085</v>
      </c>
      <c r="X42" s="252">
        <f t="shared" si="35"/>
        <v>0.2799357085</v>
      </c>
      <c r="Y42" s="252">
        <f t="shared" si="35"/>
        <v>0.2158566386</v>
      </c>
      <c r="Z42" s="252">
        <f t="shared" si="35"/>
        <v>0.2381508289</v>
      </c>
      <c r="AA42" s="252">
        <f t="shared" si="35"/>
        <v>0.2263648469</v>
      </c>
      <c r="AB42" s="252">
        <f t="shared" si="35"/>
        <v>0.1700243375</v>
      </c>
      <c r="AC42" s="252">
        <f t="shared" si="35"/>
        <v>0.2088523501</v>
      </c>
      <c r="AD42" s="252">
        <f t="shared" si="35"/>
        <v>0.2568423203</v>
      </c>
      <c r="AE42" s="252">
        <f t="shared" si="35"/>
        <v>0.3053866918</v>
      </c>
      <c r="AF42" s="252">
        <f t="shared" si="35"/>
        <v>0.3170060555</v>
      </c>
      <c r="AG42" s="252">
        <f t="shared" si="35"/>
        <v>0.3282430817</v>
      </c>
      <c r="AH42" s="252">
        <f t="shared" si="35"/>
        <v>0.3404507934</v>
      </c>
      <c r="AI42" s="252">
        <f t="shared" si="35"/>
        <v>0.3522227276</v>
      </c>
      <c r="AJ42" s="252">
        <f t="shared" si="35"/>
        <v>0.3572924946</v>
      </c>
      <c r="AK42" s="252">
        <f t="shared" si="35"/>
        <v>0.3709159112</v>
      </c>
      <c r="AL42" s="252">
        <f t="shared" si="35"/>
        <v>0.3856921919</v>
      </c>
      <c r="AM42" s="252">
        <f t="shared" si="35"/>
        <v>0.367199443</v>
      </c>
      <c r="AN42" s="252">
        <f t="shared" si="35"/>
        <v>0.3828877083</v>
      </c>
      <c r="AO42" s="252">
        <f t="shared" si="35"/>
        <v>0.3976772108</v>
      </c>
      <c r="AP42" s="252">
        <f t="shared" si="35"/>
        <v>0.4141939494</v>
      </c>
      <c r="AQ42" s="252">
        <f t="shared" si="35"/>
        <v>0.4011817373</v>
      </c>
      <c r="AR42" s="252">
        <f t="shared" si="35"/>
        <v>0.4182560991</v>
      </c>
      <c r="AS42" s="252">
        <f t="shared" si="35"/>
        <v>0.4320845554</v>
      </c>
      <c r="AT42" s="252">
        <f t="shared" si="35"/>
        <v>0.4462598649</v>
      </c>
      <c r="AU42" s="252">
        <f t="shared" si="35"/>
        <v>0.4620839738</v>
      </c>
      <c r="AV42" s="252">
        <f t="shared" si="35"/>
        <v>0.4425452539</v>
      </c>
      <c r="AW42" s="252">
        <f t="shared" si="35"/>
        <v>0.4573574296</v>
      </c>
      <c r="AX42" s="252">
        <f t="shared" si="35"/>
        <v>0.4730200053</v>
      </c>
      <c r="AY42" s="252">
        <f t="shared" si="35"/>
        <v>0.4898102015</v>
      </c>
      <c r="AZ42" s="252">
        <f t="shared" si="35"/>
        <v>0.5068321547</v>
      </c>
      <c r="BA42" s="252">
        <f t="shared" si="35"/>
        <v>0.5244088784</v>
      </c>
      <c r="BB42" s="252">
        <f t="shared" si="35"/>
        <v>0.5034104508</v>
      </c>
      <c r="BC42" s="156"/>
      <c r="BD42" s="252">
        <f t="shared" ref="BD42:BH42" si="36">BD39/BD$36</f>
        <v>0.04706624338</v>
      </c>
      <c r="BE42" s="252">
        <f t="shared" si="36"/>
        <v>0.2235952459</v>
      </c>
      <c r="BF42" s="252">
        <f t="shared" si="36"/>
        <v>0.3620588751</v>
      </c>
      <c r="BG42" s="252">
        <f t="shared" si="36"/>
        <v>0.4659002616</v>
      </c>
      <c r="BH42" s="252">
        <f t="shared" si="36"/>
        <v>0.4795168544</v>
      </c>
      <c r="BI42" s="156"/>
    </row>
    <row r="43" ht="15.75" customHeight="1">
      <c r="A43" s="251"/>
      <c r="B43" s="251" t="s">
        <v>308</v>
      </c>
      <c r="C43" s="251"/>
      <c r="D43" s="251"/>
      <c r="E43" s="251"/>
      <c r="F43" s="251"/>
      <c r="G43" s="251"/>
      <c r="H43" s="251"/>
      <c r="I43" s="251"/>
      <c r="J43" s="251"/>
      <c r="K43" s="251"/>
      <c r="L43" s="251"/>
      <c r="M43" s="251"/>
      <c r="N43" s="251"/>
      <c r="O43" s="251"/>
      <c r="P43" s="251"/>
      <c r="Q43" s="251"/>
      <c r="R43" s="251"/>
      <c r="S43" s="252">
        <f t="shared" ref="S43:BB43" si="37">S40/S$36</f>
        <v>0.2475879241</v>
      </c>
      <c r="T43" s="252">
        <f t="shared" si="37"/>
        <v>0.2283950617</v>
      </c>
      <c r="U43" s="252">
        <f t="shared" si="37"/>
        <v>0.2283950617</v>
      </c>
      <c r="V43" s="252">
        <f t="shared" si="37"/>
        <v>0.2283950617</v>
      </c>
      <c r="W43" s="252">
        <f t="shared" si="37"/>
        <v>0.2130993839</v>
      </c>
      <c r="X43" s="252">
        <f t="shared" si="37"/>
        <v>0.2130993839</v>
      </c>
      <c r="Y43" s="252">
        <f t="shared" si="37"/>
        <v>0.2159923975</v>
      </c>
      <c r="Z43" s="252">
        <f t="shared" si="37"/>
        <v>0.2382675695</v>
      </c>
      <c r="AA43" s="252">
        <f t="shared" si="37"/>
        <v>0.2537727474</v>
      </c>
      <c r="AB43" s="252">
        <f t="shared" si="37"/>
        <v>0.1721200649</v>
      </c>
      <c r="AC43" s="252">
        <f t="shared" si="37"/>
        <v>0.2114266733</v>
      </c>
      <c r="AD43" s="252">
        <f t="shared" si="37"/>
        <v>0.2600081699</v>
      </c>
      <c r="AE43" s="252">
        <f t="shared" si="37"/>
        <v>0.2442469746</v>
      </c>
      <c r="AF43" s="252">
        <f t="shared" si="37"/>
        <v>0.2401612561</v>
      </c>
      <c r="AG43" s="252">
        <f t="shared" si="37"/>
        <v>0.2362099791</v>
      </c>
      <c r="AH43" s="252">
        <f t="shared" si="37"/>
        <v>0.2319173797</v>
      </c>
      <c r="AI43" s="252">
        <f t="shared" si="37"/>
        <v>0.2277780128</v>
      </c>
      <c r="AJ43" s="252">
        <f t="shared" si="37"/>
        <v>0.218740557</v>
      </c>
      <c r="AK43" s="252">
        <f t="shared" si="37"/>
        <v>0.2134293338</v>
      </c>
      <c r="AL43" s="252">
        <f t="shared" si="37"/>
        <v>0.209356863</v>
      </c>
      <c r="AM43" s="252">
        <f t="shared" si="37"/>
        <v>0.2156592147</v>
      </c>
      <c r="AN43" s="252">
        <f t="shared" si="37"/>
        <v>0.211820158</v>
      </c>
      <c r="AO43" s="252">
        <f t="shared" si="37"/>
        <v>0.2067437484</v>
      </c>
      <c r="AP43" s="252">
        <f t="shared" si="37"/>
        <v>0.2010744752</v>
      </c>
      <c r="AQ43" s="252">
        <f t="shared" si="37"/>
        <v>0.2077345579</v>
      </c>
      <c r="AR43" s="252">
        <f t="shared" si="37"/>
        <v>0.2137573028</v>
      </c>
      <c r="AS43" s="252">
        <f t="shared" si="37"/>
        <v>0.2086761434</v>
      </c>
      <c r="AT43" s="252">
        <f t="shared" si="37"/>
        <v>0.2034675354</v>
      </c>
      <c r="AU43" s="252">
        <f t="shared" si="37"/>
        <v>0.1976530888</v>
      </c>
      <c r="AV43" s="252">
        <f t="shared" si="37"/>
        <v>0.2043868766</v>
      </c>
      <c r="AW43" s="252">
        <f t="shared" si="37"/>
        <v>0.1983824885</v>
      </c>
      <c r="AX43" s="252">
        <f t="shared" si="37"/>
        <v>0.1933206659</v>
      </c>
      <c r="AY43" s="252">
        <f t="shared" si="37"/>
        <v>0.1871612444</v>
      </c>
      <c r="AZ43" s="252">
        <f t="shared" si="37"/>
        <v>0.1819764903</v>
      </c>
      <c r="BA43" s="252">
        <f t="shared" si="37"/>
        <v>0.1754907664</v>
      </c>
      <c r="BB43" s="252">
        <f t="shared" si="37"/>
        <v>0.1832390821</v>
      </c>
      <c r="BC43" s="156"/>
      <c r="BD43" s="252">
        <f t="shared" ref="BD43:BH43" si="38">BD40/BD$36</f>
        <v>0.1082523598</v>
      </c>
      <c r="BE43" s="252">
        <f t="shared" si="38"/>
        <v>0.222516518</v>
      </c>
      <c r="BF43" s="252">
        <f t="shared" si="38"/>
        <v>0.2205116919</v>
      </c>
      <c r="BG43" s="252">
        <f t="shared" si="38"/>
        <v>0.1954062393</v>
      </c>
      <c r="BH43" s="252">
        <f t="shared" si="38"/>
        <v>0.1559769207</v>
      </c>
      <c r="BI43" s="156"/>
    </row>
    <row r="44" ht="15.75" customHeight="1">
      <c r="A44" s="253"/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253"/>
      <c r="Q44" s="253"/>
      <c r="R44" s="253"/>
      <c r="S44" s="253"/>
      <c r="T44" s="253"/>
      <c r="U44" s="253"/>
      <c r="V44" s="253"/>
      <c r="W44" s="253"/>
      <c r="X44" s="253"/>
      <c r="Y44" s="253"/>
      <c r="Z44" s="253"/>
      <c r="AA44" s="253"/>
      <c r="AB44" s="253"/>
      <c r="AC44" s="253"/>
      <c r="AD44" s="253"/>
      <c r="AE44" s="253"/>
      <c r="AF44" s="253"/>
      <c r="AG44" s="253"/>
      <c r="AH44" s="253"/>
      <c r="AI44" s="253"/>
      <c r="AJ44" s="253"/>
      <c r="AK44" s="253"/>
      <c r="AL44" s="253"/>
      <c r="AM44" s="253"/>
      <c r="AN44" s="253"/>
      <c r="AO44" s="253"/>
      <c r="AP44" s="253"/>
      <c r="AQ44" s="253"/>
      <c r="AR44" s="253"/>
      <c r="AS44" s="253"/>
      <c r="AT44" s="253"/>
      <c r="AU44" s="253"/>
      <c r="AV44" s="253"/>
      <c r="AW44" s="253"/>
      <c r="AX44" s="253"/>
      <c r="AY44" s="253"/>
      <c r="AZ44" s="253"/>
      <c r="BA44" s="253"/>
      <c r="BB44" s="253"/>
      <c r="BC44" s="156"/>
      <c r="BD44" s="253"/>
      <c r="BE44" s="253"/>
      <c r="BF44" s="253"/>
      <c r="BG44" s="253"/>
      <c r="BH44" s="253"/>
      <c r="BI44" s="156"/>
    </row>
    <row r="45" ht="15.75" customHeight="1">
      <c r="A45" s="34"/>
      <c r="B45" s="27"/>
      <c r="C45" s="27"/>
      <c r="D45" s="77"/>
      <c r="E45" s="27"/>
      <c r="F45" s="27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  <c r="AM45" s="156"/>
      <c r="AN45" s="156"/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6"/>
      <c r="AZ45" s="156"/>
      <c r="BA45" s="156"/>
      <c r="BB45" s="156"/>
      <c r="BC45" s="156"/>
      <c r="BD45" s="156"/>
      <c r="BE45" s="156"/>
      <c r="BF45" s="156"/>
      <c r="BG45" s="156"/>
      <c r="BH45" s="156"/>
      <c r="BI45" s="156"/>
    </row>
    <row r="46" ht="15.75" customHeight="1">
      <c r="A46" s="34"/>
      <c r="B46" s="27"/>
      <c r="C46" s="27"/>
      <c r="D46" s="7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56"/>
      <c r="BE46" s="156"/>
      <c r="BF46" s="156"/>
      <c r="BG46" s="156"/>
      <c r="BH46" s="156"/>
      <c r="BI46" s="156"/>
    </row>
    <row r="47" ht="15.75" customHeight="1">
      <c r="A47" s="34"/>
      <c r="B47" s="27"/>
      <c r="C47" s="27"/>
      <c r="D47" s="7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  <c r="AK47" s="156"/>
      <c r="AL47" s="156"/>
      <c r="AM47" s="156"/>
      <c r="AN47" s="156"/>
      <c r="AO47" s="156"/>
      <c r="AP47" s="156"/>
      <c r="AQ47" s="156"/>
      <c r="AR47" s="156"/>
      <c r="AS47" s="156"/>
      <c r="AT47" s="156"/>
      <c r="AU47" s="156"/>
      <c r="AV47" s="156"/>
      <c r="AW47" s="156"/>
      <c r="AX47" s="156"/>
      <c r="AY47" s="156"/>
      <c r="AZ47" s="156"/>
      <c r="BA47" s="156"/>
      <c r="BB47" s="156"/>
      <c r="BC47" s="156"/>
      <c r="BD47" s="156"/>
      <c r="BE47" s="156"/>
      <c r="BF47" s="156"/>
      <c r="BG47" s="156"/>
      <c r="BH47" s="156"/>
      <c r="BI47" s="156"/>
    </row>
    <row r="48" ht="15.75" customHeight="1">
      <c r="A48" s="34"/>
      <c r="B48" s="27"/>
      <c r="C48" s="27"/>
      <c r="D48" s="7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156"/>
      <c r="AK48" s="156"/>
      <c r="AL48" s="156"/>
      <c r="AM48" s="156"/>
      <c r="AN48" s="15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  <c r="BD48" s="156"/>
      <c r="BE48" s="156"/>
      <c r="BF48" s="156"/>
      <c r="BG48" s="156"/>
      <c r="BH48" s="156"/>
      <c r="BI48" s="156"/>
    </row>
    <row r="49" ht="15.75" customHeight="1">
      <c r="A49" s="34"/>
      <c r="B49" s="27"/>
      <c r="C49" s="27"/>
      <c r="D49" s="7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  <c r="AI49" s="156"/>
      <c r="AJ49" s="156"/>
      <c r="AK49" s="156"/>
      <c r="AL49" s="156"/>
      <c r="AM49" s="156"/>
      <c r="AN49" s="156"/>
      <c r="AO49" s="156"/>
      <c r="AP49" s="156"/>
      <c r="AQ49" s="156"/>
      <c r="AR49" s="156"/>
      <c r="AS49" s="156"/>
      <c r="AT49" s="156"/>
      <c r="AU49" s="156"/>
      <c r="AV49" s="156"/>
      <c r="AW49" s="156"/>
      <c r="AX49" s="156"/>
      <c r="AY49" s="156"/>
      <c r="AZ49" s="156"/>
      <c r="BA49" s="156"/>
      <c r="BB49" s="156"/>
      <c r="BC49" s="156"/>
      <c r="BD49" s="156"/>
      <c r="BE49" s="156"/>
      <c r="BF49" s="156"/>
      <c r="BG49" s="156"/>
      <c r="BH49" s="156"/>
      <c r="BI49" s="156"/>
    </row>
    <row r="50" ht="15.75" customHeight="1">
      <c r="A50" s="34"/>
      <c r="B50" s="27"/>
      <c r="C50" s="27"/>
      <c r="D50" s="7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  <c r="AK50" s="156"/>
      <c r="AL50" s="156"/>
      <c r="AM50" s="156"/>
      <c r="AN50" s="15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56"/>
      <c r="BE50" s="156"/>
      <c r="BF50" s="156"/>
      <c r="BG50" s="156"/>
      <c r="BH50" s="156"/>
      <c r="BI50" s="156"/>
    </row>
    <row r="51" ht="15.75" customHeight="1">
      <c r="A51" s="34"/>
      <c r="B51" s="27"/>
      <c r="C51" s="27"/>
      <c r="D51" s="7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  <c r="AK51" s="156"/>
      <c r="AL51" s="156"/>
      <c r="AM51" s="156"/>
      <c r="AN51" s="156"/>
      <c r="AO51" s="156"/>
      <c r="AP51" s="156"/>
      <c r="AQ51" s="156"/>
      <c r="AR51" s="156"/>
      <c r="AS51" s="156"/>
      <c r="AT51" s="156"/>
      <c r="AU51" s="156"/>
      <c r="AV51" s="156"/>
      <c r="AW51" s="156"/>
      <c r="AX51" s="156"/>
      <c r="AY51" s="156"/>
      <c r="AZ51" s="156"/>
      <c r="BA51" s="156"/>
      <c r="BB51" s="156"/>
      <c r="BC51" s="156"/>
      <c r="BD51" s="156"/>
      <c r="BE51" s="156"/>
      <c r="BF51" s="156"/>
      <c r="BG51" s="156"/>
      <c r="BH51" s="156"/>
      <c r="BI51" s="156"/>
    </row>
    <row r="52" ht="15.75" customHeight="1">
      <c r="A52" s="34"/>
      <c r="B52" s="27"/>
      <c r="C52" s="27"/>
      <c r="D52" s="7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6"/>
      <c r="AK52" s="156"/>
      <c r="AL52" s="156"/>
      <c r="AM52" s="156"/>
      <c r="AN52" s="156"/>
      <c r="AO52" s="156"/>
      <c r="AP52" s="156"/>
      <c r="AQ52" s="156"/>
      <c r="AR52" s="156"/>
      <c r="AS52" s="156"/>
      <c r="AT52" s="156"/>
      <c r="AU52" s="156"/>
      <c r="AV52" s="156"/>
      <c r="AW52" s="156"/>
      <c r="AX52" s="156"/>
      <c r="AY52" s="156"/>
      <c r="AZ52" s="156"/>
      <c r="BA52" s="156"/>
      <c r="BB52" s="156"/>
      <c r="BC52" s="156"/>
      <c r="BD52" s="156"/>
      <c r="BE52" s="156"/>
      <c r="BF52" s="156"/>
      <c r="BG52" s="156"/>
      <c r="BH52" s="156"/>
      <c r="BI52" s="156"/>
    </row>
    <row r="53" ht="15.75" customHeight="1">
      <c r="A53" s="34"/>
      <c r="B53" s="27"/>
      <c r="C53" s="27"/>
      <c r="D53" s="7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H53" s="156"/>
      <c r="AI53" s="156"/>
      <c r="AJ53" s="156"/>
      <c r="AK53" s="156"/>
      <c r="AL53" s="156"/>
      <c r="AM53" s="156"/>
      <c r="AN53" s="156"/>
      <c r="AO53" s="156"/>
      <c r="AP53" s="156"/>
      <c r="AQ53" s="156"/>
      <c r="AR53" s="156"/>
      <c r="AS53" s="156"/>
      <c r="AT53" s="156"/>
      <c r="AU53" s="156"/>
      <c r="AV53" s="156"/>
      <c r="AW53" s="156"/>
      <c r="AX53" s="156"/>
      <c r="AY53" s="156"/>
      <c r="AZ53" s="156"/>
      <c r="BA53" s="156"/>
      <c r="BB53" s="156"/>
      <c r="BC53" s="156"/>
      <c r="BD53" s="156"/>
      <c r="BE53" s="156"/>
      <c r="BF53" s="156"/>
      <c r="BG53" s="156"/>
      <c r="BH53" s="156"/>
      <c r="BI53" s="156"/>
    </row>
    <row r="54" ht="15.75" customHeight="1">
      <c r="A54" s="34"/>
      <c r="B54" s="27"/>
      <c r="C54" s="27"/>
      <c r="D54" s="7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56"/>
      <c r="AP54" s="156"/>
      <c r="AQ54" s="156"/>
      <c r="AR54" s="156"/>
      <c r="AS54" s="156"/>
      <c r="AT54" s="156"/>
      <c r="AU54" s="156"/>
      <c r="AV54" s="156"/>
      <c r="AW54" s="156"/>
      <c r="AX54" s="156"/>
      <c r="AY54" s="156"/>
      <c r="AZ54" s="156"/>
      <c r="BA54" s="156"/>
      <c r="BB54" s="156"/>
      <c r="BC54" s="156"/>
      <c r="BD54" s="156"/>
      <c r="BE54" s="156"/>
      <c r="BF54" s="156"/>
      <c r="BG54" s="156"/>
      <c r="BH54" s="156"/>
      <c r="BI54" s="156"/>
    </row>
    <row r="55" ht="15.75" customHeight="1">
      <c r="A55" s="34"/>
      <c r="B55" s="27"/>
      <c r="C55" s="27"/>
      <c r="D55" s="7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</row>
    <row r="56" ht="15.75" customHeight="1">
      <c r="A56" s="34"/>
      <c r="B56" s="27"/>
      <c r="C56" s="27"/>
      <c r="D56" s="7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  <c r="AK56" s="156"/>
      <c r="AL56" s="156"/>
      <c r="AM56" s="156"/>
      <c r="AN56" s="156"/>
      <c r="AO56" s="156"/>
      <c r="AP56" s="156"/>
      <c r="AQ56" s="156"/>
      <c r="AR56" s="156"/>
      <c r="AS56" s="156"/>
      <c r="AT56" s="156"/>
      <c r="AU56" s="156"/>
      <c r="AV56" s="156"/>
      <c r="AW56" s="156"/>
      <c r="AX56" s="156"/>
      <c r="AY56" s="156"/>
      <c r="AZ56" s="156"/>
      <c r="BA56" s="156"/>
      <c r="BB56" s="156"/>
      <c r="BC56" s="156"/>
      <c r="BD56" s="156"/>
      <c r="BE56" s="156"/>
      <c r="BF56" s="156"/>
      <c r="BG56" s="156"/>
      <c r="BH56" s="156"/>
      <c r="BI56" s="156"/>
    </row>
    <row r="57" ht="15.75" customHeight="1">
      <c r="A57" s="34"/>
      <c r="B57" s="27"/>
      <c r="C57" s="27"/>
      <c r="D57" s="7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  <c r="AK57" s="156"/>
      <c r="AL57" s="156"/>
      <c r="AM57" s="156"/>
      <c r="AN57" s="156"/>
      <c r="AO57" s="156"/>
      <c r="AP57" s="156"/>
      <c r="AQ57" s="156"/>
      <c r="AR57" s="156"/>
      <c r="AS57" s="156"/>
      <c r="AT57" s="156"/>
      <c r="AU57" s="156"/>
      <c r="AV57" s="156"/>
      <c r="AW57" s="156"/>
      <c r="AX57" s="156"/>
      <c r="AY57" s="156"/>
      <c r="AZ57" s="156"/>
      <c r="BA57" s="156"/>
      <c r="BB57" s="156"/>
      <c r="BC57" s="156"/>
      <c r="BD57" s="156"/>
      <c r="BE57" s="156"/>
      <c r="BF57" s="156"/>
      <c r="BG57" s="156"/>
      <c r="BH57" s="156"/>
      <c r="BI57" s="156"/>
    </row>
    <row r="58" ht="15.75" customHeight="1">
      <c r="A58" s="34"/>
      <c r="B58" s="27"/>
      <c r="C58" s="27"/>
      <c r="D58" s="7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  <c r="AH58" s="156"/>
      <c r="AI58" s="156"/>
      <c r="AJ58" s="156"/>
      <c r="AK58" s="156"/>
      <c r="AL58" s="156"/>
      <c r="AM58" s="156"/>
      <c r="AN58" s="156"/>
      <c r="AO58" s="156"/>
      <c r="AP58" s="156"/>
      <c r="AQ58" s="156"/>
      <c r="AR58" s="156"/>
      <c r="AS58" s="156"/>
      <c r="AT58" s="156"/>
      <c r="AU58" s="156"/>
      <c r="AV58" s="156"/>
      <c r="AW58" s="156"/>
      <c r="AX58" s="156"/>
      <c r="AY58" s="156"/>
      <c r="AZ58" s="156"/>
      <c r="BA58" s="156"/>
      <c r="BB58" s="156"/>
      <c r="BC58" s="156"/>
      <c r="BD58" s="156"/>
      <c r="BE58" s="156"/>
      <c r="BF58" s="156"/>
      <c r="BG58" s="156"/>
      <c r="BH58" s="156"/>
      <c r="BI58" s="156"/>
    </row>
    <row r="59" ht="15.75" customHeight="1">
      <c r="A59" s="34"/>
      <c r="B59" s="27"/>
      <c r="C59" s="27"/>
      <c r="D59" s="7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  <c r="AH59" s="156"/>
      <c r="AI59" s="156"/>
      <c r="AJ59" s="156"/>
      <c r="AK59" s="156"/>
      <c r="AL59" s="156"/>
      <c r="AM59" s="156"/>
      <c r="AN59" s="156"/>
      <c r="AO59" s="156"/>
      <c r="AP59" s="156"/>
      <c r="AQ59" s="156"/>
      <c r="AR59" s="156"/>
      <c r="AS59" s="156"/>
      <c r="AT59" s="156"/>
      <c r="AU59" s="156"/>
      <c r="AV59" s="156"/>
      <c r="AW59" s="156"/>
      <c r="AX59" s="156"/>
      <c r="AY59" s="156"/>
      <c r="AZ59" s="156"/>
      <c r="BA59" s="156"/>
      <c r="BB59" s="156"/>
      <c r="BC59" s="156"/>
      <c r="BD59" s="156"/>
      <c r="BE59" s="156"/>
      <c r="BF59" s="156"/>
      <c r="BG59" s="156"/>
      <c r="BH59" s="156"/>
      <c r="BI59" s="156"/>
    </row>
    <row r="60" ht="15.75" customHeight="1">
      <c r="A60" s="34"/>
      <c r="B60" s="27"/>
      <c r="C60" s="27"/>
      <c r="D60" s="7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6"/>
      <c r="AT60" s="156"/>
      <c r="AU60" s="156"/>
      <c r="AV60" s="156"/>
      <c r="AW60" s="156"/>
      <c r="AX60" s="156"/>
      <c r="AY60" s="156"/>
      <c r="AZ60" s="156"/>
      <c r="BA60" s="156"/>
      <c r="BB60" s="156"/>
      <c r="BC60" s="156"/>
      <c r="BD60" s="156"/>
      <c r="BE60" s="156"/>
      <c r="BF60" s="156"/>
      <c r="BG60" s="156"/>
      <c r="BH60" s="156"/>
      <c r="BI60" s="156"/>
    </row>
    <row r="61" ht="15.75" customHeight="1">
      <c r="A61" s="34"/>
      <c r="B61" s="27"/>
      <c r="C61" s="27"/>
      <c r="D61" s="7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6"/>
      <c r="AM61" s="156"/>
      <c r="AN61" s="156"/>
      <c r="AO61" s="156"/>
      <c r="AP61" s="156"/>
      <c r="AQ61" s="156"/>
      <c r="AR61" s="156"/>
      <c r="AS61" s="156"/>
      <c r="AT61" s="156"/>
      <c r="AU61" s="156"/>
      <c r="AV61" s="156"/>
      <c r="AW61" s="156"/>
      <c r="AX61" s="156"/>
      <c r="AY61" s="156"/>
      <c r="AZ61" s="156"/>
      <c r="BA61" s="156"/>
      <c r="BB61" s="156"/>
      <c r="BC61" s="156"/>
      <c r="BD61" s="156"/>
      <c r="BE61" s="156"/>
      <c r="BF61" s="156"/>
      <c r="BG61" s="156"/>
      <c r="BH61" s="156"/>
      <c r="BI61" s="156"/>
    </row>
    <row r="62" ht="15.75" customHeight="1">
      <c r="A62" s="34"/>
      <c r="B62" s="27"/>
      <c r="C62" s="27"/>
      <c r="D62" s="7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56"/>
      <c r="AP62" s="156"/>
      <c r="AQ62" s="156"/>
      <c r="AR62" s="156"/>
      <c r="AS62" s="156"/>
      <c r="AT62" s="156"/>
      <c r="AU62" s="156"/>
      <c r="AV62" s="156"/>
      <c r="AW62" s="156"/>
      <c r="AX62" s="156"/>
      <c r="AY62" s="156"/>
      <c r="AZ62" s="156"/>
      <c r="BA62" s="156"/>
      <c r="BB62" s="156"/>
      <c r="BC62" s="156"/>
      <c r="BD62" s="156"/>
      <c r="BE62" s="156"/>
      <c r="BF62" s="156"/>
      <c r="BG62" s="156"/>
      <c r="BH62" s="156"/>
      <c r="BI62" s="156"/>
    </row>
    <row r="63" ht="15.75" customHeight="1">
      <c r="A63" s="34"/>
      <c r="B63" s="27"/>
      <c r="C63" s="27"/>
      <c r="D63" s="7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  <c r="AK63" s="156"/>
      <c r="AL63" s="156"/>
      <c r="AM63" s="156"/>
      <c r="AN63" s="156"/>
      <c r="AO63" s="156"/>
      <c r="AP63" s="156"/>
      <c r="AQ63" s="156"/>
      <c r="AR63" s="156"/>
      <c r="AS63" s="156"/>
      <c r="AT63" s="156"/>
      <c r="AU63" s="156"/>
      <c r="AV63" s="156"/>
      <c r="AW63" s="156"/>
      <c r="AX63" s="156"/>
      <c r="AY63" s="156"/>
      <c r="AZ63" s="156"/>
      <c r="BA63" s="156"/>
      <c r="BB63" s="156"/>
      <c r="BC63" s="156"/>
      <c r="BD63" s="156"/>
      <c r="BE63" s="156"/>
      <c r="BF63" s="156"/>
      <c r="BG63" s="156"/>
      <c r="BH63" s="156"/>
      <c r="BI63" s="156"/>
    </row>
    <row r="64" ht="15.75" customHeight="1">
      <c r="A64" s="34"/>
      <c r="B64" s="27"/>
      <c r="C64" s="27"/>
      <c r="D64" s="7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6"/>
      <c r="AM64" s="156"/>
      <c r="AN64" s="156"/>
      <c r="AO64" s="156"/>
      <c r="AP64" s="156"/>
      <c r="AQ64" s="156"/>
      <c r="AR64" s="156"/>
      <c r="AS64" s="156"/>
      <c r="AT64" s="156"/>
      <c r="AU64" s="156"/>
      <c r="AV64" s="156"/>
      <c r="AW64" s="156"/>
      <c r="AX64" s="156"/>
      <c r="AY64" s="156"/>
      <c r="AZ64" s="156"/>
      <c r="BA64" s="156"/>
      <c r="BB64" s="156"/>
      <c r="BC64" s="156"/>
      <c r="BD64" s="156"/>
      <c r="BE64" s="156"/>
      <c r="BF64" s="156"/>
      <c r="BG64" s="156"/>
      <c r="BH64" s="156"/>
      <c r="BI64" s="156"/>
    </row>
    <row r="65" ht="15.75" customHeight="1">
      <c r="A65" s="34"/>
      <c r="B65" s="27"/>
      <c r="C65" s="27"/>
      <c r="D65" s="7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  <c r="AK65" s="156"/>
      <c r="AL65" s="156"/>
      <c r="AM65" s="156"/>
      <c r="AN65" s="156"/>
      <c r="AO65" s="156"/>
      <c r="AP65" s="156"/>
      <c r="AQ65" s="156"/>
      <c r="AR65" s="156"/>
      <c r="AS65" s="156"/>
      <c r="AT65" s="156"/>
      <c r="AU65" s="156"/>
      <c r="AV65" s="156"/>
      <c r="AW65" s="156"/>
      <c r="AX65" s="156"/>
      <c r="AY65" s="156"/>
      <c r="AZ65" s="156"/>
      <c r="BA65" s="156"/>
      <c r="BB65" s="156"/>
      <c r="BC65" s="156"/>
      <c r="BD65" s="156"/>
      <c r="BE65" s="156"/>
      <c r="BF65" s="156"/>
      <c r="BG65" s="156"/>
      <c r="BH65" s="156"/>
      <c r="BI65" s="156"/>
    </row>
    <row r="66" ht="15.75" customHeight="1">
      <c r="A66" s="34"/>
      <c r="B66" s="27"/>
      <c r="C66" s="27"/>
      <c r="D66" s="7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  <c r="AK66" s="156"/>
      <c r="AL66" s="156"/>
      <c r="AM66" s="156"/>
      <c r="AN66" s="156"/>
      <c r="AO66" s="156"/>
      <c r="AP66" s="156"/>
      <c r="AQ66" s="156"/>
      <c r="AR66" s="156"/>
      <c r="AS66" s="156"/>
      <c r="AT66" s="156"/>
      <c r="AU66" s="156"/>
      <c r="AV66" s="156"/>
      <c r="AW66" s="156"/>
      <c r="AX66" s="156"/>
      <c r="AY66" s="156"/>
      <c r="AZ66" s="156"/>
      <c r="BA66" s="156"/>
      <c r="BB66" s="156"/>
      <c r="BC66" s="156"/>
      <c r="BD66" s="156"/>
      <c r="BE66" s="156"/>
      <c r="BF66" s="156"/>
      <c r="BG66" s="156"/>
      <c r="BH66" s="156"/>
      <c r="BI66" s="156"/>
    </row>
    <row r="67" ht="15.75" customHeight="1">
      <c r="A67" s="34"/>
      <c r="B67" s="27"/>
      <c r="C67" s="27"/>
      <c r="D67" s="7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  <c r="AK67" s="156"/>
      <c r="AL67" s="156"/>
      <c r="AM67" s="156"/>
      <c r="AN67" s="156"/>
      <c r="AO67" s="156"/>
      <c r="AP67" s="156"/>
      <c r="AQ67" s="156"/>
      <c r="AR67" s="156"/>
      <c r="AS67" s="156"/>
      <c r="AT67" s="156"/>
      <c r="AU67" s="156"/>
      <c r="AV67" s="156"/>
      <c r="AW67" s="156"/>
      <c r="AX67" s="156"/>
      <c r="AY67" s="156"/>
      <c r="AZ67" s="156"/>
      <c r="BA67" s="156"/>
      <c r="BB67" s="156"/>
      <c r="BC67" s="156"/>
      <c r="BD67" s="156"/>
      <c r="BE67" s="156"/>
      <c r="BF67" s="156"/>
      <c r="BG67" s="156"/>
      <c r="BH67" s="156"/>
      <c r="BI67" s="156"/>
    </row>
    <row r="68" ht="15.75" customHeight="1">
      <c r="A68" s="34"/>
      <c r="B68" s="27"/>
      <c r="C68" s="27"/>
      <c r="D68" s="7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  <c r="AK68" s="156"/>
      <c r="AL68" s="156"/>
      <c r="AM68" s="156"/>
      <c r="AN68" s="156"/>
      <c r="AO68" s="156"/>
      <c r="AP68" s="156"/>
      <c r="AQ68" s="156"/>
      <c r="AR68" s="156"/>
      <c r="AS68" s="156"/>
      <c r="AT68" s="156"/>
      <c r="AU68" s="156"/>
      <c r="AV68" s="156"/>
      <c r="AW68" s="156"/>
      <c r="AX68" s="156"/>
      <c r="AY68" s="156"/>
      <c r="AZ68" s="156"/>
      <c r="BA68" s="156"/>
      <c r="BB68" s="156"/>
      <c r="BC68" s="156"/>
      <c r="BD68" s="156"/>
      <c r="BE68" s="156"/>
      <c r="BF68" s="156"/>
      <c r="BG68" s="156"/>
      <c r="BH68" s="156"/>
      <c r="BI68" s="156"/>
    </row>
    <row r="69" ht="15.75" customHeight="1">
      <c r="A69" s="34"/>
      <c r="B69" s="27"/>
      <c r="C69" s="27"/>
      <c r="D69" s="7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  <c r="AK69" s="156"/>
      <c r="AL69" s="156"/>
      <c r="AM69" s="156"/>
      <c r="AN69" s="156"/>
      <c r="AO69" s="156"/>
      <c r="AP69" s="156"/>
      <c r="AQ69" s="156"/>
      <c r="AR69" s="156"/>
      <c r="AS69" s="156"/>
      <c r="AT69" s="156"/>
      <c r="AU69" s="156"/>
      <c r="AV69" s="156"/>
      <c r="AW69" s="156"/>
      <c r="AX69" s="156"/>
      <c r="AY69" s="156"/>
      <c r="AZ69" s="156"/>
      <c r="BA69" s="156"/>
      <c r="BB69" s="156"/>
      <c r="BC69" s="156"/>
      <c r="BD69" s="156"/>
      <c r="BE69" s="156"/>
      <c r="BF69" s="156"/>
      <c r="BG69" s="156"/>
      <c r="BH69" s="156"/>
      <c r="BI69" s="156"/>
    </row>
    <row r="70" ht="15.75" customHeight="1">
      <c r="A70" s="34"/>
      <c r="B70" s="27"/>
      <c r="C70" s="27"/>
      <c r="D70" s="7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  <c r="AK70" s="156"/>
      <c r="AL70" s="156"/>
      <c r="AM70" s="156"/>
      <c r="AN70" s="156"/>
      <c r="AO70" s="156"/>
      <c r="AP70" s="156"/>
      <c r="AQ70" s="156"/>
      <c r="AR70" s="156"/>
      <c r="AS70" s="156"/>
      <c r="AT70" s="156"/>
      <c r="AU70" s="156"/>
      <c r="AV70" s="156"/>
      <c r="AW70" s="156"/>
      <c r="AX70" s="156"/>
      <c r="AY70" s="156"/>
      <c r="AZ70" s="156"/>
      <c r="BA70" s="156"/>
      <c r="BB70" s="156"/>
      <c r="BC70" s="156"/>
      <c r="BD70" s="156"/>
      <c r="BE70" s="156"/>
      <c r="BF70" s="156"/>
      <c r="BG70" s="156"/>
      <c r="BH70" s="156"/>
      <c r="BI70" s="156"/>
    </row>
    <row r="71" ht="15.75" customHeight="1">
      <c r="A71" s="34"/>
      <c r="B71" s="27"/>
      <c r="C71" s="27"/>
      <c r="D71" s="7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  <c r="AH71" s="156"/>
      <c r="AI71" s="156"/>
      <c r="AJ71" s="156"/>
      <c r="AK71" s="156"/>
      <c r="AL71" s="156"/>
      <c r="AM71" s="156"/>
      <c r="AN71" s="156"/>
      <c r="AO71" s="156"/>
      <c r="AP71" s="156"/>
      <c r="AQ71" s="156"/>
      <c r="AR71" s="156"/>
      <c r="AS71" s="156"/>
      <c r="AT71" s="156"/>
      <c r="AU71" s="156"/>
      <c r="AV71" s="156"/>
      <c r="AW71" s="156"/>
      <c r="AX71" s="156"/>
      <c r="AY71" s="156"/>
      <c r="AZ71" s="156"/>
      <c r="BA71" s="156"/>
      <c r="BB71" s="156"/>
      <c r="BC71" s="156"/>
      <c r="BD71" s="156"/>
      <c r="BE71" s="156"/>
      <c r="BF71" s="156"/>
      <c r="BG71" s="156"/>
      <c r="BH71" s="156"/>
      <c r="BI71" s="156"/>
    </row>
    <row r="72" ht="15.75" customHeight="1">
      <c r="A72" s="34"/>
      <c r="B72" s="27"/>
      <c r="C72" s="27"/>
      <c r="D72" s="7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  <c r="AD72" s="156"/>
      <c r="AE72" s="156"/>
      <c r="AF72" s="156"/>
      <c r="AG72" s="156"/>
      <c r="AH72" s="156"/>
      <c r="AI72" s="156"/>
      <c r="AJ72" s="156"/>
      <c r="AK72" s="156"/>
      <c r="AL72" s="156"/>
      <c r="AM72" s="156"/>
      <c r="AN72" s="156"/>
      <c r="AO72" s="156"/>
      <c r="AP72" s="156"/>
      <c r="AQ72" s="156"/>
      <c r="AR72" s="156"/>
      <c r="AS72" s="156"/>
      <c r="AT72" s="156"/>
      <c r="AU72" s="156"/>
      <c r="AV72" s="156"/>
      <c r="AW72" s="156"/>
      <c r="AX72" s="156"/>
      <c r="AY72" s="156"/>
      <c r="AZ72" s="156"/>
      <c r="BA72" s="156"/>
      <c r="BB72" s="156"/>
      <c r="BC72" s="156"/>
      <c r="BD72" s="156"/>
      <c r="BE72" s="156"/>
      <c r="BF72" s="156"/>
      <c r="BG72" s="156"/>
      <c r="BH72" s="156"/>
      <c r="BI72" s="156"/>
    </row>
    <row r="73" ht="15.75" customHeight="1">
      <c r="A73" s="34"/>
      <c r="B73" s="27"/>
      <c r="C73" s="27"/>
      <c r="D73" s="7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  <c r="AR73" s="156"/>
      <c r="AS73" s="156"/>
      <c r="AT73" s="156"/>
      <c r="AU73" s="156"/>
      <c r="AV73" s="156"/>
      <c r="AW73" s="156"/>
      <c r="AX73" s="156"/>
      <c r="AY73" s="156"/>
      <c r="AZ73" s="156"/>
      <c r="BA73" s="156"/>
      <c r="BB73" s="156"/>
      <c r="BC73" s="156"/>
      <c r="BD73" s="156"/>
      <c r="BE73" s="156"/>
      <c r="BF73" s="156"/>
      <c r="BG73" s="156"/>
      <c r="BH73" s="156"/>
      <c r="BI73" s="156"/>
    </row>
    <row r="74" ht="15.75" customHeight="1">
      <c r="A74" s="34"/>
      <c r="B74" s="27"/>
      <c r="C74" s="27"/>
      <c r="D74" s="7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6"/>
      <c r="AP74" s="156"/>
      <c r="AQ74" s="156"/>
      <c r="AR74" s="156"/>
      <c r="AS74" s="156"/>
      <c r="AT74" s="156"/>
      <c r="AU74" s="156"/>
      <c r="AV74" s="156"/>
      <c r="AW74" s="156"/>
      <c r="AX74" s="156"/>
      <c r="AY74" s="156"/>
      <c r="AZ74" s="156"/>
      <c r="BA74" s="156"/>
      <c r="BB74" s="156"/>
      <c r="BC74" s="156"/>
      <c r="BD74" s="156"/>
      <c r="BE74" s="156"/>
      <c r="BF74" s="156"/>
      <c r="BG74" s="156"/>
      <c r="BH74" s="156"/>
      <c r="BI74" s="156"/>
    </row>
    <row r="75" ht="15.75" customHeight="1">
      <c r="A75" s="34"/>
      <c r="B75" s="27"/>
      <c r="C75" s="27"/>
      <c r="D75" s="7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  <c r="AK75" s="156"/>
      <c r="AL75" s="156"/>
      <c r="AM75" s="156"/>
      <c r="AN75" s="156"/>
      <c r="AO75" s="156"/>
      <c r="AP75" s="156"/>
      <c r="AQ75" s="156"/>
      <c r="AR75" s="156"/>
      <c r="AS75" s="156"/>
      <c r="AT75" s="156"/>
      <c r="AU75" s="156"/>
      <c r="AV75" s="156"/>
      <c r="AW75" s="156"/>
      <c r="AX75" s="156"/>
      <c r="AY75" s="156"/>
      <c r="AZ75" s="156"/>
      <c r="BA75" s="156"/>
      <c r="BB75" s="156"/>
      <c r="BC75" s="156"/>
      <c r="BD75" s="156"/>
      <c r="BE75" s="156"/>
      <c r="BF75" s="156"/>
      <c r="BG75" s="156"/>
      <c r="BH75" s="156"/>
      <c r="BI75" s="156"/>
    </row>
    <row r="76" ht="15.75" customHeight="1">
      <c r="A76" s="34"/>
      <c r="B76" s="27"/>
      <c r="C76" s="27"/>
      <c r="D76" s="7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  <c r="AD76" s="156"/>
      <c r="AE76" s="156"/>
      <c r="AF76" s="156"/>
      <c r="AG76" s="156"/>
      <c r="AH76" s="156"/>
      <c r="AI76" s="156"/>
      <c r="AJ76" s="156"/>
      <c r="AK76" s="156"/>
      <c r="AL76" s="156"/>
      <c r="AM76" s="156"/>
      <c r="AN76" s="156"/>
      <c r="AO76" s="156"/>
      <c r="AP76" s="156"/>
      <c r="AQ76" s="156"/>
      <c r="AR76" s="156"/>
      <c r="AS76" s="156"/>
      <c r="AT76" s="156"/>
      <c r="AU76" s="156"/>
      <c r="AV76" s="156"/>
      <c r="AW76" s="156"/>
      <c r="AX76" s="156"/>
      <c r="AY76" s="156"/>
      <c r="AZ76" s="156"/>
      <c r="BA76" s="156"/>
      <c r="BB76" s="156"/>
      <c r="BC76" s="156"/>
      <c r="BD76" s="156"/>
      <c r="BE76" s="156"/>
      <c r="BF76" s="156"/>
      <c r="BG76" s="156"/>
      <c r="BH76" s="156"/>
      <c r="BI76" s="156"/>
    </row>
    <row r="77" ht="15.75" customHeight="1">
      <c r="A77" s="34"/>
      <c r="B77" s="27"/>
      <c r="C77" s="27"/>
      <c r="D77" s="7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  <c r="AR77" s="156"/>
      <c r="AS77" s="156"/>
      <c r="AT77" s="156"/>
      <c r="AU77" s="156"/>
      <c r="AV77" s="156"/>
      <c r="AW77" s="156"/>
      <c r="AX77" s="156"/>
      <c r="AY77" s="156"/>
      <c r="AZ77" s="156"/>
      <c r="BA77" s="156"/>
      <c r="BB77" s="156"/>
      <c r="BC77" s="156"/>
      <c r="BD77" s="156"/>
      <c r="BE77" s="156"/>
      <c r="BF77" s="156"/>
      <c r="BG77" s="156"/>
      <c r="BH77" s="156"/>
      <c r="BI77" s="156"/>
    </row>
    <row r="78" ht="15.75" customHeight="1">
      <c r="A78" s="34"/>
      <c r="B78" s="27"/>
      <c r="C78" s="27"/>
      <c r="D78" s="7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  <c r="AR78" s="156"/>
      <c r="AS78" s="156"/>
      <c r="AT78" s="156"/>
      <c r="AU78" s="156"/>
      <c r="AV78" s="156"/>
      <c r="AW78" s="156"/>
      <c r="AX78" s="156"/>
      <c r="AY78" s="156"/>
      <c r="AZ78" s="156"/>
      <c r="BA78" s="156"/>
      <c r="BB78" s="156"/>
      <c r="BC78" s="156"/>
      <c r="BD78" s="156"/>
      <c r="BE78" s="156"/>
      <c r="BF78" s="156"/>
      <c r="BG78" s="156"/>
      <c r="BH78" s="156"/>
      <c r="BI78" s="156"/>
    </row>
    <row r="79" ht="15.75" customHeight="1">
      <c r="A79" s="34"/>
      <c r="B79" s="27"/>
      <c r="C79" s="27"/>
      <c r="D79" s="7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  <c r="AR79" s="156"/>
      <c r="AS79" s="156"/>
      <c r="AT79" s="156"/>
      <c r="AU79" s="156"/>
      <c r="AV79" s="156"/>
      <c r="AW79" s="156"/>
      <c r="AX79" s="156"/>
      <c r="AY79" s="156"/>
      <c r="AZ79" s="156"/>
      <c r="BA79" s="156"/>
      <c r="BB79" s="156"/>
      <c r="BC79" s="156"/>
      <c r="BD79" s="156"/>
      <c r="BE79" s="156"/>
      <c r="BF79" s="156"/>
      <c r="BG79" s="156"/>
      <c r="BH79" s="156"/>
      <c r="BI79" s="156"/>
    </row>
    <row r="80" ht="15.75" customHeight="1">
      <c r="A80" s="34"/>
      <c r="B80" s="27"/>
      <c r="C80" s="27"/>
      <c r="D80" s="7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  <c r="AR80" s="156"/>
      <c r="AS80" s="156"/>
      <c r="AT80" s="156"/>
      <c r="AU80" s="156"/>
      <c r="AV80" s="156"/>
      <c r="AW80" s="156"/>
      <c r="AX80" s="156"/>
      <c r="AY80" s="156"/>
      <c r="AZ80" s="156"/>
      <c r="BA80" s="156"/>
      <c r="BB80" s="156"/>
      <c r="BC80" s="156"/>
      <c r="BD80" s="156"/>
      <c r="BE80" s="156"/>
      <c r="BF80" s="156"/>
      <c r="BG80" s="156"/>
      <c r="BH80" s="156"/>
      <c r="BI80" s="156"/>
    </row>
    <row r="81" ht="15.75" customHeight="1">
      <c r="A81" s="34"/>
      <c r="B81" s="27"/>
      <c r="C81" s="27"/>
      <c r="D81" s="7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  <c r="AK81" s="156"/>
      <c r="AL81" s="156"/>
      <c r="AM81" s="156"/>
      <c r="AN81" s="156"/>
      <c r="AO81" s="156"/>
      <c r="AP81" s="156"/>
      <c r="AQ81" s="156"/>
      <c r="AR81" s="156"/>
      <c r="AS81" s="156"/>
      <c r="AT81" s="156"/>
      <c r="AU81" s="156"/>
      <c r="AV81" s="156"/>
      <c r="AW81" s="156"/>
      <c r="AX81" s="156"/>
      <c r="AY81" s="156"/>
      <c r="AZ81" s="156"/>
      <c r="BA81" s="156"/>
      <c r="BB81" s="156"/>
      <c r="BC81" s="156"/>
      <c r="BD81" s="156"/>
      <c r="BE81" s="156"/>
      <c r="BF81" s="156"/>
      <c r="BG81" s="156"/>
      <c r="BH81" s="156"/>
      <c r="BI81" s="156"/>
    </row>
    <row r="82" ht="15.75" customHeight="1">
      <c r="A82" s="34"/>
      <c r="B82" s="27"/>
      <c r="C82" s="27"/>
      <c r="D82" s="7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  <c r="AK82" s="156"/>
      <c r="AL82" s="156"/>
      <c r="AM82" s="156"/>
      <c r="AN82" s="156"/>
      <c r="AO82" s="156"/>
      <c r="AP82" s="156"/>
      <c r="AQ82" s="156"/>
      <c r="AR82" s="156"/>
      <c r="AS82" s="156"/>
      <c r="AT82" s="156"/>
      <c r="AU82" s="156"/>
      <c r="AV82" s="156"/>
      <c r="AW82" s="156"/>
      <c r="AX82" s="156"/>
      <c r="AY82" s="156"/>
      <c r="AZ82" s="156"/>
      <c r="BA82" s="156"/>
      <c r="BB82" s="156"/>
      <c r="BC82" s="156"/>
      <c r="BD82" s="156"/>
      <c r="BE82" s="156"/>
      <c r="BF82" s="156"/>
      <c r="BG82" s="156"/>
      <c r="BH82" s="156"/>
      <c r="BI82" s="156"/>
    </row>
    <row r="83" ht="15.75" customHeight="1">
      <c r="A83" s="34"/>
      <c r="B83" s="27"/>
      <c r="C83" s="27"/>
      <c r="D83" s="7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  <c r="AA83" s="156"/>
      <c r="AB83" s="156"/>
      <c r="AC83" s="156"/>
      <c r="AD83" s="156"/>
      <c r="AE83" s="156"/>
      <c r="AF83" s="156"/>
      <c r="AG83" s="156"/>
      <c r="AH83" s="156"/>
      <c r="AI83" s="156"/>
      <c r="AJ83" s="156"/>
      <c r="AK83" s="156"/>
      <c r="AL83" s="156"/>
      <c r="AM83" s="156"/>
      <c r="AN83" s="156"/>
      <c r="AO83" s="156"/>
      <c r="AP83" s="156"/>
      <c r="AQ83" s="156"/>
      <c r="AR83" s="156"/>
      <c r="AS83" s="156"/>
      <c r="AT83" s="156"/>
      <c r="AU83" s="156"/>
      <c r="AV83" s="156"/>
      <c r="AW83" s="156"/>
      <c r="AX83" s="156"/>
      <c r="AY83" s="156"/>
      <c r="AZ83" s="156"/>
      <c r="BA83" s="156"/>
      <c r="BB83" s="156"/>
      <c r="BC83" s="156"/>
      <c r="BD83" s="156"/>
      <c r="BE83" s="156"/>
      <c r="BF83" s="156"/>
      <c r="BG83" s="156"/>
      <c r="BH83" s="156"/>
      <c r="BI83" s="156"/>
    </row>
    <row r="84" ht="15.75" customHeight="1">
      <c r="A84" s="34"/>
      <c r="B84" s="27"/>
      <c r="C84" s="27"/>
      <c r="D84" s="7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  <c r="AA84" s="156"/>
      <c r="AB84" s="156"/>
      <c r="AC84" s="156"/>
      <c r="AD84" s="156"/>
      <c r="AE84" s="156"/>
      <c r="AF84" s="156"/>
      <c r="AG84" s="156"/>
      <c r="AH84" s="156"/>
      <c r="AI84" s="156"/>
      <c r="AJ84" s="156"/>
      <c r="AK84" s="156"/>
      <c r="AL84" s="156"/>
      <c r="AM84" s="156"/>
      <c r="AN84" s="156"/>
      <c r="AO84" s="156"/>
      <c r="AP84" s="156"/>
      <c r="AQ84" s="156"/>
      <c r="AR84" s="156"/>
      <c r="AS84" s="156"/>
      <c r="AT84" s="156"/>
      <c r="AU84" s="156"/>
      <c r="AV84" s="156"/>
      <c r="AW84" s="156"/>
      <c r="AX84" s="156"/>
      <c r="AY84" s="156"/>
      <c r="AZ84" s="156"/>
      <c r="BA84" s="156"/>
      <c r="BB84" s="156"/>
      <c r="BC84" s="156"/>
      <c r="BD84" s="156"/>
      <c r="BE84" s="156"/>
      <c r="BF84" s="156"/>
      <c r="BG84" s="156"/>
      <c r="BH84" s="156"/>
      <c r="BI84" s="156"/>
    </row>
    <row r="85" ht="15.75" customHeight="1">
      <c r="A85" s="34"/>
      <c r="B85" s="27"/>
      <c r="C85" s="27"/>
      <c r="D85" s="7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  <c r="AK85" s="156"/>
      <c r="AL85" s="156"/>
      <c r="AM85" s="156"/>
      <c r="AN85" s="156"/>
      <c r="AO85" s="156"/>
      <c r="AP85" s="156"/>
      <c r="AQ85" s="156"/>
      <c r="AR85" s="156"/>
      <c r="AS85" s="156"/>
      <c r="AT85" s="156"/>
      <c r="AU85" s="156"/>
      <c r="AV85" s="156"/>
      <c r="AW85" s="156"/>
      <c r="AX85" s="156"/>
      <c r="AY85" s="156"/>
      <c r="AZ85" s="156"/>
      <c r="BA85" s="156"/>
      <c r="BB85" s="156"/>
      <c r="BC85" s="156"/>
      <c r="BD85" s="156"/>
      <c r="BE85" s="156"/>
      <c r="BF85" s="156"/>
      <c r="BG85" s="156"/>
      <c r="BH85" s="156"/>
      <c r="BI85" s="156"/>
    </row>
    <row r="86" ht="15.75" customHeight="1">
      <c r="A86" s="34"/>
      <c r="B86" s="27"/>
      <c r="C86" s="27"/>
      <c r="D86" s="7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  <c r="AK86" s="156"/>
      <c r="AL86" s="156"/>
      <c r="AM86" s="156"/>
      <c r="AN86" s="156"/>
      <c r="AO86" s="156"/>
      <c r="AP86" s="156"/>
      <c r="AQ86" s="156"/>
      <c r="AR86" s="156"/>
      <c r="AS86" s="156"/>
      <c r="AT86" s="156"/>
      <c r="AU86" s="156"/>
      <c r="AV86" s="156"/>
      <c r="AW86" s="156"/>
      <c r="AX86" s="156"/>
      <c r="AY86" s="156"/>
      <c r="AZ86" s="156"/>
      <c r="BA86" s="156"/>
      <c r="BB86" s="156"/>
      <c r="BC86" s="156"/>
      <c r="BD86" s="156"/>
      <c r="BE86" s="156"/>
      <c r="BF86" s="156"/>
      <c r="BG86" s="156"/>
      <c r="BH86" s="156"/>
      <c r="BI86" s="156"/>
    </row>
    <row r="87" ht="15.75" customHeight="1">
      <c r="A87" s="34"/>
      <c r="B87" s="27"/>
      <c r="C87" s="27"/>
      <c r="D87" s="7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  <c r="AA87" s="156"/>
      <c r="AB87" s="156"/>
      <c r="AC87" s="156"/>
      <c r="AD87" s="156"/>
      <c r="AE87" s="156"/>
      <c r="AF87" s="156"/>
      <c r="AG87" s="156"/>
      <c r="AH87" s="156"/>
      <c r="AI87" s="156"/>
      <c r="AJ87" s="156"/>
      <c r="AK87" s="156"/>
      <c r="AL87" s="156"/>
      <c r="AM87" s="156"/>
      <c r="AN87" s="156"/>
      <c r="AO87" s="156"/>
      <c r="AP87" s="156"/>
      <c r="AQ87" s="156"/>
      <c r="AR87" s="156"/>
      <c r="AS87" s="156"/>
      <c r="AT87" s="156"/>
      <c r="AU87" s="156"/>
      <c r="AV87" s="156"/>
      <c r="AW87" s="156"/>
      <c r="AX87" s="156"/>
      <c r="AY87" s="156"/>
      <c r="AZ87" s="156"/>
      <c r="BA87" s="156"/>
      <c r="BB87" s="156"/>
      <c r="BC87" s="156"/>
      <c r="BD87" s="156"/>
      <c r="BE87" s="156"/>
      <c r="BF87" s="156"/>
      <c r="BG87" s="156"/>
      <c r="BH87" s="156"/>
      <c r="BI87" s="156"/>
    </row>
    <row r="88" ht="15.75" customHeight="1">
      <c r="A88" s="34"/>
      <c r="B88" s="27"/>
      <c r="C88" s="27"/>
      <c r="D88" s="7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  <c r="AK88" s="156"/>
      <c r="AL88" s="156"/>
      <c r="AM88" s="156"/>
      <c r="AN88" s="156"/>
      <c r="AO88" s="156"/>
      <c r="AP88" s="156"/>
      <c r="AQ88" s="156"/>
      <c r="AR88" s="156"/>
      <c r="AS88" s="156"/>
      <c r="AT88" s="156"/>
      <c r="AU88" s="156"/>
      <c r="AV88" s="156"/>
      <c r="AW88" s="156"/>
      <c r="AX88" s="156"/>
      <c r="AY88" s="156"/>
      <c r="AZ88" s="156"/>
      <c r="BA88" s="156"/>
      <c r="BB88" s="156"/>
      <c r="BC88" s="156"/>
      <c r="BD88" s="156"/>
      <c r="BE88" s="156"/>
      <c r="BF88" s="156"/>
      <c r="BG88" s="156"/>
      <c r="BH88" s="156"/>
      <c r="BI88" s="156"/>
    </row>
    <row r="89" ht="15.75" customHeight="1">
      <c r="A89" s="34"/>
      <c r="B89" s="27"/>
      <c r="C89" s="27"/>
      <c r="D89" s="7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  <c r="AK89" s="156"/>
      <c r="AL89" s="156"/>
      <c r="AM89" s="156"/>
      <c r="AN89" s="156"/>
      <c r="AO89" s="156"/>
      <c r="AP89" s="156"/>
      <c r="AQ89" s="156"/>
      <c r="AR89" s="156"/>
      <c r="AS89" s="156"/>
      <c r="AT89" s="156"/>
      <c r="AU89" s="156"/>
      <c r="AV89" s="156"/>
      <c r="AW89" s="156"/>
      <c r="AX89" s="156"/>
      <c r="AY89" s="156"/>
      <c r="AZ89" s="156"/>
      <c r="BA89" s="156"/>
      <c r="BB89" s="156"/>
      <c r="BC89" s="156"/>
      <c r="BD89" s="156"/>
      <c r="BE89" s="156"/>
      <c r="BF89" s="156"/>
      <c r="BG89" s="156"/>
      <c r="BH89" s="156"/>
      <c r="BI89" s="156"/>
    </row>
    <row r="90" ht="15.75" customHeight="1">
      <c r="A90" s="34"/>
      <c r="B90" s="27"/>
      <c r="C90" s="27"/>
      <c r="D90" s="7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  <c r="AH90" s="156"/>
      <c r="AI90" s="156"/>
      <c r="AJ90" s="156"/>
      <c r="AK90" s="156"/>
      <c r="AL90" s="156"/>
      <c r="AM90" s="156"/>
      <c r="AN90" s="156"/>
      <c r="AO90" s="156"/>
      <c r="AP90" s="156"/>
      <c r="AQ90" s="156"/>
      <c r="AR90" s="156"/>
      <c r="AS90" s="156"/>
      <c r="AT90" s="156"/>
      <c r="AU90" s="156"/>
      <c r="AV90" s="156"/>
      <c r="AW90" s="156"/>
      <c r="AX90" s="156"/>
      <c r="AY90" s="156"/>
      <c r="AZ90" s="156"/>
      <c r="BA90" s="156"/>
      <c r="BB90" s="156"/>
      <c r="BC90" s="156"/>
      <c r="BD90" s="156"/>
      <c r="BE90" s="156"/>
      <c r="BF90" s="156"/>
      <c r="BG90" s="156"/>
      <c r="BH90" s="156"/>
      <c r="BI90" s="156"/>
    </row>
    <row r="91" ht="15.75" customHeight="1">
      <c r="A91" s="34"/>
      <c r="B91" s="27"/>
      <c r="C91" s="27"/>
      <c r="D91" s="7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  <c r="AA91" s="156"/>
      <c r="AB91" s="156"/>
      <c r="AC91" s="156"/>
      <c r="AD91" s="156"/>
      <c r="AE91" s="156"/>
      <c r="AF91" s="156"/>
      <c r="AG91" s="156"/>
      <c r="AH91" s="156"/>
      <c r="AI91" s="156"/>
      <c r="AJ91" s="156"/>
      <c r="AK91" s="156"/>
      <c r="AL91" s="156"/>
      <c r="AM91" s="156"/>
      <c r="AN91" s="156"/>
      <c r="AO91" s="156"/>
      <c r="AP91" s="156"/>
      <c r="AQ91" s="156"/>
      <c r="AR91" s="156"/>
      <c r="AS91" s="156"/>
      <c r="AT91" s="156"/>
      <c r="AU91" s="156"/>
      <c r="AV91" s="156"/>
      <c r="AW91" s="156"/>
      <c r="AX91" s="156"/>
      <c r="AY91" s="156"/>
      <c r="AZ91" s="156"/>
      <c r="BA91" s="156"/>
      <c r="BB91" s="156"/>
      <c r="BC91" s="156"/>
      <c r="BD91" s="156"/>
      <c r="BE91" s="156"/>
      <c r="BF91" s="156"/>
      <c r="BG91" s="156"/>
      <c r="BH91" s="156"/>
      <c r="BI91" s="156"/>
    </row>
    <row r="92" ht="15.75" customHeight="1">
      <c r="A92" s="34"/>
      <c r="B92" s="27"/>
      <c r="C92" s="27"/>
      <c r="D92" s="7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  <c r="AA92" s="156"/>
      <c r="AB92" s="156"/>
      <c r="AC92" s="156"/>
      <c r="AD92" s="156"/>
      <c r="AE92" s="156"/>
      <c r="AF92" s="156"/>
      <c r="AG92" s="156"/>
      <c r="AH92" s="156"/>
      <c r="AI92" s="156"/>
      <c r="AJ92" s="156"/>
      <c r="AK92" s="156"/>
      <c r="AL92" s="156"/>
      <c r="AM92" s="156"/>
      <c r="AN92" s="156"/>
      <c r="AO92" s="156"/>
      <c r="AP92" s="156"/>
      <c r="AQ92" s="156"/>
      <c r="AR92" s="156"/>
      <c r="AS92" s="156"/>
      <c r="AT92" s="156"/>
      <c r="AU92" s="156"/>
      <c r="AV92" s="156"/>
      <c r="AW92" s="156"/>
      <c r="AX92" s="156"/>
      <c r="AY92" s="156"/>
      <c r="AZ92" s="156"/>
      <c r="BA92" s="156"/>
      <c r="BB92" s="156"/>
      <c r="BC92" s="156"/>
      <c r="BD92" s="156"/>
      <c r="BE92" s="156"/>
      <c r="BF92" s="156"/>
      <c r="BG92" s="156"/>
      <c r="BH92" s="156"/>
      <c r="BI92" s="156"/>
    </row>
    <row r="93" ht="15.75" customHeight="1">
      <c r="A93" s="34"/>
      <c r="B93" s="27"/>
      <c r="C93" s="27"/>
      <c r="D93" s="7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  <c r="AA93" s="156"/>
      <c r="AB93" s="156"/>
      <c r="AC93" s="156"/>
      <c r="AD93" s="156"/>
      <c r="AE93" s="156"/>
      <c r="AF93" s="156"/>
      <c r="AG93" s="156"/>
      <c r="AH93" s="156"/>
      <c r="AI93" s="156"/>
      <c r="AJ93" s="156"/>
      <c r="AK93" s="156"/>
      <c r="AL93" s="156"/>
      <c r="AM93" s="156"/>
      <c r="AN93" s="156"/>
      <c r="AO93" s="156"/>
      <c r="AP93" s="156"/>
      <c r="AQ93" s="156"/>
      <c r="AR93" s="156"/>
      <c r="AS93" s="156"/>
      <c r="AT93" s="156"/>
      <c r="AU93" s="156"/>
      <c r="AV93" s="156"/>
      <c r="AW93" s="156"/>
      <c r="AX93" s="156"/>
      <c r="AY93" s="156"/>
      <c r="AZ93" s="156"/>
      <c r="BA93" s="156"/>
      <c r="BB93" s="156"/>
      <c r="BC93" s="156"/>
      <c r="BD93" s="156"/>
      <c r="BE93" s="156"/>
      <c r="BF93" s="156"/>
      <c r="BG93" s="156"/>
      <c r="BH93" s="156"/>
      <c r="BI93" s="156"/>
    </row>
    <row r="94" ht="15.75" customHeight="1">
      <c r="A94" s="34"/>
      <c r="B94" s="27"/>
      <c r="C94" s="27"/>
      <c r="D94" s="7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  <c r="AA94" s="156"/>
      <c r="AB94" s="156"/>
      <c r="AC94" s="156"/>
      <c r="AD94" s="156"/>
      <c r="AE94" s="156"/>
      <c r="AF94" s="156"/>
      <c r="AG94" s="156"/>
      <c r="AH94" s="156"/>
      <c r="AI94" s="156"/>
      <c r="AJ94" s="156"/>
      <c r="AK94" s="156"/>
      <c r="AL94" s="156"/>
      <c r="AM94" s="156"/>
      <c r="AN94" s="156"/>
      <c r="AO94" s="156"/>
      <c r="AP94" s="156"/>
      <c r="AQ94" s="156"/>
      <c r="AR94" s="156"/>
      <c r="AS94" s="156"/>
      <c r="AT94" s="156"/>
      <c r="AU94" s="156"/>
      <c r="AV94" s="156"/>
      <c r="AW94" s="156"/>
      <c r="AX94" s="156"/>
      <c r="AY94" s="156"/>
      <c r="AZ94" s="156"/>
      <c r="BA94" s="156"/>
      <c r="BB94" s="156"/>
      <c r="BC94" s="156"/>
      <c r="BD94" s="156"/>
      <c r="BE94" s="156"/>
      <c r="BF94" s="156"/>
      <c r="BG94" s="156"/>
      <c r="BH94" s="156"/>
      <c r="BI94" s="156"/>
    </row>
    <row r="95" ht="15.75" customHeight="1">
      <c r="A95" s="34"/>
      <c r="B95" s="27"/>
      <c r="C95" s="27"/>
      <c r="D95" s="7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  <c r="AA95" s="156"/>
      <c r="AB95" s="156"/>
      <c r="AC95" s="156"/>
      <c r="AD95" s="156"/>
      <c r="AE95" s="156"/>
      <c r="AF95" s="156"/>
      <c r="AG95" s="156"/>
      <c r="AH95" s="156"/>
      <c r="AI95" s="156"/>
      <c r="AJ95" s="156"/>
      <c r="AK95" s="156"/>
      <c r="AL95" s="156"/>
      <c r="AM95" s="156"/>
      <c r="AN95" s="156"/>
      <c r="AO95" s="156"/>
      <c r="AP95" s="156"/>
      <c r="AQ95" s="156"/>
      <c r="AR95" s="156"/>
      <c r="AS95" s="156"/>
      <c r="AT95" s="156"/>
      <c r="AU95" s="156"/>
      <c r="AV95" s="156"/>
      <c r="AW95" s="156"/>
      <c r="AX95" s="156"/>
      <c r="AY95" s="156"/>
      <c r="AZ95" s="156"/>
      <c r="BA95" s="156"/>
      <c r="BB95" s="156"/>
      <c r="BC95" s="156"/>
      <c r="BD95" s="156"/>
      <c r="BE95" s="156"/>
      <c r="BF95" s="156"/>
      <c r="BG95" s="156"/>
      <c r="BH95" s="156"/>
      <c r="BI95" s="156"/>
    </row>
    <row r="96" ht="15.75" customHeight="1">
      <c r="A96" s="34"/>
      <c r="B96" s="27"/>
      <c r="C96" s="27"/>
      <c r="D96" s="7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  <c r="AK96" s="156"/>
      <c r="AL96" s="156"/>
      <c r="AM96" s="156"/>
      <c r="AN96" s="156"/>
      <c r="AO96" s="156"/>
      <c r="AP96" s="156"/>
      <c r="AQ96" s="156"/>
      <c r="AR96" s="156"/>
      <c r="AS96" s="156"/>
      <c r="AT96" s="156"/>
      <c r="AU96" s="156"/>
      <c r="AV96" s="156"/>
      <c r="AW96" s="156"/>
      <c r="AX96" s="156"/>
      <c r="AY96" s="156"/>
      <c r="AZ96" s="156"/>
      <c r="BA96" s="156"/>
      <c r="BB96" s="156"/>
      <c r="BC96" s="156"/>
      <c r="BD96" s="156"/>
      <c r="BE96" s="156"/>
      <c r="BF96" s="156"/>
      <c r="BG96" s="156"/>
      <c r="BH96" s="156"/>
      <c r="BI96" s="156"/>
    </row>
    <row r="97" ht="15.75" customHeight="1">
      <c r="A97" s="34"/>
      <c r="B97" s="27"/>
      <c r="C97" s="27"/>
      <c r="D97" s="7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  <c r="AK97" s="156"/>
      <c r="AL97" s="156"/>
      <c r="AM97" s="156"/>
      <c r="AN97" s="156"/>
      <c r="AO97" s="156"/>
      <c r="AP97" s="156"/>
      <c r="AQ97" s="156"/>
      <c r="AR97" s="156"/>
      <c r="AS97" s="156"/>
      <c r="AT97" s="156"/>
      <c r="AU97" s="156"/>
      <c r="AV97" s="156"/>
      <c r="AW97" s="156"/>
      <c r="AX97" s="156"/>
      <c r="AY97" s="156"/>
      <c r="AZ97" s="156"/>
      <c r="BA97" s="156"/>
      <c r="BB97" s="156"/>
      <c r="BC97" s="156"/>
      <c r="BD97" s="156"/>
      <c r="BE97" s="156"/>
      <c r="BF97" s="156"/>
      <c r="BG97" s="156"/>
      <c r="BH97" s="156"/>
      <c r="BI97" s="156"/>
    </row>
    <row r="98" ht="15.75" customHeight="1">
      <c r="A98" s="34"/>
      <c r="B98" s="27"/>
      <c r="C98" s="27"/>
      <c r="D98" s="7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  <c r="AA98" s="156"/>
      <c r="AB98" s="156"/>
      <c r="AC98" s="156"/>
      <c r="AD98" s="156"/>
      <c r="AE98" s="156"/>
      <c r="AF98" s="156"/>
      <c r="AG98" s="156"/>
      <c r="AH98" s="156"/>
      <c r="AI98" s="156"/>
      <c r="AJ98" s="156"/>
      <c r="AK98" s="156"/>
      <c r="AL98" s="156"/>
      <c r="AM98" s="156"/>
      <c r="AN98" s="156"/>
      <c r="AO98" s="156"/>
      <c r="AP98" s="156"/>
      <c r="AQ98" s="156"/>
      <c r="AR98" s="156"/>
      <c r="AS98" s="156"/>
      <c r="AT98" s="156"/>
      <c r="AU98" s="156"/>
      <c r="AV98" s="156"/>
      <c r="AW98" s="156"/>
      <c r="AX98" s="156"/>
      <c r="AY98" s="156"/>
      <c r="AZ98" s="156"/>
      <c r="BA98" s="156"/>
      <c r="BB98" s="156"/>
      <c r="BC98" s="156"/>
      <c r="BD98" s="156"/>
      <c r="BE98" s="156"/>
      <c r="BF98" s="156"/>
      <c r="BG98" s="156"/>
      <c r="BH98" s="156"/>
      <c r="BI98" s="156"/>
    </row>
    <row r="99" ht="15.75" customHeight="1">
      <c r="A99" s="34"/>
      <c r="B99" s="27"/>
      <c r="C99" s="27"/>
      <c r="D99" s="7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  <c r="AK99" s="156"/>
      <c r="AL99" s="156"/>
      <c r="AM99" s="156"/>
      <c r="AN99" s="156"/>
      <c r="AO99" s="156"/>
      <c r="AP99" s="156"/>
      <c r="AQ99" s="156"/>
      <c r="AR99" s="156"/>
      <c r="AS99" s="156"/>
      <c r="AT99" s="156"/>
      <c r="AU99" s="156"/>
      <c r="AV99" s="156"/>
      <c r="AW99" s="156"/>
      <c r="AX99" s="156"/>
      <c r="AY99" s="156"/>
      <c r="AZ99" s="156"/>
      <c r="BA99" s="156"/>
      <c r="BB99" s="156"/>
      <c r="BC99" s="156"/>
      <c r="BD99" s="156"/>
      <c r="BE99" s="156"/>
      <c r="BF99" s="156"/>
      <c r="BG99" s="156"/>
      <c r="BH99" s="156"/>
      <c r="BI99" s="156"/>
    </row>
    <row r="100" ht="15.75" customHeight="1">
      <c r="A100" s="34"/>
      <c r="B100" s="27"/>
      <c r="C100" s="27"/>
      <c r="D100" s="7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  <c r="AK100" s="156"/>
      <c r="AL100" s="156"/>
      <c r="AM100" s="156"/>
      <c r="AN100" s="156"/>
      <c r="AO100" s="156"/>
      <c r="AP100" s="156"/>
      <c r="AQ100" s="156"/>
      <c r="AR100" s="156"/>
      <c r="AS100" s="156"/>
      <c r="AT100" s="156"/>
      <c r="AU100" s="156"/>
      <c r="AV100" s="156"/>
      <c r="AW100" s="156"/>
      <c r="AX100" s="156"/>
      <c r="AY100" s="156"/>
      <c r="AZ100" s="156"/>
      <c r="BA100" s="156"/>
      <c r="BB100" s="156"/>
      <c r="BC100" s="156"/>
      <c r="BD100" s="156"/>
      <c r="BE100" s="156"/>
      <c r="BF100" s="156"/>
      <c r="BG100" s="156"/>
      <c r="BH100" s="156"/>
      <c r="BI100" s="156"/>
    </row>
    <row r="101" ht="15.75" customHeight="1">
      <c r="A101" s="34"/>
      <c r="B101" s="27"/>
      <c r="C101" s="27"/>
      <c r="D101" s="7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  <c r="AA101" s="156"/>
      <c r="AB101" s="156"/>
      <c r="AC101" s="156"/>
      <c r="AD101" s="156"/>
      <c r="AE101" s="156"/>
      <c r="AF101" s="156"/>
      <c r="AG101" s="156"/>
      <c r="AH101" s="156"/>
      <c r="AI101" s="156"/>
      <c r="AJ101" s="156"/>
      <c r="AK101" s="156"/>
      <c r="AL101" s="156"/>
      <c r="AM101" s="156"/>
      <c r="AN101" s="156"/>
      <c r="AO101" s="156"/>
      <c r="AP101" s="156"/>
      <c r="AQ101" s="156"/>
      <c r="AR101" s="156"/>
      <c r="AS101" s="156"/>
      <c r="AT101" s="156"/>
      <c r="AU101" s="156"/>
      <c r="AV101" s="156"/>
      <c r="AW101" s="156"/>
      <c r="AX101" s="156"/>
      <c r="AY101" s="156"/>
      <c r="AZ101" s="156"/>
      <c r="BA101" s="156"/>
      <c r="BB101" s="156"/>
      <c r="BC101" s="156"/>
      <c r="BD101" s="156"/>
      <c r="BE101" s="156"/>
      <c r="BF101" s="156"/>
      <c r="BG101" s="156"/>
      <c r="BH101" s="156"/>
      <c r="BI101" s="156"/>
    </row>
    <row r="102" ht="15.75" customHeight="1">
      <c r="A102" s="34"/>
      <c r="B102" s="27"/>
      <c r="C102" s="27"/>
      <c r="D102" s="7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  <c r="AA102" s="156"/>
      <c r="AB102" s="156"/>
      <c r="AC102" s="156"/>
      <c r="AD102" s="156"/>
      <c r="AE102" s="156"/>
      <c r="AF102" s="156"/>
      <c r="AG102" s="156"/>
      <c r="AH102" s="156"/>
      <c r="AI102" s="156"/>
      <c r="AJ102" s="156"/>
      <c r="AK102" s="156"/>
      <c r="AL102" s="156"/>
      <c r="AM102" s="156"/>
      <c r="AN102" s="156"/>
      <c r="AO102" s="156"/>
      <c r="AP102" s="156"/>
      <c r="AQ102" s="156"/>
      <c r="AR102" s="156"/>
      <c r="AS102" s="156"/>
      <c r="AT102" s="156"/>
      <c r="AU102" s="156"/>
      <c r="AV102" s="156"/>
      <c r="AW102" s="156"/>
      <c r="AX102" s="156"/>
      <c r="AY102" s="156"/>
      <c r="AZ102" s="156"/>
      <c r="BA102" s="156"/>
      <c r="BB102" s="156"/>
      <c r="BC102" s="156"/>
      <c r="BD102" s="156"/>
      <c r="BE102" s="156"/>
      <c r="BF102" s="156"/>
      <c r="BG102" s="156"/>
      <c r="BH102" s="156"/>
      <c r="BI102" s="156"/>
    </row>
    <row r="103" ht="15.75" customHeight="1">
      <c r="A103" s="34"/>
      <c r="B103" s="27"/>
      <c r="C103" s="27"/>
      <c r="D103" s="7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  <c r="AA103" s="156"/>
      <c r="AB103" s="156"/>
      <c r="AC103" s="156"/>
      <c r="AD103" s="156"/>
      <c r="AE103" s="156"/>
      <c r="AF103" s="156"/>
      <c r="AG103" s="156"/>
      <c r="AH103" s="156"/>
      <c r="AI103" s="156"/>
      <c r="AJ103" s="156"/>
      <c r="AK103" s="156"/>
      <c r="AL103" s="156"/>
      <c r="AM103" s="156"/>
      <c r="AN103" s="156"/>
      <c r="AO103" s="156"/>
      <c r="AP103" s="156"/>
      <c r="AQ103" s="156"/>
      <c r="AR103" s="156"/>
      <c r="AS103" s="156"/>
      <c r="AT103" s="156"/>
      <c r="AU103" s="156"/>
      <c r="AV103" s="156"/>
      <c r="AW103" s="156"/>
      <c r="AX103" s="156"/>
      <c r="AY103" s="156"/>
      <c r="AZ103" s="156"/>
      <c r="BA103" s="156"/>
      <c r="BB103" s="156"/>
      <c r="BC103" s="156"/>
      <c r="BD103" s="156"/>
      <c r="BE103" s="156"/>
      <c r="BF103" s="156"/>
      <c r="BG103" s="156"/>
      <c r="BH103" s="156"/>
      <c r="BI103" s="156"/>
    </row>
    <row r="104" ht="15.75" customHeight="1">
      <c r="A104" s="34"/>
      <c r="B104" s="27"/>
      <c r="C104" s="27"/>
      <c r="D104" s="7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  <c r="AA104" s="156"/>
      <c r="AB104" s="156"/>
      <c r="AC104" s="156"/>
      <c r="AD104" s="156"/>
      <c r="AE104" s="156"/>
      <c r="AF104" s="156"/>
      <c r="AG104" s="156"/>
      <c r="AH104" s="156"/>
      <c r="AI104" s="156"/>
      <c r="AJ104" s="156"/>
      <c r="AK104" s="156"/>
      <c r="AL104" s="156"/>
      <c r="AM104" s="156"/>
      <c r="AN104" s="156"/>
      <c r="AO104" s="156"/>
      <c r="AP104" s="156"/>
      <c r="AQ104" s="156"/>
      <c r="AR104" s="156"/>
      <c r="AS104" s="156"/>
      <c r="AT104" s="156"/>
      <c r="AU104" s="156"/>
      <c r="AV104" s="156"/>
      <c r="AW104" s="156"/>
      <c r="AX104" s="156"/>
      <c r="AY104" s="156"/>
      <c r="AZ104" s="156"/>
      <c r="BA104" s="156"/>
      <c r="BB104" s="156"/>
      <c r="BC104" s="156"/>
      <c r="BD104" s="156"/>
      <c r="BE104" s="156"/>
      <c r="BF104" s="156"/>
      <c r="BG104" s="156"/>
      <c r="BH104" s="156"/>
      <c r="BI104" s="156"/>
    </row>
    <row r="105" ht="15.75" customHeight="1">
      <c r="A105" s="34"/>
      <c r="B105" s="27"/>
      <c r="C105" s="27"/>
      <c r="D105" s="7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  <c r="AA105" s="156"/>
      <c r="AB105" s="156"/>
      <c r="AC105" s="156"/>
      <c r="AD105" s="156"/>
      <c r="AE105" s="156"/>
      <c r="AF105" s="156"/>
      <c r="AG105" s="156"/>
      <c r="AH105" s="156"/>
      <c r="AI105" s="156"/>
      <c r="AJ105" s="156"/>
      <c r="AK105" s="156"/>
      <c r="AL105" s="156"/>
      <c r="AM105" s="156"/>
      <c r="AN105" s="156"/>
      <c r="AO105" s="156"/>
      <c r="AP105" s="156"/>
      <c r="AQ105" s="156"/>
      <c r="AR105" s="156"/>
      <c r="AS105" s="156"/>
      <c r="AT105" s="156"/>
      <c r="AU105" s="156"/>
      <c r="AV105" s="156"/>
      <c r="AW105" s="156"/>
      <c r="AX105" s="156"/>
      <c r="AY105" s="156"/>
      <c r="AZ105" s="156"/>
      <c r="BA105" s="156"/>
      <c r="BB105" s="156"/>
      <c r="BC105" s="156"/>
      <c r="BD105" s="156"/>
      <c r="BE105" s="156"/>
      <c r="BF105" s="156"/>
      <c r="BG105" s="156"/>
      <c r="BH105" s="156"/>
      <c r="BI105" s="156"/>
    </row>
    <row r="106" ht="15.75" customHeight="1">
      <c r="A106" s="34"/>
      <c r="B106" s="27"/>
      <c r="C106" s="27"/>
      <c r="D106" s="7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  <c r="AA106" s="156"/>
      <c r="AB106" s="156"/>
      <c r="AC106" s="156"/>
      <c r="AD106" s="156"/>
      <c r="AE106" s="156"/>
      <c r="AF106" s="156"/>
      <c r="AG106" s="156"/>
      <c r="AH106" s="156"/>
      <c r="AI106" s="156"/>
      <c r="AJ106" s="156"/>
      <c r="AK106" s="156"/>
      <c r="AL106" s="156"/>
      <c r="AM106" s="156"/>
      <c r="AN106" s="156"/>
      <c r="AO106" s="156"/>
      <c r="AP106" s="156"/>
      <c r="AQ106" s="156"/>
      <c r="AR106" s="156"/>
      <c r="AS106" s="156"/>
      <c r="AT106" s="156"/>
      <c r="AU106" s="156"/>
      <c r="AV106" s="156"/>
      <c r="AW106" s="156"/>
      <c r="AX106" s="156"/>
      <c r="AY106" s="156"/>
      <c r="AZ106" s="156"/>
      <c r="BA106" s="156"/>
      <c r="BB106" s="156"/>
      <c r="BC106" s="156"/>
      <c r="BD106" s="156"/>
      <c r="BE106" s="156"/>
      <c r="BF106" s="156"/>
      <c r="BG106" s="156"/>
      <c r="BH106" s="156"/>
      <c r="BI106" s="156"/>
    </row>
    <row r="107" ht="15.75" customHeight="1">
      <c r="A107" s="34"/>
      <c r="B107" s="27"/>
      <c r="C107" s="27"/>
      <c r="D107" s="7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  <c r="AA107" s="156"/>
      <c r="AB107" s="156"/>
      <c r="AC107" s="156"/>
      <c r="AD107" s="156"/>
      <c r="AE107" s="156"/>
      <c r="AF107" s="156"/>
      <c r="AG107" s="156"/>
      <c r="AH107" s="156"/>
      <c r="AI107" s="156"/>
      <c r="AJ107" s="156"/>
      <c r="AK107" s="156"/>
      <c r="AL107" s="156"/>
      <c r="AM107" s="156"/>
      <c r="AN107" s="156"/>
      <c r="AO107" s="156"/>
      <c r="AP107" s="156"/>
      <c r="AQ107" s="156"/>
      <c r="AR107" s="156"/>
      <c r="AS107" s="156"/>
      <c r="AT107" s="156"/>
      <c r="AU107" s="156"/>
      <c r="AV107" s="156"/>
      <c r="AW107" s="156"/>
      <c r="AX107" s="156"/>
      <c r="AY107" s="156"/>
      <c r="AZ107" s="156"/>
      <c r="BA107" s="156"/>
      <c r="BB107" s="156"/>
      <c r="BC107" s="156"/>
      <c r="BD107" s="156"/>
      <c r="BE107" s="156"/>
      <c r="BF107" s="156"/>
      <c r="BG107" s="156"/>
      <c r="BH107" s="156"/>
      <c r="BI107" s="156"/>
    </row>
    <row r="108" ht="15.75" customHeight="1">
      <c r="A108" s="34"/>
      <c r="B108" s="27"/>
      <c r="C108" s="27"/>
      <c r="D108" s="7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  <c r="AA108" s="156"/>
      <c r="AB108" s="156"/>
      <c r="AC108" s="156"/>
      <c r="AD108" s="156"/>
      <c r="AE108" s="156"/>
      <c r="AF108" s="156"/>
      <c r="AG108" s="156"/>
      <c r="AH108" s="156"/>
      <c r="AI108" s="156"/>
      <c r="AJ108" s="156"/>
      <c r="AK108" s="156"/>
      <c r="AL108" s="156"/>
      <c r="AM108" s="156"/>
      <c r="AN108" s="156"/>
      <c r="AO108" s="156"/>
      <c r="AP108" s="156"/>
      <c r="AQ108" s="156"/>
      <c r="AR108" s="156"/>
      <c r="AS108" s="156"/>
      <c r="AT108" s="156"/>
      <c r="AU108" s="156"/>
      <c r="AV108" s="156"/>
      <c r="AW108" s="156"/>
      <c r="AX108" s="156"/>
      <c r="AY108" s="156"/>
      <c r="AZ108" s="156"/>
      <c r="BA108" s="156"/>
      <c r="BB108" s="156"/>
      <c r="BC108" s="156"/>
      <c r="BD108" s="156"/>
      <c r="BE108" s="156"/>
      <c r="BF108" s="156"/>
      <c r="BG108" s="156"/>
      <c r="BH108" s="156"/>
      <c r="BI108" s="156"/>
    </row>
    <row r="109" ht="15.75" customHeight="1">
      <c r="A109" s="34"/>
      <c r="B109" s="27"/>
      <c r="C109" s="27"/>
      <c r="D109" s="7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156"/>
      <c r="AG109" s="156"/>
      <c r="AH109" s="156"/>
      <c r="AI109" s="156"/>
      <c r="AJ109" s="156"/>
      <c r="AK109" s="156"/>
      <c r="AL109" s="156"/>
      <c r="AM109" s="156"/>
      <c r="AN109" s="156"/>
      <c r="AO109" s="156"/>
      <c r="AP109" s="156"/>
      <c r="AQ109" s="156"/>
      <c r="AR109" s="156"/>
      <c r="AS109" s="156"/>
      <c r="AT109" s="156"/>
      <c r="AU109" s="156"/>
      <c r="AV109" s="156"/>
      <c r="AW109" s="156"/>
      <c r="AX109" s="156"/>
      <c r="AY109" s="156"/>
      <c r="AZ109" s="156"/>
      <c r="BA109" s="156"/>
      <c r="BB109" s="156"/>
      <c r="BC109" s="156"/>
      <c r="BD109" s="156"/>
      <c r="BE109" s="156"/>
      <c r="BF109" s="156"/>
      <c r="BG109" s="156"/>
      <c r="BH109" s="156"/>
      <c r="BI109" s="156"/>
    </row>
    <row r="110" ht="15.75" customHeight="1">
      <c r="A110" s="34"/>
      <c r="B110" s="27"/>
      <c r="C110" s="27"/>
      <c r="D110" s="7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  <c r="AA110" s="156"/>
      <c r="AB110" s="156"/>
      <c r="AC110" s="156"/>
      <c r="AD110" s="156"/>
      <c r="AE110" s="156"/>
      <c r="AF110" s="156"/>
      <c r="AG110" s="156"/>
      <c r="AH110" s="156"/>
      <c r="AI110" s="156"/>
      <c r="AJ110" s="156"/>
      <c r="AK110" s="156"/>
      <c r="AL110" s="156"/>
      <c r="AM110" s="156"/>
      <c r="AN110" s="156"/>
      <c r="AO110" s="156"/>
      <c r="AP110" s="156"/>
      <c r="AQ110" s="156"/>
      <c r="AR110" s="156"/>
      <c r="AS110" s="156"/>
      <c r="AT110" s="156"/>
      <c r="AU110" s="156"/>
      <c r="AV110" s="156"/>
      <c r="AW110" s="156"/>
      <c r="AX110" s="156"/>
      <c r="AY110" s="156"/>
      <c r="AZ110" s="156"/>
      <c r="BA110" s="156"/>
      <c r="BB110" s="156"/>
      <c r="BC110" s="156"/>
      <c r="BD110" s="156"/>
      <c r="BE110" s="156"/>
      <c r="BF110" s="156"/>
      <c r="BG110" s="156"/>
      <c r="BH110" s="156"/>
      <c r="BI110" s="156"/>
    </row>
    <row r="111" ht="15.75" customHeight="1">
      <c r="A111" s="34"/>
      <c r="B111" s="27"/>
      <c r="C111" s="27"/>
      <c r="D111" s="7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  <c r="AA111" s="156"/>
      <c r="AB111" s="156"/>
      <c r="AC111" s="156"/>
      <c r="AD111" s="156"/>
      <c r="AE111" s="156"/>
      <c r="AF111" s="156"/>
      <c r="AG111" s="156"/>
      <c r="AH111" s="156"/>
      <c r="AI111" s="156"/>
      <c r="AJ111" s="156"/>
      <c r="AK111" s="156"/>
      <c r="AL111" s="156"/>
      <c r="AM111" s="156"/>
      <c r="AN111" s="156"/>
      <c r="AO111" s="156"/>
      <c r="AP111" s="156"/>
      <c r="AQ111" s="156"/>
      <c r="AR111" s="156"/>
      <c r="AS111" s="156"/>
      <c r="AT111" s="156"/>
      <c r="AU111" s="156"/>
      <c r="AV111" s="156"/>
      <c r="AW111" s="156"/>
      <c r="AX111" s="156"/>
      <c r="AY111" s="156"/>
      <c r="AZ111" s="156"/>
      <c r="BA111" s="156"/>
      <c r="BB111" s="156"/>
      <c r="BC111" s="156"/>
      <c r="BD111" s="156"/>
      <c r="BE111" s="156"/>
      <c r="BF111" s="156"/>
      <c r="BG111" s="156"/>
      <c r="BH111" s="156"/>
      <c r="BI111" s="156"/>
    </row>
    <row r="112" ht="15.75" customHeight="1">
      <c r="A112" s="34"/>
      <c r="B112" s="27"/>
      <c r="C112" s="27"/>
      <c r="D112" s="7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  <c r="AA112" s="156"/>
      <c r="AB112" s="156"/>
      <c r="AC112" s="156"/>
      <c r="AD112" s="156"/>
      <c r="AE112" s="156"/>
      <c r="AF112" s="156"/>
      <c r="AG112" s="156"/>
      <c r="AH112" s="156"/>
      <c r="AI112" s="156"/>
      <c r="AJ112" s="156"/>
      <c r="AK112" s="156"/>
      <c r="AL112" s="156"/>
      <c r="AM112" s="156"/>
      <c r="AN112" s="156"/>
      <c r="AO112" s="156"/>
      <c r="AP112" s="156"/>
      <c r="AQ112" s="156"/>
      <c r="AR112" s="156"/>
      <c r="AS112" s="156"/>
      <c r="AT112" s="156"/>
      <c r="AU112" s="156"/>
      <c r="AV112" s="156"/>
      <c r="AW112" s="156"/>
      <c r="AX112" s="156"/>
      <c r="AY112" s="156"/>
      <c r="AZ112" s="156"/>
      <c r="BA112" s="156"/>
      <c r="BB112" s="156"/>
      <c r="BC112" s="156"/>
      <c r="BD112" s="156"/>
      <c r="BE112" s="156"/>
      <c r="BF112" s="156"/>
      <c r="BG112" s="156"/>
      <c r="BH112" s="156"/>
      <c r="BI112" s="156"/>
    </row>
    <row r="113" ht="15.75" customHeight="1">
      <c r="A113" s="34"/>
      <c r="B113" s="27"/>
      <c r="C113" s="27"/>
      <c r="D113" s="7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156"/>
      <c r="AF113" s="156"/>
      <c r="AG113" s="156"/>
      <c r="AH113" s="156"/>
      <c r="AI113" s="156"/>
      <c r="AJ113" s="156"/>
      <c r="AK113" s="156"/>
      <c r="AL113" s="156"/>
      <c r="AM113" s="156"/>
      <c r="AN113" s="156"/>
      <c r="AO113" s="156"/>
      <c r="AP113" s="156"/>
      <c r="AQ113" s="156"/>
      <c r="AR113" s="156"/>
      <c r="AS113" s="156"/>
      <c r="AT113" s="156"/>
      <c r="AU113" s="156"/>
      <c r="AV113" s="156"/>
      <c r="AW113" s="156"/>
      <c r="AX113" s="156"/>
      <c r="AY113" s="156"/>
      <c r="AZ113" s="156"/>
      <c r="BA113" s="156"/>
      <c r="BB113" s="156"/>
      <c r="BC113" s="156"/>
      <c r="BD113" s="156"/>
      <c r="BE113" s="156"/>
      <c r="BF113" s="156"/>
      <c r="BG113" s="156"/>
      <c r="BH113" s="156"/>
      <c r="BI113" s="156"/>
    </row>
    <row r="114" ht="15.75" customHeight="1">
      <c r="A114" s="34"/>
      <c r="B114" s="27"/>
      <c r="C114" s="27"/>
      <c r="D114" s="7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  <c r="AA114" s="156"/>
      <c r="AB114" s="156"/>
      <c r="AC114" s="156"/>
      <c r="AD114" s="156"/>
      <c r="AE114" s="156"/>
      <c r="AF114" s="156"/>
      <c r="AG114" s="156"/>
      <c r="AH114" s="156"/>
      <c r="AI114" s="156"/>
      <c r="AJ114" s="156"/>
      <c r="AK114" s="156"/>
      <c r="AL114" s="156"/>
      <c r="AM114" s="156"/>
      <c r="AN114" s="156"/>
      <c r="AO114" s="156"/>
      <c r="AP114" s="156"/>
      <c r="AQ114" s="156"/>
      <c r="AR114" s="156"/>
      <c r="AS114" s="156"/>
      <c r="AT114" s="156"/>
      <c r="AU114" s="156"/>
      <c r="AV114" s="156"/>
      <c r="AW114" s="156"/>
      <c r="AX114" s="156"/>
      <c r="AY114" s="156"/>
      <c r="AZ114" s="156"/>
      <c r="BA114" s="156"/>
      <c r="BB114" s="156"/>
      <c r="BC114" s="156"/>
      <c r="BD114" s="156"/>
      <c r="BE114" s="156"/>
      <c r="BF114" s="156"/>
      <c r="BG114" s="156"/>
      <c r="BH114" s="156"/>
      <c r="BI114" s="156"/>
    </row>
    <row r="115" ht="15.75" customHeight="1">
      <c r="A115" s="34"/>
      <c r="B115" s="27"/>
      <c r="C115" s="27"/>
      <c r="D115" s="7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  <c r="AA115" s="156"/>
      <c r="AB115" s="156"/>
      <c r="AC115" s="156"/>
      <c r="AD115" s="156"/>
      <c r="AE115" s="156"/>
      <c r="AF115" s="156"/>
      <c r="AG115" s="156"/>
      <c r="AH115" s="156"/>
      <c r="AI115" s="156"/>
      <c r="AJ115" s="156"/>
      <c r="AK115" s="156"/>
      <c r="AL115" s="156"/>
      <c r="AM115" s="156"/>
      <c r="AN115" s="156"/>
      <c r="AO115" s="156"/>
      <c r="AP115" s="156"/>
      <c r="AQ115" s="156"/>
      <c r="AR115" s="156"/>
      <c r="AS115" s="156"/>
      <c r="AT115" s="156"/>
      <c r="AU115" s="156"/>
      <c r="AV115" s="156"/>
      <c r="AW115" s="156"/>
      <c r="AX115" s="156"/>
      <c r="AY115" s="156"/>
      <c r="AZ115" s="156"/>
      <c r="BA115" s="156"/>
      <c r="BB115" s="156"/>
      <c r="BC115" s="156"/>
      <c r="BD115" s="156"/>
      <c r="BE115" s="156"/>
      <c r="BF115" s="156"/>
      <c r="BG115" s="156"/>
      <c r="BH115" s="156"/>
      <c r="BI115" s="156"/>
    </row>
    <row r="116" ht="15.75" customHeight="1">
      <c r="A116" s="34"/>
      <c r="B116" s="27"/>
      <c r="C116" s="27"/>
      <c r="D116" s="7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6"/>
      <c r="AF116" s="156"/>
      <c r="AG116" s="156"/>
      <c r="AH116" s="156"/>
      <c r="AI116" s="156"/>
      <c r="AJ116" s="156"/>
      <c r="AK116" s="156"/>
      <c r="AL116" s="156"/>
      <c r="AM116" s="156"/>
      <c r="AN116" s="156"/>
      <c r="AO116" s="156"/>
      <c r="AP116" s="156"/>
      <c r="AQ116" s="156"/>
      <c r="AR116" s="156"/>
      <c r="AS116" s="156"/>
      <c r="AT116" s="156"/>
      <c r="AU116" s="156"/>
      <c r="AV116" s="156"/>
      <c r="AW116" s="156"/>
      <c r="AX116" s="156"/>
      <c r="AY116" s="156"/>
      <c r="AZ116" s="156"/>
      <c r="BA116" s="156"/>
      <c r="BB116" s="156"/>
      <c r="BC116" s="156"/>
      <c r="BD116" s="156"/>
      <c r="BE116" s="156"/>
      <c r="BF116" s="156"/>
      <c r="BG116" s="156"/>
      <c r="BH116" s="156"/>
      <c r="BI116" s="156"/>
    </row>
    <row r="117" ht="15.75" customHeight="1">
      <c r="A117" s="34"/>
      <c r="B117" s="27"/>
      <c r="C117" s="27"/>
      <c r="D117" s="7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  <c r="AA117" s="156"/>
      <c r="AB117" s="156"/>
      <c r="AC117" s="156"/>
      <c r="AD117" s="156"/>
      <c r="AE117" s="156"/>
      <c r="AF117" s="156"/>
      <c r="AG117" s="156"/>
      <c r="AH117" s="156"/>
      <c r="AI117" s="156"/>
      <c r="AJ117" s="156"/>
      <c r="AK117" s="156"/>
      <c r="AL117" s="156"/>
      <c r="AM117" s="156"/>
      <c r="AN117" s="156"/>
      <c r="AO117" s="156"/>
      <c r="AP117" s="156"/>
      <c r="AQ117" s="156"/>
      <c r="AR117" s="156"/>
      <c r="AS117" s="156"/>
      <c r="AT117" s="156"/>
      <c r="AU117" s="156"/>
      <c r="AV117" s="156"/>
      <c r="AW117" s="156"/>
      <c r="AX117" s="156"/>
      <c r="AY117" s="156"/>
      <c r="AZ117" s="156"/>
      <c r="BA117" s="156"/>
      <c r="BB117" s="156"/>
      <c r="BC117" s="156"/>
      <c r="BD117" s="156"/>
      <c r="BE117" s="156"/>
      <c r="BF117" s="156"/>
      <c r="BG117" s="156"/>
      <c r="BH117" s="156"/>
      <c r="BI117" s="156"/>
    </row>
    <row r="118" ht="15.75" customHeight="1">
      <c r="A118" s="34"/>
      <c r="B118" s="27"/>
      <c r="C118" s="27"/>
      <c r="D118" s="7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  <c r="AA118" s="156"/>
      <c r="AB118" s="156"/>
      <c r="AC118" s="156"/>
      <c r="AD118" s="156"/>
      <c r="AE118" s="156"/>
      <c r="AF118" s="156"/>
      <c r="AG118" s="156"/>
      <c r="AH118" s="156"/>
      <c r="AI118" s="156"/>
      <c r="AJ118" s="156"/>
      <c r="AK118" s="156"/>
      <c r="AL118" s="156"/>
      <c r="AM118" s="156"/>
      <c r="AN118" s="156"/>
      <c r="AO118" s="156"/>
      <c r="AP118" s="156"/>
      <c r="AQ118" s="156"/>
      <c r="AR118" s="156"/>
      <c r="AS118" s="156"/>
      <c r="AT118" s="156"/>
      <c r="AU118" s="156"/>
      <c r="AV118" s="156"/>
      <c r="AW118" s="156"/>
      <c r="AX118" s="156"/>
      <c r="AY118" s="156"/>
      <c r="AZ118" s="156"/>
      <c r="BA118" s="156"/>
      <c r="BB118" s="156"/>
      <c r="BC118" s="156"/>
      <c r="BD118" s="156"/>
      <c r="BE118" s="156"/>
      <c r="BF118" s="156"/>
      <c r="BG118" s="156"/>
      <c r="BH118" s="156"/>
      <c r="BI118" s="156"/>
    </row>
    <row r="119" ht="15.75" customHeight="1">
      <c r="A119" s="34"/>
      <c r="B119" s="27"/>
      <c r="C119" s="27"/>
      <c r="D119" s="7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  <c r="AK119" s="156"/>
      <c r="AL119" s="156"/>
      <c r="AM119" s="156"/>
      <c r="AN119" s="156"/>
      <c r="AO119" s="156"/>
      <c r="AP119" s="156"/>
      <c r="AQ119" s="156"/>
      <c r="AR119" s="156"/>
      <c r="AS119" s="156"/>
      <c r="AT119" s="156"/>
      <c r="AU119" s="156"/>
      <c r="AV119" s="156"/>
      <c r="AW119" s="156"/>
      <c r="AX119" s="156"/>
      <c r="AY119" s="156"/>
      <c r="AZ119" s="156"/>
      <c r="BA119" s="156"/>
      <c r="BB119" s="156"/>
      <c r="BC119" s="156"/>
      <c r="BD119" s="156"/>
      <c r="BE119" s="156"/>
      <c r="BF119" s="156"/>
      <c r="BG119" s="156"/>
      <c r="BH119" s="156"/>
      <c r="BI119" s="156"/>
    </row>
    <row r="120" ht="15.75" customHeight="1">
      <c r="A120" s="34"/>
      <c r="B120" s="27"/>
      <c r="C120" s="27"/>
      <c r="D120" s="7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  <c r="AK120" s="156"/>
      <c r="AL120" s="156"/>
      <c r="AM120" s="156"/>
      <c r="AN120" s="156"/>
      <c r="AO120" s="156"/>
      <c r="AP120" s="156"/>
      <c r="AQ120" s="156"/>
      <c r="AR120" s="156"/>
      <c r="AS120" s="156"/>
      <c r="AT120" s="156"/>
      <c r="AU120" s="156"/>
      <c r="AV120" s="156"/>
      <c r="AW120" s="156"/>
      <c r="AX120" s="156"/>
      <c r="AY120" s="156"/>
      <c r="AZ120" s="156"/>
      <c r="BA120" s="156"/>
      <c r="BB120" s="156"/>
      <c r="BC120" s="156"/>
      <c r="BD120" s="156"/>
      <c r="BE120" s="156"/>
      <c r="BF120" s="156"/>
      <c r="BG120" s="156"/>
      <c r="BH120" s="156"/>
      <c r="BI120" s="156"/>
    </row>
    <row r="121" ht="15.75" customHeight="1">
      <c r="A121" s="34"/>
      <c r="B121" s="27"/>
      <c r="C121" s="27"/>
      <c r="D121" s="7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  <c r="AA121" s="156"/>
      <c r="AB121" s="156"/>
      <c r="AC121" s="156"/>
      <c r="AD121" s="156"/>
      <c r="AE121" s="156"/>
      <c r="AF121" s="156"/>
      <c r="AG121" s="156"/>
      <c r="AH121" s="156"/>
      <c r="AI121" s="156"/>
      <c r="AJ121" s="156"/>
      <c r="AK121" s="156"/>
      <c r="AL121" s="156"/>
      <c r="AM121" s="156"/>
      <c r="AN121" s="156"/>
      <c r="AO121" s="156"/>
      <c r="AP121" s="156"/>
      <c r="AQ121" s="156"/>
      <c r="AR121" s="156"/>
      <c r="AS121" s="156"/>
      <c r="AT121" s="156"/>
      <c r="AU121" s="156"/>
      <c r="AV121" s="156"/>
      <c r="AW121" s="156"/>
      <c r="AX121" s="156"/>
      <c r="AY121" s="156"/>
      <c r="AZ121" s="156"/>
      <c r="BA121" s="156"/>
      <c r="BB121" s="156"/>
      <c r="BC121" s="156"/>
      <c r="BD121" s="156"/>
      <c r="BE121" s="156"/>
      <c r="BF121" s="156"/>
      <c r="BG121" s="156"/>
      <c r="BH121" s="156"/>
      <c r="BI121" s="156"/>
    </row>
    <row r="122" ht="15.75" customHeight="1">
      <c r="A122" s="34"/>
      <c r="B122" s="27"/>
      <c r="C122" s="27"/>
      <c r="D122" s="7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  <c r="AA122" s="156"/>
      <c r="AB122" s="156"/>
      <c r="AC122" s="156"/>
      <c r="AD122" s="156"/>
      <c r="AE122" s="156"/>
      <c r="AF122" s="156"/>
      <c r="AG122" s="156"/>
      <c r="AH122" s="156"/>
      <c r="AI122" s="156"/>
      <c r="AJ122" s="156"/>
      <c r="AK122" s="156"/>
      <c r="AL122" s="156"/>
      <c r="AM122" s="156"/>
      <c r="AN122" s="156"/>
      <c r="AO122" s="156"/>
      <c r="AP122" s="156"/>
      <c r="AQ122" s="156"/>
      <c r="AR122" s="156"/>
      <c r="AS122" s="156"/>
      <c r="AT122" s="156"/>
      <c r="AU122" s="156"/>
      <c r="AV122" s="156"/>
      <c r="AW122" s="156"/>
      <c r="AX122" s="156"/>
      <c r="AY122" s="156"/>
      <c r="AZ122" s="156"/>
      <c r="BA122" s="156"/>
      <c r="BB122" s="156"/>
      <c r="BC122" s="156"/>
      <c r="BD122" s="156"/>
      <c r="BE122" s="156"/>
      <c r="BF122" s="156"/>
      <c r="BG122" s="156"/>
      <c r="BH122" s="156"/>
      <c r="BI122" s="156"/>
    </row>
    <row r="123" ht="15.75" customHeight="1">
      <c r="A123" s="34"/>
      <c r="B123" s="27"/>
      <c r="C123" s="27"/>
      <c r="D123" s="7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  <c r="AA123" s="156"/>
      <c r="AB123" s="156"/>
      <c r="AC123" s="156"/>
      <c r="AD123" s="156"/>
      <c r="AE123" s="156"/>
      <c r="AF123" s="156"/>
      <c r="AG123" s="156"/>
      <c r="AH123" s="156"/>
      <c r="AI123" s="156"/>
      <c r="AJ123" s="156"/>
      <c r="AK123" s="156"/>
      <c r="AL123" s="156"/>
      <c r="AM123" s="156"/>
      <c r="AN123" s="156"/>
      <c r="AO123" s="156"/>
      <c r="AP123" s="156"/>
      <c r="AQ123" s="156"/>
      <c r="AR123" s="156"/>
      <c r="AS123" s="156"/>
      <c r="AT123" s="156"/>
      <c r="AU123" s="156"/>
      <c r="AV123" s="156"/>
      <c r="AW123" s="156"/>
      <c r="AX123" s="156"/>
      <c r="AY123" s="156"/>
      <c r="AZ123" s="156"/>
      <c r="BA123" s="156"/>
      <c r="BB123" s="156"/>
      <c r="BC123" s="156"/>
      <c r="BD123" s="156"/>
      <c r="BE123" s="156"/>
      <c r="BF123" s="156"/>
      <c r="BG123" s="156"/>
      <c r="BH123" s="156"/>
      <c r="BI123" s="156"/>
    </row>
    <row r="124" ht="15.75" customHeight="1">
      <c r="A124" s="34"/>
      <c r="B124" s="27"/>
      <c r="C124" s="27"/>
      <c r="D124" s="7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  <c r="AA124" s="156"/>
      <c r="AB124" s="156"/>
      <c r="AC124" s="156"/>
      <c r="AD124" s="156"/>
      <c r="AE124" s="156"/>
      <c r="AF124" s="156"/>
      <c r="AG124" s="156"/>
      <c r="AH124" s="156"/>
      <c r="AI124" s="156"/>
      <c r="AJ124" s="156"/>
      <c r="AK124" s="156"/>
      <c r="AL124" s="156"/>
      <c r="AM124" s="156"/>
      <c r="AN124" s="156"/>
      <c r="AO124" s="156"/>
      <c r="AP124" s="156"/>
      <c r="AQ124" s="156"/>
      <c r="AR124" s="156"/>
      <c r="AS124" s="156"/>
      <c r="AT124" s="156"/>
      <c r="AU124" s="156"/>
      <c r="AV124" s="156"/>
      <c r="AW124" s="156"/>
      <c r="AX124" s="156"/>
      <c r="AY124" s="156"/>
      <c r="AZ124" s="156"/>
      <c r="BA124" s="156"/>
      <c r="BB124" s="156"/>
      <c r="BC124" s="156"/>
      <c r="BD124" s="156"/>
      <c r="BE124" s="156"/>
      <c r="BF124" s="156"/>
      <c r="BG124" s="156"/>
      <c r="BH124" s="156"/>
      <c r="BI124" s="156"/>
    </row>
    <row r="125" ht="15.75" customHeight="1">
      <c r="A125" s="34"/>
      <c r="B125" s="27"/>
      <c r="C125" s="27"/>
      <c r="D125" s="7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  <c r="AC125" s="156"/>
      <c r="AD125" s="156"/>
      <c r="AE125" s="156"/>
      <c r="AF125" s="156"/>
      <c r="AG125" s="156"/>
      <c r="AH125" s="156"/>
      <c r="AI125" s="156"/>
      <c r="AJ125" s="156"/>
      <c r="AK125" s="156"/>
      <c r="AL125" s="156"/>
      <c r="AM125" s="156"/>
      <c r="AN125" s="156"/>
      <c r="AO125" s="156"/>
      <c r="AP125" s="156"/>
      <c r="AQ125" s="156"/>
      <c r="AR125" s="156"/>
      <c r="AS125" s="156"/>
      <c r="AT125" s="156"/>
      <c r="AU125" s="156"/>
      <c r="AV125" s="156"/>
      <c r="AW125" s="156"/>
      <c r="AX125" s="156"/>
      <c r="AY125" s="156"/>
      <c r="AZ125" s="156"/>
      <c r="BA125" s="156"/>
      <c r="BB125" s="156"/>
      <c r="BC125" s="156"/>
      <c r="BD125" s="156"/>
      <c r="BE125" s="156"/>
      <c r="BF125" s="156"/>
      <c r="BG125" s="156"/>
      <c r="BH125" s="156"/>
      <c r="BI125" s="156"/>
    </row>
    <row r="126" ht="15.75" customHeight="1">
      <c r="A126" s="34"/>
      <c r="B126" s="27"/>
      <c r="C126" s="27"/>
      <c r="D126" s="7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  <c r="AC126" s="156"/>
      <c r="AD126" s="156"/>
      <c r="AE126" s="156"/>
      <c r="AF126" s="156"/>
      <c r="AG126" s="156"/>
      <c r="AH126" s="156"/>
      <c r="AI126" s="156"/>
      <c r="AJ126" s="156"/>
      <c r="AK126" s="156"/>
      <c r="AL126" s="156"/>
      <c r="AM126" s="156"/>
      <c r="AN126" s="156"/>
      <c r="AO126" s="156"/>
      <c r="AP126" s="156"/>
      <c r="AQ126" s="156"/>
      <c r="AR126" s="156"/>
      <c r="AS126" s="156"/>
      <c r="AT126" s="156"/>
      <c r="AU126" s="156"/>
      <c r="AV126" s="156"/>
      <c r="AW126" s="156"/>
      <c r="AX126" s="156"/>
      <c r="AY126" s="156"/>
      <c r="AZ126" s="156"/>
      <c r="BA126" s="156"/>
      <c r="BB126" s="156"/>
      <c r="BC126" s="156"/>
      <c r="BD126" s="156"/>
      <c r="BE126" s="156"/>
      <c r="BF126" s="156"/>
      <c r="BG126" s="156"/>
      <c r="BH126" s="156"/>
      <c r="BI126" s="156"/>
    </row>
    <row r="127" ht="15.75" customHeight="1">
      <c r="A127" s="34"/>
      <c r="B127" s="27"/>
      <c r="C127" s="27"/>
      <c r="D127" s="7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  <c r="AA127" s="156"/>
      <c r="AB127" s="156"/>
      <c r="AC127" s="156"/>
      <c r="AD127" s="156"/>
      <c r="AE127" s="156"/>
      <c r="AF127" s="156"/>
      <c r="AG127" s="156"/>
      <c r="AH127" s="156"/>
      <c r="AI127" s="156"/>
      <c r="AJ127" s="156"/>
      <c r="AK127" s="156"/>
      <c r="AL127" s="156"/>
      <c r="AM127" s="156"/>
      <c r="AN127" s="156"/>
      <c r="AO127" s="156"/>
      <c r="AP127" s="156"/>
      <c r="AQ127" s="156"/>
      <c r="AR127" s="156"/>
      <c r="AS127" s="156"/>
      <c r="AT127" s="156"/>
      <c r="AU127" s="156"/>
      <c r="AV127" s="156"/>
      <c r="AW127" s="156"/>
      <c r="AX127" s="156"/>
      <c r="AY127" s="156"/>
      <c r="AZ127" s="156"/>
      <c r="BA127" s="156"/>
      <c r="BB127" s="156"/>
      <c r="BC127" s="156"/>
      <c r="BD127" s="156"/>
      <c r="BE127" s="156"/>
      <c r="BF127" s="156"/>
      <c r="BG127" s="156"/>
      <c r="BH127" s="156"/>
      <c r="BI127" s="156"/>
    </row>
    <row r="128" ht="15.75" customHeight="1">
      <c r="A128" s="34"/>
      <c r="B128" s="27"/>
      <c r="C128" s="27"/>
      <c r="D128" s="7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  <c r="AA128" s="156"/>
      <c r="AB128" s="156"/>
      <c r="AC128" s="156"/>
      <c r="AD128" s="156"/>
      <c r="AE128" s="156"/>
      <c r="AF128" s="156"/>
      <c r="AG128" s="156"/>
      <c r="AH128" s="156"/>
      <c r="AI128" s="156"/>
      <c r="AJ128" s="156"/>
      <c r="AK128" s="156"/>
      <c r="AL128" s="156"/>
      <c r="AM128" s="156"/>
      <c r="AN128" s="156"/>
      <c r="AO128" s="156"/>
      <c r="AP128" s="156"/>
      <c r="AQ128" s="156"/>
      <c r="AR128" s="156"/>
      <c r="AS128" s="156"/>
      <c r="AT128" s="156"/>
      <c r="AU128" s="156"/>
      <c r="AV128" s="156"/>
      <c r="AW128" s="156"/>
      <c r="AX128" s="156"/>
      <c r="AY128" s="156"/>
      <c r="AZ128" s="156"/>
      <c r="BA128" s="156"/>
      <c r="BB128" s="156"/>
      <c r="BC128" s="156"/>
      <c r="BD128" s="156"/>
      <c r="BE128" s="156"/>
      <c r="BF128" s="156"/>
      <c r="BG128" s="156"/>
      <c r="BH128" s="156"/>
      <c r="BI128" s="156"/>
    </row>
    <row r="129" ht="15.75" customHeight="1">
      <c r="A129" s="34"/>
      <c r="B129" s="27"/>
      <c r="C129" s="27"/>
      <c r="D129" s="7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  <c r="AA129" s="156"/>
      <c r="AB129" s="156"/>
      <c r="AC129" s="156"/>
      <c r="AD129" s="156"/>
      <c r="AE129" s="156"/>
      <c r="AF129" s="156"/>
      <c r="AG129" s="156"/>
      <c r="AH129" s="156"/>
      <c r="AI129" s="156"/>
      <c r="AJ129" s="156"/>
      <c r="AK129" s="156"/>
      <c r="AL129" s="156"/>
      <c r="AM129" s="156"/>
      <c r="AN129" s="156"/>
      <c r="AO129" s="156"/>
      <c r="AP129" s="156"/>
      <c r="AQ129" s="156"/>
      <c r="AR129" s="156"/>
      <c r="AS129" s="156"/>
      <c r="AT129" s="156"/>
      <c r="AU129" s="156"/>
      <c r="AV129" s="156"/>
      <c r="AW129" s="156"/>
      <c r="AX129" s="156"/>
      <c r="AY129" s="156"/>
      <c r="AZ129" s="156"/>
      <c r="BA129" s="156"/>
      <c r="BB129" s="156"/>
      <c r="BC129" s="156"/>
      <c r="BD129" s="156"/>
      <c r="BE129" s="156"/>
      <c r="BF129" s="156"/>
      <c r="BG129" s="156"/>
      <c r="BH129" s="156"/>
      <c r="BI129" s="156"/>
    </row>
    <row r="130" ht="15.75" customHeight="1">
      <c r="A130" s="34"/>
      <c r="B130" s="27"/>
      <c r="C130" s="27"/>
      <c r="D130" s="7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  <c r="AA130" s="156"/>
      <c r="AB130" s="156"/>
      <c r="AC130" s="156"/>
      <c r="AD130" s="156"/>
      <c r="AE130" s="156"/>
      <c r="AF130" s="156"/>
      <c r="AG130" s="156"/>
      <c r="AH130" s="156"/>
      <c r="AI130" s="156"/>
      <c r="AJ130" s="156"/>
      <c r="AK130" s="156"/>
      <c r="AL130" s="156"/>
      <c r="AM130" s="156"/>
      <c r="AN130" s="156"/>
      <c r="AO130" s="156"/>
      <c r="AP130" s="156"/>
      <c r="AQ130" s="156"/>
      <c r="AR130" s="156"/>
      <c r="AS130" s="156"/>
      <c r="AT130" s="156"/>
      <c r="AU130" s="156"/>
      <c r="AV130" s="156"/>
      <c r="AW130" s="156"/>
      <c r="AX130" s="156"/>
      <c r="AY130" s="156"/>
      <c r="AZ130" s="156"/>
      <c r="BA130" s="156"/>
      <c r="BB130" s="156"/>
      <c r="BC130" s="156"/>
      <c r="BD130" s="156"/>
      <c r="BE130" s="156"/>
      <c r="BF130" s="156"/>
      <c r="BG130" s="156"/>
      <c r="BH130" s="156"/>
      <c r="BI130" s="156"/>
    </row>
    <row r="131" ht="15.75" customHeight="1">
      <c r="A131" s="34"/>
      <c r="B131" s="27"/>
      <c r="C131" s="27"/>
      <c r="D131" s="7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  <c r="AA131" s="156"/>
      <c r="AB131" s="156"/>
      <c r="AC131" s="156"/>
      <c r="AD131" s="156"/>
      <c r="AE131" s="156"/>
      <c r="AF131" s="156"/>
      <c r="AG131" s="156"/>
      <c r="AH131" s="156"/>
      <c r="AI131" s="156"/>
      <c r="AJ131" s="156"/>
      <c r="AK131" s="156"/>
      <c r="AL131" s="156"/>
      <c r="AM131" s="156"/>
      <c r="AN131" s="156"/>
      <c r="AO131" s="156"/>
      <c r="AP131" s="156"/>
      <c r="AQ131" s="156"/>
      <c r="AR131" s="156"/>
      <c r="AS131" s="156"/>
      <c r="AT131" s="156"/>
      <c r="AU131" s="156"/>
      <c r="AV131" s="156"/>
      <c r="AW131" s="156"/>
      <c r="AX131" s="156"/>
      <c r="AY131" s="156"/>
      <c r="AZ131" s="156"/>
      <c r="BA131" s="156"/>
      <c r="BB131" s="156"/>
      <c r="BC131" s="156"/>
      <c r="BD131" s="156"/>
      <c r="BE131" s="156"/>
      <c r="BF131" s="156"/>
      <c r="BG131" s="156"/>
      <c r="BH131" s="156"/>
      <c r="BI131" s="156"/>
    </row>
    <row r="132" ht="15.75" customHeight="1">
      <c r="A132" s="34"/>
      <c r="B132" s="27"/>
      <c r="C132" s="27"/>
      <c r="D132" s="7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  <c r="AK132" s="156"/>
      <c r="AL132" s="156"/>
      <c r="AM132" s="156"/>
      <c r="AN132" s="156"/>
      <c r="AO132" s="156"/>
      <c r="AP132" s="156"/>
      <c r="AQ132" s="156"/>
      <c r="AR132" s="156"/>
      <c r="AS132" s="156"/>
      <c r="AT132" s="156"/>
      <c r="AU132" s="156"/>
      <c r="AV132" s="156"/>
      <c r="AW132" s="156"/>
      <c r="AX132" s="156"/>
      <c r="AY132" s="156"/>
      <c r="AZ132" s="156"/>
      <c r="BA132" s="156"/>
      <c r="BB132" s="156"/>
      <c r="BC132" s="156"/>
      <c r="BD132" s="156"/>
      <c r="BE132" s="156"/>
      <c r="BF132" s="156"/>
      <c r="BG132" s="156"/>
      <c r="BH132" s="156"/>
      <c r="BI132" s="156"/>
    </row>
    <row r="133" ht="15.75" customHeight="1">
      <c r="A133" s="34"/>
      <c r="B133" s="27"/>
      <c r="C133" s="27"/>
      <c r="D133" s="7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  <c r="AK133" s="156"/>
      <c r="AL133" s="156"/>
      <c r="AM133" s="156"/>
      <c r="AN133" s="156"/>
      <c r="AO133" s="156"/>
      <c r="AP133" s="156"/>
      <c r="AQ133" s="156"/>
      <c r="AR133" s="156"/>
      <c r="AS133" s="156"/>
      <c r="AT133" s="156"/>
      <c r="AU133" s="156"/>
      <c r="AV133" s="156"/>
      <c r="AW133" s="156"/>
      <c r="AX133" s="156"/>
      <c r="AY133" s="156"/>
      <c r="AZ133" s="156"/>
      <c r="BA133" s="156"/>
      <c r="BB133" s="156"/>
      <c r="BC133" s="156"/>
      <c r="BD133" s="156"/>
      <c r="BE133" s="156"/>
      <c r="BF133" s="156"/>
      <c r="BG133" s="156"/>
      <c r="BH133" s="156"/>
      <c r="BI133" s="156"/>
    </row>
    <row r="134" ht="15.75" customHeight="1">
      <c r="A134" s="34"/>
      <c r="B134" s="27"/>
      <c r="C134" s="27"/>
      <c r="D134" s="7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  <c r="AA134" s="156"/>
      <c r="AB134" s="156"/>
      <c r="AC134" s="156"/>
      <c r="AD134" s="156"/>
      <c r="AE134" s="156"/>
      <c r="AF134" s="156"/>
      <c r="AG134" s="156"/>
      <c r="AH134" s="156"/>
      <c r="AI134" s="156"/>
      <c r="AJ134" s="156"/>
      <c r="AK134" s="156"/>
      <c r="AL134" s="156"/>
      <c r="AM134" s="156"/>
      <c r="AN134" s="156"/>
      <c r="AO134" s="156"/>
      <c r="AP134" s="156"/>
      <c r="AQ134" s="156"/>
      <c r="AR134" s="156"/>
      <c r="AS134" s="156"/>
      <c r="AT134" s="156"/>
      <c r="AU134" s="156"/>
      <c r="AV134" s="156"/>
      <c r="AW134" s="156"/>
      <c r="AX134" s="156"/>
      <c r="AY134" s="156"/>
      <c r="AZ134" s="156"/>
      <c r="BA134" s="156"/>
      <c r="BB134" s="156"/>
      <c r="BC134" s="156"/>
      <c r="BD134" s="156"/>
      <c r="BE134" s="156"/>
      <c r="BF134" s="156"/>
      <c r="BG134" s="156"/>
      <c r="BH134" s="156"/>
      <c r="BI134" s="156"/>
    </row>
    <row r="135" ht="15.75" customHeight="1">
      <c r="A135" s="34"/>
      <c r="B135" s="27"/>
      <c r="C135" s="27"/>
      <c r="D135" s="7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  <c r="AA135" s="156"/>
      <c r="AB135" s="156"/>
      <c r="AC135" s="156"/>
      <c r="AD135" s="156"/>
      <c r="AE135" s="156"/>
      <c r="AF135" s="156"/>
      <c r="AG135" s="156"/>
      <c r="AH135" s="156"/>
      <c r="AI135" s="156"/>
      <c r="AJ135" s="156"/>
      <c r="AK135" s="156"/>
      <c r="AL135" s="156"/>
      <c r="AM135" s="156"/>
      <c r="AN135" s="156"/>
      <c r="AO135" s="156"/>
      <c r="AP135" s="156"/>
      <c r="AQ135" s="156"/>
      <c r="AR135" s="156"/>
      <c r="AS135" s="156"/>
      <c r="AT135" s="156"/>
      <c r="AU135" s="156"/>
      <c r="AV135" s="156"/>
      <c r="AW135" s="156"/>
      <c r="AX135" s="156"/>
      <c r="AY135" s="156"/>
      <c r="AZ135" s="156"/>
      <c r="BA135" s="156"/>
      <c r="BB135" s="156"/>
      <c r="BC135" s="156"/>
      <c r="BD135" s="156"/>
      <c r="BE135" s="156"/>
      <c r="BF135" s="156"/>
      <c r="BG135" s="156"/>
      <c r="BH135" s="156"/>
      <c r="BI135" s="156"/>
    </row>
    <row r="136" ht="15.75" customHeight="1">
      <c r="A136" s="34"/>
      <c r="B136" s="27"/>
      <c r="C136" s="27"/>
      <c r="D136" s="7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  <c r="AA136" s="156"/>
      <c r="AB136" s="156"/>
      <c r="AC136" s="156"/>
      <c r="AD136" s="156"/>
      <c r="AE136" s="156"/>
      <c r="AF136" s="156"/>
      <c r="AG136" s="156"/>
      <c r="AH136" s="156"/>
      <c r="AI136" s="156"/>
      <c r="AJ136" s="156"/>
      <c r="AK136" s="156"/>
      <c r="AL136" s="156"/>
      <c r="AM136" s="156"/>
      <c r="AN136" s="156"/>
      <c r="AO136" s="156"/>
      <c r="AP136" s="156"/>
      <c r="AQ136" s="156"/>
      <c r="AR136" s="156"/>
      <c r="AS136" s="156"/>
      <c r="AT136" s="156"/>
      <c r="AU136" s="156"/>
      <c r="AV136" s="156"/>
      <c r="AW136" s="156"/>
      <c r="AX136" s="156"/>
      <c r="AY136" s="156"/>
      <c r="AZ136" s="156"/>
      <c r="BA136" s="156"/>
      <c r="BB136" s="156"/>
      <c r="BC136" s="156"/>
      <c r="BD136" s="156"/>
      <c r="BE136" s="156"/>
      <c r="BF136" s="156"/>
      <c r="BG136" s="156"/>
      <c r="BH136" s="156"/>
      <c r="BI136" s="156"/>
    </row>
    <row r="137" ht="15.75" customHeight="1">
      <c r="A137" s="34"/>
      <c r="B137" s="27"/>
      <c r="C137" s="27"/>
      <c r="D137" s="7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  <c r="AA137" s="156"/>
      <c r="AB137" s="156"/>
      <c r="AC137" s="156"/>
      <c r="AD137" s="156"/>
      <c r="AE137" s="156"/>
      <c r="AF137" s="156"/>
      <c r="AG137" s="156"/>
      <c r="AH137" s="156"/>
      <c r="AI137" s="156"/>
      <c r="AJ137" s="156"/>
      <c r="AK137" s="156"/>
      <c r="AL137" s="156"/>
      <c r="AM137" s="156"/>
      <c r="AN137" s="156"/>
      <c r="AO137" s="156"/>
      <c r="AP137" s="156"/>
      <c r="AQ137" s="156"/>
      <c r="AR137" s="156"/>
      <c r="AS137" s="156"/>
      <c r="AT137" s="156"/>
      <c r="AU137" s="156"/>
      <c r="AV137" s="156"/>
      <c r="AW137" s="156"/>
      <c r="AX137" s="156"/>
      <c r="AY137" s="156"/>
      <c r="AZ137" s="156"/>
      <c r="BA137" s="156"/>
      <c r="BB137" s="156"/>
      <c r="BC137" s="156"/>
      <c r="BD137" s="156"/>
      <c r="BE137" s="156"/>
      <c r="BF137" s="156"/>
      <c r="BG137" s="156"/>
      <c r="BH137" s="156"/>
      <c r="BI137" s="156"/>
    </row>
    <row r="138" ht="15.75" customHeight="1">
      <c r="A138" s="34"/>
      <c r="B138" s="27"/>
      <c r="C138" s="27"/>
      <c r="D138" s="7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  <c r="AA138" s="156"/>
      <c r="AB138" s="156"/>
      <c r="AC138" s="156"/>
      <c r="AD138" s="156"/>
      <c r="AE138" s="156"/>
      <c r="AF138" s="156"/>
      <c r="AG138" s="156"/>
      <c r="AH138" s="156"/>
      <c r="AI138" s="156"/>
      <c r="AJ138" s="156"/>
      <c r="AK138" s="156"/>
      <c r="AL138" s="156"/>
      <c r="AM138" s="156"/>
      <c r="AN138" s="156"/>
      <c r="AO138" s="156"/>
      <c r="AP138" s="156"/>
      <c r="AQ138" s="156"/>
      <c r="AR138" s="156"/>
      <c r="AS138" s="156"/>
      <c r="AT138" s="156"/>
      <c r="AU138" s="156"/>
      <c r="AV138" s="156"/>
      <c r="AW138" s="156"/>
      <c r="AX138" s="156"/>
      <c r="AY138" s="156"/>
      <c r="AZ138" s="156"/>
      <c r="BA138" s="156"/>
      <c r="BB138" s="156"/>
      <c r="BC138" s="156"/>
      <c r="BD138" s="156"/>
      <c r="BE138" s="156"/>
      <c r="BF138" s="156"/>
      <c r="BG138" s="156"/>
      <c r="BH138" s="156"/>
      <c r="BI138" s="156"/>
    </row>
    <row r="139" ht="15.75" customHeight="1">
      <c r="A139" s="34"/>
      <c r="B139" s="27"/>
      <c r="C139" s="27"/>
      <c r="D139" s="7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  <c r="AA139" s="156"/>
      <c r="AB139" s="156"/>
      <c r="AC139" s="156"/>
      <c r="AD139" s="156"/>
      <c r="AE139" s="156"/>
      <c r="AF139" s="156"/>
      <c r="AG139" s="156"/>
      <c r="AH139" s="156"/>
      <c r="AI139" s="156"/>
      <c r="AJ139" s="156"/>
      <c r="AK139" s="156"/>
      <c r="AL139" s="156"/>
      <c r="AM139" s="156"/>
      <c r="AN139" s="156"/>
      <c r="AO139" s="156"/>
      <c r="AP139" s="156"/>
      <c r="AQ139" s="156"/>
      <c r="AR139" s="156"/>
      <c r="AS139" s="156"/>
      <c r="AT139" s="156"/>
      <c r="AU139" s="156"/>
      <c r="AV139" s="156"/>
      <c r="AW139" s="156"/>
      <c r="AX139" s="156"/>
      <c r="AY139" s="156"/>
      <c r="AZ139" s="156"/>
      <c r="BA139" s="156"/>
      <c r="BB139" s="156"/>
      <c r="BC139" s="156"/>
      <c r="BD139" s="156"/>
      <c r="BE139" s="156"/>
      <c r="BF139" s="156"/>
      <c r="BG139" s="156"/>
      <c r="BH139" s="156"/>
      <c r="BI139" s="156"/>
    </row>
    <row r="140" ht="15.75" customHeight="1">
      <c r="A140" s="34"/>
      <c r="B140" s="27"/>
      <c r="C140" s="27"/>
      <c r="D140" s="7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  <c r="AA140" s="156"/>
      <c r="AB140" s="156"/>
      <c r="AC140" s="156"/>
      <c r="AD140" s="156"/>
      <c r="AE140" s="156"/>
      <c r="AF140" s="156"/>
      <c r="AG140" s="156"/>
      <c r="AH140" s="156"/>
      <c r="AI140" s="156"/>
      <c r="AJ140" s="156"/>
      <c r="AK140" s="156"/>
      <c r="AL140" s="156"/>
      <c r="AM140" s="156"/>
      <c r="AN140" s="156"/>
      <c r="AO140" s="156"/>
      <c r="AP140" s="156"/>
      <c r="AQ140" s="156"/>
      <c r="AR140" s="156"/>
      <c r="AS140" s="156"/>
      <c r="AT140" s="156"/>
      <c r="AU140" s="156"/>
      <c r="AV140" s="156"/>
      <c r="AW140" s="156"/>
      <c r="AX140" s="156"/>
      <c r="AY140" s="156"/>
      <c r="AZ140" s="156"/>
      <c r="BA140" s="156"/>
      <c r="BB140" s="156"/>
      <c r="BC140" s="156"/>
      <c r="BD140" s="156"/>
      <c r="BE140" s="156"/>
      <c r="BF140" s="156"/>
      <c r="BG140" s="156"/>
      <c r="BH140" s="156"/>
      <c r="BI140" s="156"/>
    </row>
    <row r="141" ht="15.75" customHeight="1">
      <c r="A141" s="34"/>
      <c r="B141" s="27"/>
      <c r="C141" s="27"/>
      <c r="D141" s="7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  <c r="AA141" s="156"/>
      <c r="AB141" s="156"/>
      <c r="AC141" s="156"/>
      <c r="AD141" s="156"/>
      <c r="AE141" s="156"/>
      <c r="AF141" s="156"/>
      <c r="AG141" s="156"/>
      <c r="AH141" s="156"/>
      <c r="AI141" s="156"/>
      <c r="AJ141" s="156"/>
      <c r="AK141" s="156"/>
      <c r="AL141" s="156"/>
      <c r="AM141" s="156"/>
      <c r="AN141" s="156"/>
      <c r="AO141" s="156"/>
      <c r="AP141" s="156"/>
      <c r="AQ141" s="156"/>
      <c r="AR141" s="156"/>
      <c r="AS141" s="156"/>
      <c r="AT141" s="156"/>
      <c r="AU141" s="156"/>
      <c r="AV141" s="156"/>
      <c r="AW141" s="156"/>
      <c r="AX141" s="156"/>
      <c r="AY141" s="156"/>
      <c r="AZ141" s="156"/>
      <c r="BA141" s="156"/>
      <c r="BB141" s="156"/>
      <c r="BC141" s="156"/>
      <c r="BD141" s="156"/>
      <c r="BE141" s="156"/>
      <c r="BF141" s="156"/>
      <c r="BG141" s="156"/>
      <c r="BH141" s="156"/>
      <c r="BI141" s="156"/>
    </row>
    <row r="142" ht="15.75" customHeight="1">
      <c r="A142" s="34"/>
      <c r="B142" s="27"/>
      <c r="C142" s="27"/>
      <c r="D142" s="7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  <c r="AA142" s="156"/>
      <c r="AB142" s="156"/>
      <c r="AC142" s="156"/>
      <c r="AD142" s="156"/>
      <c r="AE142" s="156"/>
      <c r="AF142" s="156"/>
      <c r="AG142" s="156"/>
      <c r="AH142" s="156"/>
      <c r="AI142" s="156"/>
      <c r="AJ142" s="156"/>
      <c r="AK142" s="156"/>
      <c r="AL142" s="156"/>
      <c r="AM142" s="156"/>
      <c r="AN142" s="156"/>
      <c r="AO142" s="156"/>
      <c r="AP142" s="156"/>
      <c r="AQ142" s="156"/>
      <c r="AR142" s="156"/>
      <c r="AS142" s="156"/>
      <c r="AT142" s="156"/>
      <c r="AU142" s="156"/>
      <c r="AV142" s="156"/>
      <c r="AW142" s="156"/>
      <c r="AX142" s="156"/>
      <c r="AY142" s="156"/>
      <c r="AZ142" s="156"/>
      <c r="BA142" s="156"/>
      <c r="BB142" s="156"/>
      <c r="BC142" s="156"/>
      <c r="BD142" s="156"/>
      <c r="BE142" s="156"/>
      <c r="BF142" s="156"/>
      <c r="BG142" s="156"/>
      <c r="BH142" s="156"/>
      <c r="BI142" s="156"/>
    </row>
    <row r="143" ht="15.75" customHeight="1">
      <c r="A143" s="34"/>
      <c r="B143" s="27"/>
      <c r="C143" s="27"/>
      <c r="D143" s="7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  <c r="AA143" s="156"/>
      <c r="AB143" s="156"/>
      <c r="AC143" s="156"/>
      <c r="AD143" s="156"/>
      <c r="AE143" s="156"/>
      <c r="AF143" s="156"/>
      <c r="AG143" s="156"/>
      <c r="AH143" s="156"/>
      <c r="AI143" s="156"/>
      <c r="AJ143" s="156"/>
      <c r="AK143" s="156"/>
      <c r="AL143" s="156"/>
      <c r="AM143" s="156"/>
      <c r="AN143" s="156"/>
      <c r="AO143" s="156"/>
      <c r="AP143" s="156"/>
      <c r="AQ143" s="156"/>
      <c r="AR143" s="156"/>
      <c r="AS143" s="156"/>
      <c r="AT143" s="156"/>
      <c r="AU143" s="156"/>
      <c r="AV143" s="156"/>
      <c r="AW143" s="156"/>
      <c r="AX143" s="156"/>
      <c r="AY143" s="156"/>
      <c r="AZ143" s="156"/>
      <c r="BA143" s="156"/>
      <c r="BB143" s="156"/>
      <c r="BC143" s="156"/>
      <c r="BD143" s="156"/>
      <c r="BE143" s="156"/>
      <c r="BF143" s="156"/>
      <c r="BG143" s="156"/>
      <c r="BH143" s="156"/>
      <c r="BI143" s="156"/>
    </row>
    <row r="144" ht="15.75" customHeight="1">
      <c r="A144" s="34"/>
      <c r="B144" s="27"/>
      <c r="C144" s="27"/>
      <c r="D144" s="7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  <c r="AK144" s="156"/>
      <c r="AL144" s="156"/>
      <c r="AM144" s="156"/>
      <c r="AN144" s="156"/>
      <c r="AO144" s="156"/>
      <c r="AP144" s="156"/>
      <c r="AQ144" s="156"/>
      <c r="AR144" s="156"/>
      <c r="AS144" s="156"/>
      <c r="AT144" s="156"/>
      <c r="AU144" s="156"/>
      <c r="AV144" s="156"/>
      <c r="AW144" s="156"/>
      <c r="AX144" s="156"/>
      <c r="AY144" s="156"/>
      <c r="AZ144" s="156"/>
      <c r="BA144" s="156"/>
      <c r="BB144" s="156"/>
      <c r="BC144" s="156"/>
      <c r="BD144" s="156"/>
      <c r="BE144" s="156"/>
      <c r="BF144" s="156"/>
      <c r="BG144" s="156"/>
      <c r="BH144" s="156"/>
      <c r="BI144" s="156"/>
    </row>
    <row r="145" ht="15.75" customHeight="1">
      <c r="A145" s="34"/>
      <c r="B145" s="27"/>
      <c r="C145" s="27"/>
      <c r="D145" s="7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  <c r="AK145" s="156"/>
      <c r="AL145" s="156"/>
      <c r="AM145" s="156"/>
      <c r="AN145" s="156"/>
      <c r="AO145" s="156"/>
      <c r="AP145" s="156"/>
      <c r="AQ145" s="156"/>
      <c r="AR145" s="156"/>
      <c r="AS145" s="156"/>
      <c r="AT145" s="156"/>
      <c r="AU145" s="156"/>
      <c r="AV145" s="156"/>
      <c r="AW145" s="156"/>
      <c r="AX145" s="156"/>
      <c r="AY145" s="156"/>
      <c r="AZ145" s="156"/>
      <c r="BA145" s="156"/>
      <c r="BB145" s="156"/>
      <c r="BC145" s="156"/>
      <c r="BD145" s="156"/>
      <c r="BE145" s="156"/>
      <c r="BF145" s="156"/>
      <c r="BG145" s="156"/>
      <c r="BH145" s="156"/>
      <c r="BI145" s="156"/>
    </row>
    <row r="146" ht="15.75" customHeight="1">
      <c r="A146" s="34"/>
      <c r="B146" s="27"/>
      <c r="C146" s="27"/>
      <c r="D146" s="7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  <c r="AA146" s="156"/>
      <c r="AB146" s="156"/>
      <c r="AC146" s="156"/>
      <c r="AD146" s="156"/>
      <c r="AE146" s="156"/>
      <c r="AF146" s="156"/>
      <c r="AG146" s="156"/>
      <c r="AH146" s="156"/>
      <c r="AI146" s="156"/>
      <c r="AJ146" s="156"/>
      <c r="AK146" s="156"/>
      <c r="AL146" s="156"/>
      <c r="AM146" s="156"/>
      <c r="AN146" s="156"/>
      <c r="AO146" s="156"/>
      <c r="AP146" s="156"/>
      <c r="AQ146" s="156"/>
      <c r="AR146" s="156"/>
      <c r="AS146" s="156"/>
      <c r="AT146" s="156"/>
      <c r="AU146" s="156"/>
      <c r="AV146" s="156"/>
      <c r="AW146" s="156"/>
      <c r="AX146" s="156"/>
      <c r="AY146" s="156"/>
      <c r="AZ146" s="156"/>
      <c r="BA146" s="156"/>
      <c r="BB146" s="156"/>
      <c r="BC146" s="156"/>
      <c r="BD146" s="156"/>
      <c r="BE146" s="156"/>
      <c r="BF146" s="156"/>
      <c r="BG146" s="156"/>
      <c r="BH146" s="156"/>
      <c r="BI146" s="156"/>
    </row>
    <row r="147" ht="15.75" customHeight="1">
      <c r="A147" s="34"/>
      <c r="B147" s="27"/>
      <c r="C147" s="27"/>
      <c r="D147" s="7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  <c r="AA147" s="156"/>
      <c r="AB147" s="156"/>
      <c r="AC147" s="156"/>
      <c r="AD147" s="156"/>
      <c r="AE147" s="156"/>
      <c r="AF147" s="156"/>
      <c r="AG147" s="156"/>
      <c r="AH147" s="156"/>
      <c r="AI147" s="156"/>
      <c r="AJ147" s="156"/>
      <c r="AK147" s="156"/>
      <c r="AL147" s="156"/>
      <c r="AM147" s="156"/>
      <c r="AN147" s="156"/>
      <c r="AO147" s="156"/>
      <c r="AP147" s="156"/>
      <c r="AQ147" s="156"/>
      <c r="AR147" s="156"/>
      <c r="AS147" s="156"/>
      <c r="AT147" s="156"/>
      <c r="AU147" s="156"/>
      <c r="AV147" s="156"/>
      <c r="AW147" s="156"/>
      <c r="AX147" s="156"/>
      <c r="AY147" s="156"/>
      <c r="AZ147" s="156"/>
      <c r="BA147" s="156"/>
      <c r="BB147" s="156"/>
      <c r="BC147" s="156"/>
      <c r="BD147" s="156"/>
      <c r="BE147" s="156"/>
      <c r="BF147" s="156"/>
      <c r="BG147" s="156"/>
      <c r="BH147" s="156"/>
      <c r="BI147" s="156"/>
    </row>
    <row r="148" ht="15.75" customHeight="1">
      <c r="A148" s="34"/>
      <c r="B148" s="27"/>
      <c r="C148" s="27"/>
      <c r="D148" s="7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  <c r="AA148" s="156"/>
      <c r="AB148" s="156"/>
      <c r="AC148" s="156"/>
      <c r="AD148" s="156"/>
      <c r="AE148" s="156"/>
      <c r="AF148" s="156"/>
      <c r="AG148" s="156"/>
      <c r="AH148" s="156"/>
      <c r="AI148" s="156"/>
      <c r="AJ148" s="156"/>
      <c r="AK148" s="156"/>
      <c r="AL148" s="156"/>
      <c r="AM148" s="156"/>
      <c r="AN148" s="156"/>
      <c r="AO148" s="156"/>
      <c r="AP148" s="156"/>
      <c r="AQ148" s="156"/>
      <c r="AR148" s="156"/>
      <c r="AS148" s="156"/>
      <c r="AT148" s="156"/>
      <c r="AU148" s="156"/>
      <c r="AV148" s="156"/>
      <c r="AW148" s="156"/>
      <c r="AX148" s="156"/>
      <c r="AY148" s="156"/>
      <c r="AZ148" s="156"/>
      <c r="BA148" s="156"/>
      <c r="BB148" s="156"/>
      <c r="BC148" s="156"/>
      <c r="BD148" s="156"/>
      <c r="BE148" s="156"/>
      <c r="BF148" s="156"/>
      <c r="BG148" s="156"/>
      <c r="BH148" s="156"/>
      <c r="BI148" s="156"/>
    </row>
    <row r="149" ht="15.75" customHeight="1">
      <c r="A149" s="34"/>
      <c r="B149" s="27"/>
      <c r="C149" s="27"/>
      <c r="D149" s="7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  <c r="AA149" s="156"/>
      <c r="AB149" s="156"/>
      <c r="AC149" s="156"/>
      <c r="AD149" s="156"/>
      <c r="AE149" s="156"/>
      <c r="AF149" s="156"/>
      <c r="AG149" s="156"/>
      <c r="AH149" s="156"/>
      <c r="AI149" s="156"/>
      <c r="AJ149" s="156"/>
      <c r="AK149" s="156"/>
      <c r="AL149" s="156"/>
      <c r="AM149" s="156"/>
      <c r="AN149" s="156"/>
      <c r="AO149" s="156"/>
      <c r="AP149" s="156"/>
      <c r="AQ149" s="156"/>
      <c r="AR149" s="156"/>
      <c r="AS149" s="156"/>
      <c r="AT149" s="156"/>
      <c r="AU149" s="156"/>
      <c r="AV149" s="156"/>
      <c r="AW149" s="156"/>
      <c r="AX149" s="156"/>
      <c r="AY149" s="156"/>
      <c r="AZ149" s="156"/>
      <c r="BA149" s="156"/>
      <c r="BB149" s="156"/>
      <c r="BC149" s="156"/>
      <c r="BD149" s="156"/>
      <c r="BE149" s="156"/>
      <c r="BF149" s="156"/>
      <c r="BG149" s="156"/>
      <c r="BH149" s="156"/>
      <c r="BI149" s="156"/>
    </row>
    <row r="150" ht="15.75" customHeight="1">
      <c r="A150" s="34"/>
      <c r="B150" s="27"/>
      <c r="C150" s="27"/>
      <c r="D150" s="7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  <c r="AK150" s="156"/>
      <c r="AL150" s="156"/>
      <c r="AM150" s="156"/>
      <c r="AN150" s="156"/>
      <c r="AO150" s="156"/>
      <c r="AP150" s="156"/>
      <c r="AQ150" s="156"/>
      <c r="AR150" s="156"/>
      <c r="AS150" s="156"/>
      <c r="AT150" s="156"/>
      <c r="AU150" s="156"/>
      <c r="AV150" s="156"/>
      <c r="AW150" s="156"/>
      <c r="AX150" s="156"/>
      <c r="AY150" s="156"/>
      <c r="AZ150" s="156"/>
      <c r="BA150" s="156"/>
      <c r="BB150" s="156"/>
      <c r="BC150" s="156"/>
      <c r="BD150" s="156"/>
      <c r="BE150" s="156"/>
      <c r="BF150" s="156"/>
      <c r="BG150" s="156"/>
      <c r="BH150" s="156"/>
      <c r="BI150" s="156"/>
    </row>
    <row r="151" ht="15.75" customHeight="1">
      <c r="A151" s="34"/>
      <c r="B151" s="27"/>
      <c r="C151" s="27"/>
      <c r="D151" s="7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  <c r="AA151" s="156"/>
      <c r="AB151" s="156"/>
      <c r="AC151" s="156"/>
      <c r="AD151" s="156"/>
      <c r="AE151" s="156"/>
      <c r="AF151" s="156"/>
      <c r="AG151" s="156"/>
      <c r="AH151" s="156"/>
      <c r="AI151" s="156"/>
      <c r="AJ151" s="156"/>
      <c r="AK151" s="156"/>
      <c r="AL151" s="156"/>
      <c r="AM151" s="156"/>
      <c r="AN151" s="156"/>
      <c r="AO151" s="156"/>
      <c r="AP151" s="156"/>
      <c r="AQ151" s="156"/>
      <c r="AR151" s="156"/>
      <c r="AS151" s="156"/>
      <c r="AT151" s="156"/>
      <c r="AU151" s="156"/>
      <c r="AV151" s="156"/>
      <c r="AW151" s="156"/>
      <c r="AX151" s="156"/>
      <c r="AY151" s="156"/>
      <c r="AZ151" s="156"/>
      <c r="BA151" s="156"/>
      <c r="BB151" s="156"/>
      <c r="BC151" s="156"/>
      <c r="BD151" s="156"/>
      <c r="BE151" s="156"/>
      <c r="BF151" s="156"/>
      <c r="BG151" s="156"/>
      <c r="BH151" s="156"/>
      <c r="BI151" s="156"/>
    </row>
    <row r="152" ht="15.75" customHeight="1">
      <c r="A152" s="34"/>
      <c r="B152" s="27"/>
      <c r="C152" s="27"/>
      <c r="D152" s="7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  <c r="AA152" s="156"/>
      <c r="AB152" s="156"/>
      <c r="AC152" s="156"/>
      <c r="AD152" s="156"/>
      <c r="AE152" s="156"/>
      <c r="AF152" s="156"/>
      <c r="AG152" s="156"/>
      <c r="AH152" s="156"/>
      <c r="AI152" s="156"/>
      <c r="AJ152" s="156"/>
      <c r="AK152" s="156"/>
      <c r="AL152" s="156"/>
      <c r="AM152" s="156"/>
      <c r="AN152" s="156"/>
      <c r="AO152" s="156"/>
      <c r="AP152" s="156"/>
      <c r="AQ152" s="156"/>
      <c r="AR152" s="156"/>
      <c r="AS152" s="156"/>
      <c r="AT152" s="156"/>
      <c r="AU152" s="156"/>
      <c r="AV152" s="156"/>
      <c r="AW152" s="156"/>
      <c r="AX152" s="156"/>
      <c r="AY152" s="156"/>
      <c r="AZ152" s="156"/>
      <c r="BA152" s="156"/>
      <c r="BB152" s="156"/>
      <c r="BC152" s="156"/>
      <c r="BD152" s="156"/>
      <c r="BE152" s="156"/>
      <c r="BF152" s="156"/>
      <c r="BG152" s="156"/>
      <c r="BH152" s="156"/>
      <c r="BI152" s="156"/>
    </row>
    <row r="153" ht="15.75" customHeight="1">
      <c r="A153" s="34"/>
      <c r="B153" s="27"/>
      <c r="C153" s="27"/>
      <c r="D153" s="7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  <c r="AA153" s="156"/>
      <c r="AB153" s="156"/>
      <c r="AC153" s="156"/>
      <c r="AD153" s="156"/>
      <c r="AE153" s="156"/>
      <c r="AF153" s="156"/>
      <c r="AG153" s="156"/>
      <c r="AH153" s="156"/>
      <c r="AI153" s="156"/>
      <c r="AJ153" s="156"/>
      <c r="AK153" s="156"/>
      <c r="AL153" s="156"/>
      <c r="AM153" s="156"/>
      <c r="AN153" s="156"/>
      <c r="AO153" s="156"/>
      <c r="AP153" s="156"/>
      <c r="AQ153" s="156"/>
      <c r="AR153" s="156"/>
      <c r="AS153" s="156"/>
      <c r="AT153" s="156"/>
      <c r="AU153" s="156"/>
      <c r="AV153" s="156"/>
      <c r="AW153" s="156"/>
      <c r="AX153" s="156"/>
      <c r="AY153" s="156"/>
      <c r="AZ153" s="156"/>
      <c r="BA153" s="156"/>
      <c r="BB153" s="156"/>
      <c r="BC153" s="156"/>
      <c r="BD153" s="156"/>
      <c r="BE153" s="156"/>
      <c r="BF153" s="156"/>
      <c r="BG153" s="156"/>
      <c r="BH153" s="156"/>
      <c r="BI153" s="156"/>
    </row>
    <row r="154" ht="15.75" customHeight="1">
      <c r="A154" s="34"/>
      <c r="B154" s="27"/>
      <c r="C154" s="27"/>
      <c r="D154" s="7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  <c r="AA154" s="156"/>
      <c r="AB154" s="156"/>
      <c r="AC154" s="156"/>
      <c r="AD154" s="156"/>
      <c r="AE154" s="156"/>
      <c r="AF154" s="156"/>
      <c r="AG154" s="156"/>
      <c r="AH154" s="156"/>
      <c r="AI154" s="156"/>
      <c r="AJ154" s="156"/>
      <c r="AK154" s="156"/>
      <c r="AL154" s="156"/>
      <c r="AM154" s="156"/>
      <c r="AN154" s="156"/>
      <c r="AO154" s="156"/>
      <c r="AP154" s="156"/>
      <c r="AQ154" s="156"/>
      <c r="AR154" s="156"/>
      <c r="AS154" s="156"/>
      <c r="AT154" s="156"/>
      <c r="AU154" s="156"/>
      <c r="AV154" s="156"/>
      <c r="AW154" s="156"/>
      <c r="AX154" s="156"/>
      <c r="AY154" s="156"/>
      <c r="AZ154" s="156"/>
      <c r="BA154" s="156"/>
      <c r="BB154" s="156"/>
      <c r="BC154" s="156"/>
      <c r="BD154" s="156"/>
      <c r="BE154" s="156"/>
      <c r="BF154" s="156"/>
      <c r="BG154" s="156"/>
      <c r="BH154" s="156"/>
      <c r="BI154" s="156"/>
    </row>
    <row r="155" ht="15.75" customHeight="1">
      <c r="A155" s="34"/>
      <c r="B155" s="27"/>
      <c r="C155" s="27"/>
      <c r="D155" s="7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  <c r="AA155" s="156"/>
      <c r="AB155" s="156"/>
      <c r="AC155" s="156"/>
      <c r="AD155" s="156"/>
      <c r="AE155" s="156"/>
      <c r="AF155" s="156"/>
      <c r="AG155" s="156"/>
      <c r="AH155" s="156"/>
      <c r="AI155" s="156"/>
      <c r="AJ155" s="156"/>
      <c r="AK155" s="156"/>
      <c r="AL155" s="156"/>
      <c r="AM155" s="156"/>
      <c r="AN155" s="156"/>
      <c r="AO155" s="156"/>
      <c r="AP155" s="156"/>
      <c r="AQ155" s="156"/>
      <c r="AR155" s="156"/>
      <c r="AS155" s="156"/>
      <c r="AT155" s="156"/>
      <c r="AU155" s="156"/>
      <c r="AV155" s="156"/>
      <c r="AW155" s="156"/>
      <c r="AX155" s="156"/>
      <c r="AY155" s="156"/>
      <c r="AZ155" s="156"/>
      <c r="BA155" s="156"/>
      <c r="BB155" s="156"/>
      <c r="BC155" s="156"/>
      <c r="BD155" s="156"/>
      <c r="BE155" s="156"/>
      <c r="BF155" s="156"/>
      <c r="BG155" s="156"/>
      <c r="BH155" s="156"/>
      <c r="BI155" s="156"/>
    </row>
    <row r="156" ht="15.75" customHeight="1">
      <c r="A156" s="34"/>
      <c r="B156" s="27"/>
      <c r="C156" s="27"/>
      <c r="D156" s="7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  <c r="AA156" s="156"/>
      <c r="AB156" s="156"/>
      <c r="AC156" s="156"/>
      <c r="AD156" s="156"/>
      <c r="AE156" s="156"/>
      <c r="AF156" s="156"/>
      <c r="AG156" s="156"/>
      <c r="AH156" s="156"/>
      <c r="AI156" s="156"/>
      <c r="AJ156" s="156"/>
      <c r="AK156" s="156"/>
      <c r="AL156" s="156"/>
      <c r="AM156" s="156"/>
      <c r="AN156" s="156"/>
      <c r="AO156" s="156"/>
      <c r="AP156" s="156"/>
      <c r="AQ156" s="156"/>
      <c r="AR156" s="156"/>
      <c r="AS156" s="156"/>
      <c r="AT156" s="156"/>
      <c r="AU156" s="156"/>
      <c r="AV156" s="156"/>
      <c r="AW156" s="156"/>
      <c r="AX156" s="156"/>
      <c r="AY156" s="156"/>
      <c r="AZ156" s="156"/>
      <c r="BA156" s="156"/>
      <c r="BB156" s="156"/>
      <c r="BC156" s="156"/>
      <c r="BD156" s="156"/>
      <c r="BE156" s="156"/>
      <c r="BF156" s="156"/>
      <c r="BG156" s="156"/>
      <c r="BH156" s="156"/>
      <c r="BI156" s="156"/>
    </row>
    <row r="157" ht="15.75" customHeight="1">
      <c r="A157" s="34"/>
      <c r="B157" s="27"/>
      <c r="C157" s="27"/>
      <c r="D157" s="7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  <c r="AH157" s="156"/>
      <c r="AI157" s="156"/>
      <c r="AJ157" s="156"/>
      <c r="AK157" s="156"/>
      <c r="AL157" s="156"/>
      <c r="AM157" s="156"/>
      <c r="AN157" s="156"/>
      <c r="AO157" s="156"/>
      <c r="AP157" s="156"/>
      <c r="AQ157" s="156"/>
      <c r="AR157" s="156"/>
      <c r="AS157" s="156"/>
      <c r="AT157" s="156"/>
      <c r="AU157" s="156"/>
      <c r="AV157" s="156"/>
      <c r="AW157" s="156"/>
      <c r="AX157" s="156"/>
      <c r="AY157" s="156"/>
      <c r="AZ157" s="156"/>
      <c r="BA157" s="156"/>
      <c r="BB157" s="156"/>
      <c r="BC157" s="156"/>
      <c r="BD157" s="156"/>
      <c r="BE157" s="156"/>
      <c r="BF157" s="156"/>
      <c r="BG157" s="156"/>
      <c r="BH157" s="156"/>
      <c r="BI157" s="156"/>
    </row>
    <row r="158" ht="15.75" customHeight="1">
      <c r="A158" s="34"/>
      <c r="B158" s="27"/>
      <c r="C158" s="27"/>
      <c r="D158" s="7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  <c r="AA158" s="156"/>
      <c r="AB158" s="156"/>
      <c r="AC158" s="156"/>
      <c r="AD158" s="156"/>
      <c r="AE158" s="156"/>
      <c r="AF158" s="156"/>
      <c r="AG158" s="156"/>
      <c r="AH158" s="156"/>
      <c r="AI158" s="156"/>
      <c r="AJ158" s="156"/>
      <c r="AK158" s="156"/>
      <c r="AL158" s="156"/>
      <c r="AM158" s="156"/>
      <c r="AN158" s="156"/>
      <c r="AO158" s="156"/>
      <c r="AP158" s="156"/>
      <c r="AQ158" s="156"/>
      <c r="AR158" s="156"/>
      <c r="AS158" s="156"/>
      <c r="AT158" s="156"/>
      <c r="AU158" s="156"/>
      <c r="AV158" s="156"/>
      <c r="AW158" s="156"/>
      <c r="AX158" s="156"/>
      <c r="AY158" s="156"/>
      <c r="AZ158" s="156"/>
      <c r="BA158" s="156"/>
      <c r="BB158" s="156"/>
      <c r="BC158" s="156"/>
      <c r="BD158" s="156"/>
      <c r="BE158" s="156"/>
      <c r="BF158" s="156"/>
      <c r="BG158" s="156"/>
      <c r="BH158" s="156"/>
      <c r="BI158" s="156"/>
    </row>
    <row r="159" ht="15.75" customHeight="1">
      <c r="A159" s="34"/>
      <c r="B159" s="27"/>
      <c r="C159" s="27"/>
      <c r="D159" s="7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  <c r="AA159" s="156"/>
      <c r="AB159" s="156"/>
      <c r="AC159" s="156"/>
      <c r="AD159" s="156"/>
      <c r="AE159" s="156"/>
      <c r="AF159" s="156"/>
      <c r="AG159" s="156"/>
      <c r="AH159" s="156"/>
      <c r="AI159" s="156"/>
      <c r="AJ159" s="156"/>
      <c r="AK159" s="156"/>
      <c r="AL159" s="156"/>
      <c r="AM159" s="156"/>
      <c r="AN159" s="156"/>
      <c r="AO159" s="156"/>
      <c r="AP159" s="156"/>
      <c r="AQ159" s="156"/>
      <c r="AR159" s="156"/>
      <c r="AS159" s="156"/>
      <c r="AT159" s="156"/>
      <c r="AU159" s="156"/>
      <c r="AV159" s="156"/>
      <c r="AW159" s="156"/>
      <c r="AX159" s="156"/>
      <c r="AY159" s="156"/>
      <c r="AZ159" s="156"/>
      <c r="BA159" s="156"/>
      <c r="BB159" s="156"/>
      <c r="BC159" s="156"/>
      <c r="BD159" s="156"/>
      <c r="BE159" s="156"/>
      <c r="BF159" s="156"/>
      <c r="BG159" s="156"/>
      <c r="BH159" s="156"/>
      <c r="BI159" s="156"/>
    </row>
    <row r="160" ht="15.75" customHeight="1">
      <c r="A160" s="34"/>
      <c r="B160" s="27"/>
      <c r="C160" s="27"/>
      <c r="D160" s="7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  <c r="AA160" s="156"/>
      <c r="AB160" s="156"/>
      <c r="AC160" s="156"/>
      <c r="AD160" s="156"/>
      <c r="AE160" s="156"/>
      <c r="AF160" s="156"/>
      <c r="AG160" s="156"/>
      <c r="AH160" s="156"/>
      <c r="AI160" s="156"/>
      <c r="AJ160" s="156"/>
      <c r="AK160" s="156"/>
      <c r="AL160" s="156"/>
      <c r="AM160" s="156"/>
      <c r="AN160" s="156"/>
      <c r="AO160" s="156"/>
      <c r="AP160" s="156"/>
      <c r="AQ160" s="156"/>
      <c r="AR160" s="156"/>
      <c r="AS160" s="156"/>
      <c r="AT160" s="156"/>
      <c r="AU160" s="156"/>
      <c r="AV160" s="156"/>
      <c r="AW160" s="156"/>
      <c r="AX160" s="156"/>
      <c r="AY160" s="156"/>
      <c r="AZ160" s="156"/>
      <c r="BA160" s="156"/>
      <c r="BB160" s="156"/>
      <c r="BC160" s="156"/>
      <c r="BD160" s="156"/>
      <c r="BE160" s="156"/>
      <c r="BF160" s="156"/>
      <c r="BG160" s="156"/>
      <c r="BH160" s="156"/>
      <c r="BI160" s="156"/>
    </row>
    <row r="161" ht="15.75" customHeight="1">
      <c r="A161" s="34"/>
      <c r="B161" s="27"/>
      <c r="C161" s="27"/>
      <c r="D161" s="7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  <c r="AA161" s="156"/>
      <c r="AB161" s="156"/>
      <c r="AC161" s="156"/>
      <c r="AD161" s="156"/>
      <c r="AE161" s="156"/>
      <c r="AF161" s="156"/>
      <c r="AG161" s="156"/>
      <c r="AH161" s="156"/>
      <c r="AI161" s="156"/>
      <c r="AJ161" s="156"/>
      <c r="AK161" s="156"/>
      <c r="AL161" s="156"/>
      <c r="AM161" s="156"/>
      <c r="AN161" s="156"/>
      <c r="AO161" s="156"/>
      <c r="AP161" s="156"/>
      <c r="AQ161" s="156"/>
      <c r="AR161" s="156"/>
      <c r="AS161" s="156"/>
      <c r="AT161" s="156"/>
      <c r="AU161" s="156"/>
      <c r="AV161" s="156"/>
      <c r="AW161" s="156"/>
      <c r="AX161" s="156"/>
      <c r="AY161" s="156"/>
      <c r="AZ161" s="156"/>
      <c r="BA161" s="156"/>
      <c r="BB161" s="156"/>
      <c r="BC161" s="156"/>
      <c r="BD161" s="156"/>
      <c r="BE161" s="156"/>
      <c r="BF161" s="156"/>
      <c r="BG161" s="156"/>
      <c r="BH161" s="156"/>
      <c r="BI161" s="156"/>
    </row>
    <row r="162" ht="15.75" customHeight="1">
      <c r="A162" s="34"/>
      <c r="B162" s="27"/>
      <c r="C162" s="27"/>
      <c r="D162" s="7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  <c r="AD162" s="156"/>
      <c r="AE162" s="156"/>
      <c r="AF162" s="156"/>
      <c r="AG162" s="156"/>
      <c r="AH162" s="156"/>
      <c r="AI162" s="156"/>
      <c r="AJ162" s="156"/>
      <c r="AK162" s="156"/>
      <c r="AL162" s="156"/>
      <c r="AM162" s="156"/>
      <c r="AN162" s="156"/>
      <c r="AO162" s="156"/>
      <c r="AP162" s="156"/>
      <c r="AQ162" s="156"/>
      <c r="AR162" s="156"/>
      <c r="AS162" s="156"/>
      <c r="AT162" s="156"/>
      <c r="AU162" s="156"/>
      <c r="AV162" s="156"/>
      <c r="AW162" s="156"/>
      <c r="AX162" s="156"/>
      <c r="AY162" s="156"/>
      <c r="AZ162" s="156"/>
      <c r="BA162" s="156"/>
      <c r="BB162" s="156"/>
      <c r="BC162" s="156"/>
      <c r="BD162" s="156"/>
      <c r="BE162" s="156"/>
      <c r="BF162" s="156"/>
      <c r="BG162" s="156"/>
      <c r="BH162" s="156"/>
      <c r="BI162" s="156"/>
    </row>
    <row r="163" ht="15.75" customHeight="1">
      <c r="A163" s="34"/>
      <c r="B163" s="27"/>
      <c r="C163" s="27"/>
      <c r="D163" s="7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  <c r="AA163" s="156"/>
      <c r="AB163" s="156"/>
      <c r="AC163" s="156"/>
      <c r="AD163" s="156"/>
      <c r="AE163" s="156"/>
      <c r="AF163" s="156"/>
      <c r="AG163" s="156"/>
      <c r="AH163" s="156"/>
      <c r="AI163" s="156"/>
      <c r="AJ163" s="156"/>
      <c r="AK163" s="156"/>
      <c r="AL163" s="156"/>
      <c r="AM163" s="156"/>
      <c r="AN163" s="156"/>
      <c r="AO163" s="156"/>
      <c r="AP163" s="156"/>
      <c r="AQ163" s="156"/>
      <c r="AR163" s="156"/>
      <c r="AS163" s="156"/>
      <c r="AT163" s="156"/>
      <c r="AU163" s="156"/>
      <c r="AV163" s="156"/>
      <c r="AW163" s="156"/>
      <c r="AX163" s="156"/>
      <c r="AY163" s="156"/>
      <c r="AZ163" s="156"/>
      <c r="BA163" s="156"/>
      <c r="BB163" s="156"/>
      <c r="BC163" s="156"/>
      <c r="BD163" s="156"/>
      <c r="BE163" s="156"/>
      <c r="BF163" s="156"/>
      <c r="BG163" s="156"/>
      <c r="BH163" s="156"/>
      <c r="BI163" s="156"/>
    </row>
    <row r="164" ht="15.75" customHeight="1">
      <c r="A164" s="34"/>
      <c r="B164" s="27"/>
      <c r="C164" s="27"/>
      <c r="D164" s="7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  <c r="AA164" s="156"/>
      <c r="AB164" s="156"/>
      <c r="AC164" s="156"/>
      <c r="AD164" s="156"/>
      <c r="AE164" s="156"/>
      <c r="AF164" s="156"/>
      <c r="AG164" s="156"/>
      <c r="AH164" s="156"/>
      <c r="AI164" s="156"/>
      <c r="AJ164" s="156"/>
      <c r="AK164" s="156"/>
      <c r="AL164" s="156"/>
      <c r="AM164" s="156"/>
      <c r="AN164" s="156"/>
      <c r="AO164" s="156"/>
      <c r="AP164" s="156"/>
      <c r="AQ164" s="156"/>
      <c r="AR164" s="156"/>
      <c r="AS164" s="156"/>
      <c r="AT164" s="156"/>
      <c r="AU164" s="156"/>
      <c r="AV164" s="156"/>
      <c r="AW164" s="156"/>
      <c r="AX164" s="156"/>
      <c r="AY164" s="156"/>
      <c r="AZ164" s="156"/>
      <c r="BA164" s="156"/>
      <c r="BB164" s="156"/>
      <c r="BC164" s="156"/>
      <c r="BD164" s="156"/>
      <c r="BE164" s="156"/>
      <c r="BF164" s="156"/>
      <c r="BG164" s="156"/>
      <c r="BH164" s="156"/>
      <c r="BI164" s="156"/>
    </row>
    <row r="165" ht="15.75" customHeight="1">
      <c r="A165" s="34"/>
      <c r="B165" s="27"/>
      <c r="C165" s="27"/>
      <c r="D165" s="7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  <c r="AA165" s="156"/>
      <c r="AB165" s="156"/>
      <c r="AC165" s="156"/>
      <c r="AD165" s="156"/>
      <c r="AE165" s="156"/>
      <c r="AF165" s="156"/>
      <c r="AG165" s="156"/>
      <c r="AH165" s="156"/>
      <c r="AI165" s="156"/>
      <c r="AJ165" s="156"/>
      <c r="AK165" s="156"/>
      <c r="AL165" s="156"/>
      <c r="AM165" s="156"/>
      <c r="AN165" s="156"/>
      <c r="AO165" s="156"/>
      <c r="AP165" s="156"/>
      <c r="AQ165" s="156"/>
      <c r="AR165" s="156"/>
      <c r="AS165" s="156"/>
      <c r="AT165" s="156"/>
      <c r="AU165" s="156"/>
      <c r="AV165" s="156"/>
      <c r="AW165" s="156"/>
      <c r="AX165" s="156"/>
      <c r="AY165" s="156"/>
      <c r="AZ165" s="156"/>
      <c r="BA165" s="156"/>
      <c r="BB165" s="156"/>
      <c r="BC165" s="156"/>
      <c r="BD165" s="156"/>
      <c r="BE165" s="156"/>
      <c r="BF165" s="156"/>
      <c r="BG165" s="156"/>
      <c r="BH165" s="156"/>
      <c r="BI165" s="156"/>
    </row>
    <row r="166" ht="15.75" customHeight="1">
      <c r="A166" s="34"/>
      <c r="B166" s="27"/>
      <c r="C166" s="27"/>
      <c r="D166" s="7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  <c r="AA166" s="156"/>
      <c r="AB166" s="156"/>
      <c r="AC166" s="156"/>
      <c r="AD166" s="156"/>
      <c r="AE166" s="156"/>
      <c r="AF166" s="156"/>
      <c r="AG166" s="156"/>
      <c r="AH166" s="156"/>
      <c r="AI166" s="156"/>
      <c r="AJ166" s="156"/>
      <c r="AK166" s="156"/>
      <c r="AL166" s="156"/>
      <c r="AM166" s="156"/>
      <c r="AN166" s="156"/>
      <c r="AO166" s="156"/>
      <c r="AP166" s="156"/>
      <c r="AQ166" s="156"/>
      <c r="AR166" s="156"/>
      <c r="AS166" s="156"/>
      <c r="AT166" s="156"/>
      <c r="AU166" s="156"/>
      <c r="AV166" s="156"/>
      <c r="AW166" s="156"/>
      <c r="AX166" s="156"/>
      <c r="AY166" s="156"/>
      <c r="AZ166" s="156"/>
      <c r="BA166" s="156"/>
      <c r="BB166" s="156"/>
      <c r="BC166" s="156"/>
      <c r="BD166" s="156"/>
      <c r="BE166" s="156"/>
      <c r="BF166" s="156"/>
      <c r="BG166" s="156"/>
      <c r="BH166" s="156"/>
      <c r="BI166" s="156"/>
    </row>
    <row r="167" ht="15.75" customHeight="1">
      <c r="A167" s="34"/>
      <c r="B167" s="27"/>
      <c r="C167" s="27"/>
      <c r="D167" s="7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  <c r="AA167" s="156"/>
      <c r="AB167" s="156"/>
      <c r="AC167" s="156"/>
      <c r="AD167" s="156"/>
      <c r="AE167" s="156"/>
      <c r="AF167" s="156"/>
      <c r="AG167" s="156"/>
      <c r="AH167" s="156"/>
      <c r="AI167" s="156"/>
      <c r="AJ167" s="156"/>
      <c r="AK167" s="156"/>
      <c r="AL167" s="156"/>
      <c r="AM167" s="156"/>
      <c r="AN167" s="156"/>
      <c r="AO167" s="156"/>
      <c r="AP167" s="156"/>
      <c r="AQ167" s="156"/>
      <c r="AR167" s="156"/>
      <c r="AS167" s="156"/>
      <c r="AT167" s="156"/>
      <c r="AU167" s="156"/>
      <c r="AV167" s="156"/>
      <c r="AW167" s="156"/>
      <c r="AX167" s="156"/>
      <c r="AY167" s="156"/>
      <c r="AZ167" s="156"/>
      <c r="BA167" s="156"/>
      <c r="BB167" s="156"/>
      <c r="BC167" s="156"/>
      <c r="BD167" s="156"/>
      <c r="BE167" s="156"/>
      <c r="BF167" s="156"/>
      <c r="BG167" s="156"/>
      <c r="BH167" s="156"/>
      <c r="BI167" s="156"/>
    </row>
    <row r="168" ht="15.75" customHeight="1">
      <c r="A168" s="34"/>
      <c r="B168" s="27"/>
      <c r="C168" s="27"/>
      <c r="D168" s="7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  <c r="AA168" s="156"/>
      <c r="AB168" s="156"/>
      <c r="AC168" s="156"/>
      <c r="AD168" s="156"/>
      <c r="AE168" s="156"/>
      <c r="AF168" s="156"/>
      <c r="AG168" s="156"/>
      <c r="AH168" s="156"/>
      <c r="AI168" s="156"/>
      <c r="AJ168" s="156"/>
      <c r="AK168" s="156"/>
      <c r="AL168" s="156"/>
      <c r="AM168" s="156"/>
      <c r="AN168" s="156"/>
      <c r="AO168" s="156"/>
      <c r="AP168" s="156"/>
      <c r="AQ168" s="156"/>
      <c r="AR168" s="156"/>
      <c r="AS168" s="156"/>
      <c r="AT168" s="156"/>
      <c r="AU168" s="156"/>
      <c r="AV168" s="156"/>
      <c r="AW168" s="156"/>
      <c r="AX168" s="156"/>
      <c r="AY168" s="156"/>
      <c r="AZ168" s="156"/>
      <c r="BA168" s="156"/>
      <c r="BB168" s="156"/>
      <c r="BC168" s="156"/>
      <c r="BD168" s="156"/>
      <c r="BE168" s="156"/>
      <c r="BF168" s="156"/>
      <c r="BG168" s="156"/>
      <c r="BH168" s="156"/>
      <c r="BI168" s="156"/>
    </row>
    <row r="169" ht="15.75" customHeight="1">
      <c r="A169" s="34"/>
      <c r="B169" s="27"/>
      <c r="C169" s="27"/>
      <c r="D169" s="7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  <c r="AI169" s="156"/>
      <c r="AJ169" s="156"/>
      <c r="AK169" s="156"/>
      <c r="AL169" s="156"/>
      <c r="AM169" s="156"/>
      <c r="AN169" s="156"/>
      <c r="AO169" s="156"/>
      <c r="AP169" s="156"/>
      <c r="AQ169" s="156"/>
      <c r="AR169" s="156"/>
      <c r="AS169" s="156"/>
      <c r="AT169" s="156"/>
      <c r="AU169" s="156"/>
      <c r="AV169" s="156"/>
      <c r="AW169" s="156"/>
      <c r="AX169" s="156"/>
      <c r="AY169" s="156"/>
      <c r="AZ169" s="156"/>
      <c r="BA169" s="156"/>
      <c r="BB169" s="156"/>
      <c r="BC169" s="156"/>
      <c r="BD169" s="156"/>
      <c r="BE169" s="156"/>
      <c r="BF169" s="156"/>
      <c r="BG169" s="156"/>
      <c r="BH169" s="156"/>
      <c r="BI169" s="156"/>
    </row>
    <row r="170" ht="15.75" customHeight="1">
      <c r="A170" s="34"/>
      <c r="B170" s="27"/>
      <c r="C170" s="27"/>
      <c r="D170" s="7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  <c r="AA170" s="156"/>
      <c r="AB170" s="156"/>
      <c r="AC170" s="156"/>
      <c r="AD170" s="156"/>
      <c r="AE170" s="156"/>
      <c r="AF170" s="156"/>
      <c r="AG170" s="156"/>
      <c r="AH170" s="156"/>
      <c r="AI170" s="156"/>
      <c r="AJ170" s="156"/>
      <c r="AK170" s="156"/>
      <c r="AL170" s="156"/>
      <c r="AM170" s="156"/>
      <c r="AN170" s="156"/>
      <c r="AO170" s="156"/>
      <c r="AP170" s="156"/>
      <c r="AQ170" s="156"/>
      <c r="AR170" s="156"/>
      <c r="AS170" s="156"/>
      <c r="AT170" s="156"/>
      <c r="AU170" s="156"/>
      <c r="AV170" s="156"/>
      <c r="AW170" s="156"/>
      <c r="AX170" s="156"/>
      <c r="AY170" s="156"/>
      <c r="AZ170" s="156"/>
      <c r="BA170" s="156"/>
      <c r="BB170" s="156"/>
      <c r="BC170" s="156"/>
      <c r="BD170" s="156"/>
      <c r="BE170" s="156"/>
      <c r="BF170" s="156"/>
      <c r="BG170" s="156"/>
      <c r="BH170" s="156"/>
      <c r="BI170" s="156"/>
    </row>
    <row r="171" ht="15.75" customHeight="1">
      <c r="A171" s="34"/>
      <c r="B171" s="27"/>
      <c r="C171" s="27"/>
      <c r="D171" s="7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  <c r="AA171" s="156"/>
      <c r="AB171" s="156"/>
      <c r="AC171" s="156"/>
      <c r="AD171" s="156"/>
      <c r="AE171" s="156"/>
      <c r="AF171" s="156"/>
      <c r="AG171" s="156"/>
      <c r="AH171" s="156"/>
      <c r="AI171" s="156"/>
      <c r="AJ171" s="156"/>
      <c r="AK171" s="156"/>
      <c r="AL171" s="156"/>
      <c r="AM171" s="156"/>
      <c r="AN171" s="156"/>
      <c r="AO171" s="156"/>
      <c r="AP171" s="156"/>
      <c r="AQ171" s="156"/>
      <c r="AR171" s="156"/>
      <c r="AS171" s="156"/>
      <c r="AT171" s="156"/>
      <c r="AU171" s="156"/>
      <c r="AV171" s="156"/>
      <c r="AW171" s="156"/>
      <c r="AX171" s="156"/>
      <c r="AY171" s="156"/>
      <c r="AZ171" s="156"/>
      <c r="BA171" s="156"/>
      <c r="BB171" s="156"/>
      <c r="BC171" s="156"/>
      <c r="BD171" s="156"/>
      <c r="BE171" s="156"/>
      <c r="BF171" s="156"/>
      <c r="BG171" s="156"/>
      <c r="BH171" s="156"/>
      <c r="BI171" s="156"/>
    </row>
    <row r="172" ht="15.75" customHeight="1">
      <c r="A172" s="34"/>
      <c r="B172" s="27"/>
      <c r="C172" s="27"/>
      <c r="D172" s="7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  <c r="AA172" s="156"/>
      <c r="AB172" s="156"/>
      <c r="AC172" s="156"/>
      <c r="AD172" s="156"/>
      <c r="AE172" s="156"/>
      <c r="AF172" s="156"/>
      <c r="AG172" s="156"/>
      <c r="AH172" s="156"/>
      <c r="AI172" s="156"/>
      <c r="AJ172" s="156"/>
      <c r="AK172" s="156"/>
      <c r="AL172" s="156"/>
      <c r="AM172" s="156"/>
      <c r="AN172" s="156"/>
      <c r="AO172" s="156"/>
      <c r="AP172" s="156"/>
      <c r="AQ172" s="156"/>
      <c r="AR172" s="156"/>
      <c r="AS172" s="156"/>
      <c r="AT172" s="156"/>
      <c r="AU172" s="156"/>
      <c r="AV172" s="156"/>
      <c r="AW172" s="156"/>
      <c r="AX172" s="156"/>
      <c r="AY172" s="156"/>
      <c r="AZ172" s="156"/>
      <c r="BA172" s="156"/>
      <c r="BB172" s="156"/>
      <c r="BC172" s="156"/>
      <c r="BD172" s="156"/>
      <c r="BE172" s="156"/>
      <c r="BF172" s="156"/>
      <c r="BG172" s="156"/>
      <c r="BH172" s="156"/>
      <c r="BI172" s="156"/>
    </row>
    <row r="173" ht="15.75" customHeight="1">
      <c r="A173" s="34"/>
      <c r="B173" s="27"/>
      <c r="C173" s="27"/>
      <c r="D173" s="7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  <c r="AA173" s="156"/>
      <c r="AB173" s="156"/>
      <c r="AC173" s="156"/>
      <c r="AD173" s="156"/>
      <c r="AE173" s="156"/>
      <c r="AF173" s="156"/>
      <c r="AG173" s="156"/>
      <c r="AH173" s="156"/>
      <c r="AI173" s="156"/>
      <c r="AJ173" s="156"/>
      <c r="AK173" s="156"/>
      <c r="AL173" s="156"/>
      <c r="AM173" s="156"/>
      <c r="AN173" s="156"/>
      <c r="AO173" s="156"/>
      <c r="AP173" s="156"/>
      <c r="AQ173" s="156"/>
      <c r="AR173" s="156"/>
      <c r="AS173" s="156"/>
      <c r="AT173" s="156"/>
      <c r="AU173" s="156"/>
      <c r="AV173" s="156"/>
      <c r="AW173" s="156"/>
      <c r="AX173" s="156"/>
      <c r="AY173" s="156"/>
      <c r="AZ173" s="156"/>
      <c r="BA173" s="156"/>
      <c r="BB173" s="156"/>
      <c r="BC173" s="156"/>
      <c r="BD173" s="156"/>
      <c r="BE173" s="156"/>
      <c r="BF173" s="156"/>
      <c r="BG173" s="156"/>
      <c r="BH173" s="156"/>
      <c r="BI173" s="156"/>
    </row>
    <row r="174" ht="15.75" customHeight="1">
      <c r="A174" s="34"/>
      <c r="B174" s="27"/>
      <c r="C174" s="27"/>
      <c r="D174" s="7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  <c r="AA174" s="156"/>
      <c r="AB174" s="156"/>
      <c r="AC174" s="156"/>
      <c r="AD174" s="156"/>
      <c r="AE174" s="156"/>
      <c r="AF174" s="156"/>
      <c r="AG174" s="156"/>
      <c r="AH174" s="156"/>
      <c r="AI174" s="156"/>
      <c r="AJ174" s="156"/>
      <c r="AK174" s="156"/>
      <c r="AL174" s="156"/>
      <c r="AM174" s="156"/>
      <c r="AN174" s="156"/>
      <c r="AO174" s="156"/>
      <c r="AP174" s="156"/>
      <c r="AQ174" s="156"/>
      <c r="AR174" s="156"/>
      <c r="AS174" s="156"/>
      <c r="AT174" s="156"/>
      <c r="AU174" s="156"/>
      <c r="AV174" s="156"/>
      <c r="AW174" s="156"/>
      <c r="AX174" s="156"/>
      <c r="AY174" s="156"/>
      <c r="AZ174" s="156"/>
      <c r="BA174" s="156"/>
      <c r="BB174" s="156"/>
      <c r="BC174" s="156"/>
      <c r="BD174" s="156"/>
      <c r="BE174" s="156"/>
      <c r="BF174" s="156"/>
      <c r="BG174" s="156"/>
      <c r="BH174" s="156"/>
      <c r="BI174" s="156"/>
    </row>
    <row r="175" ht="15.75" customHeight="1">
      <c r="A175" s="34"/>
      <c r="B175" s="27"/>
      <c r="C175" s="27"/>
      <c r="D175" s="7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  <c r="AA175" s="156"/>
      <c r="AB175" s="156"/>
      <c r="AC175" s="156"/>
      <c r="AD175" s="156"/>
      <c r="AE175" s="156"/>
      <c r="AF175" s="156"/>
      <c r="AG175" s="156"/>
      <c r="AH175" s="156"/>
      <c r="AI175" s="156"/>
      <c r="AJ175" s="156"/>
      <c r="AK175" s="156"/>
      <c r="AL175" s="156"/>
      <c r="AM175" s="156"/>
      <c r="AN175" s="156"/>
      <c r="AO175" s="156"/>
      <c r="AP175" s="156"/>
      <c r="AQ175" s="156"/>
      <c r="AR175" s="156"/>
      <c r="AS175" s="156"/>
      <c r="AT175" s="156"/>
      <c r="AU175" s="156"/>
      <c r="AV175" s="156"/>
      <c r="AW175" s="156"/>
      <c r="AX175" s="156"/>
      <c r="AY175" s="156"/>
      <c r="AZ175" s="156"/>
      <c r="BA175" s="156"/>
      <c r="BB175" s="156"/>
      <c r="BC175" s="156"/>
      <c r="BD175" s="156"/>
      <c r="BE175" s="156"/>
      <c r="BF175" s="156"/>
      <c r="BG175" s="156"/>
      <c r="BH175" s="156"/>
      <c r="BI175" s="156"/>
    </row>
    <row r="176" ht="15.75" customHeight="1">
      <c r="A176" s="34"/>
      <c r="B176" s="27"/>
      <c r="C176" s="27"/>
      <c r="D176" s="7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  <c r="AA176" s="156"/>
      <c r="AB176" s="156"/>
      <c r="AC176" s="156"/>
      <c r="AD176" s="156"/>
      <c r="AE176" s="156"/>
      <c r="AF176" s="156"/>
      <c r="AG176" s="156"/>
      <c r="AH176" s="156"/>
      <c r="AI176" s="156"/>
      <c r="AJ176" s="156"/>
      <c r="AK176" s="156"/>
      <c r="AL176" s="156"/>
      <c r="AM176" s="156"/>
      <c r="AN176" s="156"/>
      <c r="AO176" s="156"/>
      <c r="AP176" s="156"/>
      <c r="AQ176" s="156"/>
      <c r="AR176" s="156"/>
      <c r="AS176" s="156"/>
      <c r="AT176" s="156"/>
      <c r="AU176" s="156"/>
      <c r="AV176" s="156"/>
      <c r="AW176" s="156"/>
      <c r="AX176" s="156"/>
      <c r="AY176" s="156"/>
      <c r="AZ176" s="156"/>
      <c r="BA176" s="156"/>
      <c r="BB176" s="156"/>
      <c r="BC176" s="156"/>
      <c r="BD176" s="156"/>
      <c r="BE176" s="156"/>
      <c r="BF176" s="156"/>
      <c r="BG176" s="156"/>
      <c r="BH176" s="156"/>
      <c r="BI176" s="156"/>
    </row>
    <row r="177" ht="15.75" customHeight="1">
      <c r="A177" s="34"/>
      <c r="B177" s="27"/>
      <c r="C177" s="27"/>
      <c r="D177" s="7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  <c r="AA177" s="156"/>
      <c r="AB177" s="156"/>
      <c r="AC177" s="156"/>
      <c r="AD177" s="156"/>
      <c r="AE177" s="156"/>
      <c r="AF177" s="156"/>
      <c r="AG177" s="156"/>
      <c r="AH177" s="156"/>
      <c r="AI177" s="156"/>
      <c r="AJ177" s="156"/>
      <c r="AK177" s="156"/>
      <c r="AL177" s="156"/>
      <c r="AM177" s="156"/>
      <c r="AN177" s="156"/>
      <c r="AO177" s="156"/>
      <c r="AP177" s="156"/>
      <c r="AQ177" s="156"/>
      <c r="AR177" s="156"/>
      <c r="AS177" s="156"/>
      <c r="AT177" s="156"/>
      <c r="AU177" s="156"/>
      <c r="AV177" s="156"/>
      <c r="AW177" s="156"/>
      <c r="AX177" s="156"/>
      <c r="AY177" s="156"/>
      <c r="AZ177" s="156"/>
      <c r="BA177" s="156"/>
      <c r="BB177" s="156"/>
      <c r="BC177" s="156"/>
      <c r="BD177" s="156"/>
      <c r="BE177" s="156"/>
      <c r="BF177" s="156"/>
      <c r="BG177" s="156"/>
      <c r="BH177" s="156"/>
      <c r="BI177" s="156"/>
    </row>
    <row r="178" ht="15.75" customHeight="1">
      <c r="A178" s="34"/>
      <c r="B178" s="27"/>
      <c r="C178" s="27"/>
      <c r="D178" s="7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  <c r="AA178" s="156"/>
      <c r="AB178" s="156"/>
      <c r="AC178" s="156"/>
      <c r="AD178" s="156"/>
      <c r="AE178" s="156"/>
      <c r="AF178" s="156"/>
      <c r="AG178" s="156"/>
      <c r="AH178" s="156"/>
      <c r="AI178" s="156"/>
      <c r="AJ178" s="156"/>
      <c r="AK178" s="156"/>
      <c r="AL178" s="156"/>
      <c r="AM178" s="156"/>
      <c r="AN178" s="156"/>
      <c r="AO178" s="156"/>
      <c r="AP178" s="156"/>
      <c r="AQ178" s="156"/>
      <c r="AR178" s="156"/>
      <c r="AS178" s="156"/>
      <c r="AT178" s="156"/>
      <c r="AU178" s="156"/>
      <c r="AV178" s="156"/>
      <c r="AW178" s="156"/>
      <c r="AX178" s="156"/>
      <c r="AY178" s="156"/>
      <c r="AZ178" s="156"/>
      <c r="BA178" s="156"/>
      <c r="BB178" s="156"/>
      <c r="BC178" s="156"/>
      <c r="BD178" s="156"/>
      <c r="BE178" s="156"/>
      <c r="BF178" s="156"/>
      <c r="BG178" s="156"/>
      <c r="BH178" s="156"/>
      <c r="BI178" s="156"/>
    </row>
    <row r="179" ht="15.75" customHeight="1">
      <c r="A179" s="34"/>
      <c r="B179" s="27"/>
      <c r="C179" s="27"/>
      <c r="D179" s="7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  <c r="AA179" s="156"/>
      <c r="AB179" s="156"/>
      <c r="AC179" s="156"/>
      <c r="AD179" s="156"/>
      <c r="AE179" s="156"/>
      <c r="AF179" s="156"/>
      <c r="AG179" s="156"/>
      <c r="AH179" s="156"/>
      <c r="AI179" s="156"/>
      <c r="AJ179" s="156"/>
      <c r="AK179" s="156"/>
      <c r="AL179" s="156"/>
      <c r="AM179" s="156"/>
      <c r="AN179" s="156"/>
      <c r="AO179" s="156"/>
      <c r="AP179" s="156"/>
      <c r="AQ179" s="156"/>
      <c r="AR179" s="156"/>
      <c r="AS179" s="156"/>
      <c r="AT179" s="156"/>
      <c r="AU179" s="156"/>
      <c r="AV179" s="156"/>
      <c r="AW179" s="156"/>
      <c r="AX179" s="156"/>
      <c r="AY179" s="156"/>
      <c r="AZ179" s="156"/>
      <c r="BA179" s="156"/>
      <c r="BB179" s="156"/>
      <c r="BC179" s="156"/>
      <c r="BD179" s="156"/>
      <c r="BE179" s="156"/>
      <c r="BF179" s="156"/>
      <c r="BG179" s="156"/>
      <c r="BH179" s="156"/>
      <c r="BI179" s="156"/>
    </row>
    <row r="180" ht="15.75" customHeight="1">
      <c r="A180" s="34"/>
      <c r="B180" s="27"/>
      <c r="C180" s="27"/>
      <c r="D180" s="7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  <c r="AA180" s="156"/>
      <c r="AB180" s="156"/>
      <c r="AC180" s="156"/>
      <c r="AD180" s="156"/>
      <c r="AE180" s="156"/>
      <c r="AF180" s="156"/>
      <c r="AG180" s="156"/>
      <c r="AH180" s="156"/>
      <c r="AI180" s="156"/>
      <c r="AJ180" s="156"/>
      <c r="AK180" s="156"/>
      <c r="AL180" s="156"/>
      <c r="AM180" s="156"/>
      <c r="AN180" s="156"/>
      <c r="AO180" s="156"/>
      <c r="AP180" s="156"/>
      <c r="AQ180" s="156"/>
      <c r="AR180" s="156"/>
      <c r="AS180" s="156"/>
      <c r="AT180" s="156"/>
      <c r="AU180" s="156"/>
      <c r="AV180" s="156"/>
      <c r="AW180" s="156"/>
      <c r="AX180" s="156"/>
      <c r="AY180" s="156"/>
      <c r="AZ180" s="156"/>
      <c r="BA180" s="156"/>
      <c r="BB180" s="156"/>
      <c r="BC180" s="156"/>
      <c r="BD180" s="156"/>
      <c r="BE180" s="156"/>
      <c r="BF180" s="156"/>
      <c r="BG180" s="156"/>
      <c r="BH180" s="156"/>
      <c r="BI180" s="156"/>
    </row>
    <row r="181" ht="15.75" customHeight="1">
      <c r="A181" s="34"/>
      <c r="B181" s="27"/>
      <c r="C181" s="27"/>
      <c r="D181" s="7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  <c r="AA181" s="156"/>
      <c r="AB181" s="156"/>
      <c r="AC181" s="156"/>
      <c r="AD181" s="156"/>
      <c r="AE181" s="156"/>
      <c r="AF181" s="156"/>
      <c r="AG181" s="156"/>
      <c r="AH181" s="156"/>
      <c r="AI181" s="156"/>
      <c r="AJ181" s="156"/>
      <c r="AK181" s="156"/>
      <c r="AL181" s="156"/>
      <c r="AM181" s="156"/>
      <c r="AN181" s="156"/>
      <c r="AO181" s="156"/>
      <c r="AP181" s="156"/>
      <c r="AQ181" s="156"/>
      <c r="AR181" s="156"/>
      <c r="AS181" s="156"/>
      <c r="AT181" s="156"/>
      <c r="AU181" s="156"/>
      <c r="AV181" s="156"/>
      <c r="AW181" s="156"/>
      <c r="AX181" s="156"/>
      <c r="AY181" s="156"/>
      <c r="AZ181" s="156"/>
      <c r="BA181" s="156"/>
      <c r="BB181" s="156"/>
      <c r="BC181" s="156"/>
      <c r="BD181" s="156"/>
      <c r="BE181" s="156"/>
      <c r="BF181" s="156"/>
      <c r="BG181" s="156"/>
      <c r="BH181" s="156"/>
      <c r="BI181" s="156"/>
    </row>
    <row r="182" ht="15.75" customHeight="1">
      <c r="A182" s="34"/>
      <c r="B182" s="27"/>
      <c r="C182" s="27"/>
      <c r="D182" s="7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  <c r="AA182" s="156"/>
      <c r="AB182" s="156"/>
      <c r="AC182" s="156"/>
      <c r="AD182" s="156"/>
      <c r="AE182" s="156"/>
      <c r="AF182" s="156"/>
      <c r="AG182" s="156"/>
      <c r="AH182" s="156"/>
      <c r="AI182" s="156"/>
      <c r="AJ182" s="156"/>
      <c r="AK182" s="156"/>
      <c r="AL182" s="156"/>
      <c r="AM182" s="156"/>
      <c r="AN182" s="156"/>
      <c r="AO182" s="156"/>
      <c r="AP182" s="156"/>
      <c r="AQ182" s="156"/>
      <c r="AR182" s="156"/>
      <c r="AS182" s="156"/>
      <c r="AT182" s="156"/>
      <c r="AU182" s="156"/>
      <c r="AV182" s="156"/>
      <c r="AW182" s="156"/>
      <c r="AX182" s="156"/>
      <c r="AY182" s="156"/>
      <c r="AZ182" s="156"/>
      <c r="BA182" s="156"/>
      <c r="BB182" s="156"/>
      <c r="BC182" s="156"/>
      <c r="BD182" s="156"/>
      <c r="BE182" s="156"/>
      <c r="BF182" s="156"/>
      <c r="BG182" s="156"/>
      <c r="BH182" s="156"/>
      <c r="BI182" s="156"/>
    </row>
    <row r="183" ht="15.75" customHeight="1">
      <c r="A183" s="34"/>
      <c r="B183" s="27"/>
      <c r="C183" s="27"/>
      <c r="D183" s="7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6"/>
      <c r="AG183" s="156"/>
      <c r="AH183" s="156"/>
      <c r="AI183" s="156"/>
      <c r="AJ183" s="156"/>
      <c r="AK183" s="156"/>
      <c r="AL183" s="156"/>
      <c r="AM183" s="156"/>
      <c r="AN183" s="156"/>
      <c r="AO183" s="156"/>
      <c r="AP183" s="156"/>
      <c r="AQ183" s="156"/>
      <c r="AR183" s="156"/>
      <c r="AS183" s="156"/>
      <c r="AT183" s="156"/>
      <c r="AU183" s="156"/>
      <c r="AV183" s="156"/>
      <c r="AW183" s="156"/>
      <c r="AX183" s="156"/>
      <c r="AY183" s="156"/>
      <c r="AZ183" s="156"/>
      <c r="BA183" s="156"/>
      <c r="BB183" s="156"/>
      <c r="BC183" s="156"/>
      <c r="BD183" s="156"/>
      <c r="BE183" s="156"/>
      <c r="BF183" s="156"/>
      <c r="BG183" s="156"/>
      <c r="BH183" s="156"/>
      <c r="BI183" s="156"/>
    </row>
    <row r="184" ht="15.75" customHeight="1">
      <c r="A184" s="34"/>
      <c r="B184" s="27"/>
      <c r="C184" s="27"/>
      <c r="D184" s="7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6"/>
      <c r="AG184" s="156"/>
      <c r="AH184" s="156"/>
      <c r="AI184" s="156"/>
      <c r="AJ184" s="156"/>
      <c r="AK184" s="156"/>
      <c r="AL184" s="156"/>
      <c r="AM184" s="156"/>
      <c r="AN184" s="156"/>
      <c r="AO184" s="156"/>
      <c r="AP184" s="156"/>
      <c r="AQ184" s="156"/>
      <c r="AR184" s="156"/>
      <c r="AS184" s="156"/>
      <c r="AT184" s="156"/>
      <c r="AU184" s="156"/>
      <c r="AV184" s="156"/>
      <c r="AW184" s="156"/>
      <c r="AX184" s="156"/>
      <c r="AY184" s="156"/>
      <c r="AZ184" s="156"/>
      <c r="BA184" s="156"/>
      <c r="BB184" s="156"/>
      <c r="BC184" s="156"/>
      <c r="BD184" s="156"/>
      <c r="BE184" s="156"/>
      <c r="BF184" s="156"/>
      <c r="BG184" s="156"/>
      <c r="BH184" s="156"/>
      <c r="BI184" s="156"/>
    </row>
    <row r="185" ht="15.75" customHeight="1">
      <c r="A185" s="34"/>
      <c r="B185" s="27"/>
      <c r="C185" s="27"/>
      <c r="D185" s="7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  <c r="AA185" s="156"/>
      <c r="AB185" s="156"/>
      <c r="AC185" s="156"/>
      <c r="AD185" s="156"/>
      <c r="AE185" s="156"/>
      <c r="AF185" s="156"/>
      <c r="AG185" s="156"/>
      <c r="AH185" s="156"/>
      <c r="AI185" s="156"/>
      <c r="AJ185" s="156"/>
      <c r="AK185" s="156"/>
      <c r="AL185" s="156"/>
      <c r="AM185" s="156"/>
      <c r="AN185" s="156"/>
      <c r="AO185" s="156"/>
      <c r="AP185" s="156"/>
      <c r="AQ185" s="156"/>
      <c r="AR185" s="156"/>
      <c r="AS185" s="156"/>
      <c r="AT185" s="156"/>
      <c r="AU185" s="156"/>
      <c r="AV185" s="156"/>
      <c r="AW185" s="156"/>
      <c r="AX185" s="156"/>
      <c r="AY185" s="156"/>
      <c r="AZ185" s="156"/>
      <c r="BA185" s="156"/>
      <c r="BB185" s="156"/>
      <c r="BC185" s="156"/>
      <c r="BD185" s="156"/>
      <c r="BE185" s="156"/>
      <c r="BF185" s="156"/>
      <c r="BG185" s="156"/>
      <c r="BH185" s="156"/>
      <c r="BI185" s="156"/>
    </row>
    <row r="186" ht="15.75" customHeight="1">
      <c r="A186" s="34"/>
      <c r="B186" s="27"/>
      <c r="C186" s="27"/>
      <c r="D186" s="7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  <c r="AA186" s="156"/>
      <c r="AB186" s="156"/>
      <c r="AC186" s="156"/>
      <c r="AD186" s="156"/>
      <c r="AE186" s="156"/>
      <c r="AF186" s="156"/>
      <c r="AG186" s="156"/>
      <c r="AH186" s="156"/>
      <c r="AI186" s="156"/>
      <c r="AJ186" s="156"/>
      <c r="AK186" s="156"/>
      <c r="AL186" s="156"/>
      <c r="AM186" s="156"/>
      <c r="AN186" s="156"/>
      <c r="AO186" s="156"/>
      <c r="AP186" s="156"/>
      <c r="AQ186" s="156"/>
      <c r="AR186" s="156"/>
      <c r="AS186" s="156"/>
      <c r="AT186" s="156"/>
      <c r="AU186" s="156"/>
      <c r="AV186" s="156"/>
      <c r="AW186" s="156"/>
      <c r="AX186" s="156"/>
      <c r="AY186" s="156"/>
      <c r="AZ186" s="156"/>
      <c r="BA186" s="156"/>
      <c r="BB186" s="156"/>
      <c r="BC186" s="156"/>
      <c r="BD186" s="156"/>
      <c r="BE186" s="156"/>
      <c r="BF186" s="156"/>
      <c r="BG186" s="156"/>
      <c r="BH186" s="156"/>
      <c r="BI186" s="156"/>
    </row>
    <row r="187" ht="15.75" customHeight="1">
      <c r="A187" s="34"/>
      <c r="B187" s="27"/>
      <c r="C187" s="27"/>
      <c r="D187" s="7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  <c r="AA187" s="156"/>
      <c r="AB187" s="156"/>
      <c r="AC187" s="156"/>
      <c r="AD187" s="156"/>
      <c r="AE187" s="156"/>
      <c r="AF187" s="156"/>
      <c r="AG187" s="156"/>
      <c r="AH187" s="156"/>
      <c r="AI187" s="156"/>
      <c r="AJ187" s="156"/>
      <c r="AK187" s="156"/>
      <c r="AL187" s="156"/>
      <c r="AM187" s="156"/>
      <c r="AN187" s="156"/>
      <c r="AO187" s="156"/>
      <c r="AP187" s="156"/>
      <c r="AQ187" s="156"/>
      <c r="AR187" s="156"/>
      <c r="AS187" s="156"/>
      <c r="AT187" s="156"/>
      <c r="AU187" s="156"/>
      <c r="AV187" s="156"/>
      <c r="AW187" s="156"/>
      <c r="AX187" s="156"/>
      <c r="AY187" s="156"/>
      <c r="AZ187" s="156"/>
      <c r="BA187" s="156"/>
      <c r="BB187" s="156"/>
      <c r="BC187" s="156"/>
      <c r="BD187" s="156"/>
      <c r="BE187" s="156"/>
      <c r="BF187" s="156"/>
      <c r="BG187" s="156"/>
      <c r="BH187" s="156"/>
      <c r="BI187" s="156"/>
    </row>
    <row r="188" ht="15.75" customHeight="1">
      <c r="A188" s="34"/>
      <c r="B188" s="27"/>
      <c r="C188" s="27"/>
      <c r="D188" s="7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  <c r="AA188" s="156"/>
      <c r="AB188" s="156"/>
      <c r="AC188" s="156"/>
      <c r="AD188" s="156"/>
      <c r="AE188" s="156"/>
      <c r="AF188" s="156"/>
      <c r="AG188" s="156"/>
      <c r="AH188" s="156"/>
      <c r="AI188" s="156"/>
      <c r="AJ188" s="156"/>
      <c r="AK188" s="156"/>
      <c r="AL188" s="156"/>
      <c r="AM188" s="156"/>
      <c r="AN188" s="156"/>
      <c r="AO188" s="156"/>
      <c r="AP188" s="156"/>
      <c r="AQ188" s="156"/>
      <c r="AR188" s="156"/>
      <c r="AS188" s="156"/>
      <c r="AT188" s="156"/>
      <c r="AU188" s="156"/>
      <c r="AV188" s="156"/>
      <c r="AW188" s="156"/>
      <c r="AX188" s="156"/>
      <c r="AY188" s="156"/>
      <c r="AZ188" s="156"/>
      <c r="BA188" s="156"/>
      <c r="BB188" s="156"/>
      <c r="BC188" s="156"/>
      <c r="BD188" s="156"/>
      <c r="BE188" s="156"/>
      <c r="BF188" s="156"/>
      <c r="BG188" s="156"/>
      <c r="BH188" s="156"/>
      <c r="BI188" s="156"/>
    </row>
    <row r="189" ht="15.75" customHeight="1">
      <c r="A189" s="34"/>
      <c r="B189" s="27"/>
      <c r="C189" s="27"/>
      <c r="D189" s="7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  <c r="AA189" s="156"/>
      <c r="AB189" s="156"/>
      <c r="AC189" s="156"/>
      <c r="AD189" s="156"/>
      <c r="AE189" s="156"/>
      <c r="AF189" s="156"/>
      <c r="AG189" s="156"/>
      <c r="AH189" s="156"/>
      <c r="AI189" s="156"/>
      <c r="AJ189" s="156"/>
      <c r="AK189" s="156"/>
      <c r="AL189" s="156"/>
      <c r="AM189" s="156"/>
      <c r="AN189" s="156"/>
      <c r="AO189" s="156"/>
      <c r="AP189" s="156"/>
      <c r="AQ189" s="156"/>
      <c r="AR189" s="156"/>
      <c r="AS189" s="156"/>
      <c r="AT189" s="156"/>
      <c r="AU189" s="156"/>
      <c r="AV189" s="156"/>
      <c r="AW189" s="156"/>
      <c r="AX189" s="156"/>
      <c r="AY189" s="156"/>
      <c r="AZ189" s="156"/>
      <c r="BA189" s="156"/>
      <c r="BB189" s="156"/>
      <c r="BC189" s="156"/>
      <c r="BD189" s="156"/>
      <c r="BE189" s="156"/>
      <c r="BF189" s="156"/>
      <c r="BG189" s="156"/>
      <c r="BH189" s="156"/>
      <c r="BI189" s="156"/>
    </row>
    <row r="190" ht="15.75" customHeight="1">
      <c r="A190" s="34"/>
      <c r="B190" s="27"/>
      <c r="C190" s="27"/>
      <c r="D190" s="7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  <c r="AA190" s="156"/>
      <c r="AB190" s="156"/>
      <c r="AC190" s="156"/>
      <c r="AD190" s="156"/>
      <c r="AE190" s="156"/>
      <c r="AF190" s="156"/>
      <c r="AG190" s="156"/>
      <c r="AH190" s="156"/>
      <c r="AI190" s="156"/>
      <c r="AJ190" s="156"/>
      <c r="AK190" s="156"/>
      <c r="AL190" s="156"/>
      <c r="AM190" s="156"/>
      <c r="AN190" s="156"/>
      <c r="AO190" s="156"/>
      <c r="AP190" s="156"/>
      <c r="AQ190" s="156"/>
      <c r="AR190" s="156"/>
      <c r="AS190" s="156"/>
      <c r="AT190" s="156"/>
      <c r="AU190" s="156"/>
      <c r="AV190" s="156"/>
      <c r="AW190" s="156"/>
      <c r="AX190" s="156"/>
      <c r="AY190" s="156"/>
      <c r="AZ190" s="156"/>
      <c r="BA190" s="156"/>
      <c r="BB190" s="156"/>
      <c r="BC190" s="156"/>
      <c r="BD190" s="156"/>
      <c r="BE190" s="156"/>
      <c r="BF190" s="156"/>
      <c r="BG190" s="156"/>
      <c r="BH190" s="156"/>
      <c r="BI190" s="156"/>
    </row>
    <row r="191" ht="15.75" customHeight="1">
      <c r="A191" s="34"/>
      <c r="B191" s="27"/>
      <c r="C191" s="27"/>
      <c r="D191" s="7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  <c r="AA191" s="156"/>
      <c r="AB191" s="156"/>
      <c r="AC191" s="156"/>
      <c r="AD191" s="156"/>
      <c r="AE191" s="156"/>
      <c r="AF191" s="156"/>
      <c r="AG191" s="156"/>
      <c r="AH191" s="156"/>
      <c r="AI191" s="156"/>
      <c r="AJ191" s="156"/>
      <c r="AK191" s="156"/>
      <c r="AL191" s="156"/>
      <c r="AM191" s="156"/>
      <c r="AN191" s="156"/>
      <c r="AO191" s="156"/>
      <c r="AP191" s="156"/>
      <c r="AQ191" s="156"/>
      <c r="AR191" s="156"/>
      <c r="AS191" s="156"/>
      <c r="AT191" s="156"/>
      <c r="AU191" s="156"/>
      <c r="AV191" s="156"/>
      <c r="AW191" s="156"/>
      <c r="AX191" s="156"/>
      <c r="AY191" s="156"/>
      <c r="AZ191" s="156"/>
      <c r="BA191" s="156"/>
      <c r="BB191" s="156"/>
      <c r="BC191" s="156"/>
      <c r="BD191" s="156"/>
      <c r="BE191" s="156"/>
      <c r="BF191" s="156"/>
      <c r="BG191" s="156"/>
      <c r="BH191" s="156"/>
      <c r="BI191" s="156"/>
    </row>
    <row r="192" ht="15.75" customHeight="1">
      <c r="A192" s="34"/>
      <c r="B192" s="27"/>
      <c r="C192" s="27"/>
      <c r="D192" s="7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  <c r="AA192" s="156"/>
      <c r="AB192" s="156"/>
      <c r="AC192" s="156"/>
      <c r="AD192" s="156"/>
      <c r="AE192" s="156"/>
      <c r="AF192" s="156"/>
      <c r="AG192" s="156"/>
      <c r="AH192" s="156"/>
      <c r="AI192" s="156"/>
      <c r="AJ192" s="156"/>
      <c r="AK192" s="156"/>
      <c r="AL192" s="156"/>
      <c r="AM192" s="156"/>
      <c r="AN192" s="156"/>
      <c r="AO192" s="156"/>
      <c r="AP192" s="156"/>
      <c r="AQ192" s="156"/>
      <c r="AR192" s="156"/>
      <c r="AS192" s="156"/>
      <c r="AT192" s="156"/>
      <c r="AU192" s="156"/>
      <c r="AV192" s="156"/>
      <c r="AW192" s="156"/>
      <c r="AX192" s="156"/>
      <c r="AY192" s="156"/>
      <c r="AZ192" s="156"/>
      <c r="BA192" s="156"/>
      <c r="BB192" s="156"/>
      <c r="BC192" s="156"/>
      <c r="BD192" s="156"/>
      <c r="BE192" s="156"/>
      <c r="BF192" s="156"/>
      <c r="BG192" s="156"/>
      <c r="BH192" s="156"/>
      <c r="BI192" s="156"/>
    </row>
    <row r="193" ht="15.75" customHeight="1">
      <c r="A193" s="34"/>
      <c r="B193" s="27"/>
      <c r="C193" s="27"/>
      <c r="D193" s="7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  <c r="AA193" s="156"/>
      <c r="AB193" s="156"/>
      <c r="AC193" s="156"/>
      <c r="AD193" s="156"/>
      <c r="AE193" s="156"/>
      <c r="AF193" s="156"/>
      <c r="AG193" s="156"/>
      <c r="AH193" s="156"/>
      <c r="AI193" s="156"/>
      <c r="AJ193" s="156"/>
      <c r="AK193" s="156"/>
      <c r="AL193" s="156"/>
      <c r="AM193" s="156"/>
      <c r="AN193" s="156"/>
      <c r="AO193" s="156"/>
      <c r="AP193" s="156"/>
      <c r="AQ193" s="156"/>
      <c r="AR193" s="156"/>
      <c r="AS193" s="156"/>
      <c r="AT193" s="156"/>
      <c r="AU193" s="156"/>
      <c r="AV193" s="156"/>
      <c r="AW193" s="156"/>
      <c r="AX193" s="156"/>
      <c r="AY193" s="156"/>
      <c r="AZ193" s="156"/>
      <c r="BA193" s="156"/>
      <c r="BB193" s="156"/>
      <c r="BC193" s="156"/>
      <c r="BD193" s="156"/>
      <c r="BE193" s="156"/>
      <c r="BF193" s="156"/>
      <c r="BG193" s="156"/>
      <c r="BH193" s="156"/>
      <c r="BI193" s="156"/>
    </row>
    <row r="194" ht="15.75" customHeight="1">
      <c r="A194" s="34"/>
      <c r="B194" s="27"/>
      <c r="C194" s="27"/>
      <c r="D194" s="7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  <c r="AA194" s="156"/>
      <c r="AB194" s="156"/>
      <c r="AC194" s="156"/>
      <c r="AD194" s="156"/>
      <c r="AE194" s="156"/>
      <c r="AF194" s="156"/>
      <c r="AG194" s="156"/>
      <c r="AH194" s="156"/>
      <c r="AI194" s="156"/>
      <c r="AJ194" s="156"/>
      <c r="AK194" s="156"/>
      <c r="AL194" s="156"/>
      <c r="AM194" s="156"/>
      <c r="AN194" s="156"/>
      <c r="AO194" s="156"/>
      <c r="AP194" s="156"/>
      <c r="AQ194" s="156"/>
      <c r="AR194" s="156"/>
      <c r="AS194" s="156"/>
      <c r="AT194" s="156"/>
      <c r="AU194" s="156"/>
      <c r="AV194" s="156"/>
      <c r="AW194" s="156"/>
      <c r="AX194" s="156"/>
      <c r="AY194" s="156"/>
      <c r="AZ194" s="156"/>
      <c r="BA194" s="156"/>
      <c r="BB194" s="156"/>
      <c r="BC194" s="156"/>
      <c r="BD194" s="156"/>
      <c r="BE194" s="156"/>
      <c r="BF194" s="156"/>
      <c r="BG194" s="156"/>
      <c r="BH194" s="156"/>
      <c r="BI194" s="156"/>
    </row>
    <row r="195" ht="15.75" customHeight="1">
      <c r="A195" s="34"/>
      <c r="B195" s="27"/>
      <c r="C195" s="27"/>
      <c r="D195" s="7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  <c r="AA195" s="156"/>
      <c r="AB195" s="156"/>
      <c r="AC195" s="156"/>
      <c r="AD195" s="156"/>
      <c r="AE195" s="156"/>
      <c r="AF195" s="156"/>
      <c r="AG195" s="156"/>
      <c r="AH195" s="156"/>
      <c r="AI195" s="156"/>
      <c r="AJ195" s="156"/>
      <c r="AK195" s="156"/>
      <c r="AL195" s="156"/>
      <c r="AM195" s="156"/>
      <c r="AN195" s="156"/>
      <c r="AO195" s="156"/>
      <c r="AP195" s="156"/>
      <c r="AQ195" s="156"/>
      <c r="AR195" s="156"/>
      <c r="AS195" s="156"/>
      <c r="AT195" s="156"/>
      <c r="AU195" s="156"/>
      <c r="AV195" s="156"/>
      <c r="AW195" s="156"/>
      <c r="AX195" s="156"/>
      <c r="AY195" s="156"/>
      <c r="AZ195" s="156"/>
      <c r="BA195" s="156"/>
      <c r="BB195" s="156"/>
      <c r="BC195" s="156"/>
      <c r="BD195" s="156"/>
      <c r="BE195" s="156"/>
      <c r="BF195" s="156"/>
      <c r="BG195" s="156"/>
      <c r="BH195" s="156"/>
      <c r="BI195" s="156"/>
    </row>
    <row r="196" ht="15.75" customHeight="1">
      <c r="A196" s="34"/>
      <c r="B196" s="27"/>
      <c r="C196" s="27"/>
      <c r="D196" s="7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  <c r="AA196" s="156"/>
      <c r="AB196" s="156"/>
      <c r="AC196" s="156"/>
      <c r="AD196" s="156"/>
      <c r="AE196" s="156"/>
      <c r="AF196" s="156"/>
      <c r="AG196" s="156"/>
      <c r="AH196" s="156"/>
      <c r="AI196" s="156"/>
      <c r="AJ196" s="156"/>
      <c r="AK196" s="156"/>
      <c r="AL196" s="156"/>
      <c r="AM196" s="156"/>
      <c r="AN196" s="156"/>
      <c r="AO196" s="156"/>
      <c r="AP196" s="156"/>
      <c r="AQ196" s="156"/>
      <c r="AR196" s="156"/>
      <c r="AS196" s="156"/>
      <c r="AT196" s="156"/>
      <c r="AU196" s="156"/>
      <c r="AV196" s="156"/>
      <c r="AW196" s="156"/>
      <c r="AX196" s="156"/>
      <c r="AY196" s="156"/>
      <c r="AZ196" s="156"/>
      <c r="BA196" s="156"/>
      <c r="BB196" s="156"/>
      <c r="BC196" s="156"/>
      <c r="BD196" s="156"/>
      <c r="BE196" s="156"/>
      <c r="BF196" s="156"/>
      <c r="BG196" s="156"/>
      <c r="BH196" s="156"/>
      <c r="BI196" s="156"/>
    </row>
    <row r="197" ht="15.75" customHeight="1">
      <c r="A197" s="34"/>
      <c r="B197" s="27"/>
      <c r="C197" s="27"/>
      <c r="D197" s="7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  <c r="AA197" s="156"/>
      <c r="AB197" s="156"/>
      <c r="AC197" s="156"/>
      <c r="AD197" s="156"/>
      <c r="AE197" s="156"/>
      <c r="AF197" s="156"/>
      <c r="AG197" s="156"/>
      <c r="AH197" s="156"/>
      <c r="AI197" s="156"/>
      <c r="AJ197" s="156"/>
      <c r="AK197" s="156"/>
      <c r="AL197" s="156"/>
      <c r="AM197" s="156"/>
      <c r="AN197" s="156"/>
      <c r="AO197" s="156"/>
      <c r="AP197" s="156"/>
      <c r="AQ197" s="156"/>
      <c r="AR197" s="156"/>
      <c r="AS197" s="156"/>
      <c r="AT197" s="156"/>
      <c r="AU197" s="156"/>
      <c r="AV197" s="156"/>
      <c r="AW197" s="156"/>
      <c r="AX197" s="156"/>
      <c r="AY197" s="156"/>
      <c r="AZ197" s="156"/>
      <c r="BA197" s="156"/>
      <c r="BB197" s="156"/>
      <c r="BC197" s="156"/>
      <c r="BD197" s="156"/>
      <c r="BE197" s="156"/>
      <c r="BF197" s="156"/>
      <c r="BG197" s="156"/>
      <c r="BH197" s="156"/>
      <c r="BI197" s="156"/>
    </row>
    <row r="198" ht="15.75" customHeight="1">
      <c r="A198" s="34"/>
      <c r="B198" s="27"/>
      <c r="C198" s="27"/>
      <c r="D198" s="7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  <c r="AA198" s="156"/>
      <c r="AB198" s="156"/>
      <c r="AC198" s="156"/>
      <c r="AD198" s="156"/>
      <c r="AE198" s="156"/>
      <c r="AF198" s="156"/>
      <c r="AG198" s="156"/>
      <c r="AH198" s="156"/>
      <c r="AI198" s="156"/>
      <c r="AJ198" s="156"/>
      <c r="AK198" s="156"/>
      <c r="AL198" s="156"/>
      <c r="AM198" s="156"/>
      <c r="AN198" s="156"/>
      <c r="AO198" s="156"/>
      <c r="AP198" s="156"/>
      <c r="AQ198" s="156"/>
      <c r="AR198" s="156"/>
      <c r="AS198" s="156"/>
      <c r="AT198" s="156"/>
      <c r="AU198" s="156"/>
      <c r="AV198" s="156"/>
      <c r="AW198" s="156"/>
      <c r="AX198" s="156"/>
      <c r="AY198" s="156"/>
      <c r="AZ198" s="156"/>
      <c r="BA198" s="156"/>
      <c r="BB198" s="156"/>
      <c r="BC198" s="156"/>
      <c r="BD198" s="156"/>
      <c r="BE198" s="156"/>
      <c r="BF198" s="156"/>
      <c r="BG198" s="156"/>
      <c r="BH198" s="156"/>
      <c r="BI198" s="156"/>
    </row>
    <row r="199" ht="15.75" customHeight="1">
      <c r="A199" s="34"/>
      <c r="B199" s="27"/>
      <c r="C199" s="27"/>
      <c r="D199" s="7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  <c r="AA199" s="156"/>
      <c r="AB199" s="156"/>
      <c r="AC199" s="156"/>
      <c r="AD199" s="156"/>
      <c r="AE199" s="156"/>
      <c r="AF199" s="156"/>
      <c r="AG199" s="156"/>
      <c r="AH199" s="156"/>
      <c r="AI199" s="156"/>
      <c r="AJ199" s="156"/>
      <c r="AK199" s="156"/>
      <c r="AL199" s="156"/>
      <c r="AM199" s="156"/>
      <c r="AN199" s="156"/>
      <c r="AO199" s="156"/>
      <c r="AP199" s="156"/>
      <c r="AQ199" s="156"/>
      <c r="AR199" s="156"/>
      <c r="AS199" s="156"/>
      <c r="AT199" s="156"/>
      <c r="AU199" s="156"/>
      <c r="AV199" s="156"/>
      <c r="AW199" s="156"/>
      <c r="AX199" s="156"/>
      <c r="AY199" s="156"/>
      <c r="AZ199" s="156"/>
      <c r="BA199" s="156"/>
      <c r="BB199" s="156"/>
      <c r="BC199" s="156"/>
      <c r="BD199" s="156"/>
      <c r="BE199" s="156"/>
      <c r="BF199" s="156"/>
      <c r="BG199" s="156"/>
      <c r="BH199" s="156"/>
      <c r="BI199" s="156"/>
    </row>
    <row r="200" ht="15.75" customHeight="1">
      <c r="A200" s="34"/>
      <c r="B200" s="27"/>
      <c r="C200" s="27"/>
      <c r="D200" s="7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  <c r="AA200" s="156"/>
      <c r="AB200" s="156"/>
      <c r="AC200" s="156"/>
      <c r="AD200" s="156"/>
      <c r="AE200" s="156"/>
      <c r="AF200" s="156"/>
      <c r="AG200" s="156"/>
      <c r="AH200" s="156"/>
      <c r="AI200" s="156"/>
      <c r="AJ200" s="156"/>
      <c r="AK200" s="156"/>
      <c r="AL200" s="156"/>
      <c r="AM200" s="156"/>
      <c r="AN200" s="156"/>
      <c r="AO200" s="156"/>
      <c r="AP200" s="156"/>
      <c r="AQ200" s="156"/>
      <c r="AR200" s="156"/>
      <c r="AS200" s="156"/>
      <c r="AT200" s="156"/>
      <c r="AU200" s="156"/>
      <c r="AV200" s="156"/>
      <c r="AW200" s="156"/>
      <c r="AX200" s="156"/>
      <c r="AY200" s="156"/>
      <c r="AZ200" s="156"/>
      <c r="BA200" s="156"/>
      <c r="BB200" s="156"/>
      <c r="BC200" s="156"/>
      <c r="BD200" s="156"/>
      <c r="BE200" s="156"/>
      <c r="BF200" s="156"/>
      <c r="BG200" s="156"/>
      <c r="BH200" s="156"/>
      <c r="BI200" s="156"/>
    </row>
    <row r="201" ht="15.75" customHeight="1">
      <c r="A201" s="34"/>
      <c r="B201" s="27"/>
      <c r="C201" s="27"/>
      <c r="D201" s="7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  <c r="AA201" s="156"/>
      <c r="AB201" s="156"/>
      <c r="AC201" s="156"/>
      <c r="AD201" s="156"/>
      <c r="AE201" s="156"/>
      <c r="AF201" s="156"/>
      <c r="AG201" s="156"/>
      <c r="AH201" s="156"/>
      <c r="AI201" s="156"/>
      <c r="AJ201" s="156"/>
      <c r="AK201" s="156"/>
      <c r="AL201" s="156"/>
      <c r="AM201" s="156"/>
      <c r="AN201" s="156"/>
      <c r="AO201" s="156"/>
      <c r="AP201" s="156"/>
      <c r="AQ201" s="156"/>
      <c r="AR201" s="156"/>
      <c r="AS201" s="156"/>
      <c r="AT201" s="156"/>
      <c r="AU201" s="156"/>
      <c r="AV201" s="156"/>
      <c r="AW201" s="156"/>
      <c r="AX201" s="156"/>
      <c r="AY201" s="156"/>
      <c r="AZ201" s="156"/>
      <c r="BA201" s="156"/>
      <c r="BB201" s="156"/>
      <c r="BC201" s="156"/>
      <c r="BD201" s="156"/>
      <c r="BE201" s="156"/>
      <c r="BF201" s="156"/>
      <c r="BG201" s="156"/>
      <c r="BH201" s="156"/>
      <c r="BI201" s="156"/>
    </row>
    <row r="202" ht="15.75" customHeight="1">
      <c r="A202" s="34"/>
      <c r="B202" s="27"/>
      <c r="C202" s="27"/>
      <c r="D202" s="7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  <c r="AA202" s="156"/>
      <c r="AB202" s="156"/>
      <c r="AC202" s="156"/>
      <c r="AD202" s="156"/>
      <c r="AE202" s="156"/>
      <c r="AF202" s="156"/>
      <c r="AG202" s="156"/>
      <c r="AH202" s="156"/>
      <c r="AI202" s="156"/>
      <c r="AJ202" s="156"/>
      <c r="AK202" s="156"/>
      <c r="AL202" s="156"/>
      <c r="AM202" s="156"/>
      <c r="AN202" s="156"/>
      <c r="AO202" s="156"/>
      <c r="AP202" s="156"/>
      <c r="AQ202" s="156"/>
      <c r="AR202" s="156"/>
      <c r="AS202" s="156"/>
      <c r="AT202" s="156"/>
      <c r="AU202" s="156"/>
      <c r="AV202" s="156"/>
      <c r="AW202" s="156"/>
      <c r="AX202" s="156"/>
      <c r="AY202" s="156"/>
      <c r="AZ202" s="156"/>
      <c r="BA202" s="156"/>
      <c r="BB202" s="156"/>
      <c r="BC202" s="156"/>
      <c r="BD202" s="156"/>
      <c r="BE202" s="156"/>
      <c r="BF202" s="156"/>
      <c r="BG202" s="156"/>
      <c r="BH202" s="156"/>
      <c r="BI202" s="156"/>
    </row>
    <row r="203" ht="15.75" customHeight="1">
      <c r="A203" s="34"/>
      <c r="B203" s="27"/>
      <c r="C203" s="27"/>
      <c r="D203" s="7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6"/>
      <c r="AG203" s="156"/>
      <c r="AH203" s="156"/>
      <c r="AI203" s="156"/>
      <c r="AJ203" s="156"/>
      <c r="AK203" s="156"/>
      <c r="AL203" s="156"/>
      <c r="AM203" s="156"/>
      <c r="AN203" s="156"/>
      <c r="AO203" s="156"/>
      <c r="AP203" s="156"/>
      <c r="AQ203" s="156"/>
      <c r="AR203" s="156"/>
      <c r="AS203" s="156"/>
      <c r="AT203" s="156"/>
      <c r="AU203" s="156"/>
      <c r="AV203" s="156"/>
      <c r="AW203" s="156"/>
      <c r="AX203" s="156"/>
      <c r="AY203" s="156"/>
      <c r="AZ203" s="156"/>
      <c r="BA203" s="156"/>
      <c r="BB203" s="156"/>
      <c r="BC203" s="156"/>
      <c r="BD203" s="156"/>
      <c r="BE203" s="156"/>
      <c r="BF203" s="156"/>
      <c r="BG203" s="156"/>
      <c r="BH203" s="156"/>
      <c r="BI203" s="156"/>
    </row>
    <row r="204" ht="15.75" customHeight="1">
      <c r="A204" s="34"/>
      <c r="B204" s="27"/>
      <c r="C204" s="27"/>
      <c r="D204" s="7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6"/>
      <c r="AG204" s="156"/>
      <c r="AH204" s="156"/>
      <c r="AI204" s="156"/>
      <c r="AJ204" s="156"/>
      <c r="AK204" s="156"/>
      <c r="AL204" s="156"/>
      <c r="AM204" s="156"/>
      <c r="AN204" s="156"/>
      <c r="AO204" s="156"/>
      <c r="AP204" s="156"/>
      <c r="AQ204" s="156"/>
      <c r="AR204" s="156"/>
      <c r="AS204" s="156"/>
      <c r="AT204" s="156"/>
      <c r="AU204" s="156"/>
      <c r="AV204" s="156"/>
      <c r="AW204" s="156"/>
      <c r="AX204" s="156"/>
      <c r="AY204" s="156"/>
      <c r="AZ204" s="156"/>
      <c r="BA204" s="156"/>
      <c r="BB204" s="156"/>
      <c r="BC204" s="156"/>
      <c r="BD204" s="156"/>
      <c r="BE204" s="156"/>
      <c r="BF204" s="156"/>
      <c r="BG204" s="156"/>
      <c r="BH204" s="156"/>
      <c r="BI204" s="156"/>
    </row>
    <row r="205" ht="15.75" customHeight="1">
      <c r="A205" s="34"/>
      <c r="B205" s="27"/>
      <c r="C205" s="27"/>
      <c r="D205" s="7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  <c r="AA205" s="156"/>
      <c r="AB205" s="156"/>
      <c r="AC205" s="156"/>
      <c r="AD205" s="156"/>
      <c r="AE205" s="156"/>
      <c r="AF205" s="156"/>
      <c r="AG205" s="156"/>
      <c r="AH205" s="156"/>
      <c r="AI205" s="156"/>
      <c r="AJ205" s="156"/>
      <c r="AK205" s="156"/>
      <c r="AL205" s="156"/>
      <c r="AM205" s="156"/>
      <c r="AN205" s="156"/>
      <c r="AO205" s="156"/>
      <c r="AP205" s="156"/>
      <c r="AQ205" s="156"/>
      <c r="AR205" s="156"/>
      <c r="AS205" s="156"/>
      <c r="AT205" s="156"/>
      <c r="AU205" s="156"/>
      <c r="AV205" s="156"/>
      <c r="AW205" s="156"/>
      <c r="AX205" s="156"/>
      <c r="AY205" s="156"/>
      <c r="AZ205" s="156"/>
      <c r="BA205" s="156"/>
      <c r="BB205" s="156"/>
      <c r="BC205" s="156"/>
      <c r="BD205" s="156"/>
      <c r="BE205" s="156"/>
      <c r="BF205" s="156"/>
      <c r="BG205" s="156"/>
      <c r="BH205" s="156"/>
      <c r="BI205" s="156"/>
    </row>
    <row r="206" ht="15.75" customHeight="1">
      <c r="A206" s="34"/>
      <c r="B206" s="27"/>
      <c r="C206" s="27"/>
      <c r="D206" s="7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  <c r="AA206" s="156"/>
      <c r="AB206" s="156"/>
      <c r="AC206" s="156"/>
      <c r="AD206" s="156"/>
      <c r="AE206" s="156"/>
      <c r="AF206" s="156"/>
      <c r="AG206" s="156"/>
      <c r="AH206" s="156"/>
      <c r="AI206" s="156"/>
      <c r="AJ206" s="156"/>
      <c r="AK206" s="156"/>
      <c r="AL206" s="156"/>
      <c r="AM206" s="156"/>
      <c r="AN206" s="156"/>
      <c r="AO206" s="156"/>
      <c r="AP206" s="156"/>
      <c r="AQ206" s="156"/>
      <c r="AR206" s="156"/>
      <c r="AS206" s="156"/>
      <c r="AT206" s="156"/>
      <c r="AU206" s="156"/>
      <c r="AV206" s="156"/>
      <c r="AW206" s="156"/>
      <c r="AX206" s="156"/>
      <c r="AY206" s="156"/>
      <c r="AZ206" s="156"/>
      <c r="BA206" s="156"/>
      <c r="BB206" s="156"/>
      <c r="BC206" s="156"/>
      <c r="BD206" s="156"/>
      <c r="BE206" s="156"/>
      <c r="BF206" s="156"/>
      <c r="BG206" s="156"/>
      <c r="BH206" s="156"/>
      <c r="BI206" s="156"/>
    </row>
    <row r="207" ht="15.75" customHeight="1">
      <c r="A207" s="34"/>
      <c r="B207" s="27"/>
      <c r="C207" s="27"/>
      <c r="D207" s="7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  <c r="AA207" s="156"/>
      <c r="AB207" s="156"/>
      <c r="AC207" s="156"/>
      <c r="AD207" s="156"/>
      <c r="AE207" s="156"/>
      <c r="AF207" s="156"/>
      <c r="AG207" s="156"/>
      <c r="AH207" s="156"/>
      <c r="AI207" s="156"/>
      <c r="AJ207" s="156"/>
      <c r="AK207" s="156"/>
      <c r="AL207" s="156"/>
      <c r="AM207" s="156"/>
      <c r="AN207" s="156"/>
      <c r="AO207" s="156"/>
      <c r="AP207" s="156"/>
      <c r="AQ207" s="156"/>
      <c r="AR207" s="156"/>
      <c r="AS207" s="156"/>
      <c r="AT207" s="156"/>
      <c r="AU207" s="156"/>
      <c r="AV207" s="156"/>
      <c r="AW207" s="156"/>
      <c r="AX207" s="156"/>
      <c r="AY207" s="156"/>
      <c r="AZ207" s="156"/>
      <c r="BA207" s="156"/>
      <c r="BB207" s="156"/>
      <c r="BC207" s="156"/>
      <c r="BD207" s="156"/>
      <c r="BE207" s="156"/>
      <c r="BF207" s="156"/>
      <c r="BG207" s="156"/>
      <c r="BH207" s="156"/>
      <c r="BI207" s="156"/>
    </row>
    <row r="208" ht="15.75" customHeight="1">
      <c r="A208" s="34"/>
      <c r="B208" s="27"/>
      <c r="C208" s="27"/>
      <c r="D208" s="7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  <c r="AA208" s="156"/>
      <c r="AB208" s="156"/>
      <c r="AC208" s="156"/>
      <c r="AD208" s="156"/>
      <c r="AE208" s="156"/>
      <c r="AF208" s="156"/>
      <c r="AG208" s="156"/>
      <c r="AH208" s="156"/>
      <c r="AI208" s="156"/>
      <c r="AJ208" s="156"/>
      <c r="AK208" s="156"/>
      <c r="AL208" s="156"/>
      <c r="AM208" s="156"/>
      <c r="AN208" s="156"/>
      <c r="AO208" s="156"/>
      <c r="AP208" s="156"/>
      <c r="AQ208" s="156"/>
      <c r="AR208" s="156"/>
      <c r="AS208" s="156"/>
      <c r="AT208" s="156"/>
      <c r="AU208" s="156"/>
      <c r="AV208" s="156"/>
      <c r="AW208" s="156"/>
      <c r="AX208" s="156"/>
      <c r="AY208" s="156"/>
      <c r="AZ208" s="156"/>
      <c r="BA208" s="156"/>
      <c r="BB208" s="156"/>
      <c r="BC208" s="156"/>
      <c r="BD208" s="156"/>
      <c r="BE208" s="156"/>
      <c r="BF208" s="156"/>
      <c r="BG208" s="156"/>
      <c r="BH208" s="156"/>
      <c r="BI208" s="156"/>
    </row>
    <row r="209" ht="15.75" customHeight="1">
      <c r="A209" s="34"/>
      <c r="B209" s="27"/>
      <c r="C209" s="27"/>
      <c r="D209" s="7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  <c r="AA209" s="156"/>
      <c r="AB209" s="156"/>
      <c r="AC209" s="156"/>
      <c r="AD209" s="156"/>
      <c r="AE209" s="156"/>
      <c r="AF209" s="156"/>
      <c r="AG209" s="156"/>
      <c r="AH209" s="156"/>
      <c r="AI209" s="156"/>
      <c r="AJ209" s="156"/>
      <c r="AK209" s="156"/>
      <c r="AL209" s="156"/>
      <c r="AM209" s="156"/>
      <c r="AN209" s="156"/>
      <c r="AO209" s="156"/>
      <c r="AP209" s="156"/>
      <c r="AQ209" s="156"/>
      <c r="AR209" s="156"/>
      <c r="AS209" s="156"/>
      <c r="AT209" s="156"/>
      <c r="AU209" s="156"/>
      <c r="AV209" s="156"/>
      <c r="AW209" s="156"/>
      <c r="AX209" s="156"/>
      <c r="AY209" s="156"/>
      <c r="AZ209" s="156"/>
      <c r="BA209" s="156"/>
      <c r="BB209" s="156"/>
      <c r="BC209" s="156"/>
      <c r="BD209" s="156"/>
      <c r="BE209" s="156"/>
      <c r="BF209" s="156"/>
      <c r="BG209" s="156"/>
      <c r="BH209" s="156"/>
      <c r="BI209" s="156"/>
    </row>
    <row r="210" ht="15.75" customHeight="1">
      <c r="A210" s="34"/>
      <c r="B210" s="27"/>
      <c r="C210" s="27"/>
      <c r="D210" s="7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  <c r="AA210" s="156"/>
      <c r="AB210" s="156"/>
      <c r="AC210" s="156"/>
      <c r="AD210" s="156"/>
      <c r="AE210" s="156"/>
      <c r="AF210" s="156"/>
      <c r="AG210" s="156"/>
      <c r="AH210" s="156"/>
      <c r="AI210" s="156"/>
      <c r="AJ210" s="156"/>
      <c r="AK210" s="156"/>
      <c r="AL210" s="156"/>
      <c r="AM210" s="156"/>
      <c r="AN210" s="156"/>
      <c r="AO210" s="156"/>
      <c r="AP210" s="156"/>
      <c r="AQ210" s="156"/>
      <c r="AR210" s="156"/>
      <c r="AS210" s="156"/>
      <c r="AT210" s="156"/>
      <c r="AU210" s="156"/>
      <c r="AV210" s="156"/>
      <c r="AW210" s="156"/>
      <c r="AX210" s="156"/>
      <c r="AY210" s="156"/>
      <c r="AZ210" s="156"/>
      <c r="BA210" s="156"/>
      <c r="BB210" s="156"/>
      <c r="BC210" s="156"/>
      <c r="BD210" s="156"/>
      <c r="BE210" s="156"/>
      <c r="BF210" s="156"/>
      <c r="BG210" s="156"/>
      <c r="BH210" s="156"/>
      <c r="BI210" s="156"/>
    </row>
    <row r="211" ht="15.75" customHeight="1">
      <c r="A211" s="34"/>
      <c r="B211" s="27"/>
      <c r="C211" s="27"/>
      <c r="D211" s="7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  <c r="AA211" s="156"/>
      <c r="AB211" s="156"/>
      <c r="AC211" s="156"/>
      <c r="AD211" s="156"/>
      <c r="AE211" s="156"/>
      <c r="AF211" s="156"/>
      <c r="AG211" s="156"/>
      <c r="AH211" s="156"/>
      <c r="AI211" s="156"/>
      <c r="AJ211" s="156"/>
      <c r="AK211" s="156"/>
      <c r="AL211" s="156"/>
      <c r="AM211" s="156"/>
      <c r="AN211" s="156"/>
      <c r="AO211" s="156"/>
      <c r="AP211" s="156"/>
      <c r="AQ211" s="156"/>
      <c r="AR211" s="156"/>
      <c r="AS211" s="156"/>
      <c r="AT211" s="156"/>
      <c r="AU211" s="156"/>
      <c r="AV211" s="156"/>
      <c r="AW211" s="156"/>
      <c r="AX211" s="156"/>
      <c r="AY211" s="156"/>
      <c r="AZ211" s="156"/>
      <c r="BA211" s="156"/>
      <c r="BB211" s="156"/>
      <c r="BC211" s="156"/>
      <c r="BD211" s="156"/>
      <c r="BE211" s="156"/>
      <c r="BF211" s="156"/>
      <c r="BG211" s="156"/>
      <c r="BH211" s="156"/>
      <c r="BI211" s="156"/>
    </row>
    <row r="212" ht="15.75" customHeight="1">
      <c r="A212" s="34"/>
      <c r="B212" s="27"/>
      <c r="C212" s="27"/>
      <c r="D212" s="7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  <c r="AA212" s="156"/>
      <c r="AB212" s="156"/>
      <c r="AC212" s="156"/>
      <c r="AD212" s="156"/>
      <c r="AE212" s="156"/>
      <c r="AF212" s="156"/>
      <c r="AG212" s="156"/>
      <c r="AH212" s="156"/>
      <c r="AI212" s="156"/>
      <c r="AJ212" s="156"/>
      <c r="AK212" s="156"/>
      <c r="AL212" s="156"/>
      <c r="AM212" s="156"/>
      <c r="AN212" s="156"/>
      <c r="AO212" s="156"/>
      <c r="AP212" s="156"/>
      <c r="AQ212" s="156"/>
      <c r="AR212" s="156"/>
      <c r="AS212" s="156"/>
      <c r="AT212" s="156"/>
      <c r="AU212" s="156"/>
      <c r="AV212" s="156"/>
      <c r="AW212" s="156"/>
      <c r="AX212" s="156"/>
      <c r="AY212" s="156"/>
      <c r="AZ212" s="156"/>
      <c r="BA212" s="156"/>
      <c r="BB212" s="156"/>
      <c r="BC212" s="156"/>
      <c r="BD212" s="156"/>
      <c r="BE212" s="156"/>
      <c r="BF212" s="156"/>
      <c r="BG212" s="156"/>
      <c r="BH212" s="156"/>
      <c r="BI212" s="156"/>
    </row>
    <row r="213" ht="15.75" customHeight="1">
      <c r="A213" s="34"/>
      <c r="B213" s="27"/>
      <c r="C213" s="27"/>
      <c r="D213" s="7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  <c r="AA213" s="156"/>
      <c r="AB213" s="156"/>
      <c r="AC213" s="156"/>
      <c r="AD213" s="156"/>
      <c r="AE213" s="156"/>
      <c r="AF213" s="156"/>
      <c r="AG213" s="156"/>
      <c r="AH213" s="156"/>
      <c r="AI213" s="156"/>
      <c r="AJ213" s="156"/>
      <c r="AK213" s="156"/>
      <c r="AL213" s="156"/>
      <c r="AM213" s="156"/>
      <c r="AN213" s="156"/>
      <c r="AO213" s="156"/>
      <c r="AP213" s="156"/>
      <c r="AQ213" s="156"/>
      <c r="AR213" s="156"/>
      <c r="AS213" s="156"/>
      <c r="AT213" s="156"/>
      <c r="AU213" s="156"/>
      <c r="AV213" s="156"/>
      <c r="AW213" s="156"/>
      <c r="AX213" s="156"/>
      <c r="AY213" s="156"/>
      <c r="AZ213" s="156"/>
      <c r="BA213" s="156"/>
      <c r="BB213" s="156"/>
      <c r="BC213" s="156"/>
      <c r="BD213" s="156"/>
      <c r="BE213" s="156"/>
      <c r="BF213" s="156"/>
      <c r="BG213" s="156"/>
      <c r="BH213" s="156"/>
      <c r="BI213" s="156"/>
    </row>
    <row r="214" ht="15.75" customHeight="1">
      <c r="A214" s="34"/>
      <c r="B214" s="27"/>
      <c r="C214" s="27"/>
      <c r="D214" s="7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  <c r="AA214" s="156"/>
      <c r="AB214" s="156"/>
      <c r="AC214" s="156"/>
      <c r="AD214" s="156"/>
      <c r="AE214" s="156"/>
      <c r="AF214" s="156"/>
      <c r="AG214" s="156"/>
      <c r="AH214" s="156"/>
      <c r="AI214" s="156"/>
      <c r="AJ214" s="156"/>
      <c r="AK214" s="156"/>
      <c r="AL214" s="156"/>
      <c r="AM214" s="156"/>
      <c r="AN214" s="156"/>
      <c r="AO214" s="156"/>
      <c r="AP214" s="156"/>
      <c r="AQ214" s="156"/>
      <c r="AR214" s="156"/>
      <c r="AS214" s="156"/>
      <c r="AT214" s="156"/>
      <c r="AU214" s="156"/>
      <c r="AV214" s="156"/>
      <c r="AW214" s="156"/>
      <c r="AX214" s="156"/>
      <c r="AY214" s="156"/>
      <c r="AZ214" s="156"/>
      <c r="BA214" s="156"/>
      <c r="BB214" s="156"/>
      <c r="BC214" s="156"/>
      <c r="BD214" s="156"/>
      <c r="BE214" s="156"/>
      <c r="BF214" s="156"/>
      <c r="BG214" s="156"/>
      <c r="BH214" s="156"/>
      <c r="BI214" s="156"/>
    </row>
    <row r="215" ht="15.75" customHeight="1">
      <c r="A215" s="34"/>
      <c r="B215" s="27"/>
      <c r="C215" s="27"/>
      <c r="D215" s="7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  <c r="AA215" s="156"/>
      <c r="AB215" s="156"/>
      <c r="AC215" s="156"/>
      <c r="AD215" s="156"/>
      <c r="AE215" s="156"/>
      <c r="AF215" s="156"/>
      <c r="AG215" s="156"/>
      <c r="AH215" s="156"/>
      <c r="AI215" s="156"/>
      <c r="AJ215" s="156"/>
      <c r="AK215" s="156"/>
      <c r="AL215" s="156"/>
      <c r="AM215" s="156"/>
      <c r="AN215" s="156"/>
      <c r="AO215" s="156"/>
      <c r="AP215" s="156"/>
      <c r="AQ215" s="156"/>
      <c r="AR215" s="156"/>
      <c r="AS215" s="156"/>
      <c r="AT215" s="156"/>
      <c r="AU215" s="156"/>
      <c r="AV215" s="156"/>
      <c r="AW215" s="156"/>
      <c r="AX215" s="156"/>
      <c r="AY215" s="156"/>
      <c r="AZ215" s="156"/>
      <c r="BA215" s="156"/>
      <c r="BB215" s="156"/>
      <c r="BC215" s="156"/>
      <c r="BD215" s="156"/>
      <c r="BE215" s="156"/>
      <c r="BF215" s="156"/>
      <c r="BG215" s="156"/>
      <c r="BH215" s="156"/>
      <c r="BI215" s="156"/>
    </row>
    <row r="216" ht="15.75" customHeight="1">
      <c r="A216" s="34"/>
      <c r="B216" s="27"/>
      <c r="C216" s="27"/>
      <c r="D216" s="7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  <c r="AA216" s="156"/>
      <c r="AB216" s="156"/>
      <c r="AC216" s="156"/>
      <c r="AD216" s="156"/>
      <c r="AE216" s="156"/>
      <c r="AF216" s="156"/>
      <c r="AG216" s="156"/>
      <c r="AH216" s="156"/>
      <c r="AI216" s="156"/>
      <c r="AJ216" s="156"/>
      <c r="AK216" s="156"/>
      <c r="AL216" s="156"/>
      <c r="AM216" s="156"/>
      <c r="AN216" s="156"/>
      <c r="AO216" s="156"/>
      <c r="AP216" s="156"/>
      <c r="AQ216" s="156"/>
      <c r="AR216" s="156"/>
      <c r="AS216" s="156"/>
      <c r="AT216" s="156"/>
      <c r="AU216" s="156"/>
      <c r="AV216" s="156"/>
      <c r="AW216" s="156"/>
      <c r="AX216" s="156"/>
      <c r="AY216" s="156"/>
      <c r="AZ216" s="156"/>
      <c r="BA216" s="156"/>
      <c r="BB216" s="156"/>
      <c r="BC216" s="156"/>
      <c r="BD216" s="156"/>
      <c r="BE216" s="156"/>
      <c r="BF216" s="156"/>
      <c r="BG216" s="156"/>
      <c r="BH216" s="156"/>
      <c r="BI216" s="156"/>
    </row>
    <row r="217" ht="15.75" customHeight="1">
      <c r="A217" s="34"/>
      <c r="B217" s="27"/>
      <c r="C217" s="27"/>
      <c r="D217" s="7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  <c r="AA217" s="156"/>
      <c r="AB217" s="156"/>
      <c r="AC217" s="156"/>
      <c r="AD217" s="156"/>
      <c r="AE217" s="156"/>
      <c r="AF217" s="156"/>
      <c r="AG217" s="156"/>
      <c r="AH217" s="156"/>
      <c r="AI217" s="156"/>
      <c r="AJ217" s="156"/>
      <c r="AK217" s="156"/>
      <c r="AL217" s="156"/>
      <c r="AM217" s="156"/>
      <c r="AN217" s="156"/>
      <c r="AO217" s="156"/>
      <c r="AP217" s="156"/>
      <c r="AQ217" s="156"/>
      <c r="AR217" s="156"/>
      <c r="AS217" s="156"/>
      <c r="AT217" s="156"/>
      <c r="AU217" s="156"/>
      <c r="AV217" s="156"/>
      <c r="AW217" s="156"/>
      <c r="AX217" s="156"/>
      <c r="AY217" s="156"/>
      <c r="AZ217" s="156"/>
      <c r="BA217" s="156"/>
      <c r="BB217" s="156"/>
      <c r="BC217" s="156"/>
      <c r="BD217" s="156"/>
      <c r="BE217" s="156"/>
      <c r="BF217" s="156"/>
      <c r="BG217" s="156"/>
      <c r="BH217" s="156"/>
      <c r="BI217" s="156"/>
    </row>
    <row r="218" ht="15.75" customHeight="1">
      <c r="A218" s="34"/>
      <c r="B218" s="27"/>
      <c r="C218" s="27"/>
      <c r="D218" s="7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  <c r="AA218" s="156"/>
      <c r="AB218" s="156"/>
      <c r="AC218" s="156"/>
      <c r="AD218" s="156"/>
      <c r="AE218" s="156"/>
      <c r="AF218" s="156"/>
      <c r="AG218" s="156"/>
      <c r="AH218" s="156"/>
      <c r="AI218" s="156"/>
      <c r="AJ218" s="156"/>
      <c r="AK218" s="156"/>
      <c r="AL218" s="156"/>
      <c r="AM218" s="156"/>
      <c r="AN218" s="156"/>
      <c r="AO218" s="156"/>
      <c r="AP218" s="156"/>
      <c r="AQ218" s="156"/>
      <c r="AR218" s="156"/>
      <c r="AS218" s="156"/>
      <c r="AT218" s="156"/>
      <c r="AU218" s="156"/>
      <c r="AV218" s="156"/>
      <c r="AW218" s="156"/>
      <c r="AX218" s="156"/>
      <c r="AY218" s="156"/>
      <c r="AZ218" s="156"/>
      <c r="BA218" s="156"/>
      <c r="BB218" s="156"/>
      <c r="BC218" s="156"/>
      <c r="BD218" s="156"/>
      <c r="BE218" s="156"/>
      <c r="BF218" s="156"/>
      <c r="BG218" s="156"/>
      <c r="BH218" s="156"/>
      <c r="BI218" s="156"/>
    </row>
    <row r="219" ht="15.75" customHeight="1">
      <c r="A219" s="34"/>
      <c r="B219" s="27"/>
      <c r="C219" s="27"/>
      <c r="D219" s="7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  <c r="AA219" s="156"/>
      <c r="AB219" s="156"/>
      <c r="AC219" s="156"/>
      <c r="AD219" s="156"/>
      <c r="AE219" s="156"/>
      <c r="AF219" s="156"/>
      <c r="AG219" s="156"/>
      <c r="AH219" s="156"/>
      <c r="AI219" s="156"/>
      <c r="AJ219" s="156"/>
      <c r="AK219" s="156"/>
      <c r="AL219" s="156"/>
      <c r="AM219" s="156"/>
      <c r="AN219" s="156"/>
      <c r="AO219" s="156"/>
      <c r="AP219" s="156"/>
      <c r="AQ219" s="156"/>
      <c r="AR219" s="156"/>
      <c r="AS219" s="156"/>
      <c r="AT219" s="156"/>
      <c r="AU219" s="156"/>
      <c r="AV219" s="156"/>
      <c r="AW219" s="156"/>
      <c r="AX219" s="156"/>
      <c r="AY219" s="156"/>
      <c r="AZ219" s="156"/>
      <c r="BA219" s="156"/>
      <c r="BB219" s="156"/>
      <c r="BC219" s="156"/>
      <c r="BD219" s="156"/>
      <c r="BE219" s="156"/>
      <c r="BF219" s="156"/>
      <c r="BG219" s="156"/>
      <c r="BH219" s="156"/>
      <c r="BI219" s="156"/>
    </row>
    <row r="220" ht="15.75" customHeight="1">
      <c r="A220" s="34"/>
      <c r="B220" s="27"/>
      <c r="C220" s="27"/>
      <c r="D220" s="7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  <c r="AA220" s="156"/>
      <c r="AB220" s="156"/>
      <c r="AC220" s="156"/>
      <c r="AD220" s="156"/>
      <c r="AE220" s="156"/>
      <c r="AF220" s="156"/>
      <c r="AG220" s="156"/>
      <c r="AH220" s="156"/>
      <c r="AI220" s="156"/>
      <c r="AJ220" s="156"/>
      <c r="AK220" s="156"/>
      <c r="AL220" s="156"/>
      <c r="AM220" s="156"/>
      <c r="AN220" s="156"/>
      <c r="AO220" s="156"/>
      <c r="AP220" s="156"/>
      <c r="AQ220" s="156"/>
      <c r="AR220" s="156"/>
      <c r="AS220" s="156"/>
      <c r="AT220" s="156"/>
      <c r="AU220" s="156"/>
      <c r="AV220" s="156"/>
      <c r="AW220" s="156"/>
      <c r="AX220" s="156"/>
      <c r="AY220" s="156"/>
      <c r="AZ220" s="156"/>
      <c r="BA220" s="156"/>
      <c r="BB220" s="156"/>
      <c r="BC220" s="156"/>
      <c r="BD220" s="156"/>
      <c r="BE220" s="156"/>
      <c r="BF220" s="156"/>
      <c r="BG220" s="156"/>
      <c r="BH220" s="156"/>
      <c r="BI220" s="156"/>
    </row>
    <row r="221" ht="15.75" customHeight="1">
      <c r="A221" s="34"/>
      <c r="B221" s="27"/>
      <c r="C221" s="27"/>
      <c r="D221" s="7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  <c r="AA221" s="156"/>
      <c r="AB221" s="156"/>
      <c r="AC221" s="156"/>
      <c r="AD221" s="156"/>
      <c r="AE221" s="156"/>
      <c r="AF221" s="156"/>
      <c r="AG221" s="156"/>
      <c r="AH221" s="156"/>
      <c r="AI221" s="156"/>
      <c r="AJ221" s="156"/>
      <c r="AK221" s="156"/>
      <c r="AL221" s="156"/>
      <c r="AM221" s="156"/>
      <c r="AN221" s="156"/>
      <c r="AO221" s="156"/>
      <c r="AP221" s="156"/>
      <c r="AQ221" s="156"/>
      <c r="AR221" s="156"/>
      <c r="AS221" s="156"/>
      <c r="AT221" s="156"/>
      <c r="AU221" s="156"/>
      <c r="AV221" s="156"/>
      <c r="AW221" s="156"/>
      <c r="AX221" s="156"/>
      <c r="AY221" s="156"/>
      <c r="AZ221" s="156"/>
      <c r="BA221" s="156"/>
      <c r="BB221" s="156"/>
      <c r="BC221" s="156"/>
      <c r="BD221" s="156"/>
      <c r="BE221" s="156"/>
      <c r="BF221" s="156"/>
      <c r="BG221" s="156"/>
      <c r="BH221" s="156"/>
      <c r="BI221" s="156"/>
    </row>
    <row r="222" ht="15.75" customHeight="1">
      <c r="A222" s="34"/>
      <c r="B222" s="27"/>
      <c r="C222" s="27"/>
      <c r="D222" s="7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6"/>
      <c r="AF222" s="156"/>
      <c r="AG222" s="156"/>
      <c r="AH222" s="156"/>
      <c r="AI222" s="156"/>
      <c r="AJ222" s="156"/>
      <c r="AK222" s="156"/>
      <c r="AL222" s="156"/>
      <c r="AM222" s="156"/>
      <c r="AN222" s="156"/>
      <c r="AO222" s="156"/>
      <c r="AP222" s="156"/>
      <c r="AQ222" s="156"/>
      <c r="AR222" s="156"/>
      <c r="AS222" s="156"/>
      <c r="AT222" s="156"/>
      <c r="AU222" s="156"/>
      <c r="AV222" s="156"/>
      <c r="AW222" s="156"/>
      <c r="AX222" s="156"/>
      <c r="AY222" s="156"/>
      <c r="AZ222" s="156"/>
      <c r="BA222" s="156"/>
      <c r="BB222" s="156"/>
      <c r="BC222" s="156"/>
      <c r="BD222" s="156"/>
      <c r="BE222" s="156"/>
      <c r="BF222" s="156"/>
      <c r="BG222" s="156"/>
      <c r="BH222" s="156"/>
      <c r="BI222" s="156"/>
    </row>
    <row r="223" ht="15.75" customHeight="1">
      <c r="A223" s="34"/>
      <c r="B223" s="27"/>
      <c r="C223" s="27"/>
      <c r="D223" s="7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  <c r="Z223" s="156"/>
      <c r="AA223" s="156"/>
      <c r="AB223" s="156"/>
      <c r="AC223" s="156"/>
      <c r="AD223" s="156"/>
      <c r="AE223" s="156"/>
      <c r="AF223" s="156"/>
      <c r="AG223" s="156"/>
      <c r="AH223" s="156"/>
      <c r="AI223" s="156"/>
      <c r="AJ223" s="156"/>
      <c r="AK223" s="156"/>
      <c r="AL223" s="156"/>
      <c r="AM223" s="156"/>
      <c r="AN223" s="156"/>
      <c r="AO223" s="156"/>
      <c r="AP223" s="156"/>
      <c r="AQ223" s="156"/>
      <c r="AR223" s="156"/>
      <c r="AS223" s="156"/>
      <c r="AT223" s="156"/>
      <c r="AU223" s="156"/>
      <c r="AV223" s="156"/>
      <c r="AW223" s="156"/>
      <c r="AX223" s="156"/>
      <c r="AY223" s="156"/>
      <c r="AZ223" s="156"/>
      <c r="BA223" s="156"/>
      <c r="BB223" s="156"/>
      <c r="BC223" s="156"/>
      <c r="BD223" s="156"/>
      <c r="BE223" s="156"/>
      <c r="BF223" s="156"/>
      <c r="BG223" s="156"/>
      <c r="BH223" s="156"/>
      <c r="BI223" s="156"/>
    </row>
    <row r="224" ht="15.75" customHeight="1">
      <c r="A224" s="34"/>
      <c r="B224" s="27"/>
      <c r="C224" s="27"/>
      <c r="D224" s="7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  <c r="Z224" s="156"/>
      <c r="AA224" s="156"/>
      <c r="AB224" s="156"/>
      <c r="AC224" s="156"/>
      <c r="AD224" s="156"/>
      <c r="AE224" s="156"/>
      <c r="AF224" s="156"/>
      <c r="AG224" s="156"/>
      <c r="AH224" s="156"/>
      <c r="AI224" s="156"/>
      <c r="AJ224" s="156"/>
      <c r="AK224" s="156"/>
      <c r="AL224" s="156"/>
      <c r="AM224" s="156"/>
      <c r="AN224" s="156"/>
      <c r="AO224" s="156"/>
      <c r="AP224" s="156"/>
      <c r="AQ224" s="156"/>
      <c r="AR224" s="156"/>
      <c r="AS224" s="156"/>
      <c r="AT224" s="156"/>
      <c r="AU224" s="156"/>
      <c r="AV224" s="156"/>
      <c r="AW224" s="156"/>
      <c r="AX224" s="156"/>
      <c r="AY224" s="156"/>
      <c r="AZ224" s="156"/>
      <c r="BA224" s="156"/>
      <c r="BB224" s="156"/>
      <c r="BC224" s="156"/>
      <c r="BD224" s="156"/>
      <c r="BE224" s="156"/>
      <c r="BF224" s="156"/>
      <c r="BG224" s="156"/>
      <c r="BH224" s="156"/>
      <c r="BI224" s="156"/>
    </row>
    <row r="225" ht="15.75" customHeight="1">
      <c r="A225" s="34"/>
      <c r="B225" s="27"/>
      <c r="C225" s="27"/>
      <c r="D225" s="7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  <c r="Z225" s="156"/>
      <c r="AA225" s="156"/>
      <c r="AB225" s="156"/>
      <c r="AC225" s="156"/>
      <c r="AD225" s="156"/>
      <c r="AE225" s="156"/>
      <c r="AF225" s="156"/>
      <c r="AG225" s="156"/>
      <c r="AH225" s="156"/>
      <c r="AI225" s="156"/>
      <c r="AJ225" s="156"/>
      <c r="AK225" s="156"/>
      <c r="AL225" s="156"/>
      <c r="AM225" s="156"/>
      <c r="AN225" s="156"/>
      <c r="AO225" s="156"/>
      <c r="AP225" s="156"/>
      <c r="AQ225" s="156"/>
      <c r="AR225" s="156"/>
      <c r="AS225" s="156"/>
      <c r="AT225" s="156"/>
      <c r="AU225" s="156"/>
      <c r="AV225" s="156"/>
      <c r="AW225" s="156"/>
      <c r="AX225" s="156"/>
      <c r="AY225" s="156"/>
      <c r="AZ225" s="156"/>
      <c r="BA225" s="156"/>
      <c r="BB225" s="156"/>
      <c r="BC225" s="156"/>
      <c r="BD225" s="156"/>
      <c r="BE225" s="156"/>
      <c r="BF225" s="156"/>
      <c r="BG225" s="156"/>
      <c r="BH225" s="156"/>
      <c r="BI225" s="156"/>
    </row>
    <row r="226" ht="15.75" customHeight="1">
      <c r="A226" s="34"/>
      <c r="B226" s="27"/>
      <c r="C226" s="27"/>
      <c r="D226" s="7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  <c r="AA226" s="156"/>
      <c r="AB226" s="156"/>
      <c r="AC226" s="156"/>
      <c r="AD226" s="156"/>
      <c r="AE226" s="156"/>
      <c r="AF226" s="156"/>
      <c r="AG226" s="156"/>
      <c r="AH226" s="156"/>
      <c r="AI226" s="156"/>
      <c r="AJ226" s="156"/>
      <c r="AK226" s="156"/>
      <c r="AL226" s="156"/>
      <c r="AM226" s="156"/>
      <c r="AN226" s="156"/>
      <c r="AO226" s="156"/>
      <c r="AP226" s="156"/>
      <c r="AQ226" s="156"/>
      <c r="AR226" s="156"/>
      <c r="AS226" s="156"/>
      <c r="AT226" s="156"/>
      <c r="AU226" s="156"/>
      <c r="AV226" s="156"/>
      <c r="AW226" s="156"/>
      <c r="AX226" s="156"/>
      <c r="AY226" s="156"/>
      <c r="AZ226" s="156"/>
      <c r="BA226" s="156"/>
      <c r="BB226" s="156"/>
      <c r="BC226" s="156"/>
      <c r="BD226" s="156"/>
      <c r="BE226" s="156"/>
      <c r="BF226" s="156"/>
      <c r="BG226" s="156"/>
      <c r="BH226" s="156"/>
      <c r="BI226" s="156"/>
    </row>
    <row r="227" ht="15.75" customHeight="1">
      <c r="A227" s="34"/>
      <c r="B227" s="27"/>
      <c r="C227" s="27"/>
      <c r="D227" s="7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  <c r="AA227" s="156"/>
      <c r="AB227" s="156"/>
      <c r="AC227" s="156"/>
      <c r="AD227" s="156"/>
      <c r="AE227" s="156"/>
      <c r="AF227" s="156"/>
      <c r="AG227" s="156"/>
      <c r="AH227" s="156"/>
      <c r="AI227" s="156"/>
      <c r="AJ227" s="156"/>
      <c r="AK227" s="156"/>
      <c r="AL227" s="156"/>
      <c r="AM227" s="156"/>
      <c r="AN227" s="156"/>
      <c r="AO227" s="156"/>
      <c r="AP227" s="156"/>
      <c r="AQ227" s="156"/>
      <c r="AR227" s="156"/>
      <c r="AS227" s="156"/>
      <c r="AT227" s="156"/>
      <c r="AU227" s="156"/>
      <c r="AV227" s="156"/>
      <c r="AW227" s="156"/>
      <c r="AX227" s="156"/>
      <c r="AY227" s="156"/>
      <c r="AZ227" s="156"/>
      <c r="BA227" s="156"/>
      <c r="BB227" s="156"/>
      <c r="BC227" s="156"/>
      <c r="BD227" s="156"/>
      <c r="BE227" s="156"/>
      <c r="BF227" s="156"/>
      <c r="BG227" s="156"/>
      <c r="BH227" s="156"/>
      <c r="BI227" s="156"/>
    </row>
    <row r="228" ht="15.75" customHeight="1">
      <c r="A228" s="34"/>
      <c r="B228" s="27"/>
      <c r="C228" s="27"/>
      <c r="D228" s="7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  <c r="AA228" s="156"/>
      <c r="AB228" s="156"/>
      <c r="AC228" s="156"/>
      <c r="AD228" s="156"/>
      <c r="AE228" s="156"/>
      <c r="AF228" s="156"/>
      <c r="AG228" s="156"/>
      <c r="AH228" s="156"/>
      <c r="AI228" s="156"/>
      <c r="AJ228" s="156"/>
      <c r="AK228" s="156"/>
      <c r="AL228" s="156"/>
      <c r="AM228" s="156"/>
      <c r="AN228" s="156"/>
      <c r="AO228" s="156"/>
      <c r="AP228" s="156"/>
      <c r="AQ228" s="156"/>
      <c r="AR228" s="156"/>
      <c r="AS228" s="156"/>
      <c r="AT228" s="156"/>
      <c r="AU228" s="156"/>
      <c r="AV228" s="156"/>
      <c r="AW228" s="156"/>
      <c r="AX228" s="156"/>
      <c r="AY228" s="156"/>
      <c r="AZ228" s="156"/>
      <c r="BA228" s="156"/>
      <c r="BB228" s="156"/>
      <c r="BC228" s="156"/>
      <c r="BD228" s="156"/>
      <c r="BE228" s="156"/>
      <c r="BF228" s="156"/>
      <c r="BG228" s="156"/>
      <c r="BH228" s="156"/>
      <c r="BI228" s="156"/>
    </row>
    <row r="229" ht="15.75" customHeight="1">
      <c r="A229" s="34"/>
      <c r="B229" s="27"/>
      <c r="C229" s="27"/>
      <c r="D229" s="7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  <c r="Z229" s="156"/>
      <c r="AA229" s="156"/>
      <c r="AB229" s="156"/>
      <c r="AC229" s="156"/>
      <c r="AD229" s="156"/>
      <c r="AE229" s="156"/>
      <c r="AF229" s="156"/>
      <c r="AG229" s="156"/>
      <c r="AH229" s="156"/>
      <c r="AI229" s="156"/>
      <c r="AJ229" s="156"/>
      <c r="AK229" s="156"/>
      <c r="AL229" s="156"/>
      <c r="AM229" s="156"/>
      <c r="AN229" s="156"/>
      <c r="AO229" s="156"/>
      <c r="AP229" s="156"/>
      <c r="AQ229" s="156"/>
      <c r="AR229" s="156"/>
      <c r="AS229" s="156"/>
      <c r="AT229" s="156"/>
      <c r="AU229" s="156"/>
      <c r="AV229" s="156"/>
      <c r="AW229" s="156"/>
      <c r="AX229" s="156"/>
      <c r="AY229" s="156"/>
      <c r="AZ229" s="156"/>
      <c r="BA229" s="156"/>
      <c r="BB229" s="156"/>
      <c r="BC229" s="156"/>
      <c r="BD229" s="156"/>
      <c r="BE229" s="156"/>
      <c r="BF229" s="156"/>
      <c r="BG229" s="156"/>
      <c r="BH229" s="156"/>
      <c r="BI229" s="156"/>
    </row>
    <row r="230" ht="15.75" customHeight="1">
      <c r="A230" s="34"/>
      <c r="B230" s="27"/>
      <c r="C230" s="27"/>
      <c r="D230" s="7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  <c r="AA230" s="156"/>
      <c r="AB230" s="156"/>
      <c r="AC230" s="156"/>
      <c r="AD230" s="156"/>
      <c r="AE230" s="156"/>
      <c r="AF230" s="156"/>
      <c r="AG230" s="156"/>
      <c r="AH230" s="156"/>
      <c r="AI230" s="156"/>
      <c r="AJ230" s="156"/>
      <c r="AK230" s="156"/>
      <c r="AL230" s="156"/>
      <c r="AM230" s="156"/>
      <c r="AN230" s="156"/>
      <c r="AO230" s="156"/>
      <c r="AP230" s="156"/>
      <c r="AQ230" s="156"/>
      <c r="AR230" s="156"/>
      <c r="AS230" s="156"/>
      <c r="AT230" s="156"/>
      <c r="AU230" s="156"/>
      <c r="AV230" s="156"/>
      <c r="AW230" s="156"/>
      <c r="AX230" s="156"/>
      <c r="AY230" s="156"/>
      <c r="AZ230" s="156"/>
      <c r="BA230" s="156"/>
      <c r="BB230" s="156"/>
      <c r="BC230" s="156"/>
      <c r="BD230" s="156"/>
      <c r="BE230" s="156"/>
      <c r="BF230" s="156"/>
      <c r="BG230" s="156"/>
      <c r="BH230" s="156"/>
      <c r="BI230" s="156"/>
    </row>
    <row r="231" ht="15.75" customHeight="1">
      <c r="A231" s="34"/>
      <c r="B231" s="27"/>
      <c r="C231" s="27"/>
      <c r="D231" s="7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  <c r="Z231" s="156"/>
      <c r="AA231" s="156"/>
      <c r="AB231" s="156"/>
      <c r="AC231" s="156"/>
      <c r="AD231" s="156"/>
      <c r="AE231" s="156"/>
      <c r="AF231" s="156"/>
      <c r="AG231" s="156"/>
      <c r="AH231" s="156"/>
      <c r="AI231" s="156"/>
      <c r="AJ231" s="156"/>
      <c r="AK231" s="156"/>
      <c r="AL231" s="156"/>
      <c r="AM231" s="156"/>
      <c r="AN231" s="156"/>
      <c r="AO231" s="156"/>
      <c r="AP231" s="156"/>
      <c r="AQ231" s="156"/>
      <c r="AR231" s="156"/>
      <c r="AS231" s="156"/>
      <c r="AT231" s="156"/>
      <c r="AU231" s="156"/>
      <c r="AV231" s="156"/>
      <c r="AW231" s="156"/>
      <c r="AX231" s="156"/>
      <c r="AY231" s="156"/>
      <c r="AZ231" s="156"/>
      <c r="BA231" s="156"/>
      <c r="BB231" s="156"/>
      <c r="BC231" s="156"/>
      <c r="BD231" s="156"/>
      <c r="BE231" s="156"/>
      <c r="BF231" s="156"/>
      <c r="BG231" s="156"/>
      <c r="BH231" s="156"/>
      <c r="BI231" s="156"/>
    </row>
    <row r="232" ht="15.75" customHeight="1">
      <c r="A232" s="34"/>
      <c r="B232" s="27"/>
      <c r="C232" s="27"/>
      <c r="D232" s="7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  <c r="Z232" s="156"/>
      <c r="AA232" s="156"/>
      <c r="AB232" s="156"/>
      <c r="AC232" s="156"/>
      <c r="AD232" s="156"/>
      <c r="AE232" s="156"/>
      <c r="AF232" s="156"/>
      <c r="AG232" s="156"/>
      <c r="AH232" s="156"/>
      <c r="AI232" s="156"/>
      <c r="AJ232" s="156"/>
      <c r="AK232" s="156"/>
      <c r="AL232" s="156"/>
      <c r="AM232" s="156"/>
      <c r="AN232" s="156"/>
      <c r="AO232" s="156"/>
      <c r="AP232" s="156"/>
      <c r="AQ232" s="156"/>
      <c r="AR232" s="156"/>
      <c r="AS232" s="156"/>
      <c r="AT232" s="156"/>
      <c r="AU232" s="156"/>
      <c r="AV232" s="156"/>
      <c r="AW232" s="156"/>
      <c r="AX232" s="156"/>
      <c r="AY232" s="156"/>
      <c r="AZ232" s="156"/>
      <c r="BA232" s="156"/>
      <c r="BB232" s="156"/>
      <c r="BC232" s="156"/>
      <c r="BD232" s="156"/>
      <c r="BE232" s="156"/>
      <c r="BF232" s="156"/>
      <c r="BG232" s="156"/>
      <c r="BH232" s="156"/>
      <c r="BI232" s="156"/>
    </row>
    <row r="233" ht="15.75" customHeight="1">
      <c r="A233" s="34"/>
      <c r="B233" s="27"/>
      <c r="C233" s="27"/>
      <c r="D233" s="7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  <c r="Z233" s="156"/>
      <c r="AA233" s="156"/>
      <c r="AB233" s="156"/>
      <c r="AC233" s="156"/>
      <c r="AD233" s="156"/>
      <c r="AE233" s="156"/>
      <c r="AF233" s="156"/>
      <c r="AG233" s="156"/>
      <c r="AH233" s="156"/>
      <c r="AI233" s="156"/>
      <c r="AJ233" s="156"/>
      <c r="AK233" s="156"/>
      <c r="AL233" s="156"/>
      <c r="AM233" s="156"/>
      <c r="AN233" s="156"/>
      <c r="AO233" s="156"/>
      <c r="AP233" s="156"/>
      <c r="AQ233" s="156"/>
      <c r="AR233" s="156"/>
      <c r="AS233" s="156"/>
      <c r="AT233" s="156"/>
      <c r="AU233" s="156"/>
      <c r="AV233" s="156"/>
      <c r="AW233" s="156"/>
      <c r="AX233" s="156"/>
      <c r="AY233" s="156"/>
      <c r="AZ233" s="156"/>
      <c r="BA233" s="156"/>
      <c r="BB233" s="156"/>
      <c r="BC233" s="156"/>
      <c r="BD233" s="156"/>
      <c r="BE233" s="156"/>
      <c r="BF233" s="156"/>
      <c r="BG233" s="156"/>
      <c r="BH233" s="156"/>
      <c r="BI233" s="156"/>
    </row>
    <row r="234" ht="15.75" customHeight="1">
      <c r="A234" s="34"/>
      <c r="B234" s="27"/>
      <c r="C234" s="27"/>
      <c r="D234" s="7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  <c r="AH234" s="156"/>
      <c r="AI234" s="156"/>
      <c r="AJ234" s="156"/>
      <c r="AK234" s="156"/>
      <c r="AL234" s="156"/>
      <c r="AM234" s="156"/>
      <c r="AN234" s="156"/>
      <c r="AO234" s="156"/>
      <c r="AP234" s="156"/>
      <c r="AQ234" s="156"/>
      <c r="AR234" s="156"/>
      <c r="AS234" s="156"/>
      <c r="AT234" s="156"/>
      <c r="AU234" s="156"/>
      <c r="AV234" s="156"/>
      <c r="AW234" s="156"/>
      <c r="AX234" s="156"/>
      <c r="AY234" s="156"/>
      <c r="AZ234" s="156"/>
      <c r="BA234" s="156"/>
      <c r="BB234" s="156"/>
      <c r="BC234" s="156"/>
      <c r="BD234" s="156"/>
      <c r="BE234" s="156"/>
      <c r="BF234" s="156"/>
      <c r="BG234" s="156"/>
      <c r="BH234" s="156"/>
      <c r="BI234" s="156"/>
    </row>
    <row r="235" ht="15.75" customHeight="1">
      <c r="A235" s="34"/>
      <c r="B235" s="27"/>
      <c r="C235" s="27"/>
      <c r="D235" s="7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  <c r="AA235" s="156"/>
      <c r="AB235" s="156"/>
      <c r="AC235" s="156"/>
      <c r="AD235" s="156"/>
      <c r="AE235" s="156"/>
      <c r="AF235" s="156"/>
      <c r="AG235" s="156"/>
      <c r="AH235" s="156"/>
      <c r="AI235" s="156"/>
      <c r="AJ235" s="156"/>
      <c r="AK235" s="156"/>
      <c r="AL235" s="156"/>
      <c r="AM235" s="156"/>
      <c r="AN235" s="156"/>
      <c r="AO235" s="156"/>
      <c r="AP235" s="156"/>
      <c r="AQ235" s="156"/>
      <c r="AR235" s="156"/>
      <c r="AS235" s="156"/>
      <c r="AT235" s="156"/>
      <c r="AU235" s="156"/>
      <c r="AV235" s="156"/>
      <c r="AW235" s="156"/>
      <c r="AX235" s="156"/>
      <c r="AY235" s="156"/>
      <c r="AZ235" s="156"/>
      <c r="BA235" s="156"/>
      <c r="BB235" s="156"/>
      <c r="BC235" s="156"/>
      <c r="BD235" s="156"/>
      <c r="BE235" s="156"/>
      <c r="BF235" s="156"/>
      <c r="BG235" s="156"/>
      <c r="BH235" s="156"/>
      <c r="BI235" s="156"/>
    </row>
    <row r="236" ht="15.75" customHeight="1">
      <c r="A236" s="34"/>
      <c r="B236" s="27"/>
      <c r="C236" s="27"/>
      <c r="D236" s="7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  <c r="Z236" s="156"/>
      <c r="AA236" s="156"/>
      <c r="AB236" s="156"/>
      <c r="AC236" s="156"/>
      <c r="AD236" s="156"/>
      <c r="AE236" s="156"/>
      <c r="AF236" s="156"/>
      <c r="AG236" s="156"/>
      <c r="AH236" s="156"/>
      <c r="AI236" s="156"/>
      <c r="AJ236" s="156"/>
      <c r="AK236" s="156"/>
      <c r="AL236" s="156"/>
      <c r="AM236" s="156"/>
      <c r="AN236" s="156"/>
      <c r="AO236" s="156"/>
      <c r="AP236" s="156"/>
      <c r="AQ236" s="156"/>
      <c r="AR236" s="156"/>
      <c r="AS236" s="156"/>
      <c r="AT236" s="156"/>
      <c r="AU236" s="156"/>
      <c r="AV236" s="156"/>
      <c r="AW236" s="156"/>
      <c r="AX236" s="156"/>
      <c r="AY236" s="156"/>
      <c r="AZ236" s="156"/>
      <c r="BA236" s="156"/>
      <c r="BB236" s="156"/>
      <c r="BC236" s="156"/>
      <c r="BD236" s="156"/>
      <c r="BE236" s="156"/>
      <c r="BF236" s="156"/>
      <c r="BG236" s="156"/>
      <c r="BH236" s="156"/>
      <c r="BI236" s="156"/>
    </row>
    <row r="237" ht="15.75" customHeight="1">
      <c r="A237" s="34"/>
      <c r="B237" s="27"/>
      <c r="C237" s="27"/>
      <c r="D237" s="7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  <c r="Z237" s="156"/>
      <c r="AA237" s="156"/>
      <c r="AB237" s="156"/>
      <c r="AC237" s="156"/>
      <c r="AD237" s="156"/>
      <c r="AE237" s="156"/>
      <c r="AF237" s="156"/>
      <c r="AG237" s="156"/>
      <c r="AH237" s="156"/>
      <c r="AI237" s="156"/>
      <c r="AJ237" s="156"/>
      <c r="AK237" s="156"/>
      <c r="AL237" s="156"/>
      <c r="AM237" s="156"/>
      <c r="AN237" s="156"/>
      <c r="AO237" s="156"/>
      <c r="AP237" s="156"/>
      <c r="AQ237" s="156"/>
      <c r="AR237" s="156"/>
      <c r="AS237" s="156"/>
      <c r="AT237" s="156"/>
      <c r="AU237" s="156"/>
      <c r="AV237" s="156"/>
      <c r="AW237" s="156"/>
      <c r="AX237" s="156"/>
      <c r="AY237" s="156"/>
      <c r="AZ237" s="156"/>
      <c r="BA237" s="156"/>
      <c r="BB237" s="156"/>
      <c r="BC237" s="156"/>
      <c r="BD237" s="156"/>
      <c r="BE237" s="156"/>
      <c r="BF237" s="156"/>
      <c r="BG237" s="156"/>
      <c r="BH237" s="156"/>
      <c r="BI237" s="156"/>
    </row>
    <row r="238" ht="15.75" customHeight="1">
      <c r="A238" s="34"/>
      <c r="B238" s="27"/>
      <c r="C238" s="27"/>
      <c r="D238" s="7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  <c r="Z238" s="156"/>
      <c r="AA238" s="156"/>
      <c r="AB238" s="156"/>
      <c r="AC238" s="156"/>
      <c r="AD238" s="156"/>
      <c r="AE238" s="156"/>
      <c r="AF238" s="156"/>
      <c r="AG238" s="156"/>
      <c r="AH238" s="156"/>
      <c r="AI238" s="156"/>
      <c r="AJ238" s="156"/>
      <c r="AK238" s="156"/>
      <c r="AL238" s="156"/>
      <c r="AM238" s="156"/>
      <c r="AN238" s="156"/>
      <c r="AO238" s="156"/>
      <c r="AP238" s="156"/>
      <c r="AQ238" s="156"/>
      <c r="AR238" s="156"/>
      <c r="AS238" s="156"/>
      <c r="AT238" s="156"/>
      <c r="AU238" s="156"/>
      <c r="AV238" s="156"/>
      <c r="AW238" s="156"/>
      <c r="AX238" s="156"/>
      <c r="AY238" s="156"/>
      <c r="AZ238" s="156"/>
      <c r="BA238" s="156"/>
      <c r="BB238" s="156"/>
      <c r="BC238" s="156"/>
      <c r="BD238" s="156"/>
      <c r="BE238" s="156"/>
      <c r="BF238" s="156"/>
      <c r="BG238" s="156"/>
      <c r="BH238" s="156"/>
      <c r="BI238" s="156"/>
    </row>
    <row r="239" ht="15.75" customHeight="1">
      <c r="A239" s="34"/>
      <c r="B239" s="27"/>
      <c r="C239" s="27"/>
      <c r="D239" s="7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  <c r="AA239" s="156"/>
      <c r="AB239" s="156"/>
      <c r="AC239" s="156"/>
      <c r="AD239" s="156"/>
      <c r="AE239" s="156"/>
      <c r="AF239" s="156"/>
      <c r="AG239" s="156"/>
      <c r="AH239" s="156"/>
      <c r="AI239" s="156"/>
      <c r="AJ239" s="156"/>
      <c r="AK239" s="156"/>
      <c r="AL239" s="156"/>
      <c r="AM239" s="156"/>
      <c r="AN239" s="156"/>
      <c r="AO239" s="156"/>
      <c r="AP239" s="156"/>
      <c r="AQ239" s="156"/>
      <c r="AR239" s="156"/>
      <c r="AS239" s="156"/>
      <c r="AT239" s="156"/>
      <c r="AU239" s="156"/>
      <c r="AV239" s="156"/>
      <c r="AW239" s="156"/>
      <c r="AX239" s="156"/>
      <c r="AY239" s="156"/>
      <c r="AZ239" s="156"/>
      <c r="BA239" s="156"/>
      <c r="BB239" s="156"/>
      <c r="BC239" s="156"/>
      <c r="BD239" s="156"/>
      <c r="BE239" s="156"/>
      <c r="BF239" s="156"/>
      <c r="BG239" s="156"/>
      <c r="BH239" s="156"/>
      <c r="BI239" s="156"/>
    </row>
    <row r="240" ht="15.75" customHeight="1">
      <c r="A240" s="34"/>
      <c r="B240" s="27"/>
      <c r="C240" s="27"/>
      <c r="D240" s="7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  <c r="AA240" s="156"/>
      <c r="AB240" s="156"/>
      <c r="AC240" s="156"/>
      <c r="AD240" s="156"/>
      <c r="AE240" s="156"/>
      <c r="AF240" s="156"/>
      <c r="AG240" s="156"/>
      <c r="AH240" s="156"/>
      <c r="AI240" s="156"/>
      <c r="AJ240" s="156"/>
      <c r="AK240" s="156"/>
      <c r="AL240" s="156"/>
      <c r="AM240" s="156"/>
      <c r="AN240" s="156"/>
      <c r="AO240" s="156"/>
      <c r="AP240" s="156"/>
      <c r="AQ240" s="156"/>
      <c r="AR240" s="156"/>
      <c r="AS240" s="156"/>
      <c r="AT240" s="156"/>
      <c r="AU240" s="156"/>
      <c r="AV240" s="156"/>
      <c r="AW240" s="156"/>
      <c r="AX240" s="156"/>
      <c r="AY240" s="156"/>
      <c r="AZ240" s="156"/>
      <c r="BA240" s="156"/>
      <c r="BB240" s="156"/>
      <c r="BC240" s="156"/>
      <c r="BD240" s="156"/>
      <c r="BE240" s="156"/>
      <c r="BF240" s="156"/>
      <c r="BG240" s="156"/>
      <c r="BH240" s="156"/>
      <c r="BI240" s="156"/>
    </row>
    <row r="241" ht="15.75" customHeight="1">
      <c r="A241" s="34"/>
      <c r="B241" s="27"/>
      <c r="C241" s="27"/>
      <c r="D241" s="7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  <c r="AA241" s="156"/>
      <c r="AB241" s="156"/>
      <c r="AC241" s="156"/>
      <c r="AD241" s="156"/>
      <c r="AE241" s="156"/>
      <c r="AF241" s="156"/>
      <c r="AG241" s="156"/>
      <c r="AH241" s="156"/>
      <c r="AI241" s="156"/>
      <c r="AJ241" s="156"/>
      <c r="AK241" s="156"/>
      <c r="AL241" s="156"/>
      <c r="AM241" s="156"/>
      <c r="AN241" s="156"/>
      <c r="AO241" s="156"/>
      <c r="AP241" s="156"/>
      <c r="AQ241" s="156"/>
      <c r="AR241" s="156"/>
      <c r="AS241" s="156"/>
      <c r="AT241" s="156"/>
      <c r="AU241" s="156"/>
      <c r="AV241" s="156"/>
      <c r="AW241" s="156"/>
      <c r="AX241" s="156"/>
      <c r="AY241" s="156"/>
      <c r="AZ241" s="156"/>
      <c r="BA241" s="156"/>
      <c r="BB241" s="156"/>
      <c r="BC241" s="156"/>
      <c r="BD241" s="156"/>
      <c r="BE241" s="156"/>
      <c r="BF241" s="156"/>
      <c r="BG241" s="156"/>
      <c r="BH241" s="156"/>
      <c r="BI241" s="156"/>
    </row>
    <row r="242" ht="15.75" customHeight="1">
      <c r="A242" s="34"/>
      <c r="B242" s="27"/>
      <c r="C242" s="27"/>
      <c r="D242" s="7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  <c r="AA242" s="156"/>
      <c r="AB242" s="156"/>
      <c r="AC242" s="156"/>
      <c r="AD242" s="156"/>
      <c r="AE242" s="156"/>
      <c r="AF242" s="156"/>
      <c r="AG242" s="156"/>
      <c r="AH242" s="156"/>
      <c r="AI242" s="156"/>
      <c r="AJ242" s="156"/>
      <c r="AK242" s="156"/>
      <c r="AL242" s="156"/>
      <c r="AM242" s="156"/>
      <c r="AN242" s="156"/>
      <c r="AO242" s="156"/>
      <c r="AP242" s="156"/>
      <c r="AQ242" s="156"/>
      <c r="AR242" s="156"/>
      <c r="AS242" s="156"/>
      <c r="AT242" s="156"/>
      <c r="AU242" s="156"/>
      <c r="AV242" s="156"/>
      <c r="AW242" s="156"/>
      <c r="AX242" s="156"/>
      <c r="AY242" s="156"/>
      <c r="AZ242" s="156"/>
      <c r="BA242" s="156"/>
      <c r="BB242" s="156"/>
      <c r="BC242" s="156"/>
      <c r="BD242" s="156"/>
      <c r="BE242" s="156"/>
      <c r="BF242" s="156"/>
      <c r="BG242" s="156"/>
      <c r="BH242" s="156"/>
      <c r="BI242" s="156"/>
    </row>
    <row r="243" ht="15.75" customHeight="1">
      <c r="A243" s="34"/>
      <c r="B243" s="27"/>
      <c r="C243" s="27"/>
      <c r="D243" s="7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6"/>
      <c r="AH243" s="156"/>
      <c r="AI243" s="156"/>
      <c r="AJ243" s="156"/>
      <c r="AK243" s="156"/>
      <c r="AL243" s="156"/>
      <c r="AM243" s="156"/>
      <c r="AN243" s="156"/>
      <c r="AO243" s="156"/>
      <c r="AP243" s="156"/>
      <c r="AQ243" s="156"/>
      <c r="AR243" s="156"/>
      <c r="AS243" s="156"/>
      <c r="AT243" s="156"/>
      <c r="AU243" s="156"/>
      <c r="AV243" s="156"/>
      <c r="AW243" s="156"/>
      <c r="AX243" s="156"/>
      <c r="AY243" s="156"/>
      <c r="AZ243" s="156"/>
      <c r="BA243" s="156"/>
      <c r="BB243" s="156"/>
      <c r="BC243" s="156"/>
      <c r="BD243" s="156"/>
      <c r="BE243" s="156"/>
      <c r="BF243" s="156"/>
      <c r="BG243" s="156"/>
      <c r="BH243" s="156"/>
      <c r="BI243" s="156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4.43"/>
    <col customWidth="1" min="2" max="2" width="28.86"/>
    <col customWidth="1" min="3" max="3" width="14.43"/>
    <col customWidth="1" min="4" max="4" width="18.29"/>
    <col customWidth="1" min="5" max="6" width="14.43"/>
    <col customWidth="1" min="8" max="8" width="16.71"/>
  </cols>
  <sheetData>
    <row r="1">
      <c r="A1" s="254"/>
      <c r="B1" s="21" t="s">
        <v>309</v>
      </c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140"/>
    </row>
    <row r="2">
      <c r="A2" s="246" t="s">
        <v>60</v>
      </c>
      <c r="B2" s="246" t="s">
        <v>310</v>
      </c>
      <c r="C2" s="246" t="s">
        <v>311</v>
      </c>
      <c r="D2" s="246" t="s">
        <v>312</v>
      </c>
      <c r="E2" s="246" t="s">
        <v>172</v>
      </c>
      <c r="F2" s="246" t="s">
        <v>313</v>
      </c>
      <c r="G2" s="246" t="s">
        <v>314</v>
      </c>
      <c r="H2" s="246" t="s">
        <v>315</v>
      </c>
      <c r="I2" s="153">
        <v>45658.0</v>
      </c>
      <c r="J2" s="153">
        <v>45689.0</v>
      </c>
      <c r="K2" s="153">
        <v>45717.0</v>
      </c>
      <c r="L2" s="153">
        <v>45748.0</v>
      </c>
      <c r="M2" s="153">
        <v>45778.0</v>
      </c>
      <c r="N2" s="153">
        <v>45809.0</v>
      </c>
      <c r="O2" s="153">
        <v>45839.0</v>
      </c>
      <c r="P2" s="153">
        <v>45870.0</v>
      </c>
      <c r="Q2" s="153">
        <v>45901.0</v>
      </c>
      <c r="R2" s="153">
        <v>45931.0</v>
      </c>
      <c r="S2" s="153">
        <v>45962.0</v>
      </c>
      <c r="T2" s="153">
        <v>45992.0</v>
      </c>
      <c r="U2" s="153">
        <v>46023.0</v>
      </c>
      <c r="V2" s="153">
        <v>46054.0</v>
      </c>
      <c r="W2" s="153">
        <v>46082.0</v>
      </c>
      <c r="X2" s="153">
        <v>46113.0</v>
      </c>
      <c r="Y2" s="153">
        <v>46143.0</v>
      </c>
      <c r="Z2" s="153">
        <v>46174.0</v>
      </c>
      <c r="AA2" s="153">
        <v>46204.0</v>
      </c>
      <c r="AB2" s="153">
        <v>46235.0</v>
      </c>
      <c r="AC2" s="153">
        <v>46266.0</v>
      </c>
      <c r="AD2" s="153">
        <v>46296.0</v>
      </c>
      <c r="AE2" s="153">
        <v>46327.0</v>
      </c>
      <c r="AF2" s="153">
        <v>46357.0</v>
      </c>
      <c r="AG2" s="153">
        <v>46388.0</v>
      </c>
      <c r="AH2" s="153">
        <v>46419.0</v>
      </c>
      <c r="AI2" s="153">
        <v>46447.0</v>
      </c>
      <c r="AJ2" s="153">
        <v>46478.0</v>
      </c>
      <c r="AK2" s="153">
        <v>46508.0</v>
      </c>
      <c r="AL2" s="153">
        <v>46539.0</v>
      </c>
      <c r="AM2" s="153">
        <v>46569.0</v>
      </c>
      <c r="AN2" s="153">
        <v>46600.0</v>
      </c>
      <c r="AO2" s="153">
        <v>46631.0</v>
      </c>
      <c r="AP2" s="153">
        <v>46661.0</v>
      </c>
      <c r="AQ2" s="153">
        <v>46692.0</v>
      </c>
      <c r="AR2" s="153">
        <v>46722.0</v>
      </c>
      <c r="AS2" s="153">
        <v>46753.0</v>
      </c>
      <c r="AT2" s="153">
        <v>46784.0</v>
      </c>
      <c r="AU2" s="153">
        <v>46813.0</v>
      </c>
      <c r="AV2" s="153">
        <v>46844.0</v>
      </c>
      <c r="AW2" s="153">
        <v>46874.0</v>
      </c>
      <c r="AX2" s="153">
        <v>46905.0</v>
      </c>
      <c r="AY2" s="153">
        <v>46935.0</v>
      </c>
      <c r="AZ2" s="153">
        <v>46966.0</v>
      </c>
      <c r="BA2" s="153">
        <v>46997.0</v>
      </c>
      <c r="BB2" s="153">
        <v>47027.0</v>
      </c>
      <c r="BC2" s="153">
        <v>47058.0</v>
      </c>
      <c r="BD2" s="153">
        <v>47088.0</v>
      </c>
      <c r="BE2" s="153">
        <v>47119.0</v>
      </c>
      <c r="BF2" s="153">
        <v>47150.0</v>
      </c>
      <c r="BG2" s="153">
        <v>47178.0</v>
      </c>
      <c r="BH2" s="153">
        <v>47209.0</v>
      </c>
      <c r="BI2" s="153">
        <v>47239.0</v>
      </c>
      <c r="BJ2" s="153">
        <v>47270.0</v>
      </c>
      <c r="BK2" s="153">
        <v>47300.0</v>
      </c>
      <c r="BL2" s="153">
        <v>47331.0</v>
      </c>
      <c r="BM2" s="153">
        <v>47362.0</v>
      </c>
      <c r="BN2" s="153">
        <v>47392.0</v>
      </c>
      <c r="BO2" s="153">
        <v>47423.0</v>
      </c>
      <c r="BP2" s="153">
        <v>47453.0</v>
      </c>
      <c r="BQ2" s="41"/>
    </row>
    <row r="3">
      <c r="A3" s="255">
        <v>1.0</v>
      </c>
      <c r="B3" s="256" t="s">
        <v>316</v>
      </c>
      <c r="C3" s="23" t="s">
        <v>149</v>
      </c>
      <c r="D3" s="257" t="s">
        <v>317</v>
      </c>
      <c r="E3" s="23" t="s">
        <v>318</v>
      </c>
      <c r="F3" s="258">
        <v>45901.0</v>
      </c>
      <c r="G3" s="259"/>
      <c r="H3" s="260">
        <v>5500.0</v>
      </c>
      <c r="I3" s="261">
        <f>IF(AND(F3&lt;=DATE(2025,1,1),OR(G3="",G3&gt;=DATE(2025,1,1))),H3*(1+Assumptions!$C$7)^0,0)</f>
        <v>0</v>
      </c>
      <c r="J3" s="261">
        <f>IF(AND(F3&lt;=DATE(2025,2,1),OR(G3="",G3&gt;=DATE(2025,2,1))),H3*(1+Assumptions!$C$7)^0,0)</f>
        <v>0</v>
      </c>
      <c r="K3" s="261">
        <f>IF(AND(F3&lt;=DATE(2025,3,1),OR(G3="",G3&gt;=DATE(2025,3,1))),H3*(1+Assumptions!$C$7)^0,0)</f>
        <v>0</v>
      </c>
      <c r="L3" s="261">
        <f>IF(AND(F3&lt;=DATE(2025,4,1),OR(G3="",G3&gt;=DATE(2025,4,1))),H3*(1+Assumptions!$C$7)^0,0)</f>
        <v>0</v>
      </c>
      <c r="M3" s="261">
        <f>IF(AND(F3&lt;=DATE(2025,5,1),OR(G3="",G3&gt;=DATE(2025,5,1))),H3*(1+Assumptions!$C$7)^0,0)</f>
        <v>0</v>
      </c>
      <c r="N3" s="261">
        <f>IF(AND(F3&lt;=DATE(2025,6,1),OR(G3="",G3&gt;=DATE(2025,6,1))),H3*(1+Assumptions!$C$7)^0,0)</f>
        <v>0</v>
      </c>
      <c r="O3" s="261">
        <f>IF(AND(F3&lt;=DATE(2025,7,1),OR(G3="",G3&gt;=DATE(2025,7,1))),H3*(1+Assumptions!$C$7)^0,0)</f>
        <v>0</v>
      </c>
      <c r="P3" s="261">
        <f>IF(AND(F3&lt;=DATE(2025,8,1),OR(G3="",G3&gt;=DATE(2025,8,1))),H3*(1+Assumptions!$C$7)^0,0)</f>
        <v>0</v>
      </c>
      <c r="Q3" s="261">
        <f>IF(AND(F3&lt;=DATE(2025,9,1),OR(G3="",G3&gt;=DATE(2025,9,1))),H3*(1+Assumptions!$C$7)^0,0)</f>
        <v>5500</v>
      </c>
      <c r="R3" s="261">
        <f>IF(AND(F3&lt;=DATE(2025,10,1),OR(G3="",G3&gt;=DATE(2025,10,1))),H3*(1+Assumptions!$C$7)^0,0)</f>
        <v>5500</v>
      </c>
      <c r="S3" s="261">
        <f>IF(AND(F3&lt;=DATE(2025,11,1),OR(G3="",G3&gt;=DATE(2025,11,1))),H3*(1+Assumptions!$C$7)^0,0)</f>
        <v>5500</v>
      </c>
      <c r="T3" s="261">
        <f>IF(AND(F3&lt;=DATE(2025,12,1),OR(G3="",G3&gt;=DATE(2025,12,1))),H3*(1+Assumptions!$C$7)^0,0)</f>
        <v>5500</v>
      </c>
      <c r="U3" s="261">
        <f>IF(AND(F3&lt;=DATE(2026,1,1),OR(G3="",G3&gt;=DATE(2026,1,1))),H3*(1+Assumptions!$C$7)^1,0)</f>
        <v>5940</v>
      </c>
      <c r="V3" s="261">
        <f>IF(AND(F3&lt;=DATE(2026,2,1),OR(G3="",G3&gt;=DATE(2026,2,1))),H3*(1+Assumptions!$C$7)^1,0)</f>
        <v>5940</v>
      </c>
      <c r="W3" s="261">
        <f>IF(AND(F3&lt;=DATE(2026,3,1),OR(G3="",G3&gt;=DATE(2026,3,1))),H3*(1+Assumptions!$C$7)^1,0)</f>
        <v>5940</v>
      </c>
      <c r="X3" s="261">
        <f>IF(AND(F3&lt;=DATE(2026,4,1),OR(G3="",G3&gt;=DATE(2026,4,1))),H3*(1+Assumptions!$C$7)^1,0)</f>
        <v>5940</v>
      </c>
      <c r="Y3" s="261">
        <f>IF(AND(F3&lt;=DATE(2026,5,1),OR(G3="",G3&gt;=DATE(2026,5,1))),H3*(1+Assumptions!$C$7)^1,0)</f>
        <v>5940</v>
      </c>
      <c r="Z3" s="261">
        <f>IF(AND(F3&lt;=DATE(2026,6,1),OR(G3="",G3&gt;=DATE(2026,6,1))),H3*(1+Assumptions!$C$7)^1,0)</f>
        <v>5940</v>
      </c>
      <c r="AA3" s="261">
        <f>IF(AND(F3&lt;=DATE(2026,7,1),OR(G3="",G3&gt;=DATE(2026,7,1))),H3*(1+Assumptions!$C$7)^1,0)</f>
        <v>5940</v>
      </c>
      <c r="AB3" s="261">
        <f>IF(AND(F3&lt;=DATE(2026,8,1),OR(G3="",G3&gt;=DATE(2026,8,1))),H3*(1+Assumptions!$C$7)^1,0)</f>
        <v>5940</v>
      </c>
      <c r="AC3" s="261">
        <f>IF(AND(F3&lt;=DATE(2026,9,1),OR(G3="",G3&gt;=DATE(2026,9,1))),H3*(1+Assumptions!$C$7)^1,0)</f>
        <v>5940</v>
      </c>
      <c r="AD3" s="261">
        <f>IF(AND(F3&lt;=DATE(2026,10,1),OR(G3="",G3&gt;=DATE(2026,10,1))),H3*(1+Assumptions!$C$7)^1,0)</f>
        <v>5940</v>
      </c>
      <c r="AE3" s="261">
        <f>IF(AND(F3&lt;=DATE(2026,11,1),OR(G3="",G3&gt;=DATE(2026,11,1))),H3*(1+Assumptions!$C$7)^1,0)</f>
        <v>5940</v>
      </c>
      <c r="AF3" s="261">
        <f>IF(AND(F3&lt;=DATE(2026,12,1),OR(G3="",G3&gt;=DATE(2026,12,1))),H3*(1+Assumptions!$C$7)^1,0)</f>
        <v>5940</v>
      </c>
      <c r="AG3" s="261">
        <f>IF(AND(F3&lt;=DATE(2027,1,1),OR(G3="",G3&gt;=DATE(2027,1,1))),H3*(1+Assumptions!$C$7)^2,0)</f>
        <v>6415.2</v>
      </c>
      <c r="AH3" s="261">
        <f>IF(AND(F3&lt;=DATE(2027,2,1),OR(G3="",G3&gt;=DATE(2027,2,1))),H3*(1+Assumptions!$C$7)^2,0)</f>
        <v>6415.2</v>
      </c>
      <c r="AI3" s="261">
        <f>IF(AND(F3&lt;=DATE(2027,3,1),OR(G3="",G3&gt;=DATE(2027,3,1))),H3*(1+Assumptions!$C$7)^2,0)</f>
        <v>6415.2</v>
      </c>
      <c r="AJ3" s="261">
        <f>IF(AND(F3&lt;=DATE(2027,4,1),OR(G3="",G3&gt;=DATE(2027,4,1))),H3*(1+Assumptions!$C$7)^2,0)</f>
        <v>6415.2</v>
      </c>
      <c r="AK3" s="261">
        <f>IF(AND(F3&lt;=DATE(2027,5,1),OR(G3="",G3&gt;=DATE(2027,5,1))),H3*(1+Assumptions!$C$7)^2,0)</f>
        <v>6415.2</v>
      </c>
      <c r="AL3" s="261">
        <f>IF(AND(F3&lt;=DATE(2027,6,1),OR(G3="",G3&gt;=DATE(2027,6,1))),H3*(1+Assumptions!$C$7)^2,0)</f>
        <v>6415.2</v>
      </c>
      <c r="AM3" s="261">
        <f>IF(AND(F3&lt;=DATE(2027,7,1),OR(G3="",G3&gt;=DATE(2027,7,1))),H3*(1+Assumptions!$C$7)^2,0)</f>
        <v>6415.2</v>
      </c>
      <c r="AN3" s="261">
        <f>IF(AND(F3&lt;=DATE(2027,8,1),OR(G3="",G3&gt;=DATE(2027,8,1))),H3*(1+Assumptions!$C$7)^2,0)</f>
        <v>6415.2</v>
      </c>
      <c r="AO3" s="261">
        <f>IF(AND(F3&lt;=DATE(2027,9,1),OR(G3="",G3&gt;=DATE(2027,9,1))),H3*(1+Assumptions!$C$7)^2,0)</f>
        <v>6415.2</v>
      </c>
      <c r="AP3" s="261">
        <f>IF(AND(F3&lt;=DATE(2027,10,1),OR(G3="",G3&gt;=DATE(2027,10,1))),H3*(1+Assumptions!$C$7)^2,0)</f>
        <v>6415.2</v>
      </c>
      <c r="AQ3" s="261">
        <f>IF(AND(F3&lt;=DATE(2027,11,1),OR(G3="",G3&gt;=DATE(2027,11,1))),H3*(1+Assumptions!$C$7)^2,0)</f>
        <v>6415.2</v>
      </c>
      <c r="AR3" s="261">
        <f>IF(AND(F3&lt;=DATE(2027,12,1),OR(G3="",G3&gt;=DATE(2027,12,1))),H3*(1+Assumptions!$C$7)^2,0)</f>
        <v>6415.2</v>
      </c>
      <c r="AS3" s="261">
        <f>IF(AND(F3&lt;=DATE(2028,1,1),OR(G3="",G3&gt;=DATE(2028,1,1))),H3*(1+Assumptions!$C$7)^3,0)</f>
        <v>6928.416</v>
      </c>
      <c r="AT3" s="261">
        <f>IF(AND(F3&lt;=DATE(2028,2,1),OR(G3="",G3&gt;=DATE(2028,2,1))),H3*(1+Assumptions!$C$7)^3,0)</f>
        <v>6928.416</v>
      </c>
      <c r="AU3" s="261">
        <f>IF(AND(F3&lt;=DATE(2028,3,1),OR(G3="",G3&gt;=DATE(2028,3,1))),H3*(1+Assumptions!$C$7)^3,0)</f>
        <v>6928.416</v>
      </c>
      <c r="AV3" s="261">
        <f>IF(AND(F3&lt;=DATE(2028,4,1),OR(G3="",G3&gt;=DATE(2028,4,1))),H3*(1+Assumptions!$C$7)^3,0)</f>
        <v>6928.416</v>
      </c>
      <c r="AW3" s="261">
        <f>IF(AND(F3&lt;=DATE(2028,5,1),OR(G3="",G3&gt;=DATE(2028,5,1))),H3*(1+Assumptions!$C$7)^3,0)</f>
        <v>6928.416</v>
      </c>
      <c r="AX3" s="261">
        <f>IF(AND(F3&lt;=DATE(2028,6,1),OR(G3="",G3&gt;=DATE(2028,6,1))),H3*(1+Assumptions!$C$7)^3,0)</f>
        <v>6928.416</v>
      </c>
      <c r="AY3" s="261">
        <f>IF(AND(F3&lt;=DATE(2028,7,1),OR(G3="",G3&gt;=DATE(2028,7,1))),H3*(1+Assumptions!$C$7)^3,0)</f>
        <v>6928.416</v>
      </c>
      <c r="AZ3" s="261">
        <f>IF(AND(F3&lt;=DATE(2028,8,1),OR(G3="",G3&gt;=DATE(2028,8,1))),H3*(1+Assumptions!$C$7)^3,0)</f>
        <v>6928.416</v>
      </c>
      <c r="BA3" s="261">
        <f>IF(AND(F3&lt;=DATE(2028,9,1),OR(G3="",G3&gt;=DATE(2028,9,1))),H3*(1+Assumptions!$C$7)^3,0)</f>
        <v>6928.416</v>
      </c>
      <c r="BB3" s="261">
        <f>IF(AND(F3&lt;=DATE(2028,10,1),OR(G3="",G3&gt;=DATE(2028,10,1))),H3*(1+Assumptions!$C$7)^3,0)</f>
        <v>6928.416</v>
      </c>
      <c r="BC3" s="261">
        <f>IF(AND(F3&lt;=DATE(2028,11,1),OR(G3="",G3&gt;=DATE(2028,11,1))),H3*(1+Assumptions!$C$7)^3,0)</f>
        <v>6928.416</v>
      </c>
      <c r="BD3" s="261">
        <f>IF(AND(F3&lt;=DATE(2028,12,1),OR(G3="",G3&gt;=DATE(2028,12,1))),H3*(1+Assumptions!$C$7)^3,0)</f>
        <v>6928.416</v>
      </c>
      <c r="BE3" s="261">
        <f>IF(AND(G3&lt;=DATE(2028,12,1),OR(H3="",H3&gt;=DATE(2028,12,1))),I3*(1+Assumptions!$C$7)^3,0)</f>
        <v>0</v>
      </c>
      <c r="BF3" s="261">
        <f>IF(AND(H3&lt;=DATE(2028,12,1),OR(I3="",I3&gt;=DATE(2028,12,1))),J3*(1+Assumptions!$C$7)^3,0)</f>
        <v>0</v>
      </c>
      <c r="BG3" s="261">
        <f>IF(AND(I3&lt;=DATE(2028,12,1),OR(J3="",J3&gt;=DATE(2028,12,1))),K3*(1+Assumptions!$C$7)^3,0)</f>
        <v>0</v>
      </c>
      <c r="BH3" s="261">
        <f>IF(AND(J3&lt;=DATE(2028,12,1),OR(K3="",K3&gt;=DATE(2028,12,1))),L3*(1+Assumptions!$C$7)^3,0)</f>
        <v>0</v>
      </c>
      <c r="BI3" s="261">
        <f>IF(AND(K3&lt;=DATE(2028,12,1),OR(L3="",L3&gt;=DATE(2028,12,1))),M3*(1+Assumptions!$C$7)^3,0)</f>
        <v>0</v>
      </c>
      <c r="BJ3" s="261">
        <f>IF(AND(L3&lt;=DATE(2028,12,1),OR(M3="",M3&gt;=DATE(2028,12,1))),N3*(1+Assumptions!$C$7)^3,0)</f>
        <v>0</v>
      </c>
      <c r="BK3" s="261">
        <f>IF(AND(M3&lt;=DATE(2028,12,1),OR(N3="",N3&gt;=DATE(2028,12,1))),O3*(1+Assumptions!$C$7)^3,0)</f>
        <v>0</v>
      </c>
      <c r="BL3" s="261">
        <f>IF(AND(N3&lt;=DATE(2028,12,1),OR(O3="",O3&gt;=DATE(2028,12,1))),P3*(1+Assumptions!$C$7)^3,0)</f>
        <v>0</v>
      </c>
      <c r="BM3" s="261">
        <f>IF(AND(O3&lt;=DATE(2028,12,1),OR(P3="",P3&gt;=DATE(2028,12,1))),Q3*(1+Assumptions!$C$7)^3,0)</f>
        <v>0</v>
      </c>
      <c r="BN3" s="261">
        <f>IF(AND(P3&lt;=DATE(2028,12,1),OR(Q3="",Q3&gt;=DATE(2028,12,1))),R3*(1+Assumptions!$C$7)^3,0)</f>
        <v>0</v>
      </c>
      <c r="BO3" s="261">
        <f>IF(AND(Q3&lt;=DATE(2028,12,1),OR(R3="",R3&gt;=DATE(2028,12,1))),S3*(1+Assumptions!$C$7)^3,0)</f>
        <v>0</v>
      </c>
      <c r="BP3" s="261">
        <f>IF(AND(R3&lt;=DATE(2028,12,1),OR(S3="",S3&gt;=DATE(2028,12,1))),T3*(1+Assumptions!$C$7)^3,0)</f>
        <v>0</v>
      </c>
      <c r="BQ3" s="262"/>
    </row>
    <row r="4">
      <c r="A4" s="263">
        <v>2.0</v>
      </c>
      <c r="B4" s="256" t="s">
        <v>319</v>
      </c>
      <c r="C4" s="257" t="s">
        <v>149</v>
      </c>
      <c r="D4" s="257" t="s">
        <v>316</v>
      </c>
      <c r="E4" s="264" t="s">
        <v>318</v>
      </c>
      <c r="F4" s="258">
        <v>45901.0</v>
      </c>
      <c r="G4" s="265"/>
      <c r="H4" s="260">
        <v>7500.0</v>
      </c>
      <c r="I4" s="266">
        <f>IF(AND(F4&lt;=DATE(2025,1,1),OR(G4="",G4&gt;=DATE(2025,1,1))),H4*(1+Assumptions!$C$7)^0,0)</f>
        <v>0</v>
      </c>
      <c r="J4" s="266">
        <f>IF(AND(F4&lt;=DATE(2025,2,1),OR(G4="",G4&gt;=DATE(2025,2,1))),H4*(1+Assumptions!$C$7)^0,0)</f>
        <v>0</v>
      </c>
      <c r="K4" s="266">
        <f>IF(AND(F4&lt;=DATE(2025,3,1),OR(G4="",G4&gt;=DATE(2025,3,1))),H4*(1+Assumptions!$C$7)^0,0)</f>
        <v>0</v>
      </c>
      <c r="L4" s="266">
        <f>IF(AND(F4&lt;=DATE(2025,4,1),OR(G4="",G4&gt;=DATE(2025,4,1))),H4*(1+Assumptions!$C$7)^0,0)</f>
        <v>0</v>
      </c>
      <c r="M4" s="266">
        <f>IF(AND(F4&lt;=DATE(2025,5,1),OR(G4="",G4&gt;=DATE(2025,5,1))),H4*(1+Assumptions!$C$7)^0,0)</f>
        <v>0</v>
      </c>
      <c r="N4" s="266">
        <f>IF(AND(F4&lt;=DATE(2025,6,1),OR(G4="",G4&gt;=DATE(2025,6,1))),H4*(1+Assumptions!$C$7)^0,0)</f>
        <v>0</v>
      </c>
      <c r="O4" s="266">
        <f>IF(AND(F4&lt;=DATE(2025,7,1),OR(G4="",G4&gt;=DATE(2025,7,1))),H4*(1+Assumptions!$C$7)^0,0)</f>
        <v>0</v>
      </c>
      <c r="P4" s="266">
        <f>IF(AND(F4&lt;=DATE(2025,8,1),OR(G4="",G4&gt;=DATE(2025,8,1))),H4*(1+Assumptions!$C$7)^0,0)</f>
        <v>0</v>
      </c>
      <c r="Q4" s="266">
        <f>IF(AND(F4&lt;=DATE(2025,9,1),OR(G4="",G4&gt;=DATE(2025,9,1))),H4*(1+Assumptions!$C$7)^0,0)</f>
        <v>7500</v>
      </c>
      <c r="R4" s="266">
        <f>IF(AND(F4&lt;=DATE(2025,10,1),OR(G4="",G4&gt;=DATE(2025,10,1))),H4*(1+Assumptions!$C$7)^0,0)</f>
        <v>7500</v>
      </c>
      <c r="S4" s="266">
        <f>IF(AND(F4&lt;=DATE(2025,11,1),OR(G4="",G4&gt;=DATE(2025,11,1))),H4*(1+Assumptions!$C$7)^0,0)</f>
        <v>7500</v>
      </c>
      <c r="T4" s="266">
        <f>IF(AND(F4&lt;=DATE(2025,12,1),OR(G4="",G4&gt;=DATE(2025,12,1))),H4*(1+Assumptions!$C$7)^0,0)</f>
        <v>7500</v>
      </c>
      <c r="U4" s="266">
        <f>IF(AND(F4&lt;=DATE(2026,1,1),OR(G4="",G4&gt;=DATE(2026,1,1))),H4*(1+Assumptions!$C$7)^1,0)</f>
        <v>8100</v>
      </c>
      <c r="V4" s="266">
        <f>IF(AND(F4&lt;=DATE(2026,2,1),OR(G4="",G4&gt;=DATE(2026,2,1))),H4*(1+Assumptions!$C$7)^1,0)</f>
        <v>8100</v>
      </c>
      <c r="W4" s="266">
        <f>IF(AND(F4&lt;=DATE(2026,3,1),OR(G4="",G4&gt;=DATE(2026,3,1))),H4*(1+Assumptions!$C$7)^1,0)</f>
        <v>8100</v>
      </c>
      <c r="X4" s="266">
        <f>IF(AND(F4&lt;=DATE(2026,4,1),OR(G4="",G4&gt;=DATE(2026,4,1))),H4*(1+Assumptions!$C$7)^1,0)</f>
        <v>8100</v>
      </c>
      <c r="Y4" s="266">
        <f>IF(AND(F4&lt;=DATE(2026,5,1),OR(G4="",G4&gt;=DATE(2026,5,1))),H4*(1+Assumptions!$C$7)^1,0)</f>
        <v>8100</v>
      </c>
      <c r="Z4" s="266">
        <f>IF(AND(F4&lt;=DATE(2026,6,1),OR(G4="",G4&gt;=DATE(2026,6,1))),H4*(1+Assumptions!$C$7)^1,0)</f>
        <v>8100</v>
      </c>
      <c r="AA4" s="266">
        <f>IF(AND(F4&lt;=DATE(2026,7,1),OR(G4="",G4&gt;=DATE(2026,7,1))),H4*(1+Assumptions!$C$7)^1,0)</f>
        <v>8100</v>
      </c>
      <c r="AB4" s="266">
        <f>IF(AND(F4&lt;=DATE(2026,8,1),OR(G4="",G4&gt;=DATE(2026,8,1))),H4*(1+Assumptions!$C$7)^1,0)</f>
        <v>8100</v>
      </c>
      <c r="AC4" s="266">
        <f>IF(AND(F4&lt;=DATE(2026,9,1),OR(G4="",G4&gt;=DATE(2026,9,1))),H4*(1+Assumptions!$C$7)^1,0)</f>
        <v>8100</v>
      </c>
      <c r="AD4" s="266">
        <f>IF(AND(F4&lt;=DATE(2026,10,1),OR(G4="",G4&gt;=DATE(2026,10,1))),H4*(1+Assumptions!$C$7)^1,0)</f>
        <v>8100</v>
      </c>
      <c r="AE4" s="266">
        <f>IF(AND(F4&lt;=DATE(2026,11,1),OR(G4="",G4&gt;=DATE(2026,11,1))),H4*(1+Assumptions!$C$7)^1,0)</f>
        <v>8100</v>
      </c>
      <c r="AF4" s="266">
        <f>IF(AND(F4&lt;=DATE(2026,12,1),OR(G4="",G4&gt;=DATE(2026,12,1))),H4*(1+Assumptions!$C$7)^1,0)</f>
        <v>8100</v>
      </c>
      <c r="AG4" s="266">
        <f>IF(AND(F4&lt;=DATE(2027,1,1),OR(G4="",G4&gt;=DATE(2027,1,1))),H4*(1+Assumptions!$C$7)^2,0)</f>
        <v>8748</v>
      </c>
      <c r="AH4" s="266">
        <f>IF(AND(F4&lt;=DATE(2027,2,1),OR(G4="",G4&gt;=DATE(2027,2,1))),H4*(1+Assumptions!$C$7)^2,0)</f>
        <v>8748</v>
      </c>
      <c r="AI4" s="266">
        <f>IF(AND(F4&lt;=DATE(2027,3,1),OR(G4="",G4&gt;=DATE(2027,3,1))),H4*(1+Assumptions!$C$7)^2,0)</f>
        <v>8748</v>
      </c>
      <c r="AJ4" s="266">
        <f>IF(AND(F4&lt;=DATE(2027,4,1),OR(G4="",G4&gt;=DATE(2027,4,1))),H4*(1+Assumptions!$C$7)^2,0)</f>
        <v>8748</v>
      </c>
      <c r="AK4" s="266">
        <f>IF(AND(F4&lt;=DATE(2027,5,1),OR(G4="",G4&gt;=DATE(2027,5,1))),H4*(1+Assumptions!$C$7)^2,0)</f>
        <v>8748</v>
      </c>
      <c r="AL4" s="266">
        <f>IF(AND(F4&lt;=DATE(2027,6,1),OR(G4="",G4&gt;=DATE(2027,6,1))),H4*(1+Assumptions!$C$7)^2,0)</f>
        <v>8748</v>
      </c>
      <c r="AM4" s="266">
        <f>IF(AND(F4&lt;=DATE(2027,7,1),OR(G4="",G4&gt;=DATE(2027,7,1))),H4*(1+Assumptions!$C$7)^2,0)</f>
        <v>8748</v>
      </c>
      <c r="AN4" s="266">
        <f>IF(AND(F4&lt;=DATE(2027,8,1),OR(G4="",G4&gt;=DATE(2027,8,1))),H4*(1+Assumptions!$C$7)^2,0)</f>
        <v>8748</v>
      </c>
      <c r="AO4" s="266">
        <f>IF(AND(F4&lt;=DATE(2027,9,1),OR(G4="",G4&gt;=DATE(2027,9,1))),H4*(1+Assumptions!$C$7)^2,0)</f>
        <v>8748</v>
      </c>
      <c r="AP4" s="266">
        <f>IF(AND(F4&lt;=DATE(2027,10,1),OR(G4="",G4&gt;=DATE(2027,10,1))),H4*(1+Assumptions!$C$7)^2,0)</f>
        <v>8748</v>
      </c>
      <c r="AQ4" s="266">
        <f>IF(AND(F4&lt;=DATE(2027,11,1),OR(G4="",G4&gt;=DATE(2027,11,1))),H4*(1+Assumptions!$C$7)^2,0)</f>
        <v>8748</v>
      </c>
      <c r="AR4" s="266">
        <f>IF(AND(F4&lt;=DATE(2027,12,1),OR(G4="",G4&gt;=DATE(2027,12,1))),H4*(1+Assumptions!$C$7)^2,0)</f>
        <v>8748</v>
      </c>
      <c r="AS4" s="266">
        <f>IF(AND(F4&lt;=DATE(2028,1,1),OR(G4="",G4&gt;=DATE(2028,1,1))),H4*(1+Assumptions!$C$7)^3,0)</f>
        <v>9447.84</v>
      </c>
      <c r="AT4" s="266">
        <f>IF(AND(F4&lt;=DATE(2028,2,1),OR(G4="",G4&gt;=DATE(2028,2,1))),H4*(1+Assumptions!$C$7)^3,0)</f>
        <v>9447.84</v>
      </c>
      <c r="AU4" s="266">
        <f>IF(AND(F4&lt;=DATE(2028,3,1),OR(G4="",G4&gt;=DATE(2028,3,1))),H4*(1+Assumptions!$C$7)^3,0)</f>
        <v>9447.84</v>
      </c>
      <c r="AV4" s="266">
        <f>IF(AND(F4&lt;=DATE(2028,4,1),OR(G4="",G4&gt;=DATE(2028,4,1))),H4*(1+Assumptions!$C$7)^3,0)</f>
        <v>9447.84</v>
      </c>
      <c r="AW4" s="266">
        <f>IF(AND(F4&lt;=DATE(2028,5,1),OR(G4="",G4&gt;=DATE(2028,5,1))),H4*(1+Assumptions!$C$7)^3,0)</f>
        <v>9447.84</v>
      </c>
      <c r="AX4" s="266">
        <f>IF(AND(F4&lt;=DATE(2028,6,1),OR(G4="",G4&gt;=DATE(2028,6,1))),H4*(1+Assumptions!$C$7)^3,0)</f>
        <v>9447.84</v>
      </c>
      <c r="AY4" s="266">
        <f>IF(AND(F4&lt;=DATE(2028,7,1),OR(G4="",G4&gt;=DATE(2028,7,1))),H4*(1+Assumptions!$C$7)^3,0)</f>
        <v>9447.84</v>
      </c>
      <c r="AZ4" s="266">
        <f>IF(AND(F4&lt;=DATE(2028,8,1),OR(G4="",G4&gt;=DATE(2028,8,1))),H4*(1+Assumptions!$C$7)^3,0)</f>
        <v>9447.84</v>
      </c>
      <c r="BA4" s="266">
        <f>IF(AND(F4&lt;=DATE(2028,9,1),OR(G4="",G4&gt;=DATE(2028,9,1))),H4*(1+Assumptions!$C$7)^3,0)</f>
        <v>9447.84</v>
      </c>
      <c r="BB4" s="266">
        <f>IF(AND(F4&lt;=DATE(2028,10,1),OR(G4="",G4&gt;=DATE(2028,10,1))),H4*(1+Assumptions!$C$7)^3,0)</f>
        <v>9447.84</v>
      </c>
      <c r="BC4" s="266">
        <f>IF(AND(F4&lt;=DATE(2028,11,1),OR(G4="",G4&gt;=DATE(2028,11,1))),H4*(1+Assumptions!$C$7)^3,0)</f>
        <v>9447.84</v>
      </c>
      <c r="BD4" s="266">
        <f>IF(AND(F4&lt;=DATE(2028,12,1),OR(G4="",G4&gt;=DATE(2028,12,1))),H4*(1+Assumptions!$C$7)^3,0)</f>
        <v>9447.84</v>
      </c>
      <c r="BE4" s="266">
        <f>IF(AND(G4&lt;=DATE(2028,12,1),OR(H4="",H4&gt;=DATE(2028,12,1))),I4*(1+Assumptions!$C$7)^3,0)</f>
        <v>0</v>
      </c>
      <c r="BF4" s="266">
        <f>IF(AND(H4&lt;=DATE(2028,12,1),OR(I4="",I4&gt;=DATE(2028,12,1))),J4*(1+Assumptions!$C$7)^3,0)</f>
        <v>0</v>
      </c>
      <c r="BG4" s="266">
        <f>IF(AND(I4&lt;=DATE(2028,12,1),OR(J4="",J4&gt;=DATE(2028,12,1))),K4*(1+Assumptions!$C$7)^3,0)</f>
        <v>0</v>
      </c>
      <c r="BH4" s="266">
        <f>IF(AND(J4&lt;=DATE(2028,12,1),OR(K4="",K4&gt;=DATE(2028,12,1))),L4*(1+Assumptions!$C$7)^3,0)</f>
        <v>0</v>
      </c>
      <c r="BI4" s="266">
        <f>IF(AND(K4&lt;=DATE(2028,12,1),OR(L4="",L4&gt;=DATE(2028,12,1))),M4*(1+Assumptions!$C$7)^3,0)</f>
        <v>0</v>
      </c>
      <c r="BJ4" s="266">
        <f>IF(AND(L4&lt;=DATE(2028,12,1),OR(M4="",M4&gt;=DATE(2028,12,1))),N4*(1+Assumptions!$C$7)^3,0)</f>
        <v>0</v>
      </c>
      <c r="BK4" s="266">
        <f>IF(AND(M4&lt;=DATE(2028,12,1),OR(N4="",N4&gt;=DATE(2028,12,1))),O4*(1+Assumptions!$C$7)^3,0)</f>
        <v>0</v>
      </c>
      <c r="BL4" s="266">
        <f>IF(AND(N4&lt;=DATE(2028,12,1),OR(O4="",O4&gt;=DATE(2028,12,1))),P4*(1+Assumptions!$C$7)^3,0)</f>
        <v>0</v>
      </c>
      <c r="BM4" s="266">
        <f>IF(AND(O4&lt;=DATE(2028,12,1),OR(P4="",P4&gt;=DATE(2028,12,1))),Q4*(1+Assumptions!$C$7)^3,0)</f>
        <v>0</v>
      </c>
      <c r="BN4" s="266">
        <f>IF(AND(P4&lt;=DATE(2028,12,1),OR(Q4="",Q4&gt;=DATE(2028,12,1))),R4*(1+Assumptions!$C$7)^3,0)</f>
        <v>0</v>
      </c>
      <c r="BO4" s="266">
        <f>IF(AND(Q4&lt;=DATE(2028,12,1),OR(R4="",R4&gt;=DATE(2028,12,1))),S4*(1+Assumptions!$C$7)^3,0)</f>
        <v>0</v>
      </c>
      <c r="BP4" s="266">
        <f>IF(AND(R4&lt;=DATE(2028,12,1),OR(S4="",S4&gt;=DATE(2028,12,1))),T4*(1+Assumptions!$C$7)^3,0)</f>
        <v>0</v>
      </c>
      <c r="BQ4" s="105"/>
    </row>
    <row r="5">
      <c r="A5" s="267">
        <v>3.0</v>
      </c>
      <c r="B5" s="256" t="s">
        <v>316</v>
      </c>
      <c r="C5" s="23" t="s">
        <v>149</v>
      </c>
      <c r="D5" s="23" t="s">
        <v>316</v>
      </c>
      <c r="E5" s="268" t="s">
        <v>318</v>
      </c>
      <c r="F5" s="258">
        <v>45901.0</v>
      </c>
      <c r="G5" s="269"/>
      <c r="H5" s="260">
        <v>3000.0</v>
      </c>
      <c r="I5" s="261">
        <f>IF(AND(F5&lt;=DATE(2025,1,1),OR(G5="",G5&gt;=DATE(2025,1,1))),H5*(1+Assumptions!$C$7)^0,0)</f>
        <v>0</v>
      </c>
      <c r="J5" s="261">
        <f>IF(AND(F5&lt;=DATE(2025,2,1),OR(G5="",G5&gt;=DATE(2025,2,1))),H5*(1+Assumptions!$C$7)^0,0)</f>
        <v>0</v>
      </c>
      <c r="K5" s="261">
        <f>IF(AND(F5&lt;=DATE(2025,3,1),OR(G5="",G5&gt;=DATE(2025,3,1))),H5*(1+Assumptions!$C$7)^0,0)</f>
        <v>0</v>
      </c>
      <c r="L5" s="261">
        <f>IF(AND(F5&lt;=DATE(2025,4,1),OR(G5="",G5&gt;=DATE(2025,4,1))),H5*(1+Assumptions!$C$7)^0,0)</f>
        <v>0</v>
      </c>
      <c r="M5" s="261">
        <f>IF(AND(F5&lt;=DATE(2025,5,1),OR(G5="",G5&gt;=DATE(2025,5,1))),H5*(1+Assumptions!$C$7)^0,0)</f>
        <v>0</v>
      </c>
      <c r="N5" s="261">
        <f>IF(AND(F5&lt;=DATE(2025,6,1),OR(G5="",G5&gt;=DATE(2025,6,1))),H5*(1+Assumptions!$C$7)^0,0)</f>
        <v>0</v>
      </c>
      <c r="O5" s="261">
        <f>IF(AND(F5&lt;=DATE(2025,7,1),OR(G5="",G5&gt;=DATE(2025,7,1))),H5*(1+Assumptions!$C$7)^0,0)</f>
        <v>0</v>
      </c>
      <c r="P5" s="261">
        <f>IF(AND(F5&lt;=DATE(2025,8,1),OR(G5="",G5&gt;=DATE(2025,8,1))),H5*(1+Assumptions!$C$7)^0,0)</f>
        <v>0</v>
      </c>
      <c r="Q5" s="261">
        <f>IF(AND(F5&lt;=DATE(2025,9,1),OR(G5="",G5&gt;=DATE(2025,9,1))),H5*(1+Assumptions!$C$7)^0,0)</f>
        <v>3000</v>
      </c>
      <c r="R5" s="261">
        <f>IF(AND(F5&lt;=DATE(2025,10,1),OR(G5="",G5&gt;=DATE(2025,10,1))),H5*(1+Assumptions!$C$7)^0,0)</f>
        <v>3000</v>
      </c>
      <c r="S5" s="261">
        <f>IF(AND(F5&lt;=DATE(2025,11,1),OR(G5="",G5&gt;=DATE(2025,11,1))),H5*(1+Assumptions!$C$7)^0,0)</f>
        <v>3000</v>
      </c>
      <c r="T5" s="261">
        <f>IF(AND(F5&lt;=DATE(2025,12,1),OR(G5="",G5&gt;=DATE(2025,12,1))),H5*(1+Assumptions!$C$7)^0,0)</f>
        <v>3000</v>
      </c>
      <c r="U5" s="261">
        <f>IF(AND(F5&lt;=DATE(2026,1,1),OR(G5="",G5&gt;=DATE(2026,1,1))),H5*(1+Assumptions!$C$7)^1,0)</f>
        <v>3240</v>
      </c>
      <c r="V5" s="261">
        <f>IF(AND(F5&lt;=DATE(2026,2,1),OR(G5="",G5&gt;=DATE(2026,2,1))),H5*(1+Assumptions!$C$7)^1,0)</f>
        <v>3240</v>
      </c>
      <c r="W5" s="261">
        <f>IF(AND(F5&lt;=DATE(2026,3,1),OR(G5="",G5&gt;=DATE(2026,3,1))),H5*(1+Assumptions!$C$7)^1,0)</f>
        <v>3240</v>
      </c>
      <c r="X5" s="261">
        <f>IF(AND(F5&lt;=DATE(2026,4,1),OR(G5="",G5&gt;=DATE(2026,4,1))),H5*(1+Assumptions!$C$7)^1,0)</f>
        <v>3240</v>
      </c>
      <c r="Y5" s="261">
        <f>IF(AND(F5&lt;=DATE(2026,5,1),OR(G5="",G5&gt;=DATE(2026,5,1))),H5*(1+Assumptions!$C$7)^1,0)</f>
        <v>3240</v>
      </c>
      <c r="Z5" s="261">
        <f>IF(AND(F5&lt;=DATE(2026,6,1),OR(G5="",G5&gt;=DATE(2026,6,1))),H5*(1+Assumptions!$C$7)^1,0)</f>
        <v>3240</v>
      </c>
      <c r="AA5" s="261">
        <f>IF(AND(F5&lt;=DATE(2026,7,1),OR(G5="",G5&gt;=DATE(2026,7,1))),H5*(1+Assumptions!$C$7)^1,0)</f>
        <v>3240</v>
      </c>
      <c r="AB5" s="261">
        <f>IF(AND(F5&lt;=DATE(2026,8,1),OR(G5="",G5&gt;=DATE(2026,8,1))),H5*(1+Assumptions!$C$7)^1,0)</f>
        <v>3240</v>
      </c>
      <c r="AC5" s="261">
        <f>IF(AND(F5&lt;=DATE(2026,9,1),OR(G5="",G5&gt;=DATE(2026,9,1))),H5*(1+Assumptions!$C$7)^1,0)</f>
        <v>3240</v>
      </c>
      <c r="AD5" s="261">
        <f>IF(AND(F5&lt;=DATE(2026,10,1),OR(G5="",G5&gt;=DATE(2026,10,1))),H5*(1+Assumptions!$C$7)^1,0)</f>
        <v>3240</v>
      </c>
      <c r="AE5" s="261">
        <f>IF(AND(F5&lt;=DATE(2026,11,1),OR(G5="",G5&gt;=DATE(2026,11,1))),H5*(1+Assumptions!$C$7)^1,0)</f>
        <v>3240</v>
      </c>
      <c r="AF5" s="261">
        <f>IF(AND(F5&lt;=DATE(2026,12,1),OR(G5="",G5&gt;=DATE(2026,12,1))),H5*(1+Assumptions!$C$7)^1,0)</f>
        <v>3240</v>
      </c>
      <c r="AG5" s="261">
        <f>IF(AND(F5&lt;=DATE(2027,1,1),OR(G5="",G5&gt;=DATE(2027,1,1))),H5*(1+Assumptions!$C$7)^2,0)</f>
        <v>3499.2</v>
      </c>
      <c r="AH5" s="261">
        <f>IF(AND(F5&lt;=DATE(2027,2,1),OR(G5="",G5&gt;=DATE(2027,2,1))),H5*(1+Assumptions!$C$7)^2,0)</f>
        <v>3499.2</v>
      </c>
      <c r="AI5" s="261">
        <f>IF(AND(F5&lt;=DATE(2027,3,1),OR(G5="",G5&gt;=DATE(2027,3,1))),H5*(1+Assumptions!$C$7)^2,0)</f>
        <v>3499.2</v>
      </c>
      <c r="AJ5" s="261">
        <f>IF(AND(F5&lt;=DATE(2027,4,1),OR(G5="",G5&gt;=DATE(2027,4,1))),H5*(1+Assumptions!$C$7)^2,0)</f>
        <v>3499.2</v>
      </c>
      <c r="AK5" s="261">
        <f>IF(AND(F5&lt;=DATE(2027,5,1),OR(G5="",G5&gt;=DATE(2027,5,1))),H5*(1+Assumptions!$C$7)^2,0)</f>
        <v>3499.2</v>
      </c>
      <c r="AL5" s="261">
        <f>IF(AND(F5&lt;=DATE(2027,6,1),OR(G5="",G5&gt;=DATE(2027,6,1))),H5*(1+Assumptions!$C$7)^2,0)</f>
        <v>3499.2</v>
      </c>
      <c r="AM5" s="261">
        <f>IF(AND(F5&lt;=DATE(2027,7,1),OR(G5="",G5&gt;=DATE(2027,7,1))),H5*(1+Assumptions!$C$7)^2,0)</f>
        <v>3499.2</v>
      </c>
      <c r="AN5" s="261">
        <f>IF(AND(F5&lt;=DATE(2027,8,1),OR(G5="",G5&gt;=DATE(2027,8,1))),H5*(1+Assumptions!$C$7)^2,0)</f>
        <v>3499.2</v>
      </c>
      <c r="AO5" s="261">
        <f>IF(AND(F5&lt;=DATE(2027,9,1),OR(G5="",G5&gt;=DATE(2027,9,1))),H5*(1+Assumptions!$C$7)^2,0)</f>
        <v>3499.2</v>
      </c>
      <c r="AP5" s="261">
        <f>IF(AND(F5&lt;=DATE(2027,10,1),OR(G5="",G5&gt;=DATE(2027,10,1))),H5*(1+Assumptions!$C$7)^2,0)</f>
        <v>3499.2</v>
      </c>
      <c r="AQ5" s="261">
        <f>IF(AND(F5&lt;=DATE(2027,11,1),OR(G5="",G5&gt;=DATE(2027,11,1))),H5*(1+Assumptions!$C$7)^2,0)</f>
        <v>3499.2</v>
      </c>
      <c r="AR5" s="261">
        <f>IF(AND(F5&lt;=DATE(2027,12,1),OR(G5="",G5&gt;=DATE(2027,12,1))),H5*(1+Assumptions!$C$7)^2,0)</f>
        <v>3499.2</v>
      </c>
      <c r="AS5" s="261">
        <f>IF(AND(F5&lt;=DATE(2028,1,1),OR(G5="",G5&gt;=DATE(2028,1,1))),H5*(1+Assumptions!$C$7)^3,0)</f>
        <v>3779.136</v>
      </c>
      <c r="AT5" s="261">
        <f>IF(AND(F5&lt;=DATE(2028,2,1),OR(G5="",G5&gt;=DATE(2028,2,1))),H5*(1+Assumptions!$C$7)^3,0)</f>
        <v>3779.136</v>
      </c>
      <c r="AU5" s="261">
        <f>IF(AND(F5&lt;=DATE(2028,3,1),OR(G5="",G5&gt;=DATE(2028,3,1))),H5*(1+Assumptions!$C$7)^3,0)</f>
        <v>3779.136</v>
      </c>
      <c r="AV5" s="261">
        <f>IF(AND(F5&lt;=DATE(2028,4,1),OR(G5="",G5&gt;=DATE(2028,4,1))),H5*(1+Assumptions!$C$7)^3,0)</f>
        <v>3779.136</v>
      </c>
      <c r="AW5" s="261">
        <f>IF(AND(F5&lt;=DATE(2028,5,1),OR(G5="",G5&gt;=DATE(2028,5,1))),H5*(1+Assumptions!$C$7)^3,0)</f>
        <v>3779.136</v>
      </c>
      <c r="AX5" s="261">
        <f>IF(AND(F5&lt;=DATE(2028,6,1),OR(G5="",G5&gt;=DATE(2028,6,1))),H5*(1+Assumptions!$C$7)^3,0)</f>
        <v>3779.136</v>
      </c>
      <c r="AY5" s="261">
        <f>IF(AND(F5&lt;=DATE(2028,7,1),OR(G5="",G5&gt;=DATE(2028,7,1))),H5*(1+Assumptions!$C$7)^3,0)</f>
        <v>3779.136</v>
      </c>
      <c r="AZ5" s="261">
        <f>IF(AND(F5&lt;=DATE(2028,8,1),OR(G5="",G5&gt;=DATE(2028,8,1))),H5*(1+Assumptions!$C$7)^3,0)</f>
        <v>3779.136</v>
      </c>
      <c r="BA5" s="261">
        <f>IF(AND(F5&lt;=DATE(2028,9,1),OR(G5="",G5&gt;=DATE(2028,9,1))),H5*(1+Assumptions!$C$7)^3,0)</f>
        <v>3779.136</v>
      </c>
      <c r="BB5" s="261">
        <f>IF(AND(F5&lt;=DATE(2028,10,1),OR(G5="",G5&gt;=DATE(2028,10,1))),H5*(1+Assumptions!$C$7)^3,0)</f>
        <v>3779.136</v>
      </c>
      <c r="BC5" s="261">
        <f>IF(AND(F5&lt;=DATE(2028,11,1),OR(G5="",G5&gt;=DATE(2028,11,1))),H5*(1+Assumptions!$C$7)^3,0)</f>
        <v>3779.136</v>
      </c>
      <c r="BD5" s="261">
        <f>IF(AND(F5&lt;=DATE(2028,12,1),OR(G5="",G5&gt;=DATE(2028,12,1))),H5*(1+Assumptions!$C$7)^3,0)</f>
        <v>3779.136</v>
      </c>
      <c r="BE5" s="261">
        <f>IF(AND(G5&lt;=DATE(2028,12,1),OR(H5="",H5&gt;=DATE(2028,12,1))),I5*(1+Assumptions!$C$7)^3,0)</f>
        <v>0</v>
      </c>
      <c r="BF5" s="261">
        <f>IF(AND(H5&lt;=DATE(2028,12,1),OR(I5="",I5&gt;=DATE(2028,12,1))),J5*(1+Assumptions!$C$7)^3,0)</f>
        <v>0</v>
      </c>
      <c r="BG5" s="261">
        <f>IF(AND(I5&lt;=DATE(2028,12,1),OR(J5="",J5&gt;=DATE(2028,12,1))),K5*(1+Assumptions!$C$7)^3,0)</f>
        <v>0</v>
      </c>
      <c r="BH5" s="261">
        <f>IF(AND(J5&lt;=DATE(2028,12,1),OR(K5="",K5&gt;=DATE(2028,12,1))),L5*(1+Assumptions!$C$7)^3,0)</f>
        <v>0</v>
      </c>
      <c r="BI5" s="261">
        <f>IF(AND(K5&lt;=DATE(2028,12,1),OR(L5="",L5&gt;=DATE(2028,12,1))),M5*(1+Assumptions!$C$7)^3,0)</f>
        <v>0</v>
      </c>
      <c r="BJ5" s="261">
        <f>IF(AND(L5&lt;=DATE(2028,12,1),OR(M5="",M5&gt;=DATE(2028,12,1))),N5*(1+Assumptions!$C$7)^3,0)</f>
        <v>0</v>
      </c>
      <c r="BK5" s="261">
        <f>IF(AND(M5&lt;=DATE(2028,12,1),OR(N5="",N5&gt;=DATE(2028,12,1))),O5*(1+Assumptions!$C$7)^3,0)</f>
        <v>0</v>
      </c>
      <c r="BL5" s="261">
        <f>IF(AND(N5&lt;=DATE(2028,12,1),OR(O5="",O5&gt;=DATE(2028,12,1))),P5*(1+Assumptions!$C$7)^3,0)</f>
        <v>0</v>
      </c>
      <c r="BM5" s="261">
        <f>IF(AND(O5&lt;=DATE(2028,12,1),OR(P5="",P5&gt;=DATE(2028,12,1))),Q5*(1+Assumptions!$C$7)^3,0)</f>
        <v>0</v>
      </c>
      <c r="BN5" s="261">
        <f>IF(AND(P5&lt;=DATE(2028,12,1),OR(Q5="",Q5&gt;=DATE(2028,12,1))),R5*(1+Assumptions!$C$7)^3,0)</f>
        <v>0</v>
      </c>
      <c r="BO5" s="261">
        <f>IF(AND(Q5&lt;=DATE(2028,12,1),OR(R5="",R5&gt;=DATE(2028,12,1))),S5*(1+Assumptions!$C$7)^3,0)</f>
        <v>0</v>
      </c>
      <c r="BP5" s="261">
        <f>IF(AND(R5&lt;=DATE(2028,12,1),OR(S5="",S5&gt;=DATE(2028,12,1))),T5*(1+Assumptions!$C$7)^3,0)</f>
        <v>0</v>
      </c>
      <c r="BQ5" s="105"/>
    </row>
    <row r="6">
      <c r="A6" s="263">
        <v>4.0</v>
      </c>
      <c r="B6" s="256" t="s">
        <v>316</v>
      </c>
      <c r="C6" s="257" t="s">
        <v>149</v>
      </c>
      <c r="D6" s="257" t="s">
        <v>316</v>
      </c>
      <c r="E6" s="264" t="s">
        <v>318</v>
      </c>
      <c r="F6" s="258">
        <v>45901.0</v>
      </c>
      <c r="G6" s="265"/>
      <c r="H6" s="260">
        <v>6000.0</v>
      </c>
      <c r="I6" s="266">
        <f>IF(AND(F6&lt;=DATE(2025,1,1),OR(G6="",G6&gt;=DATE(2025,1,1))),H6*(1+Assumptions!$C$7)^0,0)</f>
        <v>0</v>
      </c>
      <c r="J6" s="266">
        <f>IF(AND(F6&lt;=DATE(2025,2,1),OR(G6="",G6&gt;=DATE(2025,2,1))),H6*(1+Assumptions!$C$7)^0,0)</f>
        <v>0</v>
      </c>
      <c r="K6" s="266">
        <f>IF(AND(F6&lt;=DATE(2025,3,1),OR(G6="",G6&gt;=DATE(2025,3,1))),H6*(1+Assumptions!$C$7)^0,0)</f>
        <v>0</v>
      </c>
      <c r="L6" s="266">
        <f>IF(AND(F6&lt;=DATE(2025,4,1),OR(G6="",G6&gt;=DATE(2025,4,1))),H6*(1+Assumptions!$C$7)^0,0)</f>
        <v>0</v>
      </c>
      <c r="M6" s="266">
        <f>IF(AND(F6&lt;=DATE(2025,5,1),OR(G6="",G6&gt;=DATE(2025,5,1))),H6*(1+Assumptions!$C$7)^0,0)</f>
        <v>0</v>
      </c>
      <c r="N6" s="266">
        <f>IF(AND(F6&lt;=DATE(2025,6,1),OR(G6="",G6&gt;=DATE(2025,6,1))),H6*(1+Assumptions!$C$7)^0,0)</f>
        <v>0</v>
      </c>
      <c r="O6" s="266">
        <f>IF(AND(F6&lt;=DATE(2025,7,1),OR(G6="",G6&gt;=DATE(2025,7,1))),H6*(1+Assumptions!$C$7)^0,0)</f>
        <v>0</v>
      </c>
      <c r="P6" s="266">
        <f>IF(AND(F6&lt;=DATE(2025,8,1),OR(G6="",G6&gt;=DATE(2025,8,1))),H6*(1+Assumptions!$C$7)^0,0)</f>
        <v>0</v>
      </c>
      <c r="Q6" s="266">
        <f>IF(AND(F6&lt;=DATE(2025,9,1),OR(G6="",G6&gt;=DATE(2025,9,1))),H6*(1+Assumptions!$C$7)^0,0)</f>
        <v>6000</v>
      </c>
      <c r="R6" s="266">
        <f>IF(AND(F6&lt;=DATE(2025,10,1),OR(G6="",G6&gt;=DATE(2025,10,1))),H6*(1+Assumptions!$C$7)^0,0)</f>
        <v>6000</v>
      </c>
      <c r="S6" s="266">
        <f>IF(AND(F6&lt;=DATE(2025,11,1),OR(G6="",G6&gt;=DATE(2025,11,1))),H6*(1+Assumptions!$C$7)^0,0)</f>
        <v>6000</v>
      </c>
      <c r="T6" s="266">
        <f>IF(AND(F6&lt;=DATE(2025,12,1),OR(G6="",G6&gt;=DATE(2025,12,1))),H6*(1+Assumptions!$C$7)^0,0)</f>
        <v>6000</v>
      </c>
      <c r="U6" s="266">
        <f>IF(AND(F6&lt;=DATE(2026,1,1),OR(G6="",G6&gt;=DATE(2026,1,1))),H6*(1+Assumptions!$C$7)^1,0)</f>
        <v>6480</v>
      </c>
      <c r="V6" s="266">
        <f>IF(AND(F6&lt;=DATE(2026,2,1),OR(G6="",G6&gt;=DATE(2026,2,1))),H6*(1+Assumptions!$C$7)^1,0)</f>
        <v>6480</v>
      </c>
      <c r="W6" s="266">
        <f>IF(AND(F6&lt;=DATE(2026,3,1),OR(G6="",G6&gt;=DATE(2026,3,1))),H6*(1+Assumptions!$C$7)^1,0)</f>
        <v>6480</v>
      </c>
      <c r="X6" s="266">
        <f>IF(AND(F6&lt;=DATE(2026,4,1),OR(G6="",G6&gt;=DATE(2026,4,1))),H6*(1+Assumptions!$C$7)^1,0)</f>
        <v>6480</v>
      </c>
      <c r="Y6" s="266">
        <f>IF(AND(F6&lt;=DATE(2026,5,1),OR(G6="",G6&gt;=DATE(2026,5,1))),H6*(1+Assumptions!$C$7)^1,0)</f>
        <v>6480</v>
      </c>
      <c r="Z6" s="266">
        <f>IF(AND(F6&lt;=DATE(2026,6,1),OR(G6="",G6&gt;=DATE(2026,6,1))),H6*(1+Assumptions!$C$7)^1,0)</f>
        <v>6480</v>
      </c>
      <c r="AA6" s="266">
        <f>IF(AND(F6&lt;=DATE(2026,7,1),OR(G6="",G6&gt;=DATE(2026,7,1))),H6*(1+Assumptions!$C$7)^1,0)</f>
        <v>6480</v>
      </c>
      <c r="AB6" s="266">
        <f>IF(AND(F6&lt;=DATE(2026,8,1),OR(G6="",G6&gt;=DATE(2026,8,1))),H6*(1+Assumptions!$C$7)^1,0)</f>
        <v>6480</v>
      </c>
      <c r="AC6" s="266">
        <f>IF(AND(F6&lt;=DATE(2026,9,1),OR(G6="",G6&gt;=DATE(2026,9,1))),H6*(1+Assumptions!$C$7)^1,0)</f>
        <v>6480</v>
      </c>
      <c r="AD6" s="266">
        <f>IF(AND(F6&lt;=DATE(2026,10,1),OR(G6="",G6&gt;=DATE(2026,10,1))),H6*(1+Assumptions!$C$7)^1,0)</f>
        <v>6480</v>
      </c>
      <c r="AE6" s="266">
        <f>IF(AND(F6&lt;=DATE(2026,11,1),OR(G6="",G6&gt;=DATE(2026,11,1))),H6*(1+Assumptions!$C$7)^1,0)</f>
        <v>6480</v>
      </c>
      <c r="AF6" s="266">
        <f>IF(AND(F6&lt;=DATE(2026,12,1),OR(G6="",G6&gt;=DATE(2026,12,1))),H6*(1+Assumptions!$C$7)^1,0)</f>
        <v>6480</v>
      </c>
      <c r="AG6" s="266">
        <f>IF(AND(F6&lt;=DATE(2027,1,1),OR(G6="",G6&gt;=DATE(2027,1,1))),H6*(1+Assumptions!$C$7)^2,0)</f>
        <v>6998.4</v>
      </c>
      <c r="AH6" s="266">
        <f>IF(AND(F6&lt;=DATE(2027,2,1),OR(G6="",G6&gt;=DATE(2027,2,1))),H6*(1+Assumptions!$C$7)^2,0)</f>
        <v>6998.4</v>
      </c>
      <c r="AI6" s="266">
        <f>IF(AND(F6&lt;=DATE(2027,3,1),OR(G6="",G6&gt;=DATE(2027,3,1))),H6*(1+Assumptions!$C$7)^2,0)</f>
        <v>6998.4</v>
      </c>
      <c r="AJ6" s="266">
        <f>IF(AND(F6&lt;=DATE(2027,4,1),OR(G6="",G6&gt;=DATE(2027,4,1))),H6*(1+Assumptions!$C$7)^2,0)</f>
        <v>6998.4</v>
      </c>
      <c r="AK6" s="266">
        <f>IF(AND(F6&lt;=DATE(2027,5,1),OR(G6="",G6&gt;=DATE(2027,5,1))),H6*(1+Assumptions!$C$7)^2,0)</f>
        <v>6998.4</v>
      </c>
      <c r="AL6" s="266">
        <f>IF(AND(F6&lt;=DATE(2027,6,1),OR(G6="",G6&gt;=DATE(2027,6,1))),H6*(1+Assumptions!$C$7)^2,0)</f>
        <v>6998.4</v>
      </c>
      <c r="AM6" s="266">
        <f>IF(AND(F6&lt;=DATE(2027,7,1),OR(G6="",G6&gt;=DATE(2027,7,1))),H6*(1+Assumptions!$C$7)^2,0)</f>
        <v>6998.4</v>
      </c>
      <c r="AN6" s="266">
        <f>IF(AND(F6&lt;=DATE(2027,8,1),OR(G6="",G6&gt;=DATE(2027,8,1))),H6*(1+Assumptions!$C$7)^2,0)</f>
        <v>6998.4</v>
      </c>
      <c r="AO6" s="266">
        <f>IF(AND(F6&lt;=DATE(2027,9,1),OR(G6="",G6&gt;=DATE(2027,9,1))),H6*(1+Assumptions!$C$7)^2,0)</f>
        <v>6998.4</v>
      </c>
      <c r="AP6" s="266">
        <f>IF(AND(F6&lt;=DATE(2027,10,1),OR(G6="",G6&gt;=DATE(2027,10,1))),H6*(1+Assumptions!$C$7)^2,0)</f>
        <v>6998.4</v>
      </c>
      <c r="AQ6" s="266">
        <f>IF(AND(F6&lt;=DATE(2027,11,1),OR(G6="",G6&gt;=DATE(2027,11,1))),H6*(1+Assumptions!$C$7)^2,0)</f>
        <v>6998.4</v>
      </c>
      <c r="AR6" s="266">
        <f>IF(AND(F6&lt;=DATE(2027,12,1),OR(G6="",G6&gt;=DATE(2027,12,1))),H6*(1+Assumptions!$C$7)^2,0)</f>
        <v>6998.4</v>
      </c>
      <c r="AS6" s="266">
        <f>IF(AND(F6&lt;=DATE(2028,1,1),OR(G6="",G6&gt;=DATE(2028,1,1))),H6*(1+Assumptions!$C$7)^3,0)</f>
        <v>7558.272</v>
      </c>
      <c r="AT6" s="266">
        <f>IF(AND(F6&lt;=DATE(2028,2,1),OR(G6="",G6&gt;=DATE(2028,2,1))),H6*(1+Assumptions!$C$7)^3,0)</f>
        <v>7558.272</v>
      </c>
      <c r="AU6" s="266">
        <f>IF(AND(F6&lt;=DATE(2028,3,1),OR(G6="",G6&gt;=DATE(2028,3,1))),H6*(1+Assumptions!$C$7)^3,0)</f>
        <v>7558.272</v>
      </c>
      <c r="AV6" s="266">
        <f>IF(AND(F6&lt;=DATE(2028,4,1),OR(G6="",G6&gt;=DATE(2028,4,1))),H6*(1+Assumptions!$C$7)^3,0)</f>
        <v>7558.272</v>
      </c>
      <c r="AW6" s="266">
        <f>IF(AND(F6&lt;=DATE(2028,5,1),OR(G6="",G6&gt;=DATE(2028,5,1))),H6*(1+Assumptions!$C$7)^3,0)</f>
        <v>7558.272</v>
      </c>
      <c r="AX6" s="266">
        <f>IF(AND(F6&lt;=DATE(2028,6,1),OR(G6="",G6&gt;=DATE(2028,6,1))),H6*(1+Assumptions!$C$7)^3,0)</f>
        <v>7558.272</v>
      </c>
      <c r="AY6" s="266">
        <f>IF(AND(F6&lt;=DATE(2028,7,1),OR(G6="",G6&gt;=DATE(2028,7,1))),H6*(1+Assumptions!$C$7)^3,0)</f>
        <v>7558.272</v>
      </c>
      <c r="AZ6" s="266">
        <f>IF(AND(F6&lt;=DATE(2028,8,1),OR(G6="",G6&gt;=DATE(2028,8,1))),H6*(1+Assumptions!$C$7)^3,0)</f>
        <v>7558.272</v>
      </c>
      <c r="BA6" s="266">
        <f>IF(AND(F6&lt;=DATE(2028,9,1),OR(G6="",G6&gt;=DATE(2028,9,1))),H6*(1+Assumptions!$C$7)^3,0)</f>
        <v>7558.272</v>
      </c>
      <c r="BB6" s="266">
        <f>IF(AND(F6&lt;=DATE(2028,10,1),OR(G6="",G6&gt;=DATE(2028,10,1))),H6*(1+Assumptions!$C$7)^3,0)</f>
        <v>7558.272</v>
      </c>
      <c r="BC6" s="266">
        <f>IF(AND(F6&lt;=DATE(2028,11,1),OR(G6="",G6&gt;=DATE(2028,11,1))),H6*(1+Assumptions!$C$7)^3,0)</f>
        <v>7558.272</v>
      </c>
      <c r="BD6" s="266">
        <f>IF(AND(F6&lt;=DATE(2028,12,1),OR(G6="",G6&gt;=DATE(2028,12,1))),H6*(1+Assumptions!$C$7)^3,0)</f>
        <v>7558.272</v>
      </c>
      <c r="BE6" s="266">
        <f>IF(AND(G6&lt;=DATE(2028,12,1),OR(H6="",H6&gt;=DATE(2028,12,1))),I6*(1+Assumptions!$C$7)^3,0)</f>
        <v>0</v>
      </c>
      <c r="BF6" s="266">
        <f>IF(AND(H6&lt;=DATE(2028,12,1),OR(I6="",I6&gt;=DATE(2028,12,1))),J6*(1+Assumptions!$C$7)^3,0)</f>
        <v>0</v>
      </c>
      <c r="BG6" s="266">
        <f>IF(AND(I6&lt;=DATE(2028,12,1),OR(J6="",J6&gt;=DATE(2028,12,1))),K6*(1+Assumptions!$C$7)^3,0)</f>
        <v>0</v>
      </c>
      <c r="BH6" s="266">
        <f>IF(AND(J6&lt;=DATE(2028,12,1),OR(K6="",K6&gt;=DATE(2028,12,1))),L6*(1+Assumptions!$C$7)^3,0)</f>
        <v>0</v>
      </c>
      <c r="BI6" s="266">
        <f>IF(AND(K6&lt;=DATE(2028,12,1),OR(L6="",L6&gt;=DATE(2028,12,1))),M6*(1+Assumptions!$C$7)^3,0)</f>
        <v>0</v>
      </c>
      <c r="BJ6" s="266">
        <f>IF(AND(L6&lt;=DATE(2028,12,1),OR(M6="",M6&gt;=DATE(2028,12,1))),N6*(1+Assumptions!$C$7)^3,0)</f>
        <v>0</v>
      </c>
      <c r="BK6" s="266">
        <f>IF(AND(M6&lt;=DATE(2028,12,1),OR(N6="",N6&gt;=DATE(2028,12,1))),O6*(1+Assumptions!$C$7)^3,0)</f>
        <v>0</v>
      </c>
      <c r="BL6" s="266">
        <f>IF(AND(N6&lt;=DATE(2028,12,1),OR(O6="",O6&gt;=DATE(2028,12,1))),P6*(1+Assumptions!$C$7)^3,0)</f>
        <v>0</v>
      </c>
      <c r="BM6" s="266">
        <f>IF(AND(O6&lt;=DATE(2028,12,1),OR(P6="",P6&gt;=DATE(2028,12,1))),Q6*(1+Assumptions!$C$7)^3,0)</f>
        <v>0</v>
      </c>
      <c r="BN6" s="266">
        <f>IF(AND(P6&lt;=DATE(2028,12,1),OR(Q6="",Q6&gt;=DATE(2028,12,1))),R6*(1+Assumptions!$C$7)^3,0)</f>
        <v>0</v>
      </c>
      <c r="BO6" s="266">
        <f>IF(AND(Q6&lt;=DATE(2028,12,1),OR(R6="",R6&gt;=DATE(2028,12,1))),S6*(1+Assumptions!$C$7)^3,0)</f>
        <v>0</v>
      </c>
      <c r="BP6" s="266">
        <f>IF(AND(R6&lt;=DATE(2028,12,1),OR(S6="",S6&gt;=DATE(2028,12,1))),T6*(1+Assumptions!$C$7)^3,0)</f>
        <v>0</v>
      </c>
      <c r="BQ6" s="105"/>
    </row>
    <row r="7">
      <c r="A7" s="267">
        <v>5.0</v>
      </c>
      <c r="B7" s="270" t="s">
        <v>320</v>
      </c>
      <c r="C7" s="23" t="s">
        <v>149</v>
      </c>
      <c r="D7" s="23" t="s">
        <v>316</v>
      </c>
      <c r="E7" s="268" t="s">
        <v>318</v>
      </c>
      <c r="F7" s="258">
        <v>45901.0</v>
      </c>
      <c r="G7" s="269"/>
      <c r="H7" s="260">
        <v>7000.0</v>
      </c>
      <c r="I7" s="261">
        <f>IF(AND(F7&lt;=DATE(2025,1,1),OR(G7="",G7&gt;=DATE(2025,1,1))),H7*(1+Assumptions!$C$7)^0,0)</f>
        <v>0</v>
      </c>
      <c r="J7" s="261">
        <f>IF(AND(F7&lt;=DATE(2025,2,1),OR(G7="",G7&gt;=DATE(2025,2,1))),H7*(1+Assumptions!$C$7)^0,0)</f>
        <v>0</v>
      </c>
      <c r="K7" s="261">
        <f>IF(AND(F7&lt;=DATE(2025,3,1),OR(G7="",G7&gt;=DATE(2025,3,1))),H7*(1+Assumptions!$C$7)^0,0)</f>
        <v>0</v>
      </c>
      <c r="L7" s="261">
        <f>IF(AND(F7&lt;=DATE(2025,4,1),OR(G7="",G7&gt;=DATE(2025,4,1))),H7*(1+Assumptions!$C$7)^0,0)</f>
        <v>0</v>
      </c>
      <c r="M7" s="261">
        <f>IF(AND(F7&lt;=DATE(2025,5,1),OR(G7="",G7&gt;=DATE(2025,5,1))),H7*(1+Assumptions!$C$7)^0,0)</f>
        <v>0</v>
      </c>
      <c r="N7" s="261">
        <f>IF(AND(F7&lt;=DATE(2025,6,1),OR(G7="",G7&gt;=DATE(2025,6,1))),H7*(1+Assumptions!$C$7)^0,0)</f>
        <v>0</v>
      </c>
      <c r="O7" s="261">
        <f>IF(AND(F7&lt;=DATE(2025,7,1),OR(G7="",G7&gt;=DATE(2025,7,1))),H7*(1+Assumptions!$C$7)^0,0)</f>
        <v>0</v>
      </c>
      <c r="P7" s="261">
        <f>IF(AND(F7&lt;=DATE(2025,8,1),OR(G7="",G7&gt;=DATE(2025,8,1))),H7*(1+Assumptions!$C$7)^0,0)</f>
        <v>0</v>
      </c>
      <c r="Q7" s="261">
        <f>IF(AND(F7&lt;=DATE(2025,9,1),OR(G7="",G7&gt;=DATE(2025,9,1))),H7*(1+Assumptions!$C$7)^0,0)</f>
        <v>7000</v>
      </c>
      <c r="R7" s="261">
        <f>IF(AND(F7&lt;=DATE(2025,10,1),OR(G7="",G7&gt;=DATE(2025,10,1))),H7*(1+Assumptions!$C$7)^0,0)</f>
        <v>7000</v>
      </c>
      <c r="S7" s="261">
        <f>IF(AND(F7&lt;=DATE(2025,11,1),OR(G7="",G7&gt;=DATE(2025,11,1))),H7*(1+Assumptions!$C$7)^0,0)</f>
        <v>7000</v>
      </c>
      <c r="T7" s="261">
        <f>IF(AND(F7&lt;=DATE(2025,12,1),OR(G7="",G7&gt;=DATE(2025,12,1))),H7*(1+Assumptions!$C$7)^0,0)</f>
        <v>7000</v>
      </c>
      <c r="U7" s="261">
        <f>IF(AND(F7&lt;=DATE(2026,1,1),OR(G7="",G7&gt;=DATE(2026,1,1))),H7*(1+Assumptions!$C$7)^1,0)</f>
        <v>7560</v>
      </c>
      <c r="V7" s="261">
        <f>IF(AND(F7&lt;=DATE(2026,2,1),OR(G7="",G7&gt;=DATE(2026,2,1))),H7*(1+Assumptions!$C$7)^1,0)</f>
        <v>7560</v>
      </c>
      <c r="W7" s="261">
        <f>IF(AND(F7&lt;=DATE(2026,3,1),OR(G7="",G7&gt;=DATE(2026,3,1))),H7*(1+Assumptions!$C$7)^1,0)</f>
        <v>7560</v>
      </c>
      <c r="X7" s="261">
        <f>IF(AND(F7&lt;=DATE(2026,4,1),OR(G7="",G7&gt;=DATE(2026,4,1))),H7*(1+Assumptions!$C$7)^1,0)</f>
        <v>7560</v>
      </c>
      <c r="Y7" s="261">
        <f>IF(AND(F7&lt;=DATE(2026,5,1),OR(G7="",G7&gt;=DATE(2026,5,1))),H7*(1+Assumptions!$C$7)^1,0)</f>
        <v>7560</v>
      </c>
      <c r="Z7" s="261">
        <f>IF(AND(F7&lt;=DATE(2026,6,1),OR(G7="",G7&gt;=DATE(2026,6,1))),H7*(1+Assumptions!$C$7)^1,0)</f>
        <v>7560</v>
      </c>
      <c r="AA7" s="261">
        <f>IF(AND(F7&lt;=DATE(2026,7,1),OR(G7="",G7&gt;=DATE(2026,7,1))),H7*(1+Assumptions!$C$7)^1,0)</f>
        <v>7560</v>
      </c>
      <c r="AB7" s="261">
        <f>IF(AND(F7&lt;=DATE(2026,8,1),OR(G7="",G7&gt;=DATE(2026,8,1))),H7*(1+Assumptions!$C$7)^1,0)</f>
        <v>7560</v>
      </c>
      <c r="AC7" s="261">
        <f>IF(AND(F7&lt;=DATE(2026,9,1),OR(G7="",G7&gt;=DATE(2026,9,1))),H7*(1+Assumptions!$C$7)^1,0)</f>
        <v>7560</v>
      </c>
      <c r="AD7" s="261">
        <f>IF(AND(F7&lt;=DATE(2026,10,1),OR(G7="",G7&gt;=DATE(2026,10,1))),H7*(1+Assumptions!$C$7)^1,0)</f>
        <v>7560</v>
      </c>
      <c r="AE7" s="261">
        <f>IF(AND(F7&lt;=DATE(2026,11,1),OR(G7="",G7&gt;=DATE(2026,11,1))),H7*(1+Assumptions!$C$7)^1,0)</f>
        <v>7560</v>
      </c>
      <c r="AF7" s="261">
        <f>IF(AND(F7&lt;=DATE(2026,12,1),OR(G7="",G7&gt;=DATE(2026,12,1))),H7*(1+Assumptions!$C$7)^1,0)</f>
        <v>7560</v>
      </c>
      <c r="AG7" s="261">
        <f>IF(AND(F7&lt;=DATE(2027,1,1),OR(G7="",G7&gt;=DATE(2027,1,1))),H7*(1+Assumptions!$C$7)^2,0)</f>
        <v>8164.8</v>
      </c>
      <c r="AH7" s="261">
        <f>IF(AND(F7&lt;=DATE(2027,2,1),OR(G7="",G7&gt;=DATE(2027,2,1))),H7*(1+Assumptions!$C$7)^2,0)</f>
        <v>8164.8</v>
      </c>
      <c r="AI7" s="261">
        <f>IF(AND(F7&lt;=DATE(2027,3,1),OR(G7="",G7&gt;=DATE(2027,3,1))),H7*(1+Assumptions!$C$7)^2,0)</f>
        <v>8164.8</v>
      </c>
      <c r="AJ7" s="261">
        <f>IF(AND(F7&lt;=DATE(2027,4,1),OR(G7="",G7&gt;=DATE(2027,4,1))),H7*(1+Assumptions!$C$7)^2,0)</f>
        <v>8164.8</v>
      </c>
      <c r="AK7" s="261">
        <f>IF(AND(F7&lt;=DATE(2027,5,1),OR(G7="",G7&gt;=DATE(2027,5,1))),H7*(1+Assumptions!$C$7)^2,0)</f>
        <v>8164.8</v>
      </c>
      <c r="AL7" s="261">
        <f>IF(AND(F7&lt;=DATE(2027,6,1),OR(G7="",G7&gt;=DATE(2027,6,1))),H7*(1+Assumptions!$C$7)^2,0)</f>
        <v>8164.8</v>
      </c>
      <c r="AM7" s="261">
        <f>IF(AND(F7&lt;=DATE(2027,7,1),OR(G7="",G7&gt;=DATE(2027,7,1))),H7*(1+Assumptions!$C$7)^2,0)</f>
        <v>8164.8</v>
      </c>
      <c r="AN7" s="261">
        <f>IF(AND(F7&lt;=DATE(2027,8,1),OR(G7="",G7&gt;=DATE(2027,8,1))),H7*(1+Assumptions!$C$7)^2,0)</f>
        <v>8164.8</v>
      </c>
      <c r="AO7" s="261">
        <f>IF(AND(F7&lt;=DATE(2027,9,1),OR(G7="",G7&gt;=DATE(2027,9,1))),H7*(1+Assumptions!$C$7)^2,0)</f>
        <v>8164.8</v>
      </c>
      <c r="AP7" s="261">
        <f>IF(AND(F7&lt;=DATE(2027,10,1),OR(G7="",G7&gt;=DATE(2027,10,1))),H7*(1+Assumptions!$C$7)^2,0)</f>
        <v>8164.8</v>
      </c>
      <c r="AQ7" s="261">
        <f>IF(AND(F7&lt;=DATE(2027,11,1),OR(G7="",G7&gt;=DATE(2027,11,1))),H7*(1+Assumptions!$C$7)^2,0)</f>
        <v>8164.8</v>
      </c>
      <c r="AR7" s="261">
        <f>IF(AND(F7&lt;=DATE(2027,12,1),OR(G7="",G7&gt;=DATE(2027,12,1))),H7*(1+Assumptions!$C$7)^2,0)</f>
        <v>8164.8</v>
      </c>
      <c r="AS7" s="261">
        <f>IF(AND(F7&lt;=DATE(2028,1,1),OR(G7="",G7&gt;=DATE(2028,1,1))),H7*(1+Assumptions!$C$7)^3,0)</f>
        <v>8817.984</v>
      </c>
      <c r="AT7" s="261">
        <f>IF(AND(F7&lt;=DATE(2028,2,1),OR(G7="",G7&gt;=DATE(2028,2,1))),H7*(1+Assumptions!$C$7)^3,0)</f>
        <v>8817.984</v>
      </c>
      <c r="AU7" s="261">
        <f>IF(AND(F7&lt;=DATE(2028,3,1),OR(G7="",G7&gt;=DATE(2028,3,1))),H7*(1+Assumptions!$C$7)^3,0)</f>
        <v>8817.984</v>
      </c>
      <c r="AV7" s="261">
        <f>IF(AND(F7&lt;=DATE(2028,4,1),OR(G7="",G7&gt;=DATE(2028,4,1))),H7*(1+Assumptions!$C$7)^3,0)</f>
        <v>8817.984</v>
      </c>
      <c r="AW7" s="261">
        <f>IF(AND(F7&lt;=DATE(2028,5,1),OR(G7="",G7&gt;=DATE(2028,5,1))),H7*(1+Assumptions!$C$7)^3,0)</f>
        <v>8817.984</v>
      </c>
      <c r="AX7" s="261">
        <f>IF(AND(F7&lt;=DATE(2028,6,1),OR(G7="",G7&gt;=DATE(2028,6,1))),H7*(1+Assumptions!$C$7)^3,0)</f>
        <v>8817.984</v>
      </c>
      <c r="AY7" s="261">
        <f>IF(AND(F7&lt;=DATE(2028,7,1),OR(G7="",G7&gt;=DATE(2028,7,1))),H7*(1+Assumptions!$C$7)^3,0)</f>
        <v>8817.984</v>
      </c>
      <c r="AZ7" s="261">
        <f>IF(AND(F7&lt;=DATE(2028,8,1),OR(G7="",G7&gt;=DATE(2028,8,1))),H7*(1+Assumptions!$C$7)^3,0)</f>
        <v>8817.984</v>
      </c>
      <c r="BA7" s="261">
        <f>IF(AND(F7&lt;=DATE(2028,9,1),OR(G7="",G7&gt;=DATE(2028,9,1))),H7*(1+Assumptions!$C$7)^3,0)</f>
        <v>8817.984</v>
      </c>
      <c r="BB7" s="261">
        <f>IF(AND(F7&lt;=DATE(2028,10,1),OR(G7="",G7&gt;=DATE(2028,10,1))),H7*(1+Assumptions!$C$7)^3,0)</f>
        <v>8817.984</v>
      </c>
      <c r="BC7" s="261">
        <f>IF(AND(F7&lt;=DATE(2028,11,1),OR(G7="",G7&gt;=DATE(2028,11,1))),H7*(1+Assumptions!$C$7)^3,0)</f>
        <v>8817.984</v>
      </c>
      <c r="BD7" s="261">
        <f>IF(AND(F7&lt;=DATE(2028,12,1),OR(G7="",G7&gt;=DATE(2028,12,1))),H7*(1+Assumptions!$C$7)^3,0)</f>
        <v>8817.984</v>
      </c>
      <c r="BE7" s="261">
        <f>IF(AND(G7&lt;=DATE(2028,12,1),OR(H7="",H7&gt;=DATE(2028,12,1))),I7*(1+Assumptions!$C$7)^3,0)</f>
        <v>0</v>
      </c>
      <c r="BF7" s="261">
        <f>IF(AND(H7&lt;=DATE(2028,12,1),OR(I7="",I7&gt;=DATE(2028,12,1))),J7*(1+Assumptions!$C$7)^3,0)</f>
        <v>0</v>
      </c>
      <c r="BG7" s="261">
        <f>IF(AND(I7&lt;=DATE(2028,12,1),OR(J7="",J7&gt;=DATE(2028,12,1))),K7*(1+Assumptions!$C$7)^3,0)</f>
        <v>0</v>
      </c>
      <c r="BH7" s="261">
        <f>IF(AND(J7&lt;=DATE(2028,12,1),OR(K7="",K7&gt;=DATE(2028,12,1))),L7*(1+Assumptions!$C$7)^3,0)</f>
        <v>0</v>
      </c>
      <c r="BI7" s="261">
        <f>IF(AND(K7&lt;=DATE(2028,12,1),OR(L7="",L7&gt;=DATE(2028,12,1))),M7*(1+Assumptions!$C$7)^3,0)</f>
        <v>0</v>
      </c>
      <c r="BJ7" s="261">
        <f>IF(AND(L7&lt;=DATE(2028,12,1),OR(M7="",M7&gt;=DATE(2028,12,1))),N7*(1+Assumptions!$C$7)^3,0)</f>
        <v>0</v>
      </c>
      <c r="BK7" s="261">
        <f>IF(AND(M7&lt;=DATE(2028,12,1),OR(N7="",N7&gt;=DATE(2028,12,1))),O7*(1+Assumptions!$C$7)^3,0)</f>
        <v>0</v>
      </c>
      <c r="BL7" s="261">
        <f>IF(AND(N7&lt;=DATE(2028,12,1),OR(O7="",O7&gt;=DATE(2028,12,1))),P7*(1+Assumptions!$C$7)^3,0)</f>
        <v>0</v>
      </c>
      <c r="BM7" s="261">
        <f>IF(AND(O7&lt;=DATE(2028,12,1),OR(P7="",P7&gt;=DATE(2028,12,1))),Q7*(1+Assumptions!$C$7)^3,0)</f>
        <v>0</v>
      </c>
      <c r="BN7" s="261">
        <f>IF(AND(P7&lt;=DATE(2028,12,1),OR(Q7="",Q7&gt;=DATE(2028,12,1))),R7*(1+Assumptions!$C$7)^3,0)</f>
        <v>0</v>
      </c>
      <c r="BO7" s="261">
        <f>IF(AND(Q7&lt;=DATE(2028,12,1),OR(R7="",R7&gt;=DATE(2028,12,1))),S7*(1+Assumptions!$C$7)^3,0)</f>
        <v>0</v>
      </c>
      <c r="BP7" s="261">
        <f>IF(AND(R7&lt;=DATE(2028,12,1),OR(S7="",S7&gt;=DATE(2028,12,1))),T7*(1+Assumptions!$C$7)^3,0)</f>
        <v>0</v>
      </c>
      <c r="BQ7" s="105"/>
    </row>
    <row r="8">
      <c r="A8" s="263">
        <v>6.0</v>
      </c>
      <c r="B8" s="256" t="s">
        <v>321</v>
      </c>
      <c r="C8" s="257" t="s">
        <v>149</v>
      </c>
      <c r="D8" s="257" t="s">
        <v>316</v>
      </c>
      <c r="E8" s="264" t="s">
        <v>318</v>
      </c>
      <c r="F8" s="258">
        <v>45901.0</v>
      </c>
      <c r="G8" s="265"/>
      <c r="H8" s="260">
        <v>5500.0</v>
      </c>
      <c r="I8" s="266">
        <f>IF(AND(F8&lt;=DATE(2025,1,1),OR(G8="",G8&gt;=DATE(2025,1,1))),H8*(1+Assumptions!$C$7)^0,0)</f>
        <v>0</v>
      </c>
      <c r="J8" s="266">
        <f>IF(AND(F8&lt;=DATE(2025,2,1),OR(G8="",G8&gt;=DATE(2025,2,1))),H8*(1+Assumptions!$C$7)^0,0)</f>
        <v>0</v>
      </c>
      <c r="K8" s="266">
        <f>IF(AND(F8&lt;=DATE(2025,3,1),OR(G8="",G8&gt;=DATE(2025,3,1))),H8*(1+Assumptions!$C$7)^0,0)</f>
        <v>0</v>
      </c>
      <c r="L8" s="266">
        <f>IF(AND(F8&lt;=DATE(2025,4,1),OR(G8="",G8&gt;=DATE(2025,4,1))),H8*(1+Assumptions!$C$7)^0,0)</f>
        <v>0</v>
      </c>
      <c r="M8" s="266">
        <f>IF(AND(F8&lt;=DATE(2025,5,1),OR(G8="",G8&gt;=DATE(2025,5,1))),H8*(1+Assumptions!$C$7)^0,0)</f>
        <v>0</v>
      </c>
      <c r="N8" s="266">
        <f>IF(AND(F8&lt;=DATE(2025,6,1),OR(G8="",G8&gt;=DATE(2025,6,1))),H8*(1+Assumptions!$C$7)^0,0)</f>
        <v>0</v>
      </c>
      <c r="O8" s="266">
        <f>IF(AND(F8&lt;=DATE(2025,7,1),OR(G8="",G8&gt;=DATE(2025,7,1))),H8*(1+Assumptions!$C$7)^0,0)</f>
        <v>0</v>
      </c>
      <c r="P8" s="266">
        <f>IF(AND(F8&lt;=DATE(2025,8,1),OR(G8="",G8&gt;=DATE(2025,8,1))),H8*(1+Assumptions!$C$7)^0,0)</f>
        <v>0</v>
      </c>
      <c r="Q8" s="266">
        <f>IF(AND(F8&lt;=DATE(2025,9,1),OR(G8="",G8&gt;=DATE(2025,9,1))),H8*(1+Assumptions!$C$7)^0,0)</f>
        <v>5500</v>
      </c>
      <c r="R8" s="266">
        <f>IF(AND(F8&lt;=DATE(2025,10,1),OR(G8="",G8&gt;=DATE(2025,10,1))),H8*(1+Assumptions!$C$7)^0,0)</f>
        <v>5500</v>
      </c>
      <c r="S8" s="266">
        <f>IF(AND(F8&lt;=DATE(2025,11,1),OR(G8="",G8&gt;=DATE(2025,11,1))),H8*(1+Assumptions!$C$7)^0,0)</f>
        <v>5500</v>
      </c>
      <c r="T8" s="266">
        <f>IF(AND(F8&lt;=DATE(2025,12,1),OR(G8="",G8&gt;=DATE(2025,12,1))),H8*(1+Assumptions!$C$7)^0,0)</f>
        <v>5500</v>
      </c>
      <c r="U8" s="266">
        <f>IF(AND(F8&lt;=DATE(2026,1,1),OR(G8="",G8&gt;=DATE(2026,1,1))),H8*(1+Assumptions!$C$7)^1,0)</f>
        <v>5940</v>
      </c>
      <c r="V8" s="266">
        <f>IF(AND(F8&lt;=DATE(2026,2,1),OR(G8="",G8&gt;=DATE(2026,2,1))),H8*(1+Assumptions!$C$7)^1,0)</f>
        <v>5940</v>
      </c>
      <c r="W8" s="266">
        <f>IF(AND(F8&lt;=DATE(2026,3,1),OR(G8="",G8&gt;=DATE(2026,3,1))),H8*(1+Assumptions!$C$7)^1,0)</f>
        <v>5940</v>
      </c>
      <c r="X8" s="266">
        <f>IF(AND(F8&lt;=DATE(2026,4,1),OR(G8="",G8&gt;=DATE(2026,4,1))),H8*(1+Assumptions!$C$7)^1,0)</f>
        <v>5940</v>
      </c>
      <c r="Y8" s="266">
        <f>IF(AND(F8&lt;=DATE(2026,5,1),OR(G8="",G8&gt;=DATE(2026,5,1))),H8*(1+Assumptions!$C$7)^1,0)</f>
        <v>5940</v>
      </c>
      <c r="Z8" s="266">
        <f>IF(AND(F8&lt;=DATE(2026,6,1),OR(G8="",G8&gt;=DATE(2026,6,1))),H8*(1+Assumptions!$C$7)^1,0)</f>
        <v>5940</v>
      </c>
      <c r="AA8" s="266">
        <f>IF(AND(F8&lt;=DATE(2026,7,1),OR(G8="",G8&gt;=DATE(2026,7,1))),H8*(1+Assumptions!$C$7)^1,0)</f>
        <v>5940</v>
      </c>
      <c r="AB8" s="266">
        <f>IF(AND(F8&lt;=DATE(2026,8,1),OR(G8="",G8&gt;=DATE(2026,8,1))),H8*(1+Assumptions!$C$7)^1,0)</f>
        <v>5940</v>
      </c>
      <c r="AC8" s="266">
        <f>IF(AND(F8&lt;=DATE(2026,9,1),OR(G8="",G8&gt;=DATE(2026,9,1))),H8*(1+Assumptions!$C$7)^1,0)</f>
        <v>5940</v>
      </c>
      <c r="AD8" s="266">
        <f>IF(AND(F8&lt;=DATE(2026,10,1),OR(G8="",G8&gt;=DATE(2026,10,1))),H8*(1+Assumptions!$C$7)^1,0)</f>
        <v>5940</v>
      </c>
      <c r="AE8" s="266">
        <f>IF(AND(F8&lt;=DATE(2026,11,1),OR(G8="",G8&gt;=DATE(2026,11,1))),H8*(1+Assumptions!$C$7)^1,0)</f>
        <v>5940</v>
      </c>
      <c r="AF8" s="266">
        <f>IF(AND(F8&lt;=DATE(2026,12,1),OR(G8="",G8&gt;=DATE(2026,12,1))),H8*(1+Assumptions!$C$7)^1,0)</f>
        <v>5940</v>
      </c>
      <c r="AG8" s="266">
        <f>IF(AND(F8&lt;=DATE(2027,1,1),OR(G8="",G8&gt;=DATE(2027,1,1))),H8*(1+Assumptions!$C$7)^2,0)</f>
        <v>6415.2</v>
      </c>
      <c r="AH8" s="266">
        <f>IF(AND(F8&lt;=DATE(2027,2,1),OR(G8="",G8&gt;=DATE(2027,2,1))),H8*(1+Assumptions!$C$7)^2,0)</f>
        <v>6415.2</v>
      </c>
      <c r="AI8" s="266">
        <f>IF(AND(F8&lt;=DATE(2027,3,1),OR(G8="",G8&gt;=DATE(2027,3,1))),H8*(1+Assumptions!$C$7)^2,0)</f>
        <v>6415.2</v>
      </c>
      <c r="AJ8" s="266">
        <f>IF(AND(F8&lt;=DATE(2027,4,1),OR(G8="",G8&gt;=DATE(2027,4,1))),H8*(1+Assumptions!$C$7)^2,0)</f>
        <v>6415.2</v>
      </c>
      <c r="AK8" s="266">
        <f>IF(AND(F8&lt;=DATE(2027,5,1),OR(G8="",G8&gt;=DATE(2027,5,1))),H8*(1+Assumptions!$C$7)^2,0)</f>
        <v>6415.2</v>
      </c>
      <c r="AL8" s="266">
        <f>IF(AND(F8&lt;=DATE(2027,6,1),OR(G8="",G8&gt;=DATE(2027,6,1))),H8*(1+Assumptions!$C$7)^2,0)</f>
        <v>6415.2</v>
      </c>
      <c r="AM8" s="266">
        <f>IF(AND(F8&lt;=DATE(2027,7,1),OR(G8="",G8&gt;=DATE(2027,7,1))),H8*(1+Assumptions!$C$7)^2,0)</f>
        <v>6415.2</v>
      </c>
      <c r="AN8" s="266">
        <f>IF(AND(F8&lt;=DATE(2027,8,1),OR(G8="",G8&gt;=DATE(2027,8,1))),H8*(1+Assumptions!$C$7)^2,0)</f>
        <v>6415.2</v>
      </c>
      <c r="AO8" s="266">
        <f>IF(AND(F8&lt;=DATE(2027,9,1),OR(G8="",G8&gt;=DATE(2027,9,1))),H8*(1+Assumptions!$C$7)^2,0)</f>
        <v>6415.2</v>
      </c>
      <c r="AP8" s="266">
        <f>IF(AND(F8&lt;=DATE(2027,10,1),OR(G8="",G8&gt;=DATE(2027,10,1))),H8*(1+Assumptions!$C$7)^2,0)</f>
        <v>6415.2</v>
      </c>
      <c r="AQ8" s="266">
        <f>IF(AND(F8&lt;=DATE(2027,11,1),OR(G8="",G8&gt;=DATE(2027,11,1))),H8*(1+Assumptions!$C$7)^2,0)</f>
        <v>6415.2</v>
      </c>
      <c r="AR8" s="266">
        <f>IF(AND(F8&lt;=DATE(2027,12,1),OR(G8="",G8&gt;=DATE(2027,12,1))),H8*(1+Assumptions!$C$7)^2,0)</f>
        <v>6415.2</v>
      </c>
      <c r="AS8" s="266">
        <f>IF(AND(F8&lt;=DATE(2028,1,1),OR(G8="",G8&gt;=DATE(2028,1,1))),H8*(1+Assumptions!$C$7)^3,0)</f>
        <v>6928.416</v>
      </c>
      <c r="AT8" s="266">
        <f>IF(AND(F8&lt;=DATE(2028,2,1),OR(G8="",G8&gt;=DATE(2028,2,1))),H8*(1+Assumptions!$C$7)^3,0)</f>
        <v>6928.416</v>
      </c>
      <c r="AU8" s="266">
        <f>IF(AND(F8&lt;=DATE(2028,3,1),OR(G8="",G8&gt;=DATE(2028,3,1))),H8*(1+Assumptions!$C$7)^3,0)</f>
        <v>6928.416</v>
      </c>
      <c r="AV8" s="266">
        <f>IF(AND(F8&lt;=DATE(2028,4,1),OR(G8="",G8&gt;=DATE(2028,4,1))),H8*(1+Assumptions!$C$7)^3,0)</f>
        <v>6928.416</v>
      </c>
      <c r="AW8" s="266">
        <f>IF(AND(F8&lt;=DATE(2028,5,1),OR(G8="",G8&gt;=DATE(2028,5,1))),H8*(1+Assumptions!$C$7)^3,0)</f>
        <v>6928.416</v>
      </c>
      <c r="AX8" s="266">
        <f>IF(AND(F8&lt;=DATE(2028,6,1),OR(G8="",G8&gt;=DATE(2028,6,1))),H8*(1+Assumptions!$C$7)^3,0)</f>
        <v>6928.416</v>
      </c>
      <c r="AY8" s="266">
        <f>IF(AND(F8&lt;=DATE(2028,7,1),OR(G8="",G8&gt;=DATE(2028,7,1))),H8*(1+Assumptions!$C$7)^3,0)</f>
        <v>6928.416</v>
      </c>
      <c r="AZ8" s="266">
        <f>IF(AND(F8&lt;=DATE(2028,8,1),OR(G8="",G8&gt;=DATE(2028,8,1))),H8*(1+Assumptions!$C$7)^3,0)</f>
        <v>6928.416</v>
      </c>
      <c r="BA8" s="266">
        <f>IF(AND(F8&lt;=DATE(2028,9,1),OR(G8="",G8&gt;=DATE(2028,9,1))),H8*(1+Assumptions!$C$7)^3,0)</f>
        <v>6928.416</v>
      </c>
      <c r="BB8" s="266">
        <f>IF(AND(F8&lt;=DATE(2028,10,1),OR(G8="",G8&gt;=DATE(2028,10,1))),H8*(1+Assumptions!$C$7)^3,0)</f>
        <v>6928.416</v>
      </c>
      <c r="BC8" s="266">
        <f>IF(AND(F8&lt;=DATE(2028,11,1),OR(G8="",G8&gt;=DATE(2028,11,1))),H8*(1+Assumptions!$C$7)^3,0)</f>
        <v>6928.416</v>
      </c>
      <c r="BD8" s="266">
        <f>IF(AND(F8&lt;=DATE(2028,12,1),OR(G8="",G8&gt;=DATE(2028,12,1))),H8*(1+Assumptions!$C$7)^3,0)</f>
        <v>6928.416</v>
      </c>
      <c r="BE8" s="266">
        <f>IF(AND(G8&lt;=DATE(2028,12,1),OR(H8="",H8&gt;=DATE(2028,12,1))),I8*(1+Assumptions!$C$7)^3,0)</f>
        <v>0</v>
      </c>
      <c r="BF8" s="266">
        <f>IF(AND(H8&lt;=DATE(2028,12,1),OR(I8="",I8&gt;=DATE(2028,12,1))),J8*(1+Assumptions!$C$7)^3,0)</f>
        <v>0</v>
      </c>
      <c r="BG8" s="266">
        <f>IF(AND(I8&lt;=DATE(2028,12,1),OR(J8="",J8&gt;=DATE(2028,12,1))),K8*(1+Assumptions!$C$7)^3,0)</f>
        <v>0</v>
      </c>
      <c r="BH8" s="266">
        <f>IF(AND(J8&lt;=DATE(2028,12,1),OR(K8="",K8&gt;=DATE(2028,12,1))),L8*(1+Assumptions!$C$7)^3,0)</f>
        <v>0</v>
      </c>
      <c r="BI8" s="266">
        <f>IF(AND(K8&lt;=DATE(2028,12,1),OR(L8="",L8&gt;=DATE(2028,12,1))),M8*(1+Assumptions!$C$7)^3,0)</f>
        <v>0</v>
      </c>
      <c r="BJ8" s="266">
        <f>IF(AND(L8&lt;=DATE(2028,12,1),OR(M8="",M8&gt;=DATE(2028,12,1))),N8*(1+Assumptions!$C$7)^3,0)</f>
        <v>0</v>
      </c>
      <c r="BK8" s="266">
        <f>IF(AND(M8&lt;=DATE(2028,12,1),OR(N8="",N8&gt;=DATE(2028,12,1))),O8*(1+Assumptions!$C$7)^3,0)</f>
        <v>0</v>
      </c>
      <c r="BL8" s="266">
        <f>IF(AND(N8&lt;=DATE(2028,12,1),OR(O8="",O8&gt;=DATE(2028,12,1))),P8*(1+Assumptions!$C$7)^3,0)</f>
        <v>0</v>
      </c>
      <c r="BM8" s="266">
        <f>IF(AND(O8&lt;=DATE(2028,12,1),OR(P8="",P8&gt;=DATE(2028,12,1))),Q8*(1+Assumptions!$C$7)^3,0)</f>
        <v>0</v>
      </c>
      <c r="BN8" s="266">
        <f>IF(AND(P8&lt;=DATE(2028,12,1),OR(Q8="",Q8&gt;=DATE(2028,12,1))),R8*(1+Assumptions!$C$7)^3,0)</f>
        <v>0</v>
      </c>
      <c r="BO8" s="266">
        <f>IF(AND(Q8&lt;=DATE(2028,12,1),OR(R8="",R8&gt;=DATE(2028,12,1))),S8*(1+Assumptions!$C$7)^3,0)</f>
        <v>0</v>
      </c>
      <c r="BP8" s="266">
        <f>IF(AND(R8&lt;=DATE(2028,12,1),OR(S8="",S8&gt;=DATE(2028,12,1))),T8*(1+Assumptions!$C$7)^3,0)</f>
        <v>0</v>
      </c>
      <c r="BQ8" s="105"/>
    </row>
    <row r="9">
      <c r="A9" s="267">
        <v>7.0</v>
      </c>
      <c r="B9" s="270" t="s">
        <v>322</v>
      </c>
      <c r="C9" s="23" t="s">
        <v>149</v>
      </c>
      <c r="D9" s="23" t="s">
        <v>316</v>
      </c>
      <c r="E9" s="268" t="s">
        <v>318</v>
      </c>
      <c r="F9" s="258">
        <v>45901.0</v>
      </c>
      <c r="G9" s="269"/>
      <c r="H9" s="260">
        <v>5500.0</v>
      </c>
      <c r="I9" s="261">
        <f>IF(AND(F9&lt;=DATE(2025,1,1),OR(G9="",G9&gt;=DATE(2025,1,1))),H9*(1+Assumptions!$C$7)^0,0)</f>
        <v>0</v>
      </c>
      <c r="J9" s="261">
        <f>IF(AND(F9&lt;=DATE(2025,2,1),OR(G9="",G9&gt;=DATE(2025,2,1))),H9*(1+Assumptions!$C$7)^0,0)</f>
        <v>0</v>
      </c>
      <c r="K9" s="261">
        <f>IF(AND(F9&lt;=DATE(2025,3,1),OR(G9="",G9&gt;=DATE(2025,3,1))),H9*(1+Assumptions!$C$7)^0,0)</f>
        <v>0</v>
      </c>
      <c r="L9" s="261">
        <f>IF(AND(F9&lt;=DATE(2025,4,1),OR(G9="",G9&gt;=DATE(2025,4,1))),H9*(1+Assumptions!$C$7)^0,0)</f>
        <v>0</v>
      </c>
      <c r="M9" s="261">
        <f>IF(AND(F9&lt;=DATE(2025,5,1),OR(G9="",G9&gt;=DATE(2025,5,1))),H9*(1+Assumptions!$C$7)^0,0)</f>
        <v>0</v>
      </c>
      <c r="N9" s="261">
        <f>IF(AND(F9&lt;=DATE(2025,6,1),OR(G9="",G9&gt;=DATE(2025,6,1))),H9*(1+Assumptions!$C$7)^0,0)</f>
        <v>0</v>
      </c>
      <c r="O9" s="261">
        <f>IF(AND(F9&lt;=DATE(2025,7,1),OR(G9="",G9&gt;=DATE(2025,7,1))),H9*(1+Assumptions!$C$7)^0,0)</f>
        <v>0</v>
      </c>
      <c r="P9" s="261">
        <f>IF(AND(F9&lt;=DATE(2025,8,1),OR(G9="",G9&gt;=DATE(2025,8,1))),H9*(1+Assumptions!$C$7)^0,0)</f>
        <v>0</v>
      </c>
      <c r="Q9" s="261">
        <f>IF(AND(F9&lt;=DATE(2025,9,1),OR(G9="",G9&gt;=DATE(2025,9,1))),H9*(1+Assumptions!$C$7)^0,0)</f>
        <v>5500</v>
      </c>
      <c r="R9" s="261">
        <f>IF(AND(F9&lt;=DATE(2025,10,1),OR(G9="",G9&gt;=DATE(2025,10,1))),H9*(1+Assumptions!$C$7)^0,0)</f>
        <v>5500</v>
      </c>
      <c r="S9" s="261">
        <f>IF(AND(F9&lt;=DATE(2025,11,1),OR(G9="",G9&gt;=DATE(2025,11,1))),H9*(1+Assumptions!$C$7)^0,0)</f>
        <v>5500</v>
      </c>
      <c r="T9" s="261">
        <f>IF(AND(F9&lt;=DATE(2025,12,1),OR(G9="",G9&gt;=DATE(2025,12,1))),H9*(1+Assumptions!$C$7)^0,0)</f>
        <v>5500</v>
      </c>
      <c r="U9" s="261">
        <f>IF(AND(F9&lt;=DATE(2026,1,1),OR(G9="",G9&gt;=DATE(2026,1,1))),H9*(1+Assumptions!$C$7)^1,0)</f>
        <v>5940</v>
      </c>
      <c r="V9" s="261">
        <f>IF(AND(F9&lt;=DATE(2026,2,1),OR(G9="",G9&gt;=DATE(2026,2,1))),H9*(1+Assumptions!$C$7)^1,0)</f>
        <v>5940</v>
      </c>
      <c r="W9" s="261">
        <f>IF(AND(F9&lt;=DATE(2026,3,1),OR(G9="",G9&gt;=DATE(2026,3,1))),H9*(1+Assumptions!$C$7)^1,0)</f>
        <v>5940</v>
      </c>
      <c r="X9" s="261">
        <f>IF(AND(F9&lt;=DATE(2026,4,1),OR(G9="",G9&gt;=DATE(2026,4,1))),H9*(1+Assumptions!$C$7)^1,0)</f>
        <v>5940</v>
      </c>
      <c r="Y9" s="261">
        <f>IF(AND(F9&lt;=DATE(2026,5,1),OR(G9="",G9&gt;=DATE(2026,5,1))),H9*(1+Assumptions!$C$7)^1,0)</f>
        <v>5940</v>
      </c>
      <c r="Z9" s="261">
        <f>IF(AND(F9&lt;=DATE(2026,6,1),OR(G9="",G9&gt;=DATE(2026,6,1))),H9*(1+Assumptions!$C$7)^1,0)</f>
        <v>5940</v>
      </c>
      <c r="AA9" s="261">
        <f>IF(AND(F9&lt;=DATE(2026,7,1),OR(G9="",G9&gt;=DATE(2026,7,1))),H9*(1+Assumptions!$C$7)^1,0)</f>
        <v>5940</v>
      </c>
      <c r="AB9" s="261">
        <f>IF(AND(F9&lt;=DATE(2026,8,1),OR(G9="",G9&gt;=DATE(2026,8,1))),H9*(1+Assumptions!$C$7)^1,0)</f>
        <v>5940</v>
      </c>
      <c r="AC9" s="261">
        <f>IF(AND(F9&lt;=DATE(2026,9,1),OR(G9="",G9&gt;=DATE(2026,9,1))),H9*(1+Assumptions!$C$7)^1,0)</f>
        <v>5940</v>
      </c>
      <c r="AD9" s="261">
        <f>IF(AND(F9&lt;=DATE(2026,10,1),OR(G9="",G9&gt;=DATE(2026,10,1))),H9*(1+Assumptions!$C$7)^1,0)</f>
        <v>5940</v>
      </c>
      <c r="AE9" s="261">
        <f>IF(AND(F9&lt;=DATE(2026,11,1),OR(G9="",G9&gt;=DATE(2026,11,1))),H9*(1+Assumptions!$C$7)^1,0)</f>
        <v>5940</v>
      </c>
      <c r="AF9" s="261">
        <f>IF(AND(F9&lt;=DATE(2026,12,1),OR(G9="",G9&gt;=DATE(2026,12,1))),H9*(1+Assumptions!$C$7)^1,0)</f>
        <v>5940</v>
      </c>
      <c r="AG9" s="261">
        <f>IF(AND(F9&lt;=DATE(2027,1,1),OR(G9="",G9&gt;=DATE(2027,1,1))),H9*(1+Assumptions!$C$7)^2,0)</f>
        <v>6415.2</v>
      </c>
      <c r="AH9" s="261">
        <f>IF(AND(F9&lt;=DATE(2027,2,1),OR(G9="",G9&gt;=DATE(2027,2,1))),H9*(1+Assumptions!$C$7)^2,0)</f>
        <v>6415.2</v>
      </c>
      <c r="AI9" s="261">
        <f>IF(AND(F9&lt;=DATE(2027,3,1),OR(G9="",G9&gt;=DATE(2027,3,1))),H9*(1+Assumptions!$C$7)^2,0)</f>
        <v>6415.2</v>
      </c>
      <c r="AJ9" s="261">
        <f>IF(AND(F9&lt;=DATE(2027,4,1),OR(G9="",G9&gt;=DATE(2027,4,1))),H9*(1+Assumptions!$C$7)^2,0)</f>
        <v>6415.2</v>
      </c>
      <c r="AK9" s="261">
        <f>IF(AND(F9&lt;=DATE(2027,5,1),OR(G9="",G9&gt;=DATE(2027,5,1))),H9*(1+Assumptions!$C$7)^2,0)</f>
        <v>6415.2</v>
      </c>
      <c r="AL9" s="261">
        <f>IF(AND(F9&lt;=DATE(2027,6,1),OR(G9="",G9&gt;=DATE(2027,6,1))),H9*(1+Assumptions!$C$7)^2,0)</f>
        <v>6415.2</v>
      </c>
      <c r="AM9" s="261">
        <f>IF(AND(F9&lt;=DATE(2027,7,1),OR(G9="",G9&gt;=DATE(2027,7,1))),H9*(1+Assumptions!$C$7)^2,0)</f>
        <v>6415.2</v>
      </c>
      <c r="AN9" s="261">
        <f>IF(AND(F9&lt;=DATE(2027,8,1),OR(G9="",G9&gt;=DATE(2027,8,1))),H9*(1+Assumptions!$C$7)^2,0)</f>
        <v>6415.2</v>
      </c>
      <c r="AO9" s="261">
        <f>IF(AND(F9&lt;=DATE(2027,9,1),OR(G9="",G9&gt;=DATE(2027,9,1))),H9*(1+Assumptions!$C$7)^2,0)</f>
        <v>6415.2</v>
      </c>
      <c r="AP9" s="261">
        <f>IF(AND(F9&lt;=DATE(2027,10,1),OR(G9="",G9&gt;=DATE(2027,10,1))),H9*(1+Assumptions!$C$7)^2,0)</f>
        <v>6415.2</v>
      </c>
      <c r="AQ9" s="261">
        <f>IF(AND(F9&lt;=DATE(2027,11,1),OR(G9="",G9&gt;=DATE(2027,11,1))),H9*(1+Assumptions!$C$7)^2,0)</f>
        <v>6415.2</v>
      </c>
      <c r="AR9" s="261">
        <f>IF(AND(F9&lt;=DATE(2027,12,1),OR(G9="",G9&gt;=DATE(2027,12,1))),H9*(1+Assumptions!$C$7)^2,0)</f>
        <v>6415.2</v>
      </c>
      <c r="AS9" s="261">
        <f>IF(AND(F9&lt;=DATE(2028,1,1),OR(G9="",G9&gt;=DATE(2028,1,1))),H9*(1+Assumptions!$C$7)^3,0)</f>
        <v>6928.416</v>
      </c>
      <c r="AT9" s="261">
        <f>IF(AND(F9&lt;=DATE(2028,2,1),OR(G9="",G9&gt;=DATE(2028,2,1))),H9*(1+Assumptions!$C$7)^3,0)</f>
        <v>6928.416</v>
      </c>
      <c r="AU9" s="261">
        <f>IF(AND(F9&lt;=DATE(2028,3,1),OR(G9="",G9&gt;=DATE(2028,3,1))),H9*(1+Assumptions!$C$7)^3,0)</f>
        <v>6928.416</v>
      </c>
      <c r="AV9" s="261">
        <f>IF(AND(F9&lt;=DATE(2028,4,1),OR(G9="",G9&gt;=DATE(2028,4,1))),H9*(1+Assumptions!$C$7)^3,0)</f>
        <v>6928.416</v>
      </c>
      <c r="AW9" s="261">
        <f>IF(AND(F9&lt;=DATE(2028,5,1),OR(G9="",G9&gt;=DATE(2028,5,1))),H9*(1+Assumptions!$C$7)^3,0)</f>
        <v>6928.416</v>
      </c>
      <c r="AX9" s="261">
        <f>IF(AND(F9&lt;=DATE(2028,6,1),OR(G9="",G9&gt;=DATE(2028,6,1))),H9*(1+Assumptions!$C$7)^3,0)</f>
        <v>6928.416</v>
      </c>
      <c r="AY9" s="261">
        <f>IF(AND(F9&lt;=DATE(2028,7,1),OR(G9="",G9&gt;=DATE(2028,7,1))),H9*(1+Assumptions!$C$7)^3,0)</f>
        <v>6928.416</v>
      </c>
      <c r="AZ9" s="261">
        <f>IF(AND(F9&lt;=DATE(2028,8,1),OR(G9="",G9&gt;=DATE(2028,8,1))),H9*(1+Assumptions!$C$7)^3,0)</f>
        <v>6928.416</v>
      </c>
      <c r="BA9" s="261">
        <f>IF(AND(F9&lt;=DATE(2028,9,1),OR(G9="",G9&gt;=DATE(2028,9,1))),H9*(1+Assumptions!$C$7)^3,0)</f>
        <v>6928.416</v>
      </c>
      <c r="BB9" s="261">
        <f>IF(AND(F9&lt;=DATE(2028,10,1),OR(G9="",G9&gt;=DATE(2028,10,1))),H9*(1+Assumptions!$C$7)^3,0)</f>
        <v>6928.416</v>
      </c>
      <c r="BC9" s="261">
        <f>IF(AND(F9&lt;=DATE(2028,11,1),OR(G9="",G9&gt;=DATE(2028,11,1))),H9*(1+Assumptions!$C$7)^3,0)</f>
        <v>6928.416</v>
      </c>
      <c r="BD9" s="261">
        <f>IF(AND(F9&lt;=DATE(2028,12,1),OR(G9="",G9&gt;=DATE(2028,12,1))),H9*(1+Assumptions!$C$7)^3,0)</f>
        <v>6928.416</v>
      </c>
      <c r="BE9" s="261">
        <f>IF(AND(G9&lt;=DATE(2028,12,1),OR(H9="",H9&gt;=DATE(2028,12,1))),I9*(1+Assumptions!$C$7)^3,0)</f>
        <v>0</v>
      </c>
      <c r="BF9" s="261">
        <f>IF(AND(H9&lt;=DATE(2028,12,1),OR(I9="",I9&gt;=DATE(2028,12,1))),J9*(1+Assumptions!$C$7)^3,0)</f>
        <v>0</v>
      </c>
      <c r="BG9" s="261">
        <f>IF(AND(I9&lt;=DATE(2028,12,1),OR(J9="",J9&gt;=DATE(2028,12,1))),K9*(1+Assumptions!$C$7)^3,0)</f>
        <v>0</v>
      </c>
      <c r="BH9" s="261">
        <f>IF(AND(J9&lt;=DATE(2028,12,1),OR(K9="",K9&gt;=DATE(2028,12,1))),L9*(1+Assumptions!$C$7)^3,0)</f>
        <v>0</v>
      </c>
      <c r="BI9" s="261">
        <f>IF(AND(K9&lt;=DATE(2028,12,1),OR(L9="",L9&gt;=DATE(2028,12,1))),M9*(1+Assumptions!$C$7)^3,0)</f>
        <v>0</v>
      </c>
      <c r="BJ9" s="261">
        <f>IF(AND(L9&lt;=DATE(2028,12,1),OR(M9="",M9&gt;=DATE(2028,12,1))),N9*(1+Assumptions!$C$7)^3,0)</f>
        <v>0</v>
      </c>
      <c r="BK9" s="261">
        <f>IF(AND(M9&lt;=DATE(2028,12,1),OR(N9="",N9&gt;=DATE(2028,12,1))),O9*(1+Assumptions!$C$7)^3,0)</f>
        <v>0</v>
      </c>
      <c r="BL9" s="261">
        <f>IF(AND(N9&lt;=DATE(2028,12,1),OR(O9="",O9&gt;=DATE(2028,12,1))),P9*(1+Assumptions!$C$7)^3,0)</f>
        <v>0</v>
      </c>
      <c r="BM9" s="261">
        <f>IF(AND(O9&lt;=DATE(2028,12,1),OR(P9="",P9&gt;=DATE(2028,12,1))),Q9*(1+Assumptions!$C$7)^3,0)</f>
        <v>0</v>
      </c>
      <c r="BN9" s="261">
        <f>IF(AND(P9&lt;=DATE(2028,12,1),OR(Q9="",Q9&gt;=DATE(2028,12,1))),R9*(1+Assumptions!$C$7)^3,0)</f>
        <v>0</v>
      </c>
      <c r="BO9" s="261">
        <f>IF(AND(Q9&lt;=DATE(2028,12,1),OR(R9="",R9&gt;=DATE(2028,12,1))),S9*(1+Assumptions!$C$7)^3,0)</f>
        <v>0</v>
      </c>
      <c r="BP9" s="261">
        <f>IF(AND(R9&lt;=DATE(2028,12,1),OR(S9="",S9&gt;=DATE(2028,12,1))),T9*(1+Assumptions!$C$7)^3,0)</f>
        <v>0</v>
      </c>
      <c r="BQ9" s="105"/>
    </row>
    <row r="10">
      <c r="A10" s="267">
        <v>11.0</v>
      </c>
      <c r="B10" s="270" t="s">
        <v>323</v>
      </c>
      <c r="C10" s="23" t="s">
        <v>142</v>
      </c>
      <c r="D10" s="23" t="s">
        <v>324</v>
      </c>
      <c r="E10" s="268" t="s">
        <v>318</v>
      </c>
      <c r="F10" s="258">
        <v>45901.0</v>
      </c>
      <c r="G10" s="258">
        <v>46266.0</v>
      </c>
      <c r="H10" s="260">
        <v>4000.0</v>
      </c>
      <c r="I10" s="261">
        <f>IF(AND(F10&lt;=DATE(2025,1,1),OR(G10="",G10&gt;=DATE(2025,1,1))),H10*(1+Assumptions!$C$7)^0,0)</f>
        <v>0</v>
      </c>
      <c r="J10" s="261">
        <f>IF(AND(F10&lt;=DATE(2025,2,1),OR(G10="",G10&gt;=DATE(2025,2,1))),H10*(1+Assumptions!$C$7)^0,0)</f>
        <v>0</v>
      </c>
      <c r="K10" s="261">
        <f>IF(AND(F10&lt;=DATE(2025,3,1),OR(G10="",G10&gt;=DATE(2025,3,1))),H10*(1+Assumptions!$C$7)^0,0)</f>
        <v>0</v>
      </c>
      <c r="L10" s="261">
        <f>IF(AND(F10&lt;=DATE(2025,4,1),OR(G10="",G10&gt;=DATE(2025,4,1))),H10*(1+Assumptions!$C$7)^0,0)</f>
        <v>0</v>
      </c>
      <c r="M10" s="261">
        <f>IF(AND(F10&lt;=DATE(2025,5,1),OR(G10="",G10&gt;=DATE(2025,5,1))),H10*(1+Assumptions!$C$7)^0,0)</f>
        <v>0</v>
      </c>
      <c r="N10" s="261">
        <f>IF(AND(F10&lt;=DATE(2025,6,1),OR(G10="",G10&gt;=DATE(2025,6,1))),H10*(1+Assumptions!$C$7)^0,0)</f>
        <v>0</v>
      </c>
      <c r="O10" s="261">
        <f>IF(AND(F10&lt;=DATE(2025,7,1),OR(G10="",G10&gt;=DATE(2025,7,1))),H10*(1+Assumptions!$C$7)^0,0)</f>
        <v>0</v>
      </c>
      <c r="P10" s="261">
        <f>IF(AND(F10&lt;=DATE(2025,8,1),OR(G10="",G10&gt;=DATE(2025,8,1))),H10*(1+Assumptions!$C$7)^0,0)</f>
        <v>0</v>
      </c>
      <c r="Q10" s="261">
        <f>IF(AND(F10&lt;=DATE(2025,9,1),OR(G10="",G10&gt;=DATE(2025,9,1))),H10*(1+Assumptions!$C$7)^0,0)</f>
        <v>4000</v>
      </c>
      <c r="R10" s="261">
        <f>IF(AND(F10&lt;=DATE(2025,10,1),OR(G10="",G10&gt;=DATE(2025,10,1))),H10*(1+Assumptions!$C$7)^0,0)</f>
        <v>4000</v>
      </c>
      <c r="S10" s="261">
        <f>IF(AND(F10&lt;=DATE(2025,11,1),OR(G10="",G10&gt;=DATE(2025,11,1))),H10*(1+Assumptions!$C$7)^0,0)</f>
        <v>4000</v>
      </c>
      <c r="T10" s="261">
        <f>IF(AND(F10&lt;=DATE(2025,12,1),OR(G10="",G10&gt;=DATE(2025,12,1))),H10*(1+Assumptions!$C$7)^0,0)</f>
        <v>4000</v>
      </c>
      <c r="U10" s="261">
        <f>IF(AND(F10&lt;=DATE(2026,1,1),OR(G10="",G10&gt;=DATE(2026,1,1))),H10*(1+Assumptions!$C$7)^1,0)</f>
        <v>4320</v>
      </c>
      <c r="V10" s="261">
        <f>IF(AND(F10&lt;=DATE(2026,2,1),OR(G10="",G10&gt;=DATE(2026,2,1))),H10*(1+Assumptions!$C$7)^1,0)</f>
        <v>4320</v>
      </c>
      <c r="W10" s="261">
        <f>IF(AND(F10&lt;=DATE(2026,3,1),OR(G10="",G10&gt;=DATE(2026,3,1))),H10*(1+Assumptions!$C$7)^1,0)</f>
        <v>4320</v>
      </c>
      <c r="X10" s="261">
        <f>IF(AND(F10&lt;=DATE(2026,4,1),OR(G10="",G10&gt;=DATE(2026,4,1))),H10*(1+Assumptions!$C$7)^1,0)</f>
        <v>4320</v>
      </c>
      <c r="Y10" s="261">
        <f>IF(AND(F10&lt;=DATE(2026,5,1),OR(G10="",G10&gt;=DATE(2026,5,1))),H10*(1+Assumptions!$C$7)^1,0)</f>
        <v>4320</v>
      </c>
      <c r="Z10" s="261">
        <f>IF(AND(F10&lt;=DATE(2026,6,1),OR(G10="",G10&gt;=DATE(2026,6,1))),H10*(1+Assumptions!$C$7)^1,0)</f>
        <v>4320</v>
      </c>
      <c r="AA10" s="261">
        <f>IF(AND(F10&lt;=DATE(2026,7,1),OR(G10="",G10&gt;=DATE(2026,7,1))),H10*(1+Assumptions!$C$7)^1,0)</f>
        <v>4320</v>
      </c>
      <c r="AB10" s="261">
        <f>IF(AND(F10&lt;=DATE(2026,8,1),OR(G10="",G10&gt;=DATE(2026,8,1))),H10*(1+Assumptions!$C$7)^1,0)</f>
        <v>4320</v>
      </c>
      <c r="AC10" s="261">
        <f>IF(AND(F10&lt;=DATE(2026,9,1),OR(G10="",G10&gt;=DATE(2026,9,1))),H10*(1+Assumptions!$C$7)^1,0)</f>
        <v>4320</v>
      </c>
      <c r="AD10" s="261">
        <f>IF(AND(F10&lt;=DATE(2026,10,1),OR(G10="",G10&gt;=DATE(2026,10,1))),H10*(1+Assumptions!$C$7)^1,0)</f>
        <v>0</v>
      </c>
      <c r="AE10" s="261">
        <f>IF(AND(F10&lt;=DATE(2026,11,1),OR(G10="",G10&gt;=DATE(2026,11,1))),H10*(1+Assumptions!$C$7)^1,0)</f>
        <v>0</v>
      </c>
      <c r="AF10" s="261">
        <f>IF(AND(F10&lt;=DATE(2026,12,1),OR(G10="",G10&gt;=DATE(2026,12,1))),H10*(1+Assumptions!$C$7)^1,0)</f>
        <v>0</v>
      </c>
      <c r="AG10" s="261">
        <f>IF(AND(F10&lt;=DATE(2027,1,1),OR(G10="",G10&gt;=DATE(2027,1,1))),H10*(1+Assumptions!$C$7)^2,0)</f>
        <v>0</v>
      </c>
      <c r="AH10" s="261">
        <f>IF(AND(F10&lt;=DATE(2027,2,1),OR(G10="",G10&gt;=DATE(2027,2,1))),H10*(1+Assumptions!$C$7)^2,0)</f>
        <v>0</v>
      </c>
      <c r="AI10" s="261">
        <f>IF(AND(F10&lt;=DATE(2027,3,1),OR(G10="",G10&gt;=DATE(2027,3,1))),H10*(1+Assumptions!$C$7)^2,0)</f>
        <v>0</v>
      </c>
      <c r="AJ10" s="261">
        <f>IF(AND(F10&lt;=DATE(2027,4,1),OR(G10="",G10&gt;=DATE(2027,4,1))),H10*(1+Assumptions!$C$7)^2,0)</f>
        <v>0</v>
      </c>
      <c r="AK10" s="261">
        <f>IF(AND(F10&lt;=DATE(2027,5,1),OR(G10="",G10&gt;=DATE(2027,5,1))),H10*(1+Assumptions!$C$7)^2,0)</f>
        <v>0</v>
      </c>
      <c r="AL10" s="261">
        <f>IF(AND(F10&lt;=DATE(2027,6,1),OR(G10="",G10&gt;=DATE(2027,6,1))),H10*(1+Assumptions!$C$7)^2,0)</f>
        <v>0</v>
      </c>
      <c r="AM10" s="261">
        <f>IF(AND(F10&lt;=DATE(2027,7,1),OR(G10="",G10&gt;=DATE(2027,7,1))),H10*(1+Assumptions!$C$7)^2,0)</f>
        <v>0</v>
      </c>
      <c r="AN10" s="261">
        <f>IF(AND(F10&lt;=DATE(2027,8,1),OR(G10="",G10&gt;=DATE(2027,8,1))),H10*(1+Assumptions!$C$7)^2,0)</f>
        <v>0</v>
      </c>
      <c r="AO10" s="261">
        <f>IF(AND(F10&lt;=DATE(2027,9,1),OR(G10="",G10&gt;=DATE(2027,9,1))),H10*(1+Assumptions!$C$7)^2,0)</f>
        <v>0</v>
      </c>
      <c r="AP10" s="261">
        <f>IF(AND(F10&lt;=DATE(2027,10,1),OR(G10="",G10&gt;=DATE(2027,10,1))),H10*(1+Assumptions!$C$7)^2,0)</f>
        <v>0</v>
      </c>
      <c r="AQ10" s="261">
        <f>IF(AND(F10&lt;=DATE(2027,11,1),OR(G10="",G10&gt;=DATE(2027,11,1))),H10*(1+Assumptions!$C$7)^2,0)</f>
        <v>0</v>
      </c>
      <c r="AR10" s="261">
        <f>IF(AND(F10&lt;=DATE(2027,12,1),OR(G10="",G10&gt;=DATE(2027,12,1))),H10*(1+Assumptions!$C$7)^2,0)</f>
        <v>0</v>
      </c>
      <c r="AS10" s="261">
        <f>IF(AND(F10&lt;=DATE(2028,1,1),OR(G10="",G10&gt;=DATE(2028,1,1))),H10*(1+Assumptions!$C$7)^3,0)</f>
        <v>0</v>
      </c>
      <c r="AT10" s="261">
        <f>IF(AND(F10&lt;=DATE(2028,2,1),OR(G10="",G10&gt;=DATE(2028,2,1))),H10*(1+Assumptions!$C$7)^3,0)</f>
        <v>0</v>
      </c>
      <c r="AU10" s="261">
        <f>IF(AND(F10&lt;=DATE(2028,3,1),OR(G10="",G10&gt;=DATE(2028,3,1))),H10*(1+Assumptions!$C$7)^3,0)</f>
        <v>0</v>
      </c>
      <c r="AV10" s="261">
        <f>IF(AND(F10&lt;=DATE(2028,4,1),OR(G10="",G10&gt;=DATE(2028,4,1))),H10*(1+Assumptions!$C$7)^3,0)</f>
        <v>0</v>
      </c>
      <c r="AW10" s="261">
        <f>IF(AND(F10&lt;=DATE(2028,5,1),OR(G10="",G10&gt;=DATE(2028,5,1))),H10*(1+Assumptions!$C$7)^3,0)</f>
        <v>0</v>
      </c>
      <c r="AX10" s="261">
        <f>IF(AND(F10&lt;=DATE(2028,6,1),OR(G10="",G10&gt;=DATE(2028,6,1))),H10*(1+Assumptions!$C$7)^3,0)</f>
        <v>0</v>
      </c>
      <c r="AY10" s="261">
        <f>IF(AND(F10&lt;=DATE(2028,7,1),OR(G10="",G10&gt;=DATE(2028,7,1))),H10*(1+Assumptions!$C$7)^3,0)</f>
        <v>0</v>
      </c>
      <c r="AZ10" s="261">
        <f>IF(AND(F10&lt;=DATE(2028,8,1),OR(G10="",G10&gt;=DATE(2028,8,1))),H10*(1+Assumptions!$C$7)^3,0)</f>
        <v>0</v>
      </c>
      <c r="BA10" s="261">
        <f>IF(AND(F10&lt;=DATE(2028,9,1),OR(G10="",G10&gt;=DATE(2028,9,1))),H10*(1+Assumptions!$C$7)^3,0)</f>
        <v>0</v>
      </c>
      <c r="BB10" s="261">
        <f>IF(AND(F10&lt;=DATE(2028,10,1),OR(G10="",G10&gt;=DATE(2028,10,1))),H10*(1+Assumptions!$C$7)^3,0)</f>
        <v>0</v>
      </c>
      <c r="BC10" s="261">
        <f>IF(AND(F10&lt;=DATE(2028,11,1),OR(G10="",G10&gt;=DATE(2028,11,1))),H10*(1+Assumptions!$C$7)^3,0)</f>
        <v>0</v>
      </c>
      <c r="BD10" s="261">
        <f>IF(AND(F10&lt;=DATE(2028,12,1),OR(G10="",G10&gt;=DATE(2028,12,1))),H10*(1+Assumptions!$C$7)^3,0)</f>
        <v>0</v>
      </c>
      <c r="BE10" s="261">
        <f>IF(AND(G10&lt;=DATE(2028,12,1),OR(H10="",H10&gt;=DATE(2028,12,1))),I10*(1+Assumptions!$C$7)^3,0)</f>
        <v>0</v>
      </c>
      <c r="BF10" s="261">
        <f>IF(AND(H10&lt;=DATE(2028,12,1),OR(I10="",I10&gt;=DATE(2028,12,1))),J10*(1+Assumptions!$C$7)^3,0)</f>
        <v>0</v>
      </c>
      <c r="BG10" s="261">
        <f>IF(AND(I10&lt;=DATE(2028,12,1),OR(J10="",J10&gt;=DATE(2028,12,1))),K10*(1+Assumptions!$C$7)^3,0)</f>
        <v>0</v>
      </c>
      <c r="BH10" s="261">
        <f>IF(AND(J10&lt;=DATE(2028,12,1),OR(K10="",K10&gt;=DATE(2028,12,1))),L10*(1+Assumptions!$C$7)^3,0)</f>
        <v>0</v>
      </c>
      <c r="BI10" s="261">
        <f>IF(AND(K10&lt;=DATE(2028,12,1),OR(L10="",L10&gt;=DATE(2028,12,1))),M10*(1+Assumptions!$C$7)^3,0)</f>
        <v>0</v>
      </c>
      <c r="BJ10" s="261">
        <f>IF(AND(L10&lt;=DATE(2028,12,1),OR(M10="",M10&gt;=DATE(2028,12,1))),N10*(1+Assumptions!$C$7)^3,0)</f>
        <v>0</v>
      </c>
      <c r="BK10" s="261">
        <f>IF(AND(M10&lt;=DATE(2028,12,1),OR(N10="",N10&gt;=DATE(2028,12,1))),O10*(1+Assumptions!$C$7)^3,0)</f>
        <v>0</v>
      </c>
      <c r="BL10" s="261">
        <f>IF(AND(N10&lt;=DATE(2028,12,1),OR(O10="",O10&gt;=DATE(2028,12,1))),P10*(1+Assumptions!$C$7)^3,0)</f>
        <v>0</v>
      </c>
      <c r="BM10" s="261">
        <f>IF(AND(O10&lt;=DATE(2028,12,1),OR(P10="",P10&gt;=DATE(2028,12,1))),Q10*(1+Assumptions!$C$7)^3,0)</f>
        <v>0</v>
      </c>
      <c r="BN10" s="261">
        <f>IF(AND(P10&lt;=DATE(2028,12,1),OR(Q10="",Q10&gt;=DATE(2028,12,1))),R10*(1+Assumptions!$C$7)^3,0)</f>
        <v>0</v>
      </c>
      <c r="BO10" s="261">
        <f>IF(AND(Q10&lt;=DATE(2028,12,1),OR(R10="",R10&gt;=DATE(2028,12,1))),S10*(1+Assumptions!$C$7)^3,0)</f>
        <v>0</v>
      </c>
      <c r="BP10" s="261">
        <f>IF(AND(R10&lt;=DATE(2028,12,1),OR(S10="",S10&gt;=DATE(2028,12,1))),T10*(1+Assumptions!$C$7)^3,0)</f>
        <v>0</v>
      </c>
      <c r="BQ10" s="105"/>
    </row>
    <row r="11">
      <c r="A11" s="263">
        <v>8.0</v>
      </c>
      <c r="B11" s="256" t="s">
        <v>325</v>
      </c>
      <c r="C11" s="257" t="s">
        <v>149</v>
      </c>
      <c r="D11" s="257" t="s">
        <v>325</v>
      </c>
      <c r="E11" s="264" t="s">
        <v>318</v>
      </c>
      <c r="F11" s="258">
        <v>46266.0</v>
      </c>
      <c r="G11" s="265"/>
      <c r="H11" s="260">
        <v>11500.0</v>
      </c>
      <c r="I11" s="266">
        <f>IF(AND(F11&lt;=DATE(2025,1,1),OR(G11="",G11&gt;=DATE(2025,1,1))),H11*(1+Assumptions!$C$7)^0,0)</f>
        <v>0</v>
      </c>
      <c r="J11" s="266">
        <f>IF(AND(F11&lt;=DATE(2025,2,1),OR(G11="",G11&gt;=DATE(2025,2,1))),H11*(1+Assumptions!$C$7)^0,0)</f>
        <v>0</v>
      </c>
      <c r="K11" s="266">
        <f>IF(AND(F11&lt;=DATE(2025,3,1),OR(G11="",G11&gt;=DATE(2025,3,1))),H11*(1+Assumptions!$C$7)^0,0)</f>
        <v>0</v>
      </c>
      <c r="L11" s="266">
        <f>IF(AND(F11&lt;=DATE(2025,4,1),OR(G11="",G11&gt;=DATE(2025,4,1))),H11*(1+Assumptions!$C$7)^0,0)</f>
        <v>0</v>
      </c>
      <c r="M11" s="266">
        <f>IF(AND(F11&lt;=DATE(2025,5,1),OR(G11="",G11&gt;=DATE(2025,5,1))),H11*(1+Assumptions!$C$7)^0,0)</f>
        <v>0</v>
      </c>
      <c r="N11" s="266">
        <f>IF(AND(F11&lt;=DATE(2025,6,1),OR(G11="",G11&gt;=DATE(2025,6,1))),H11*(1+Assumptions!$C$7)^0,0)</f>
        <v>0</v>
      </c>
      <c r="O11" s="266">
        <f>IF(AND(F11&lt;=DATE(2025,7,1),OR(G11="",G11&gt;=DATE(2025,7,1))),H11*(1+Assumptions!$C$7)^0,0)</f>
        <v>0</v>
      </c>
      <c r="P11" s="266">
        <f>IF(AND(F11&lt;=DATE(2025,8,1),OR(G11="",G11&gt;=DATE(2025,8,1))),H11*(1+Assumptions!$C$7)^0,0)</f>
        <v>0</v>
      </c>
      <c r="Q11" s="266">
        <v>7500.0</v>
      </c>
      <c r="R11" s="266">
        <v>7500.0</v>
      </c>
      <c r="S11" s="266">
        <v>7500.0</v>
      </c>
      <c r="T11" s="266">
        <v>7500.0</v>
      </c>
      <c r="U11" s="266">
        <v>7500.0</v>
      </c>
      <c r="V11" s="266">
        <v>7500.0</v>
      </c>
      <c r="W11" s="266">
        <v>7500.0</v>
      </c>
      <c r="X11" s="266">
        <v>7500.0</v>
      </c>
      <c r="Y11" s="266">
        <v>7500.0</v>
      </c>
      <c r="Z11" s="266">
        <v>7500.0</v>
      </c>
      <c r="AA11" s="266">
        <v>7500.0</v>
      </c>
      <c r="AB11" s="266">
        <v>7500.0</v>
      </c>
      <c r="AC11" s="266">
        <f>IF(AND(F11&lt;=DATE(2026,9,1),OR(G11="",G11&gt;=DATE(2026,9,1))),H11)</f>
        <v>11500</v>
      </c>
      <c r="AD11" s="266">
        <f>IF(AND(F11&lt;=DATE(2026,10,1),OR(G11="",G11&gt;=DATE(2026,10,1))),H11*(1+Assumptions!$C$7)^1,0)</f>
        <v>12420</v>
      </c>
      <c r="AE11" s="266">
        <f>IF(AND(F11&lt;=DATE(2026,11,1),OR(G11="",G11&gt;=DATE(2026,11,1))),H11*(1+Assumptions!$C$7)^1,0)</f>
        <v>12420</v>
      </c>
      <c r="AF11" s="266">
        <f>IF(AND(F11&lt;=DATE(2026,12,1),OR(G11="",G11&gt;=DATE(2026,12,1))),H11*(1+Assumptions!$C$7)^1,0)</f>
        <v>12420</v>
      </c>
      <c r="AG11" s="266">
        <f>IF(AND(F11&lt;=DATE(2027,1,1),OR(G11="",G11&gt;=DATE(2027,1,1))),H11*(1+Assumptions!$C$7)^2,0)</f>
        <v>13413.6</v>
      </c>
      <c r="AH11" s="266">
        <f>IF(AND(F11&lt;=DATE(2027,2,1),OR(G11="",G11&gt;=DATE(2027,2,1))),H11*(1+Assumptions!$C$7)^2,0)</f>
        <v>13413.6</v>
      </c>
      <c r="AI11" s="266">
        <f>IF(AND(F11&lt;=DATE(2027,3,1),OR(G11="",G11&gt;=DATE(2027,3,1))),H11*(1+Assumptions!$C$7)^2,0)</f>
        <v>13413.6</v>
      </c>
      <c r="AJ11" s="266">
        <f>IF(AND(F11&lt;=DATE(2027,4,1),OR(G11="",G11&gt;=DATE(2027,4,1))),H11*(1+Assumptions!$C$7)^2,0)</f>
        <v>13413.6</v>
      </c>
      <c r="AK11" s="266">
        <f>IF(AND(F11&lt;=DATE(2027,5,1),OR(G11="",G11&gt;=DATE(2027,5,1))),H11*(1+Assumptions!$C$7)^2,0)</f>
        <v>13413.6</v>
      </c>
      <c r="AL11" s="266">
        <f>IF(AND(F11&lt;=DATE(2027,6,1),OR(G11="",G11&gt;=DATE(2027,6,1))),H11*(1+Assumptions!$C$7)^2,0)</f>
        <v>13413.6</v>
      </c>
      <c r="AM11" s="266">
        <f>IF(AND(F11&lt;=DATE(2027,7,1),OR(G11="",G11&gt;=DATE(2027,7,1))),H11*(1+Assumptions!$C$7)^2,0)</f>
        <v>13413.6</v>
      </c>
      <c r="AN11" s="266">
        <f>IF(AND(F11&lt;=DATE(2027,8,1),OR(G11="",G11&gt;=DATE(2027,8,1))),H11*(1+Assumptions!$C$7)^2,0)</f>
        <v>13413.6</v>
      </c>
      <c r="AO11" s="266">
        <f>IF(AND(F11&lt;=DATE(2027,9,1),OR(G11="",G11&gt;=DATE(2027,9,1))),H11*(1+Assumptions!$C$7)^2,0)</f>
        <v>13413.6</v>
      </c>
      <c r="AP11" s="266">
        <f>IF(AND(F11&lt;=DATE(2027,10,1),OR(G11="",G11&gt;=DATE(2027,10,1))),H11*(1+Assumptions!$C$7)^2,0)</f>
        <v>13413.6</v>
      </c>
      <c r="AQ11" s="266">
        <f>IF(AND(F11&lt;=DATE(2027,11,1),OR(G11="",G11&gt;=DATE(2027,11,1))),H11*(1+Assumptions!$C$7)^2,0)</f>
        <v>13413.6</v>
      </c>
      <c r="AR11" s="266">
        <f>IF(AND(F11&lt;=DATE(2027,12,1),OR(G11="",G11&gt;=DATE(2027,12,1))),H11*(1+Assumptions!$C$7)^2,0)</f>
        <v>13413.6</v>
      </c>
      <c r="AS11" s="266">
        <f>IF(AND(F11&lt;=DATE(2028,1,1),OR(G11="",G11&gt;=DATE(2028,1,1))),H11*(1+Assumptions!$C$7)^3,0)</f>
        <v>14486.688</v>
      </c>
      <c r="AT11" s="266">
        <f>IF(AND(F11&lt;=DATE(2028,2,1),OR(G11="",G11&gt;=DATE(2028,2,1))),H11*(1+Assumptions!$C$7)^3,0)</f>
        <v>14486.688</v>
      </c>
      <c r="AU11" s="266">
        <f>IF(AND(F11&lt;=DATE(2028,3,1),OR(G11="",G11&gt;=DATE(2028,3,1))),H11*(1+Assumptions!$C$7)^3,0)</f>
        <v>14486.688</v>
      </c>
      <c r="AV11" s="266">
        <f>IF(AND(F11&lt;=DATE(2028,4,1),OR(G11="",G11&gt;=DATE(2028,4,1))),H11*(1+Assumptions!$C$7)^3,0)</f>
        <v>14486.688</v>
      </c>
      <c r="AW11" s="266">
        <f>IF(AND(F11&lt;=DATE(2028,5,1),OR(G11="",G11&gt;=DATE(2028,5,1))),H11*(1+Assumptions!$C$7)^3,0)</f>
        <v>14486.688</v>
      </c>
      <c r="AX11" s="266">
        <f>IF(AND(F11&lt;=DATE(2028,6,1),OR(G11="",G11&gt;=DATE(2028,6,1))),H11*(1+Assumptions!$C$7)^3,0)</f>
        <v>14486.688</v>
      </c>
      <c r="AY11" s="266">
        <f>IF(AND(F11&lt;=DATE(2028,7,1),OR(G11="",G11&gt;=DATE(2028,7,1))),H11*(1+Assumptions!$C$7)^3,0)</f>
        <v>14486.688</v>
      </c>
      <c r="AZ11" s="266">
        <f>IF(AND(F11&lt;=DATE(2028,8,1),OR(G11="",G11&gt;=DATE(2028,8,1))),H11*(1+Assumptions!$C$7)^3,0)</f>
        <v>14486.688</v>
      </c>
      <c r="BA11" s="266">
        <f>IF(AND(F11&lt;=DATE(2028,9,1),OR(G11="",G11&gt;=DATE(2028,9,1))),H11*(1+Assumptions!$C$7)^3,0)</f>
        <v>14486.688</v>
      </c>
      <c r="BB11" s="266">
        <f>IF(AND(F11&lt;=DATE(2028,10,1),OR(G11="",G11&gt;=DATE(2028,10,1))),H11*(1+Assumptions!$C$7)^3,0)</f>
        <v>14486.688</v>
      </c>
      <c r="BC11" s="266">
        <f>IF(AND(F11&lt;=DATE(2028,11,1),OR(G11="",G11&gt;=DATE(2028,11,1))),H11*(1+Assumptions!$C$7)^3,0)</f>
        <v>14486.688</v>
      </c>
      <c r="BD11" s="266">
        <f>IF(AND(F11&lt;=DATE(2028,12,1),OR(G11="",G11&gt;=DATE(2028,12,1))),H11*(1+Assumptions!$C$7)^3,0)</f>
        <v>14486.688</v>
      </c>
      <c r="BE11" s="266">
        <f>IF(AND(G11&lt;=DATE(2028,12,1),OR(H11="",H11&gt;=DATE(2028,12,1))),I11*(1+Assumptions!$C$7)^3,0)</f>
        <v>0</v>
      </c>
      <c r="BF11" s="266">
        <f>IF(AND(H11&lt;=DATE(2028,12,1),OR(I11="",I11&gt;=DATE(2028,12,1))),J11*(1+Assumptions!$C$7)^3,0)</f>
        <v>0</v>
      </c>
      <c r="BG11" s="266">
        <f>IF(AND(I11&lt;=DATE(2028,12,1),OR(J11="",J11&gt;=DATE(2028,12,1))),K11*(1+Assumptions!$C$7)^3,0)</f>
        <v>0</v>
      </c>
      <c r="BH11" s="266">
        <f>IF(AND(J11&lt;=DATE(2028,12,1),OR(K11="",K11&gt;=DATE(2028,12,1))),L11*(1+Assumptions!$C$7)^3,0)</f>
        <v>0</v>
      </c>
      <c r="BI11" s="266">
        <f>IF(AND(K11&lt;=DATE(2028,12,1),OR(L11="",L11&gt;=DATE(2028,12,1))),M11*(1+Assumptions!$C$7)^3,0)</f>
        <v>0</v>
      </c>
      <c r="BJ11" s="266">
        <f>IF(AND(L11&lt;=DATE(2028,12,1),OR(M11="",M11&gt;=DATE(2028,12,1))),N11*(1+Assumptions!$C$7)^3,0)</f>
        <v>0</v>
      </c>
      <c r="BK11" s="266">
        <f>IF(AND(M11&lt;=DATE(2028,12,1),OR(N11="",N11&gt;=DATE(2028,12,1))),O11*(1+Assumptions!$C$7)^3,0)</f>
        <v>0</v>
      </c>
      <c r="BL11" s="266">
        <f>IF(AND(N11&lt;=DATE(2028,12,1),OR(O11="",O11&gt;=DATE(2028,12,1))),P11*(1+Assumptions!$C$7)^3,0)</f>
        <v>0</v>
      </c>
      <c r="BM11" s="266">
        <f>IF(AND(O11&lt;=DATE(2028,12,1),OR(P11="",P11&gt;=DATE(2028,12,1))),Q11*(1+Assumptions!$C$7)^3,0)</f>
        <v>0</v>
      </c>
      <c r="BN11" s="266">
        <f>IF(AND(P11&lt;=DATE(2028,12,1),OR(Q11="",Q11&gt;=DATE(2028,12,1))),R11*(1+Assumptions!$C$7)^3,0)</f>
        <v>0</v>
      </c>
      <c r="BO11" s="266">
        <f>IF(AND(Q11&lt;=DATE(2028,12,1),OR(R11="",R11&gt;=DATE(2028,12,1))),S11*(1+Assumptions!$C$7)^3,0)</f>
        <v>0</v>
      </c>
      <c r="BP11" s="266">
        <f>IF(AND(R11&lt;=DATE(2028,12,1),OR(S11="",S11&gt;=DATE(2028,12,1))),T11*(1+Assumptions!$C$7)^3,0)</f>
        <v>0</v>
      </c>
      <c r="BQ11" s="105"/>
    </row>
    <row r="12">
      <c r="A12" s="267">
        <v>9.0</v>
      </c>
      <c r="B12" s="270" t="s">
        <v>326</v>
      </c>
      <c r="C12" s="23" t="s">
        <v>146</v>
      </c>
      <c r="D12" s="23" t="s">
        <v>327</v>
      </c>
      <c r="E12" s="268" t="s">
        <v>318</v>
      </c>
      <c r="F12" s="258">
        <v>46054.0</v>
      </c>
      <c r="G12" s="271"/>
      <c r="H12" s="260">
        <v>10000.0</v>
      </c>
      <c r="I12" s="261">
        <f>IF(AND(F12&lt;=DATE(2025,1,1),OR(G12="",G12&gt;=DATE(2025,1,1))),H12*(1+Assumptions!$C$7)^0,0)</f>
        <v>0</v>
      </c>
      <c r="J12" s="261">
        <f>IF(AND(F12&lt;=DATE(2025,2,1),OR(G12="",G12&gt;=DATE(2025,2,1))),H12*(1+Assumptions!$C$7)^0,0)</f>
        <v>0</v>
      </c>
      <c r="K12" s="261">
        <f>IF(AND(F12&lt;=DATE(2025,3,1),OR(G12="",G12&gt;=DATE(2025,3,1))),H12*(1+Assumptions!$C$7)^0,0)</f>
        <v>0</v>
      </c>
      <c r="L12" s="261">
        <f>IF(AND(F12&lt;=DATE(2025,4,1),OR(G12="",G12&gt;=DATE(2025,4,1))),H12*(1+Assumptions!$C$7)^0,0)</f>
        <v>0</v>
      </c>
      <c r="M12" s="261">
        <f>IF(AND(F12&lt;=DATE(2025,5,1),OR(G12="",G12&gt;=DATE(2025,5,1))),H12*(1+Assumptions!$C$7)^0,0)</f>
        <v>0</v>
      </c>
      <c r="N12" s="261">
        <f>IF(AND(F12&lt;=DATE(2025,6,1),OR(G12="",G12&gt;=DATE(2025,6,1))),H12*(1+Assumptions!$C$7)^0,0)</f>
        <v>0</v>
      </c>
      <c r="O12" s="261">
        <f>IF(AND(F12&lt;=DATE(2025,7,1),OR(G12="",G12&gt;=DATE(2025,7,1))),H12*(1+Assumptions!$C$7)^0,0)</f>
        <v>0</v>
      </c>
      <c r="P12" s="261">
        <f>IF(AND(F12&lt;=DATE(2025,8,1),OR(G12="",G12&gt;=DATE(2025,8,1))),H12*(1+Assumptions!$C$7)^0,0)</f>
        <v>0</v>
      </c>
      <c r="Q12" s="261">
        <f>IF(AND(F12&lt;=DATE(2025,9,1),OR(G12="",G12&gt;=DATE(2025,9,1))),H12*(1+Assumptions!$C$7)^0,0)</f>
        <v>0</v>
      </c>
      <c r="R12" s="261">
        <f>IF(AND(F12&lt;=DATE(2025,10,1),OR(G12="",G12&gt;=DATE(2025,10,1))),H12*(1+Assumptions!$C$7)^0,0)</f>
        <v>0</v>
      </c>
      <c r="S12" s="261">
        <f>IF(AND(F12&lt;=DATE(2025,11,1),OR(G12="",G12&gt;=DATE(2025,11,1))),H12*(1+Assumptions!$C$7)^0,0)</f>
        <v>0</v>
      </c>
      <c r="T12" s="261">
        <f>IF(AND(F12&lt;=DATE(2025,12,1),OR(G12="",G12&gt;=DATE(2025,12,1))),H12*(1+Assumptions!$C$7)^0,0)</f>
        <v>0</v>
      </c>
      <c r="U12" s="261">
        <f>IF(AND(F12&lt;=DATE(2026,1,1),OR(G12="",G12&gt;=DATE(2026,1,1))),H12*(1+Assumptions!$C$7)^1,0)</f>
        <v>0</v>
      </c>
      <c r="V12" s="261">
        <f>IF(AND(F12&lt;=DATE(2026,2,1),OR(G12="",G12&gt;=DATE(2026,2,1))),H12*(1+Assumptions!$C$7)^1,0)</f>
        <v>10800</v>
      </c>
      <c r="W12" s="261">
        <f>IF(AND(F12&lt;=DATE(2026,3,1),OR(G12="",G12&gt;=DATE(2026,3,1))),H12*(1+Assumptions!$C$7)^1,0)</f>
        <v>10800</v>
      </c>
      <c r="X12" s="261">
        <f>IF(AND(F12&lt;=DATE(2026,4,1),OR(G12="",G12&gt;=DATE(2026,4,1))),H12*(1+Assumptions!$C$7)^1,0)</f>
        <v>10800</v>
      </c>
      <c r="Y12" s="261">
        <f>IF(AND(F12&lt;=DATE(2026,5,1),OR(G12="",G12&gt;=DATE(2026,5,1))),H12*(1+Assumptions!$C$7)^1,0)</f>
        <v>10800</v>
      </c>
      <c r="Z12" s="261">
        <f>IF(AND(F12&lt;=DATE(2026,6,1),OR(G12="",G12&gt;=DATE(2026,6,1))),H12*(1+Assumptions!$C$7)^1,0)</f>
        <v>10800</v>
      </c>
      <c r="AA12" s="261">
        <f>IF(AND(F12&lt;=DATE(2026,7,1),OR(G12="",G12&gt;=DATE(2026,7,1))),H12*(1+Assumptions!$C$7)^1,0)</f>
        <v>10800</v>
      </c>
      <c r="AB12" s="261">
        <f>IF(AND(F12&lt;=DATE(2026,8,1),OR(G12="",G12&gt;=DATE(2026,8,1))),H12*(1+Assumptions!$C$7)^1,0)</f>
        <v>10800</v>
      </c>
      <c r="AC12" s="261">
        <f>IF(AND(F12&lt;=DATE(2026,9,1),OR(G12="",G12&gt;=DATE(2026,9,1))),H12*(1+Assumptions!$C$7)^1,0)</f>
        <v>10800</v>
      </c>
      <c r="AD12" s="261">
        <f>IF(AND(F12&lt;=DATE(2026,10,1),OR(G12="",G12&gt;=DATE(2026,10,1))),H12*(1+Assumptions!$C$7)^1,0)</f>
        <v>10800</v>
      </c>
      <c r="AE12" s="261">
        <f>IF(AND(F12&lt;=DATE(2026,11,1),OR(G12="",G12&gt;=DATE(2026,11,1))),H12*(1+Assumptions!$C$7)^1,0)</f>
        <v>10800</v>
      </c>
      <c r="AF12" s="261">
        <f>IF(AND(F12&lt;=DATE(2026,12,1),OR(G12="",G12&gt;=DATE(2026,12,1))),H12*(1+Assumptions!$C$7)^1,0)</f>
        <v>10800</v>
      </c>
      <c r="AG12" s="261">
        <f>IF(AND(F12&lt;=DATE(2027,1,1),OR(G12="",G12&gt;=DATE(2027,1,1))),H12*(1+Assumptions!$C$7)^2,0)</f>
        <v>11664</v>
      </c>
      <c r="AH12" s="261">
        <f>IF(AND(F12&lt;=DATE(2027,2,1),OR(G12="",G12&gt;=DATE(2027,2,1))),H12*(1+Assumptions!$C$7)^2,0)</f>
        <v>11664</v>
      </c>
      <c r="AI12" s="261">
        <f>IF(AND(F12&lt;=DATE(2027,3,1),OR(G12="",G12&gt;=DATE(2027,3,1))),H12*(1+Assumptions!$C$7)^2,0)</f>
        <v>11664</v>
      </c>
      <c r="AJ12" s="261">
        <f>IF(AND(F12&lt;=DATE(2027,4,1),OR(G12="",G12&gt;=DATE(2027,4,1))),H12*(1+Assumptions!$C$7)^2,0)</f>
        <v>11664</v>
      </c>
      <c r="AK12" s="261">
        <f>IF(AND(F12&lt;=DATE(2027,5,1),OR(G12="",G12&gt;=DATE(2027,5,1))),H12*(1+Assumptions!$C$7)^2,0)</f>
        <v>11664</v>
      </c>
      <c r="AL12" s="261">
        <f>IF(AND(F12&lt;=DATE(2027,6,1),OR(G12="",G12&gt;=DATE(2027,6,1))),H12*(1+Assumptions!$C$7)^2,0)</f>
        <v>11664</v>
      </c>
      <c r="AM12" s="261">
        <f>IF(AND(F12&lt;=DATE(2027,7,1),OR(G12="",G12&gt;=DATE(2027,7,1))),H12*(1+Assumptions!$C$7)^2,0)</f>
        <v>11664</v>
      </c>
      <c r="AN12" s="261">
        <f>IF(AND(F12&lt;=DATE(2027,8,1),OR(G12="",G12&gt;=DATE(2027,8,1))),H12*(1+Assumptions!$C$7)^2,0)</f>
        <v>11664</v>
      </c>
      <c r="AO12" s="261">
        <f>IF(AND(F12&lt;=DATE(2027,9,1),OR(G12="",G12&gt;=DATE(2027,9,1))),H12*(1+Assumptions!$C$7)^2,0)</f>
        <v>11664</v>
      </c>
      <c r="AP12" s="261">
        <f>IF(AND(F12&lt;=DATE(2027,10,1),OR(G12="",G12&gt;=DATE(2027,10,1))),H12*(1+Assumptions!$C$7)^2,0)</f>
        <v>11664</v>
      </c>
      <c r="AQ12" s="261">
        <f>IF(AND(F12&lt;=DATE(2027,11,1),OR(G12="",G12&gt;=DATE(2027,11,1))),H12*(1+Assumptions!$C$7)^2,0)</f>
        <v>11664</v>
      </c>
      <c r="AR12" s="261">
        <f>IF(AND(F12&lt;=DATE(2027,12,1),OR(G12="",G12&gt;=DATE(2027,12,1))),H12*(1+Assumptions!$C$7)^2,0)</f>
        <v>11664</v>
      </c>
      <c r="AS12" s="261">
        <f>IF(AND(F12&lt;=DATE(2028,1,1),OR(G12="",G12&gt;=DATE(2028,1,1))),H12*(1+Assumptions!$C$7)^3,0)</f>
        <v>12597.12</v>
      </c>
      <c r="AT12" s="261">
        <f>IF(AND(F12&lt;=DATE(2028,2,1),OR(G12="",G12&gt;=DATE(2028,2,1))),H12*(1+Assumptions!$C$7)^3,0)</f>
        <v>12597.12</v>
      </c>
      <c r="AU12" s="261">
        <f>IF(AND(F12&lt;=DATE(2028,3,1),OR(G12="",G12&gt;=DATE(2028,3,1))),H12*(1+Assumptions!$C$7)^3,0)</f>
        <v>12597.12</v>
      </c>
      <c r="AV12" s="261">
        <f>IF(AND(F12&lt;=DATE(2028,4,1),OR(G12="",G12&gt;=DATE(2028,4,1))),H12*(1+Assumptions!$C$7)^3,0)</f>
        <v>12597.12</v>
      </c>
      <c r="AW12" s="261">
        <f>IF(AND(F12&lt;=DATE(2028,5,1),OR(G12="",G12&gt;=DATE(2028,5,1))),H12*(1+Assumptions!$C$7)^3,0)</f>
        <v>12597.12</v>
      </c>
      <c r="AX12" s="261">
        <f>IF(AND(F12&lt;=DATE(2028,6,1),OR(G12="",G12&gt;=DATE(2028,6,1))),H12*(1+Assumptions!$C$7)^3,0)</f>
        <v>12597.12</v>
      </c>
      <c r="AY12" s="261">
        <f>IF(AND(F12&lt;=DATE(2028,7,1),OR(G12="",G12&gt;=DATE(2028,7,1))),H12*(1+Assumptions!$C$7)^3,0)</f>
        <v>12597.12</v>
      </c>
      <c r="AZ12" s="261">
        <f>IF(AND(F12&lt;=DATE(2028,8,1),OR(G12="",G12&gt;=DATE(2028,8,1))),H12*(1+Assumptions!$C$7)^3,0)</f>
        <v>12597.12</v>
      </c>
      <c r="BA12" s="261">
        <f>IF(AND(F12&lt;=DATE(2028,9,1),OR(G12="",G12&gt;=DATE(2028,9,1))),H12*(1+Assumptions!$C$7)^3,0)</f>
        <v>12597.12</v>
      </c>
      <c r="BB12" s="261">
        <f>IF(AND(F12&lt;=DATE(2028,10,1),OR(G12="",G12&gt;=DATE(2028,10,1))),H12*(1+Assumptions!$C$7)^3,0)</f>
        <v>12597.12</v>
      </c>
      <c r="BC12" s="261">
        <f>IF(AND(F12&lt;=DATE(2028,11,1),OR(G12="",G12&gt;=DATE(2028,11,1))),H12*(1+Assumptions!$C$7)^3,0)</f>
        <v>12597.12</v>
      </c>
      <c r="BD12" s="261">
        <f>IF(AND(F12&lt;=DATE(2028,12,1),OR(G12="",G12&gt;=DATE(2028,12,1))),H12*(1+Assumptions!$C$7)^3,0)</f>
        <v>12597.12</v>
      </c>
      <c r="BE12" s="261">
        <f>IF(AND(G12&lt;=DATE(2028,12,1),OR(H12="",H12&gt;=DATE(2028,12,1))),I12*(1+Assumptions!$C$7)^3,0)</f>
        <v>0</v>
      </c>
      <c r="BF12" s="261">
        <f>IF(AND(H12&lt;=DATE(2028,12,1),OR(I12="",I12&gt;=DATE(2028,12,1))),J12*(1+Assumptions!$C$7)^3,0)</f>
        <v>0</v>
      </c>
      <c r="BG12" s="261">
        <f>IF(AND(I12&lt;=DATE(2028,12,1),OR(J12="",J12&gt;=DATE(2028,12,1))),K12*(1+Assumptions!$C$7)^3,0)</f>
        <v>0</v>
      </c>
      <c r="BH12" s="261">
        <f>IF(AND(J12&lt;=DATE(2028,12,1),OR(K12="",K12&gt;=DATE(2028,12,1))),L12*(1+Assumptions!$C$7)^3,0)</f>
        <v>0</v>
      </c>
      <c r="BI12" s="261">
        <f>IF(AND(K12&lt;=DATE(2028,12,1),OR(L12="",L12&gt;=DATE(2028,12,1))),M12*(1+Assumptions!$C$7)^3,0)</f>
        <v>0</v>
      </c>
      <c r="BJ12" s="261">
        <f>IF(AND(L12&lt;=DATE(2028,12,1),OR(M12="",M12&gt;=DATE(2028,12,1))),N12*(1+Assumptions!$C$7)^3,0)</f>
        <v>0</v>
      </c>
      <c r="BK12" s="261">
        <f>IF(AND(M12&lt;=DATE(2028,12,1),OR(N12="",N12&gt;=DATE(2028,12,1))),O12*(1+Assumptions!$C$7)^3,0)</f>
        <v>0</v>
      </c>
      <c r="BL12" s="261">
        <f>IF(AND(N12&lt;=DATE(2028,12,1),OR(O12="",O12&gt;=DATE(2028,12,1))),P12*(1+Assumptions!$C$7)^3,0)</f>
        <v>0</v>
      </c>
      <c r="BM12" s="261">
        <f>IF(AND(O12&lt;=DATE(2028,12,1),OR(P12="",P12&gt;=DATE(2028,12,1))),Q12*(1+Assumptions!$C$7)^3,0)</f>
        <v>0</v>
      </c>
      <c r="BN12" s="261">
        <f>IF(AND(P12&lt;=DATE(2028,12,1),OR(Q12="",Q12&gt;=DATE(2028,12,1))),R12*(1+Assumptions!$C$7)^3,0)</f>
        <v>0</v>
      </c>
      <c r="BO12" s="261">
        <f>IF(AND(Q12&lt;=DATE(2028,12,1),OR(R12="",R12&gt;=DATE(2028,12,1))),S12*(1+Assumptions!$C$7)^3,0)</f>
        <v>0</v>
      </c>
      <c r="BP12" s="261">
        <f>IF(AND(R12&lt;=DATE(2028,12,1),OR(S12="",S12&gt;=DATE(2028,12,1))),T12*(1+Assumptions!$C$7)^3,0)</f>
        <v>0</v>
      </c>
      <c r="BQ12" s="105"/>
    </row>
    <row r="13">
      <c r="A13" s="263">
        <v>10.0</v>
      </c>
      <c r="B13" s="256" t="s">
        <v>328</v>
      </c>
      <c r="C13" s="257" t="s">
        <v>142</v>
      </c>
      <c r="D13" s="257" t="s">
        <v>328</v>
      </c>
      <c r="E13" s="264" t="s">
        <v>318</v>
      </c>
      <c r="F13" s="258">
        <v>46266.0</v>
      </c>
      <c r="G13" s="265"/>
      <c r="H13" s="260">
        <v>11500.0</v>
      </c>
      <c r="I13" s="266">
        <f>IF(AND(F13&lt;=DATE(2025,1,1),OR(G13="",G13&gt;=DATE(2025,1,1))),H13*(1+Assumptions!$C$7)^0,0)</f>
        <v>0</v>
      </c>
      <c r="J13" s="266">
        <f>IF(AND(F13&lt;=DATE(2025,2,1),OR(G13="",G13&gt;=DATE(2025,2,1))),H13*(1+Assumptions!$C$7)^0,0)</f>
        <v>0</v>
      </c>
      <c r="K13" s="266">
        <f>IF(AND(F13&lt;=DATE(2025,3,1),OR(G13="",G13&gt;=DATE(2025,3,1))),H13*(1+Assumptions!$C$7)^0,0)</f>
        <v>0</v>
      </c>
      <c r="L13" s="266">
        <f>IF(AND(F13&lt;=DATE(2025,4,1),OR(G13="",G13&gt;=DATE(2025,4,1))),H13*(1+Assumptions!$C$7)^0,0)</f>
        <v>0</v>
      </c>
      <c r="M13" s="266">
        <f>IF(AND(F13&lt;=DATE(2025,5,1),OR(G13="",G13&gt;=DATE(2025,5,1))),H13*(1+Assumptions!$C$7)^0,0)</f>
        <v>0</v>
      </c>
      <c r="N13" s="266">
        <f>IF(AND(F13&lt;=DATE(2025,6,1),OR(G13="",G13&gt;=DATE(2025,6,1))),H13*(1+Assumptions!$C$7)^0,0)</f>
        <v>0</v>
      </c>
      <c r="O13" s="266">
        <f>IF(AND(F13&lt;=DATE(2025,7,1),OR(G13="",G13&gt;=DATE(2025,7,1))),H13*(1+Assumptions!$C$7)^0,0)</f>
        <v>0</v>
      </c>
      <c r="P13" s="266">
        <f>IF(AND(F13&lt;=DATE(2025,8,1),OR(G13="",G13&gt;=DATE(2025,8,1))),H13*(1+Assumptions!$C$7)^0,0)</f>
        <v>0</v>
      </c>
      <c r="Q13" s="266">
        <v>7500.0</v>
      </c>
      <c r="R13" s="266">
        <v>7500.0</v>
      </c>
      <c r="S13" s="266">
        <v>7500.0</v>
      </c>
      <c r="T13" s="266">
        <v>7500.0</v>
      </c>
      <c r="U13" s="266">
        <v>7500.0</v>
      </c>
      <c r="V13" s="266">
        <v>7500.0</v>
      </c>
      <c r="W13" s="266">
        <v>7500.0</v>
      </c>
      <c r="X13" s="266">
        <v>7500.0</v>
      </c>
      <c r="Y13" s="266">
        <v>7500.0</v>
      </c>
      <c r="Z13" s="266">
        <v>7500.0</v>
      </c>
      <c r="AA13" s="266">
        <v>7500.0</v>
      </c>
      <c r="AB13" s="266">
        <v>7500.0</v>
      </c>
      <c r="AC13" s="266">
        <f>IF(AND(F13&lt;=DATE(2026,9,1),OR(G13="",G13&gt;=DATE(2026,9,1))),H13*(1+Assumptions!$C$7)^1,0)</f>
        <v>12420</v>
      </c>
      <c r="AD13" s="266">
        <f>IF(AND(F13&lt;=DATE(2026,10,1),OR(G13="",G13&gt;=DATE(2026,10,1))),H13*(1+Assumptions!$C$7)^1,0)</f>
        <v>12420</v>
      </c>
      <c r="AE13" s="266">
        <f>IF(AND(F13&lt;=DATE(2026,11,1),OR(G13="",G13&gt;=DATE(2026,11,1))),H13*(1+Assumptions!$C$7)^1,0)</f>
        <v>12420</v>
      </c>
      <c r="AF13" s="266">
        <f>IF(AND(F13&lt;=DATE(2026,12,1),OR(G13="",G13&gt;=DATE(2026,12,1))),H13*(1+Assumptions!$C$7)^1,0)</f>
        <v>12420</v>
      </c>
      <c r="AG13" s="266">
        <f>IF(AND(F13&lt;=DATE(2027,1,1),OR(G13="",G13&gt;=DATE(2027,1,1))),H13*(1+Assumptions!$C$7)^2,0)</f>
        <v>13413.6</v>
      </c>
      <c r="AH13" s="266">
        <f>IF(AND(F13&lt;=DATE(2027,2,1),OR(G13="",G13&gt;=DATE(2027,2,1))),H13*(1+Assumptions!$C$7)^2,0)</f>
        <v>13413.6</v>
      </c>
      <c r="AI13" s="266">
        <f>IF(AND(F13&lt;=DATE(2027,3,1),OR(G13="",G13&gt;=DATE(2027,3,1))),H13*(1+Assumptions!$C$7)^2,0)</f>
        <v>13413.6</v>
      </c>
      <c r="AJ13" s="266">
        <f>IF(AND(F13&lt;=DATE(2027,4,1),OR(G13="",G13&gt;=DATE(2027,4,1))),H13*(1+Assumptions!$C$7)^2,0)</f>
        <v>13413.6</v>
      </c>
      <c r="AK13" s="266">
        <f>IF(AND(F13&lt;=DATE(2027,5,1),OR(G13="",G13&gt;=DATE(2027,5,1))),H13*(1+Assumptions!$C$7)^2,0)</f>
        <v>13413.6</v>
      </c>
      <c r="AL13" s="266">
        <f>IF(AND(F13&lt;=DATE(2027,6,1),OR(G13="",G13&gt;=DATE(2027,6,1))),H13*(1+Assumptions!$C$7)^2,0)</f>
        <v>13413.6</v>
      </c>
      <c r="AM13" s="266">
        <f>IF(AND(F13&lt;=DATE(2027,7,1),OR(G13="",G13&gt;=DATE(2027,7,1))),H13*(1+Assumptions!$C$7)^2,0)</f>
        <v>13413.6</v>
      </c>
      <c r="AN13" s="266">
        <f>IF(AND(F13&lt;=DATE(2027,8,1),OR(G13="",G13&gt;=DATE(2027,8,1))),H13*(1+Assumptions!$C$7)^2,0)</f>
        <v>13413.6</v>
      </c>
      <c r="AO13" s="266">
        <f>IF(AND(F13&lt;=DATE(2027,9,1),OR(G13="",G13&gt;=DATE(2027,9,1))),H13*(1+Assumptions!$C$7)^2,0)</f>
        <v>13413.6</v>
      </c>
      <c r="AP13" s="266">
        <f>IF(AND(F13&lt;=DATE(2027,10,1),OR(G13="",G13&gt;=DATE(2027,10,1))),H13*(1+Assumptions!$C$7)^2,0)</f>
        <v>13413.6</v>
      </c>
      <c r="AQ13" s="266">
        <f>IF(AND(F13&lt;=DATE(2027,11,1),OR(G13="",G13&gt;=DATE(2027,11,1))),H13*(1+Assumptions!$C$7)^2,0)</f>
        <v>13413.6</v>
      </c>
      <c r="AR13" s="266">
        <f>IF(AND(F13&lt;=DATE(2027,12,1),OR(G13="",G13&gt;=DATE(2027,12,1))),H13*(1+Assumptions!$C$7)^2,0)</f>
        <v>13413.6</v>
      </c>
      <c r="AS13" s="266">
        <f>IF(AND(F13&lt;=DATE(2028,1,1),OR(G13="",G13&gt;=DATE(2028,1,1))),H13*(1+Assumptions!$C$7)^3,0)</f>
        <v>14486.688</v>
      </c>
      <c r="AT13" s="266">
        <f>IF(AND(F13&lt;=DATE(2028,2,1),OR(G13="",G13&gt;=DATE(2028,2,1))),H13*(1+Assumptions!$C$7)^3,0)</f>
        <v>14486.688</v>
      </c>
      <c r="AU13" s="266">
        <f>IF(AND(F13&lt;=DATE(2028,3,1),OR(G13="",G13&gt;=DATE(2028,3,1))),H13*(1+Assumptions!$C$7)^3,0)</f>
        <v>14486.688</v>
      </c>
      <c r="AV13" s="266">
        <f>IF(AND(F13&lt;=DATE(2028,4,1),OR(G13="",G13&gt;=DATE(2028,4,1))),H13*(1+Assumptions!$C$7)^3,0)</f>
        <v>14486.688</v>
      </c>
      <c r="AW13" s="266">
        <f>IF(AND(F13&lt;=DATE(2028,5,1),OR(G13="",G13&gt;=DATE(2028,5,1))),H13*(1+Assumptions!$C$7)^3,0)</f>
        <v>14486.688</v>
      </c>
      <c r="AX13" s="266">
        <f>IF(AND(F13&lt;=DATE(2028,6,1),OR(G13="",G13&gt;=DATE(2028,6,1))),H13*(1+Assumptions!$C$7)^3,0)</f>
        <v>14486.688</v>
      </c>
      <c r="AY13" s="266">
        <f>IF(AND(F13&lt;=DATE(2028,7,1),OR(G13="",G13&gt;=DATE(2028,7,1))),H13*(1+Assumptions!$C$7)^3,0)</f>
        <v>14486.688</v>
      </c>
      <c r="AZ13" s="266">
        <f>IF(AND(F13&lt;=DATE(2028,8,1),OR(G13="",G13&gt;=DATE(2028,8,1))),H13*(1+Assumptions!$C$7)^3,0)</f>
        <v>14486.688</v>
      </c>
      <c r="BA13" s="266">
        <f>IF(AND(F13&lt;=DATE(2028,9,1),OR(G13="",G13&gt;=DATE(2028,9,1))),H13*(1+Assumptions!$C$7)^3,0)</f>
        <v>14486.688</v>
      </c>
      <c r="BB13" s="266">
        <f>IF(AND(F13&lt;=DATE(2028,10,1),OR(G13="",G13&gt;=DATE(2028,10,1))),H13*(1+Assumptions!$C$7)^3,0)</f>
        <v>14486.688</v>
      </c>
      <c r="BC13" s="266">
        <f>IF(AND(F13&lt;=DATE(2028,11,1),OR(G13="",G13&gt;=DATE(2028,11,1))),H13*(1+Assumptions!$C$7)^3,0)</f>
        <v>14486.688</v>
      </c>
      <c r="BD13" s="266">
        <f>IF(AND(F13&lt;=DATE(2028,12,1),OR(G13="",G13&gt;=DATE(2028,12,1))),H13*(1+Assumptions!$C$7)^3,0)</f>
        <v>14486.688</v>
      </c>
      <c r="BE13" s="266">
        <f>IF(AND(G13&lt;=DATE(2028,12,1),OR(H13="",H13&gt;=DATE(2028,12,1))),I13*(1+Assumptions!$C$7)^3,0)</f>
        <v>0</v>
      </c>
      <c r="BF13" s="266">
        <f>IF(AND(H13&lt;=DATE(2028,12,1),OR(I13="",I13&gt;=DATE(2028,12,1))),J13*(1+Assumptions!$C$7)^3,0)</f>
        <v>0</v>
      </c>
      <c r="BG13" s="266">
        <f>IF(AND(I13&lt;=DATE(2028,12,1),OR(J13="",J13&gt;=DATE(2028,12,1))),K13*(1+Assumptions!$C$7)^3,0)</f>
        <v>0</v>
      </c>
      <c r="BH13" s="266">
        <f>IF(AND(J13&lt;=DATE(2028,12,1),OR(K13="",K13&gt;=DATE(2028,12,1))),L13*(1+Assumptions!$C$7)^3,0)</f>
        <v>0</v>
      </c>
      <c r="BI13" s="266">
        <f>IF(AND(K13&lt;=DATE(2028,12,1),OR(L13="",L13&gt;=DATE(2028,12,1))),M13*(1+Assumptions!$C$7)^3,0)</f>
        <v>0</v>
      </c>
      <c r="BJ13" s="266">
        <f>IF(AND(L13&lt;=DATE(2028,12,1),OR(M13="",M13&gt;=DATE(2028,12,1))),N13*(1+Assumptions!$C$7)^3,0)</f>
        <v>0</v>
      </c>
      <c r="BK13" s="266">
        <f>IF(AND(M13&lt;=DATE(2028,12,1),OR(N13="",N13&gt;=DATE(2028,12,1))),O13*(1+Assumptions!$C$7)^3,0)</f>
        <v>0</v>
      </c>
      <c r="BL13" s="266">
        <f>IF(AND(N13&lt;=DATE(2028,12,1),OR(O13="",O13&gt;=DATE(2028,12,1))),P13*(1+Assumptions!$C$7)^3,0)</f>
        <v>0</v>
      </c>
      <c r="BM13" s="266">
        <f>IF(AND(O13&lt;=DATE(2028,12,1),OR(P13="",P13&gt;=DATE(2028,12,1))),Q13*(1+Assumptions!$C$7)^3,0)</f>
        <v>0</v>
      </c>
      <c r="BN13" s="266">
        <f>IF(AND(P13&lt;=DATE(2028,12,1),OR(Q13="",Q13&gt;=DATE(2028,12,1))),R13*(1+Assumptions!$C$7)^3,0)</f>
        <v>0</v>
      </c>
      <c r="BO13" s="266">
        <f>IF(AND(Q13&lt;=DATE(2028,12,1),OR(R13="",R13&gt;=DATE(2028,12,1))),S13*(1+Assumptions!$C$7)^3,0)</f>
        <v>0</v>
      </c>
      <c r="BP13" s="266">
        <f>IF(AND(R13&lt;=DATE(2028,12,1),OR(S13="",S13&gt;=DATE(2028,12,1))),T13*(1+Assumptions!$C$7)^3,0)</f>
        <v>0</v>
      </c>
      <c r="BQ13" s="105"/>
    </row>
    <row r="14">
      <c r="A14" s="23"/>
      <c r="B14" s="23"/>
      <c r="C14" s="23"/>
      <c r="D14" s="23"/>
      <c r="E14" s="268"/>
      <c r="F14" s="268"/>
      <c r="G14" s="23"/>
      <c r="H14" s="23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62"/>
      <c r="U14" s="262"/>
      <c r="V14" s="262"/>
      <c r="W14" s="262"/>
      <c r="X14" s="262"/>
      <c r="Y14" s="262"/>
      <c r="Z14" s="262"/>
      <c r="AA14" s="262"/>
      <c r="AB14" s="262"/>
      <c r="AC14" s="262"/>
      <c r="AD14" s="262"/>
      <c r="AE14" s="262"/>
      <c r="AF14" s="262"/>
      <c r="AG14" s="262"/>
      <c r="AH14" s="262"/>
      <c r="AI14" s="262"/>
      <c r="AJ14" s="262"/>
      <c r="AK14" s="262"/>
      <c r="AL14" s="262"/>
      <c r="AM14" s="262"/>
      <c r="AN14" s="262"/>
      <c r="AO14" s="262"/>
      <c r="AP14" s="262"/>
      <c r="AQ14" s="262"/>
      <c r="AR14" s="262"/>
      <c r="AS14" s="262"/>
      <c r="AT14" s="262"/>
      <c r="AU14" s="262"/>
      <c r="AV14" s="262"/>
      <c r="AW14" s="262"/>
      <c r="AX14" s="262"/>
      <c r="AY14" s="262"/>
      <c r="AZ14" s="262"/>
      <c r="BA14" s="262"/>
      <c r="BB14" s="262"/>
      <c r="BC14" s="262"/>
      <c r="BD14" s="262"/>
      <c r="BE14" s="262"/>
      <c r="BF14" s="262"/>
      <c r="BG14" s="262"/>
      <c r="BH14" s="262"/>
      <c r="BI14" s="262"/>
      <c r="BJ14" s="262"/>
      <c r="BK14" s="262"/>
      <c r="BL14" s="262"/>
      <c r="BM14" s="262"/>
      <c r="BN14" s="262"/>
      <c r="BO14" s="262"/>
      <c r="BP14" s="262"/>
      <c r="BQ14" s="105"/>
    </row>
    <row r="15">
      <c r="A15" s="246" t="s">
        <v>60</v>
      </c>
      <c r="B15" s="24" t="s">
        <v>329</v>
      </c>
      <c r="C15" s="272"/>
      <c r="D15" s="272"/>
      <c r="E15" s="272"/>
      <c r="F15" s="272"/>
      <c r="G15" s="272"/>
      <c r="H15" s="272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2"/>
      <c r="Y15" s="272"/>
      <c r="Z15" s="272"/>
      <c r="AA15" s="272"/>
      <c r="AB15" s="272"/>
      <c r="AC15" s="272"/>
      <c r="AD15" s="272"/>
      <c r="AE15" s="272"/>
      <c r="AF15" s="272"/>
      <c r="AG15" s="272"/>
      <c r="AH15" s="272"/>
      <c r="AI15" s="272"/>
      <c r="AJ15" s="272"/>
      <c r="AK15" s="272"/>
      <c r="AL15" s="272"/>
      <c r="AM15" s="272"/>
      <c r="AN15" s="272"/>
      <c r="AO15" s="272"/>
      <c r="AP15" s="272"/>
      <c r="AQ15" s="272"/>
      <c r="AR15" s="272"/>
      <c r="AS15" s="272"/>
      <c r="AT15" s="272"/>
      <c r="AU15" s="272"/>
      <c r="AV15" s="272"/>
      <c r="AW15" s="272"/>
      <c r="AX15" s="272"/>
      <c r="AY15" s="272"/>
      <c r="AZ15" s="272"/>
      <c r="BA15" s="272"/>
      <c r="BB15" s="272"/>
      <c r="BC15" s="272"/>
      <c r="BD15" s="272"/>
      <c r="BE15" s="272"/>
      <c r="BF15" s="272"/>
      <c r="BG15" s="272"/>
      <c r="BH15" s="272"/>
      <c r="BI15" s="272"/>
      <c r="BJ15" s="272"/>
      <c r="BK15" s="272"/>
      <c r="BL15" s="272"/>
      <c r="BM15" s="272"/>
      <c r="BN15" s="272"/>
      <c r="BO15" s="272"/>
      <c r="BP15" s="272"/>
      <c r="BQ15" s="41"/>
    </row>
    <row r="16">
      <c r="A16" s="273">
        <v>12.0</v>
      </c>
      <c r="B16" s="257" t="s">
        <v>330</v>
      </c>
      <c r="C16" s="257" t="s">
        <v>149</v>
      </c>
      <c r="D16" s="274" t="s">
        <v>331</v>
      </c>
      <c r="E16" s="264" t="s">
        <v>332</v>
      </c>
      <c r="F16" s="258">
        <v>46204.0</v>
      </c>
      <c r="G16" s="275"/>
      <c r="H16" s="260">
        <v>8000.0</v>
      </c>
      <c r="I16" s="266">
        <f>IF(AND($F16&lt;=I$2, OR($G16="",$G16&gt;=I$2)),
  $H16 * (1 + Assumptions!$C$7) ^ INT(((YEAR(I$2)-YEAR($F16))*12 + MONTH(I$2)-MONTH($F16)) / 12),
  0)</f>
        <v>0</v>
      </c>
      <c r="J16" s="266">
        <f>IF(AND($F16&lt;=J$2, OR($G16="",$G16&gt;=J$2)),
  $H16 * (1 + Assumptions!$C$7) ^ INT(((YEAR(J$2)-YEAR($F16))*12 + MONTH(J$2)-MONTH($F16)) / 12),
  0)</f>
        <v>0</v>
      </c>
      <c r="K16" s="266">
        <f>IF(AND($F16&lt;=K$2, OR($G16="",$G16&gt;=K$2)),
  $H16 * (1 + Assumptions!$C$7) ^ INT(((YEAR(K$2)-YEAR($F16))*12 + MONTH(K$2)-MONTH($F16)) / 12),
  0)</f>
        <v>0</v>
      </c>
      <c r="L16" s="266">
        <f>IF(AND($F16&lt;=L$2, OR($G16="",$G16&gt;=L$2)),
  $H16 * (1 + Assumptions!$C$7) ^ INT(((YEAR(L$2)-YEAR($F16))*12 + MONTH(L$2)-MONTH($F16)) / 12),
  0)</f>
        <v>0</v>
      </c>
      <c r="M16" s="266">
        <f>IF(AND($F16&lt;=M$2, OR($G16="",$G16&gt;=M$2)),
  $H16 * (1 + Assumptions!$C$7) ^ INT(((YEAR(M$2)-YEAR($F16))*12 + MONTH(M$2)-MONTH($F16)) / 12),
  0)</f>
        <v>0</v>
      </c>
      <c r="N16" s="266">
        <f>IF(AND($F16&lt;=N$2, OR($G16="",$G16&gt;=N$2)),
  $H16 * (1 + Assumptions!$C$7) ^ INT(((YEAR(N$2)-YEAR($F16))*12 + MONTH(N$2)-MONTH($F16)) / 12),
  0)</f>
        <v>0</v>
      </c>
      <c r="O16" s="266">
        <f>IF(AND($F16&lt;=O$2, OR($G16="",$G16&gt;=O$2)),
  $H16 * (1 + Assumptions!$C$7) ^ INT(((YEAR(O$2)-YEAR($F16))*12 + MONTH(O$2)-MONTH($F16)) / 12),
  0)</f>
        <v>0</v>
      </c>
      <c r="P16" s="266">
        <f>IF(AND($F16&lt;=P$2, OR($G16="",$G16&gt;=P$2)),
  $H16 * (1 + Assumptions!$C$7) ^ INT(((YEAR(P$2)-YEAR($F16))*12 + MONTH(P$2)-MONTH($F16)) / 12),
  0)</f>
        <v>0</v>
      </c>
      <c r="Q16" s="266">
        <f>IF(AND($F16&lt;=Q$2, OR($G16="",$G16&gt;=Q$2)),
  $H16 * (1 + Assumptions!$C$7) ^ INT(((YEAR(Q$2)-YEAR($F16))*12 + MONTH(Q$2)-MONTH($F16)) / 12),
  0)</f>
        <v>0</v>
      </c>
      <c r="R16" s="266">
        <f>IF(AND($F16&lt;=R$2, OR($G16="",$G16&gt;=R$2)),
  $H16 * (1 + Assumptions!$C$7) ^ INT(((YEAR(R$2)-YEAR($F16))*12 + MONTH(R$2)-MONTH($F16)) / 12),
  0)</f>
        <v>0</v>
      </c>
      <c r="S16" s="266">
        <f>IF(AND($F16&lt;=S$2, OR($G16="",$G16&gt;=S$2)),
  $H16 * (1 + Assumptions!$C$7) ^ INT(((YEAR(S$2)-YEAR($F16))*12 + MONTH(S$2)-MONTH($F16)) / 12),
  0)</f>
        <v>0</v>
      </c>
      <c r="T16" s="266">
        <f>IF(AND($F16&lt;=T$2, OR($G16="",$G16&gt;=T$2)),
  $H16 * (1 + Assumptions!$C$7) ^ INT(((YEAR(T$2)-YEAR($F16))*12 + MONTH(T$2)-MONTH($F16)) / 12),
  0)</f>
        <v>0</v>
      </c>
      <c r="U16" s="266">
        <f>IF(AND($F16&lt;=U$2, OR($G16="",$G16&gt;=U$2)),
  $H16 * (1 + Assumptions!$C$7) ^ INT(((YEAR(U$2)-YEAR($F16))*12 + MONTH(U$2)-MONTH($F16)) / 12),
  0)</f>
        <v>0</v>
      </c>
      <c r="V16" s="266">
        <f>IF(AND($F16&lt;=V$2, OR($G16="",$G16&gt;=V$2)),
  $H16 * (1 + Assumptions!$C$7) ^ INT(((YEAR(V$2)-YEAR($F16))*12 + MONTH(V$2)-MONTH($F16)) / 12),
  0)</f>
        <v>0</v>
      </c>
      <c r="W16" s="266">
        <f>IF(AND($F16&lt;=W$2, OR($G16="",$G16&gt;=W$2)),
  $H16 * (1 + Assumptions!$C$7) ^ INT(((YEAR(W$2)-YEAR($F16))*12 + MONTH(W$2)-MONTH($F16)) / 12),
  0)</f>
        <v>0</v>
      </c>
      <c r="X16" s="266">
        <f>IF(AND($F16&lt;=X$2, OR($G16="",$G16&gt;=X$2)),
  $H16 * (1 + Assumptions!$C$7) ^ INT(((YEAR(X$2)-YEAR($F16))*12 + MONTH(X$2)-MONTH($F16)) / 12),
  0)</f>
        <v>0</v>
      </c>
      <c r="Y16" s="266">
        <f>IF(AND($F16&lt;=Y$2, OR($G16="",$G16&gt;=Y$2)),
  $H16 * (1 + Assumptions!$C$7) ^ INT(((YEAR(Y$2)-YEAR($F16))*12 + MONTH(Y$2)-MONTH($F16)) / 12),
  0)</f>
        <v>0</v>
      </c>
      <c r="Z16" s="266">
        <f>IF(AND($F16&lt;=Z$2, OR($G16="",$G16&gt;=Z$2)),
  $H16 * (1 + Assumptions!$C$7) ^ INT(((YEAR(Z$2)-YEAR($F16))*12 + MONTH(Z$2)-MONTH($F16)) / 12),
  0)</f>
        <v>0</v>
      </c>
      <c r="AA16" s="266">
        <f>IF(AND($F16&lt;=AA$2, OR($G16="",$G16&gt;=AA$2)),
  $H16 * (1 + Assumptions!$C$7) ^ INT(((YEAR(AA$2)-YEAR($F16))*12 + MONTH(AA$2)-MONTH($F16)) / 12),
  0)</f>
        <v>8000</v>
      </c>
      <c r="AB16" s="266">
        <f>IF(AND($F16&lt;=AB$2, OR($G16="",$G16&gt;=AB$2)),
  $H16 * (1 + Assumptions!$C$7) ^ INT(((YEAR(AB$2)-YEAR($F16))*12 + MONTH(AB$2)-MONTH($F16)) / 12),
  0)</f>
        <v>8000</v>
      </c>
      <c r="AC16" s="266">
        <f>IF(AND($F16&lt;=AC$2, OR($G16="",$G16&gt;=AC$2)),
  $H16 * (1 + Assumptions!$C$7) ^ INT(((YEAR(AC$2)-YEAR($F16))*12 + MONTH(AC$2)-MONTH($F16)) / 12),
  0)</f>
        <v>8000</v>
      </c>
      <c r="AD16" s="266">
        <f>IF(AND($F16&lt;=AD$2, OR($G16="",$G16&gt;=AD$2)),
  $H16 * (1 + Assumptions!$C$7) ^ INT(((YEAR(AD$2)-YEAR($F16))*12 + MONTH(AD$2)-MONTH($F16)) / 12),
  0)</f>
        <v>8000</v>
      </c>
      <c r="AE16" s="266">
        <f>IF(AND($F16&lt;=AE$2, OR($G16="",$G16&gt;=AE$2)),
  $H16 * (1 + Assumptions!$C$7) ^ INT(((YEAR(AE$2)-YEAR($F16))*12 + MONTH(AE$2)-MONTH($F16)) / 12),
  0)</f>
        <v>8000</v>
      </c>
      <c r="AF16" s="266">
        <f>IF(AND($F16&lt;=AF$2, OR($G16="",$G16&gt;=AF$2)),
  $H16 * (1 + Assumptions!$C$7) ^ INT(((YEAR(AF$2)-YEAR($F16))*12 + MONTH(AF$2)-MONTH($F16)) / 12),
  0)</f>
        <v>8000</v>
      </c>
      <c r="AG16" s="266">
        <f>IF(AND($F16&lt;=AG$2, OR($G16="",$G16&gt;=AG$2)),
  $H16 * (1 + Assumptions!$C$7) ^ INT(((YEAR(AG$2)-YEAR($F16))*12 + MONTH(AG$2)-MONTH($F16)) / 12),
  0)</f>
        <v>8000</v>
      </c>
      <c r="AH16" s="266">
        <f>IF(AND($F16&lt;=AH$2, OR($G16="",$G16&gt;=AH$2)),
  $H16 * (1 + Assumptions!$C$7) ^ INT(((YEAR(AH$2)-YEAR($F16))*12 + MONTH(AH$2)-MONTH($F16)) / 12),
  0)</f>
        <v>8000</v>
      </c>
      <c r="AI16" s="266">
        <f>IF(AND($F16&lt;=AI$2, OR($G16="",$G16&gt;=AI$2)),
  $H16 * (1 + Assumptions!$C$7) ^ INT(((YEAR(AI$2)-YEAR($F16))*12 + MONTH(AI$2)-MONTH($F16)) / 12),
  0)</f>
        <v>8000</v>
      </c>
      <c r="AJ16" s="266">
        <f>IF(AND($F16&lt;=AJ$2, OR($G16="",$G16&gt;=AJ$2)),
  $H16 * (1 + Assumptions!$C$7) ^ INT(((YEAR(AJ$2)-YEAR($F16))*12 + MONTH(AJ$2)-MONTH($F16)) / 12),
  0)</f>
        <v>8000</v>
      </c>
      <c r="AK16" s="266">
        <f>IF(AND($F16&lt;=AK$2, OR($G16="",$G16&gt;=AK$2)),
  $H16 * (1 + Assumptions!$C$7) ^ INT(((YEAR(AK$2)-YEAR($F16))*12 + MONTH(AK$2)-MONTH($F16)) / 12),
  0)</f>
        <v>8000</v>
      </c>
      <c r="AL16" s="266">
        <f>IF(AND($F16&lt;=AL$2, OR($G16="",$G16&gt;=AL$2)),
  $H16 * (1 + Assumptions!$C$7) ^ INT(((YEAR(AL$2)-YEAR($F16))*12 + MONTH(AL$2)-MONTH($F16)) / 12),
  0)</f>
        <v>8000</v>
      </c>
      <c r="AM16" s="266">
        <f>IF(AND($F16&lt;=AM$2, OR($G16="",$G16&gt;=AM$2)),
  $H16 * (1 + Assumptions!$C$7) ^ INT(((YEAR(AM$2)-YEAR($F16))*12 + MONTH(AM$2)-MONTH($F16)) / 12),
  0)</f>
        <v>8640</v>
      </c>
      <c r="AN16" s="266">
        <f>IF(AND($F16&lt;=AN$2, OR($G16="",$G16&gt;=AN$2)),
  $H16 * (1 + Assumptions!$C$7) ^ INT(((YEAR(AN$2)-YEAR($F16))*12 + MONTH(AN$2)-MONTH($F16)) / 12),
  0)</f>
        <v>8640</v>
      </c>
      <c r="AO16" s="266">
        <f>IF(AND($F16&lt;=AO$2, OR($G16="",$G16&gt;=AO$2)),
  $H16 * (1 + Assumptions!$C$7) ^ INT(((YEAR(AO$2)-YEAR($F16))*12 + MONTH(AO$2)-MONTH($F16)) / 12),
  0)</f>
        <v>8640</v>
      </c>
      <c r="AP16" s="266">
        <f>IF(AND($F16&lt;=AP$2, OR($G16="",$G16&gt;=AP$2)),
  $H16 * (1 + Assumptions!$C$7) ^ INT(((YEAR(AP$2)-YEAR($F16))*12 + MONTH(AP$2)-MONTH($F16)) / 12),
  0)</f>
        <v>8640</v>
      </c>
      <c r="AQ16" s="266">
        <f>IF(AND($F16&lt;=AQ$2, OR($G16="",$G16&gt;=AQ$2)),
  $H16 * (1 + Assumptions!$C$7) ^ INT(((YEAR(AQ$2)-YEAR($F16))*12 + MONTH(AQ$2)-MONTH($F16)) / 12),
  0)</f>
        <v>8640</v>
      </c>
      <c r="AR16" s="266">
        <f>IF(AND($F16&lt;=AR$2, OR($G16="",$G16&gt;=AR$2)),
  $H16 * (1 + Assumptions!$C$7) ^ INT(((YEAR(AR$2)-YEAR($F16))*12 + MONTH(AR$2)-MONTH($F16)) / 12),
  0)</f>
        <v>8640</v>
      </c>
      <c r="AS16" s="266">
        <f>IF(AND($F16&lt;=AS$2, OR($G16="",$G16&gt;=AS$2)),
  $H16 * (1 + Assumptions!$C$7) ^ INT(((YEAR(AS$2)-YEAR($F16))*12 + MONTH(AS$2)-MONTH($F16)) / 12),
  0)</f>
        <v>8640</v>
      </c>
      <c r="AT16" s="266">
        <f>IF(AND($F16&lt;=AT$2, OR($G16="",$G16&gt;=AT$2)),
  $H16 * (1 + Assumptions!$C$7) ^ INT(((YEAR(AT$2)-YEAR($F16))*12 + MONTH(AT$2)-MONTH($F16)) / 12),
  0)</f>
        <v>8640</v>
      </c>
      <c r="AU16" s="266">
        <f>IF(AND($F16&lt;=AU$2, OR($G16="",$G16&gt;=AU$2)),
  $H16 * (1 + Assumptions!$C$7) ^ INT(((YEAR(AU$2)-YEAR($F16))*12 + MONTH(AU$2)-MONTH($F16)) / 12),
  0)</f>
        <v>8640</v>
      </c>
      <c r="AV16" s="266">
        <f>IF(AND($F16&lt;=AV$2, OR($G16="",$G16&gt;=AV$2)),
  $H16 * (1 + Assumptions!$C$7) ^ INT(((YEAR(AV$2)-YEAR($F16))*12 + MONTH(AV$2)-MONTH($F16)) / 12),
  0)</f>
        <v>8640</v>
      </c>
      <c r="AW16" s="266">
        <f>IF(AND($F16&lt;=AW$2, OR($G16="",$G16&gt;=AW$2)),
  $H16 * (1 + Assumptions!$C$7) ^ INT(((YEAR(AW$2)-YEAR($F16))*12 + MONTH(AW$2)-MONTH($F16)) / 12),
  0)</f>
        <v>8640</v>
      </c>
      <c r="AX16" s="266">
        <f>IF(AND($F16&lt;=AX$2, OR($G16="",$G16&gt;=AX$2)),
  $H16 * (1 + Assumptions!$C$7) ^ INT(((YEAR(AX$2)-YEAR($F16))*12 + MONTH(AX$2)-MONTH($F16)) / 12),
  0)</f>
        <v>8640</v>
      </c>
      <c r="AY16" s="266">
        <f>IF(AND($F16&lt;=AY$2, OR($G16="",$G16&gt;=AY$2)),
  $H16 * (1 + Assumptions!$C$7) ^ INT(((YEAR(AY$2)-YEAR($F16))*12 + MONTH(AY$2)-MONTH($F16)) / 12),
  0)</f>
        <v>9331.2</v>
      </c>
      <c r="AZ16" s="266">
        <f>IF(AND($F16&lt;=AZ$2, OR($G16="",$G16&gt;=AZ$2)),
  $H16 * (1 + Assumptions!$C$7) ^ INT(((YEAR(AZ$2)-YEAR($F16))*12 + MONTH(AZ$2)-MONTH($F16)) / 12),
  0)</f>
        <v>9331.2</v>
      </c>
      <c r="BA16" s="266">
        <f>IF(AND($F16&lt;=BA$2, OR($G16="",$G16&gt;=BA$2)),
  $H16 * (1 + Assumptions!$C$7) ^ INT(((YEAR(BA$2)-YEAR($F16))*12 + MONTH(BA$2)-MONTH($F16)) / 12),
  0)</f>
        <v>9331.2</v>
      </c>
      <c r="BB16" s="266">
        <f>IF(AND($F16&lt;=BB$2, OR($G16="",$G16&gt;=BB$2)),
  $H16 * (1 + Assumptions!$C$7) ^ INT(((YEAR(BB$2)-YEAR($F16))*12 + MONTH(BB$2)-MONTH($F16)) / 12),
  0)</f>
        <v>9331.2</v>
      </c>
      <c r="BC16" s="266">
        <f>IF(AND($F16&lt;=BC$2, OR($G16="",$G16&gt;=BC$2)),
  $H16 * (1 + Assumptions!$C$7) ^ INT(((YEAR(BC$2)-YEAR($F16))*12 + MONTH(BC$2)-MONTH($F16)) / 12),
  0)</f>
        <v>9331.2</v>
      </c>
      <c r="BD16" s="266">
        <f>IF(AND($F16&lt;=BD$2, OR($G16="",$G16&gt;=BD$2)),
  $H16 * (1 + Assumptions!$C$7) ^ INT(((YEAR(BD$2)-YEAR($F16))*12 + MONTH(BD$2)-MONTH($F16)) / 12),
  0)</f>
        <v>9331.2</v>
      </c>
      <c r="BE16" s="266">
        <f>IF(AND($F16&lt;=BE$2, OR($G16="",$G16&gt;=BE$2)),
  $H16 * (1 + Assumptions!$C$7) ^ INT(((YEAR(BE$2)-YEAR($F16))*12 + MONTH(BE$2)-MONTH($F16)) / 12),
  0)</f>
        <v>9331.2</v>
      </c>
      <c r="BF16" s="266">
        <f>IF(AND($F16&lt;=BF$2, OR($G16="",$G16&gt;=BF$2)),
  $H16 * (1 + Assumptions!$C$7) ^ INT(((YEAR(BF$2)-YEAR($F16))*12 + MONTH(BF$2)-MONTH($F16)) / 12),
  0)</f>
        <v>9331.2</v>
      </c>
      <c r="BG16" s="266">
        <f>IF(AND($F16&lt;=BG$2, OR($G16="",$G16&gt;=BG$2)),
  $H16 * (1 + Assumptions!$C$7) ^ INT(((YEAR(BG$2)-YEAR($F16))*12 + MONTH(BG$2)-MONTH($F16)) / 12),
  0)</f>
        <v>9331.2</v>
      </c>
      <c r="BH16" s="266">
        <f>IF(AND($F16&lt;=BH$2, OR($G16="",$G16&gt;=BH$2)),
  $H16 * (1 + Assumptions!$C$7) ^ INT(((YEAR(BH$2)-YEAR($F16))*12 + MONTH(BH$2)-MONTH($F16)) / 12),
  0)</f>
        <v>9331.2</v>
      </c>
      <c r="BI16" s="266">
        <f>IF(AND($F16&lt;=BI$2, OR($G16="",$G16&gt;=BI$2)),
  $H16 * (1 + Assumptions!$C$7) ^ INT(((YEAR(BI$2)-YEAR($F16))*12 + MONTH(BI$2)-MONTH($F16)) / 12),
  0)</f>
        <v>9331.2</v>
      </c>
      <c r="BJ16" s="266">
        <f>IF(AND($F16&lt;=BJ$2, OR($G16="",$G16&gt;=BJ$2)),
  $H16 * (1 + Assumptions!$C$7) ^ INT(((YEAR(BJ$2)-YEAR($F16))*12 + MONTH(BJ$2)-MONTH($F16)) / 12),
  0)</f>
        <v>9331.2</v>
      </c>
      <c r="BK16" s="266">
        <f>IF(AND($F16&lt;=BK$2, OR($G16="",$G16&gt;=BK$2)),
  $H16 * (1 + Assumptions!$C$7) ^ INT(((YEAR(BK$2)-YEAR($F16))*12 + MONTH(BK$2)-MONTH($F16)) / 12),
  0)</f>
        <v>10077.696</v>
      </c>
      <c r="BL16" s="266">
        <f>IF(AND($F16&lt;=BL$2, OR($G16="",$G16&gt;=BL$2)),
  $H16 * (1 + Assumptions!$C$7) ^ INT(((YEAR(BL$2)-YEAR($F16))*12 + MONTH(BL$2)-MONTH($F16)) / 12),
  0)</f>
        <v>10077.696</v>
      </c>
      <c r="BM16" s="266">
        <f>IF(AND($F16&lt;=BM$2, OR($G16="",$G16&gt;=BM$2)),
  $H16 * (1 + Assumptions!$C$7) ^ INT(((YEAR(BM$2)-YEAR($F16))*12 + MONTH(BM$2)-MONTH($F16)) / 12),
  0)</f>
        <v>10077.696</v>
      </c>
      <c r="BN16" s="266">
        <f>IF(AND($F16&lt;=BN$2, OR($G16="",$G16&gt;=BN$2)),
  $H16 * (1 + Assumptions!$C$7) ^ INT(((YEAR(BN$2)-YEAR($F16))*12 + MONTH(BN$2)-MONTH($F16)) / 12),
  0)</f>
        <v>10077.696</v>
      </c>
      <c r="BO16" s="266">
        <f>IF(AND($F16&lt;=BO$2, OR($G16="",$G16&gt;=BO$2)),
  $H16 * (1 + Assumptions!$C$7) ^ INT(((YEAR(BO$2)-YEAR($F16))*12 + MONTH(BO$2)-MONTH($F16)) / 12),
  0)</f>
        <v>10077.696</v>
      </c>
      <c r="BP16" s="266">
        <f>IF(AND($F16&lt;=BP$2, OR($G16="",$G16&gt;=BP$2)),
  $H16 * (1 + Assumptions!$C$7) ^ INT(((YEAR(BP$2)-YEAR($F16))*12 + MONTH(BP$2)-MONTH($F16)) / 12),
  0)</f>
        <v>10077.696</v>
      </c>
      <c r="BQ16" s="34"/>
    </row>
    <row r="17">
      <c r="A17" s="273">
        <v>13.0</v>
      </c>
      <c r="B17" s="257" t="s">
        <v>330</v>
      </c>
      <c r="C17" s="274" t="s">
        <v>142</v>
      </c>
      <c r="D17" s="274" t="s">
        <v>333</v>
      </c>
      <c r="E17" s="264" t="s">
        <v>332</v>
      </c>
      <c r="F17" s="258">
        <v>46235.0</v>
      </c>
      <c r="G17" s="275"/>
      <c r="H17" s="260">
        <v>9000.0</v>
      </c>
      <c r="I17" s="266">
        <f>IF(AND($F17&lt;=I$2, OR($G17="",$G17&gt;=I$2)),
  $H17 * (1 + Assumptions!$C$7) ^ INT(((YEAR(I$2)-YEAR($F17))*12 + MONTH(I$2)-MONTH($F17)) / 12),
  0)</f>
        <v>0</v>
      </c>
      <c r="J17" s="266">
        <f>IF(AND($F17&lt;=J$2, OR($G17="",$G17&gt;=J$2)),
  $H17 * (1 + Assumptions!$C$7) ^ INT(((YEAR(J$2)-YEAR($F17))*12 + MONTH(J$2)-MONTH($F17)) / 12),
  0)</f>
        <v>0</v>
      </c>
      <c r="K17" s="266">
        <f>IF(AND($F17&lt;=K$2, OR($G17="",$G17&gt;=K$2)),
  $H17 * (1 + Assumptions!$C$7) ^ INT(((YEAR(K$2)-YEAR($F17))*12 + MONTH(K$2)-MONTH($F17)) / 12),
  0)</f>
        <v>0</v>
      </c>
      <c r="L17" s="266">
        <f>IF(AND($F17&lt;=L$2, OR($G17="",$G17&gt;=L$2)),
  $H17 * (1 + Assumptions!$C$7) ^ INT(((YEAR(L$2)-YEAR($F17))*12 + MONTH(L$2)-MONTH($F17)) / 12),
  0)</f>
        <v>0</v>
      </c>
      <c r="M17" s="266">
        <f>IF(AND($F17&lt;=M$2, OR($G17="",$G17&gt;=M$2)),
  $H17 * (1 + Assumptions!$C$7) ^ INT(((YEAR(M$2)-YEAR($F17))*12 + MONTH(M$2)-MONTH($F17)) / 12),
  0)</f>
        <v>0</v>
      </c>
      <c r="N17" s="266">
        <f>IF(AND($F17&lt;=N$2, OR($G17="",$G17&gt;=N$2)),
  $H17 * (1 + Assumptions!$C$7) ^ INT(((YEAR(N$2)-YEAR($F17))*12 + MONTH(N$2)-MONTH($F17)) / 12),
  0)</f>
        <v>0</v>
      </c>
      <c r="O17" s="266">
        <f>IF(AND($F17&lt;=O$2, OR($G17="",$G17&gt;=O$2)),
  $H17 * (1 + Assumptions!$C$7) ^ INT(((YEAR(O$2)-YEAR($F17))*12 + MONTH(O$2)-MONTH($F17)) / 12),
  0)</f>
        <v>0</v>
      </c>
      <c r="P17" s="266">
        <f>IF(AND($F17&lt;=P$2, OR($G17="",$G17&gt;=P$2)),
  $H17 * (1 + Assumptions!$C$7) ^ INT(((YEAR(P$2)-YEAR($F17))*12 + MONTH(P$2)-MONTH($F17)) / 12),
  0)</f>
        <v>0</v>
      </c>
      <c r="Q17" s="266">
        <f>IF(AND($F17&lt;=Q$2, OR($G17="",$G17&gt;=Q$2)),
  $H17 * (1 + Assumptions!$C$7) ^ INT(((YEAR(Q$2)-YEAR($F17))*12 + MONTH(Q$2)-MONTH($F17)) / 12),
  0)</f>
        <v>0</v>
      </c>
      <c r="R17" s="266">
        <f>IF(AND($F17&lt;=R$2, OR($G17="",$G17&gt;=R$2)),
  $H17 * (1 + Assumptions!$C$7) ^ INT(((YEAR(R$2)-YEAR($F17))*12 + MONTH(R$2)-MONTH($F17)) / 12),
  0)</f>
        <v>0</v>
      </c>
      <c r="S17" s="266">
        <f>IF(AND($F17&lt;=S$2, OR($G17="",$G17&gt;=S$2)),
  $H17 * (1 + Assumptions!$C$7) ^ INT(((YEAR(S$2)-YEAR($F17))*12 + MONTH(S$2)-MONTH($F17)) / 12),
  0)</f>
        <v>0</v>
      </c>
      <c r="T17" s="266">
        <f>IF(AND($F17&lt;=T$2, OR($G17="",$G17&gt;=T$2)),
  $H17 * (1 + Assumptions!$C$7) ^ INT(((YEAR(T$2)-YEAR($F17))*12 + MONTH(T$2)-MONTH($F17)) / 12),
  0)</f>
        <v>0</v>
      </c>
      <c r="U17" s="266">
        <f>IF(AND($F17&lt;=U$2, OR($G17="",$G17&gt;=U$2)),
  $H17 * (1 + Assumptions!$C$7) ^ INT(((YEAR(U$2)-YEAR($F17))*12 + MONTH(U$2)-MONTH($F17)) / 12),
  0)</f>
        <v>0</v>
      </c>
      <c r="V17" s="266">
        <f>IF(AND($F17&lt;=V$2, OR($G17="",$G17&gt;=V$2)),
  $H17 * (1 + Assumptions!$C$7) ^ INT(((YEAR(V$2)-YEAR($F17))*12 + MONTH(V$2)-MONTH($F17)) / 12),
  0)</f>
        <v>0</v>
      </c>
      <c r="W17" s="266">
        <f>IF(AND($F17&lt;=W$2, OR($G17="",$G17&gt;=W$2)),
  $H17 * (1 + Assumptions!$C$7) ^ INT(((YEAR(W$2)-YEAR($F17))*12 + MONTH(W$2)-MONTH($F17)) / 12),
  0)</f>
        <v>0</v>
      </c>
      <c r="X17" s="266">
        <f>IF(AND($F17&lt;=X$2, OR($G17="",$G17&gt;=X$2)),
  $H17 * (1 + Assumptions!$C$7) ^ INT(((YEAR(X$2)-YEAR($F17))*12 + MONTH(X$2)-MONTH($F17)) / 12),
  0)</f>
        <v>0</v>
      </c>
      <c r="Y17" s="266">
        <f>IF(AND($F17&lt;=Y$2, OR($G17="",$G17&gt;=Y$2)),
  $H17 * (1 + Assumptions!$C$7) ^ INT(((YEAR(Y$2)-YEAR($F17))*12 + MONTH(Y$2)-MONTH($F17)) / 12),
  0)</f>
        <v>0</v>
      </c>
      <c r="Z17" s="266">
        <f>IF(AND($F17&lt;=Z$2, OR($G17="",$G17&gt;=Z$2)),
  $H17 * (1 + Assumptions!$C$7) ^ INT(((YEAR(Z$2)-YEAR($F17))*12 + MONTH(Z$2)-MONTH($F17)) / 12),
  0)</f>
        <v>0</v>
      </c>
      <c r="AA17" s="266">
        <f>IF(AND($F17&lt;=AA$2, OR($G17="",$G17&gt;=AA$2)),
  $H17 * (1 + Assumptions!$C$7) ^ INT(((YEAR(AA$2)-YEAR($F17))*12 + MONTH(AA$2)-MONTH($F17)) / 12),
  0)</f>
        <v>0</v>
      </c>
      <c r="AB17" s="266">
        <f>IF(AND($F17&lt;=AB$2, OR($G17="",$G17&gt;=AB$2)),
  $H17 * (1 + Assumptions!$C$7) ^ INT(((YEAR(AB$2)-YEAR($F17))*12 + MONTH(AB$2)-MONTH($F17)) / 12),
  0)</f>
        <v>9000</v>
      </c>
      <c r="AC17" s="266">
        <f>IF(AND($F17&lt;=AC$2, OR($G17="",$G17&gt;=AC$2)),
  $H17 * (1 + Assumptions!$C$7) ^ INT(((YEAR(AC$2)-YEAR($F17))*12 + MONTH(AC$2)-MONTH($F17)) / 12),
  0)</f>
        <v>9000</v>
      </c>
      <c r="AD17" s="266">
        <f>IF(AND($F17&lt;=AD$2, OR($G17="",$G17&gt;=AD$2)),
  $H17 * (1 + Assumptions!$C$7) ^ INT(((YEAR(AD$2)-YEAR($F17))*12 + MONTH(AD$2)-MONTH($F17)) / 12),
  0)</f>
        <v>9000</v>
      </c>
      <c r="AE17" s="266">
        <f>IF(AND($F17&lt;=AE$2, OR($G17="",$G17&gt;=AE$2)),
  $H17 * (1 + Assumptions!$C$7) ^ INT(((YEAR(AE$2)-YEAR($F17))*12 + MONTH(AE$2)-MONTH($F17)) / 12),
  0)</f>
        <v>9000</v>
      </c>
      <c r="AF17" s="266">
        <f>IF(AND($F17&lt;=AF$2, OR($G17="",$G17&gt;=AF$2)),
  $H17 * (1 + Assumptions!$C$7) ^ INT(((YEAR(AF$2)-YEAR($F17))*12 + MONTH(AF$2)-MONTH($F17)) / 12),
  0)</f>
        <v>9000</v>
      </c>
      <c r="AG17" s="266">
        <f>IF(AND($F17&lt;=AG$2, OR($G17="",$G17&gt;=AG$2)),
  $H17 * (1 + Assumptions!$C$7) ^ INT(((YEAR(AG$2)-YEAR($F17))*12 + MONTH(AG$2)-MONTH($F17)) / 12),
  0)</f>
        <v>9000</v>
      </c>
      <c r="AH17" s="266">
        <f>IF(AND($F17&lt;=AH$2, OR($G17="",$G17&gt;=AH$2)),
  $H17 * (1 + Assumptions!$C$7) ^ INT(((YEAR(AH$2)-YEAR($F17))*12 + MONTH(AH$2)-MONTH($F17)) / 12),
  0)</f>
        <v>9000</v>
      </c>
      <c r="AI17" s="266">
        <f>IF(AND($F17&lt;=AI$2, OR($G17="",$G17&gt;=AI$2)),
  $H17 * (1 + Assumptions!$C$7) ^ INT(((YEAR(AI$2)-YEAR($F17))*12 + MONTH(AI$2)-MONTH($F17)) / 12),
  0)</f>
        <v>9000</v>
      </c>
      <c r="AJ17" s="266">
        <f>IF(AND($F17&lt;=AJ$2, OR($G17="",$G17&gt;=AJ$2)),
  $H17 * (1 + Assumptions!$C$7) ^ INT(((YEAR(AJ$2)-YEAR($F17))*12 + MONTH(AJ$2)-MONTH($F17)) / 12),
  0)</f>
        <v>9000</v>
      </c>
      <c r="AK17" s="266">
        <f>IF(AND($F17&lt;=AK$2, OR($G17="",$G17&gt;=AK$2)),
  $H17 * (1 + Assumptions!$C$7) ^ INT(((YEAR(AK$2)-YEAR($F17))*12 + MONTH(AK$2)-MONTH($F17)) / 12),
  0)</f>
        <v>9000</v>
      </c>
      <c r="AL17" s="266">
        <f>IF(AND($F17&lt;=AL$2, OR($G17="",$G17&gt;=AL$2)),
  $H17 * (1 + Assumptions!$C$7) ^ INT(((YEAR(AL$2)-YEAR($F17))*12 + MONTH(AL$2)-MONTH($F17)) / 12),
  0)</f>
        <v>9000</v>
      </c>
      <c r="AM17" s="266">
        <f>IF(AND($F17&lt;=AM$2, OR($G17="",$G17&gt;=AM$2)),
  $H17 * (1 + Assumptions!$C$7) ^ INT(((YEAR(AM$2)-YEAR($F17))*12 + MONTH(AM$2)-MONTH($F17)) / 12),
  0)</f>
        <v>9000</v>
      </c>
      <c r="AN17" s="266">
        <f>IF(AND($F17&lt;=AN$2, OR($G17="",$G17&gt;=AN$2)),
  $H17 * (1 + Assumptions!$C$7) ^ INT(((YEAR(AN$2)-YEAR($F17))*12 + MONTH(AN$2)-MONTH($F17)) / 12),
  0)</f>
        <v>9720</v>
      </c>
      <c r="AO17" s="266">
        <f>IF(AND($F17&lt;=AO$2, OR($G17="",$G17&gt;=AO$2)),
  $H17 * (1 + Assumptions!$C$7) ^ INT(((YEAR(AO$2)-YEAR($F17))*12 + MONTH(AO$2)-MONTH($F17)) / 12),
  0)</f>
        <v>9720</v>
      </c>
      <c r="AP17" s="266">
        <f>IF(AND($F17&lt;=AP$2, OR($G17="",$G17&gt;=AP$2)),
  $H17 * (1 + Assumptions!$C$7) ^ INT(((YEAR(AP$2)-YEAR($F17))*12 + MONTH(AP$2)-MONTH($F17)) / 12),
  0)</f>
        <v>9720</v>
      </c>
      <c r="AQ17" s="266">
        <f>IF(AND($F17&lt;=AQ$2, OR($G17="",$G17&gt;=AQ$2)),
  $H17 * (1 + Assumptions!$C$7) ^ INT(((YEAR(AQ$2)-YEAR($F17))*12 + MONTH(AQ$2)-MONTH($F17)) / 12),
  0)</f>
        <v>9720</v>
      </c>
      <c r="AR17" s="266">
        <f>IF(AND($F17&lt;=AR$2, OR($G17="",$G17&gt;=AR$2)),
  $H17 * (1 + Assumptions!$C$7) ^ INT(((YEAR(AR$2)-YEAR($F17))*12 + MONTH(AR$2)-MONTH($F17)) / 12),
  0)</f>
        <v>9720</v>
      </c>
      <c r="AS17" s="266">
        <f>IF(AND($F17&lt;=AS$2, OR($G17="",$G17&gt;=AS$2)),
  $H17 * (1 + Assumptions!$C$7) ^ INT(((YEAR(AS$2)-YEAR($F17))*12 + MONTH(AS$2)-MONTH($F17)) / 12),
  0)</f>
        <v>9720</v>
      </c>
      <c r="AT17" s="266">
        <f>IF(AND($F17&lt;=AT$2, OR($G17="",$G17&gt;=AT$2)),
  $H17 * (1 + Assumptions!$C$7) ^ INT(((YEAR(AT$2)-YEAR($F17))*12 + MONTH(AT$2)-MONTH($F17)) / 12),
  0)</f>
        <v>9720</v>
      </c>
      <c r="AU17" s="266">
        <f>IF(AND($F17&lt;=AU$2, OR($G17="",$G17&gt;=AU$2)),
  $H17 * (1 + Assumptions!$C$7) ^ INT(((YEAR(AU$2)-YEAR($F17))*12 + MONTH(AU$2)-MONTH($F17)) / 12),
  0)</f>
        <v>9720</v>
      </c>
      <c r="AV17" s="266">
        <f>IF(AND($F17&lt;=AV$2, OR($G17="",$G17&gt;=AV$2)),
  $H17 * (1 + Assumptions!$C$7) ^ INT(((YEAR(AV$2)-YEAR($F17))*12 + MONTH(AV$2)-MONTH($F17)) / 12),
  0)</f>
        <v>9720</v>
      </c>
      <c r="AW17" s="266">
        <f>IF(AND($F17&lt;=AW$2, OR($G17="",$G17&gt;=AW$2)),
  $H17 * (1 + Assumptions!$C$7) ^ INT(((YEAR(AW$2)-YEAR($F17))*12 + MONTH(AW$2)-MONTH($F17)) / 12),
  0)</f>
        <v>9720</v>
      </c>
      <c r="AX17" s="266">
        <f>IF(AND($F17&lt;=AX$2, OR($G17="",$G17&gt;=AX$2)),
  $H17 * (1 + Assumptions!$C$7) ^ INT(((YEAR(AX$2)-YEAR($F17))*12 + MONTH(AX$2)-MONTH($F17)) / 12),
  0)</f>
        <v>9720</v>
      </c>
      <c r="AY17" s="266">
        <f>IF(AND($F17&lt;=AY$2, OR($G17="",$G17&gt;=AY$2)),
  $H17 * (1 + Assumptions!$C$7) ^ INT(((YEAR(AY$2)-YEAR($F17))*12 + MONTH(AY$2)-MONTH($F17)) / 12),
  0)</f>
        <v>9720</v>
      </c>
      <c r="AZ17" s="266">
        <f>IF(AND($F17&lt;=AZ$2, OR($G17="",$G17&gt;=AZ$2)),
  $H17 * (1 + Assumptions!$C$7) ^ INT(((YEAR(AZ$2)-YEAR($F17))*12 + MONTH(AZ$2)-MONTH($F17)) / 12),
  0)</f>
        <v>10497.6</v>
      </c>
      <c r="BA17" s="266">
        <f>IF(AND($F17&lt;=BA$2, OR($G17="",$G17&gt;=BA$2)),
  $H17 * (1 + Assumptions!$C$7) ^ INT(((YEAR(BA$2)-YEAR($F17))*12 + MONTH(BA$2)-MONTH($F17)) / 12),
  0)</f>
        <v>10497.6</v>
      </c>
      <c r="BB17" s="266">
        <f>IF(AND($F17&lt;=BB$2, OR($G17="",$G17&gt;=BB$2)),
  $H17 * (1 + Assumptions!$C$7) ^ INT(((YEAR(BB$2)-YEAR($F17))*12 + MONTH(BB$2)-MONTH($F17)) / 12),
  0)</f>
        <v>10497.6</v>
      </c>
      <c r="BC17" s="266">
        <f>IF(AND($F17&lt;=BC$2, OR($G17="",$G17&gt;=BC$2)),
  $H17 * (1 + Assumptions!$C$7) ^ INT(((YEAR(BC$2)-YEAR($F17))*12 + MONTH(BC$2)-MONTH($F17)) / 12),
  0)</f>
        <v>10497.6</v>
      </c>
      <c r="BD17" s="266">
        <f>IF(AND($F17&lt;=BD$2, OR($G17="",$G17&gt;=BD$2)),
  $H17 * (1 + Assumptions!$C$7) ^ INT(((YEAR(BD$2)-YEAR($F17))*12 + MONTH(BD$2)-MONTH($F17)) / 12),
  0)</f>
        <v>10497.6</v>
      </c>
      <c r="BE17" s="266">
        <f>IF(AND($F17&lt;=BE$2, OR($G17="",$G17&gt;=BE$2)),
  $H17 * (1 + Assumptions!$C$7) ^ INT(((YEAR(BE$2)-YEAR($F17))*12 + MONTH(BE$2)-MONTH($F17)) / 12),
  0)</f>
        <v>10497.6</v>
      </c>
      <c r="BF17" s="266">
        <f>IF(AND($F17&lt;=BF$2, OR($G17="",$G17&gt;=BF$2)),
  $H17 * (1 + Assumptions!$C$7) ^ INT(((YEAR(BF$2)-YEAR($F17))*12 + MONTH(BF$2)-MONTH($F17)) / 12),
  0)</f>
        <v>10497.6</v>
      </c>
      <c r="BG17" s="266">
        <f>IF(AND($F17&lt;=BG$2, OR($G17="",$G17&gt;=BG$2)),
  $H17 * (1 + Assumptions!$C$7) ^ INT(((YEAR(BG$2)-YEAR($F17))*12 + MONTH(BG$2)-MONTH($F17)) / 12),
  0)</f>
        <v>10497.6</v>
      </c>
      <c r="BH17" s="266">
        <f>IF(AND($F17&lt;=BH$2, OR($G17="",$G17&gt;=BH$2)),
  $H17 * (1 + Assumptions!$C$7) ^ INT(((YEAR(BH$2)-YEAR($F17))*12 + MONTH(BH$2)-MONTH($F17)) / 12),
  0)</f>
        <v>10497.6</v>
      </c>
      <c r="BI17" s="266">
        <f>IF(AND($F17&lt;=BI$2, OR($G17="",$G17&gt;=BI$2)),
  $H17 * (1 + Assumptions!$C$7) ^ INT(((YEAR(BI$2)-YEAR($F17))*12 + MONTH(BI$2)-MONTH($F17)) / 12),
  0)</f>
        <v>10497.6</v>
      </c>
      <c r="BJ17" s="266">
        <f>IF(AND($F17&lt;=BJ$2, OR($G17="",$G17&gt;=BJ$2)),
  $H17 * (1 + Assumptions!$C$7) ^ INT(((YEAR(BJ$2)-YEAR($F17))*12 + MONTH(BJ$2)-MONTH($F17)) / 12),
  0)</f>
        <v>10497.6</v>
      </c>
      <c r="BK17" s="266">
        <f>IF(AND($F17&lt;=BK$2, OR($G17="",$G17&gt;=BK$2)),
  $H17 * (1 + Assumptions!$C$7) ^ INT(((YEAR(BK$2)-YEAR($F17))*12 + MONTH(BK$2)-MONTH($F17)) / 12),
  0)</f>
        <v>10497.6</v>
      </c>
      <c r="BL17" s="266">
        <f>IF(AND($F17&lt;=BL$2, OR($G17="",$G17&gt;=BL$2)),
  $H17 * (1 + Assumptions!$C$7) ^ INT(((YEAR(BL$2)-YEAR($F17))*12 + MONTH(BL$2)-MONTH($F17)) / 12),
  0)</f>
        <v>11337.408</v>
      </c>
      <c r="BM17" s="266">
        <f>IF(AND($F17&lt;=BM$2, OR($G17="",$G17&gt;=BM$2)),
  $H17 * (1 + Assumptions!$C$7) ^ INT(((YEAR(BM$2)-YEAR($F17))*12 + MONTH(BM$2)-MONTH($F17)) / 12),
  0)</f>
        <v>11337.408</v>
      </c>
      <c r="BN17" s="266">
        <f>IF(AND($F17&lt;=BN$2, OR($G17="",$G17&gt;=BN$2)),
  $H17 * (1 + Assumptions!$C$7) ^ INT(((YEAR(BN$2)-YEAR($F17))*12 + MONTH(BN$2)-MONTH($F17)) / 12),
  0)</f>
        <v>11337.408</v>
      </c>
      <c r="BO17" s="266">
        <f>IF(AND($F17&lt;=BO$2, OR($G17="",$G17&gt;=BO$2)),
  $H17 * (1 + Assumptions!$C$7) ^ INT(((YEAR(BO$2)-YEAR($F17))*12 + MONTH(BO$2)-MONTH($F17)) / 12),
  0)</f>
        <v>11337.408</v>
      </c>
      <c r="BP17" s="266">
        <f>IF(AND($F17&lt;=BP$2, OR($G17="",$G17&gt;=BP$2)),
  $H17 * (1 + Assumptions!$C$7) ^ INT(((YEAR(BP$2)-YEAR($F17))*12 + MONTH(BP$2)-MONTH($F17)) / 12),
  0)</f>
        <v>11337.408</v>
      </c>
      <c r="BQ17" s="34"/>
    </row>
    <row r="18">
      <c r="A18" s="273">
        <v>14.0</v>
      </c>
      <c r="B18" s="257" t="s">
        <v>330</v>
      </c>
      <c r="C18" s="274" t="s">
        <v>149</v>
      </c>
      <c r="D18" s="274" t="s">
        <v>334</v>
      </c>
      <c r="E18" s="264" t="s">
        <v>332</v>
      </c>
      <c r="F18" s="258">
        <v>46235.0</v>
      </c>
      <c r="G18" s="276"/>
      <c r="H18" s="260">
        <v>6000.0</v>
      </c>
      <c r="I18" s="266">
        <f>IF(AND($F18&lt;=I$2, OR($G18="",$G18&gt;=I$2)),
  $H18 * (1 + Assumptions!$C$7) ^ INT(((YEAR(I$2)-YEAR($F18))*12 + MONTH(I$2)-MONTH($F18)) / 12),
  0)</f>
        <v>0</v>
      </c>
      <c r="J18" s="266">
        <f>IF(AND($F18&lt;=J$2, OR($G18="",$G18&gt;=J$2)),
  $H18 * (1 + Assumptions!$C$7) ^ INT(((YEAR(J$2)-YEAR($F18))*12 + MONTH(J$2)-MONTH($F18)) / 12),
  0)</f>
        <v>0</v>
      </c>
      <c r="K18" s="266">
        <f>IF(AND($F18&lt;=K$2, OR($G18="",$G18&gt;=K$2)),
  $H18 * (1 + Assumptions!$C$7) ^ INT(((YEAR(K$2)-YEAR($F18))*12 + MONTH(K$2)-MONTH($F18)) / 12),
  0)</f>
        <v>0</v>
      </c>
      <c r="L18" s="266">
        <f>IF(AND($F18&lt;=L$2, OR($G18="",$G18&gt;=L$2)),
  $H18 * (1 + Assumptions!$C$7) ^ INT(((YEAR(L$2)-YEAR($F18))*12 + MONTH(L$2)-MONTH($F18)) / 12),
  0)</f>
        <v>0</v>
      </c>
      <c r="M18" s="266">
        <f>IF(AND($F18&lt;=M$2, OR($G18="",$G18&gt;=M$2)),
  $H18 * (1 + Assumptions!$C$7) ^ INT(((YEAR(M$2)-YEAR($F18))*12 + MONTH(M$2)-MONTH($F18)) / 12),
  0)</f>
        <v>0</v>
      </c>
      <c r="N18" s="266">
        <f>IF(AND($F18&lt;=N$2, OR($G18="",$G18&gt;=N$2)),
  $H18 * (1 + Assumptions!$C$7) ^ INT(((YEAR(N$2)-YEAR($F18))*12 + MONTH(N$2)-MONTH($F18)) / 12),
  0)</f>
        <v>0</v>
      </c>
      <c r="O18" s="266">
        <f>IF(AND($F18&lt;=O$2, OR($G18="",$G18&gt;=O$2)),
  $H18 * (1 + Assumptions!$C$7) ^ INT(((YEAR(O$2)-YEAR($F18))*12 + MONTH(O$2)-MONTH($F18)) / 12),
  0)</f>
        <v>0</v>
      </c>
      <c r="P18" s="266">
        <f>IF(AND($F18&lt;=P$2, OR($G18="",$G18&gt;=P$2)),
  $H18 * (1 + Assumptions!$C$7) ^ INT(((YEAR(P$2)-YEAR($F18))*12 + MONTH(P$2)-MONTH($F18)) / 12),
  0)</f>
        <v>0</v>
      </c>
      <c r="Q18" s="266">
        <f>IF(AND($F18&lt;=Q$2, OR($G18="",$G18&gt;=Q$2)),
  $H18 * (1 + Assumptions!$C$7) ^ INT(((YEAR(Q$2)-YEAR($F18))*12 + MONTH(Q$2)-MONTH($F18)) / 12),
  0)</f>
        <v>0</v>
      </c>
      <c r="R18" s="266">
        <f>IF(AND($F18&lt;=R$2, OR($G18="",$G18&gt;=R$2)),
  $H18 * (1 + Assumptions!$C$7) ^ INT(((YEAR(R$2)-YEAR($F18))*12 + MONTH(R$2)-MONTH($F18)) / 12),
  0)</f>
        <v>0</v>
      </c>
      <c r="S18" s="266">
        <f>IF(AND($F18&lt;=S$2, OR($G18="",$G18&gt;=S$2)),
  $H18 * (1 + Assumptions!$C$7) ^ INT(((YEAR(S$2)-YEAR($F18))*12 + MONTH(S$2)-MONTH($F18)) / 12),
  0)</f>
        <v>0</v>
      </c>
      <c r="T18" s="266">
        <f>IF(AND($F18&lt;=T$2, OR($G18="",$G18&gt;=T$2)),
  $H18 * (1 + Assumptions!$C$7) ^ INT(((YEAR(T$2)-YEAR($F18))*12 + MONTH(T$2)-MONTH($F18)) / 12),
  0)</f>
        <v>0</v>
      </c>
      <c r="U18" s="266">
        <f>IF(AND($F18&lt;=U$2, OR($G18="",$G18&gt;=U$2)),
  $H18 * (1 + Assumptions!$C$7) ^ INT(((YEAR(U$2)-YEAR($F18))*12 + MONTH(U$2)-MONTH($F18)) / 12),
  0)</f>
        <v>0</v>
      </c>
      <c r="V18" s="266">
        <f>IF(AND($F18&lt;=V$2, OR($G18="",$G18&gt;=V$2)),
  $H18 * (1 + Assumptions!$C$7) ^ INT(((YEAR(V$2)-YEAR($F18))*12 + MONTH(V$2)-MONTH($F18)) / 12),
  0)</f>
        <v>0</v>
      </c>
      <c r="W18" s="266">
        <f>IF(AND($F18&lt;=W$2, OR($G18="",$G18&gt;=W$2)),
  $H18 * (1 + Assumptions!$C$7) ^ INT(((YEAR(W$2)-YEAR($F18))*12 + MONTH(W$2)-MONTH($F18)) / 12),
  0)</f>
        <v>0</v>
      </c>
      <c r="X18" s="266">
        <f>IF(AND($F18&lt;=X$2, OR($G18="",$G18&gt;=X$2)),
  $H18 * (1 + Assumptions!$C$7) ^ INT(((YEAR(X$2)-YEAR($F18))*12 + MONTH(X$2)-MONTH($F18)) / 12),
  0)</f>
        <v>0</v>
      </c>
      <c r="Y18" s="266">
        <f>IF(AND($F18&lt;=Y$2, OR($G18="",$G18&gt;=Y$2)),
  $H18 * (1 + Assumptions!$C$7) ^ INT(((YEAR(Y$2)-YEAR($F18))*12 + MONTH(Y$2)-MONTH($F18)) / 12),
  0)</f>
        <v>0</v>
      </c>
      <c r="Z18" s="266">
        <f>IF(AND($F18&lt;=Z$2, OR($G18="",$G18&gt;=Z$2)),
  $H18 * (1 + Assumptions!$C$7) ^ INT(((YEAR(Z$2)-YEAR($F18))*12 + MONTH(Z$2)-MONTH($F18)) / 12),
  0)</f>
        <v>0</v>
      </c>
      <c r="AA18" s="266">
        <f>IF(AND($F18&lt;=AA$2, OR($G18="",$G18&gt;=AA$2)),
  $H18 * (1 + Assumptions!$C$7) ^ INT(((YEAR(AA$2)-YEAR($F18))*12 + MONTH(AA$2)-MONTH($F18)) / 12),
  0)</f>
        <v>0</v>
      </c>
      <c r="AB18" s="266">
        <f>IF(AND($F18&lt;=AB$2, OR($G18="",$G18&gt;=AB$2)),
  $H18 * (1 + Assumptions!$C$7) ^ INT(((YEAR(AB$2)-YEAR($F18))*12 + MONTH(AB$2)-MONTH($F18)) / 12),
  0)</f>
        <v>6000</v>
      </c>
      <c r="AC18" s="266">
        <f>IF(AND($F18&lt;=AC$2, OR($G18="",$G18&gt;=AC$2)),
  $H18 * (1 + Assumptions!$C$7) ^ INT(((YEAR(AC$2)-YEAR($F18))*12 + MONTH(AC$2)-MONTH($F18)) / 12),
  0)</f>
        <v>6000</v>
      </c>
      <c r="AD18" s="266">
        <f>IF(AND($F18&lt;=AD$2, OR($G18="",$G18&gt;=AD$2)),
  $H18 * (1 + Assumptions!$C$7) ^ INT(((YEAR(AD$2)-YEAR($F18))*12 + MONTH(AD$2)-MONTH($F18)) / 12),
  0)</f>
        <v>6000</v>
      </c>
      <c r="AE18" s="266">
        <f>IF(AND($F18&lt;=AE$2, OR($G18="",$G18&gt;=AE$2)),
  $H18 * (1 + Assumptions!$C$7) ^ INT(((YEAR(AE$2)-YEAR($F18))*12 + MONTH(AE$2)-MONTH($F18)) / 12),
  0)</f>
        <v>6000</v>
      </c>
      <c r="AF18" s="266">
        <f>IF(AND($F18&lt;=AF$2, OR($G18="",$G18&gt;=AF$2)),
  $H18 * (1 + Assumptions!$C$7) ^ INT(((YEAR(AF$2)-YEAR($F18))*12 + MONTH(AF$2)-MONTH($F18)) / 12),
  0)</f>
        <v>6000</v>
      </c>
      <c r="AG18" s="266">
        <f>IF(AND($F18&lt;=AG$2, OR($G18="",$G18&gt;=AG$2)),
  $H18 * (1 + Assumptions!$C$7) ^ INT(((YEAR(AG$2)-YEAR($F18))*12 + MONTH(AG$2)-MONTH($F18)) / 12),
  0)</f>
        <v>6000</v>
      </c>
      <c r="AH18" s="266">
        <f>IF(AND($F18&lt;=AH$2, OR($G18="",$G18&gt;=AH$2)),
  $H18 * (1 + Assumptions!$C$7) ^ INT(((YEAR(AH$2)-YEAR($F18))*12 + MONTH(AH$2)-MONTH($F18)) / 12),
  0)</f>
        <v>6000</v>
      </c>
      <c r="AI18" s="266">
        <f>IF(AND($F18&lt;=AI$2, OR($G18="",$G18&gt;=AI$2)),
  $H18 * (1 + Assumptions!$C$7) ^ INT(((YEAR(AI$2)-YEAR($F18))*12 + MONTH(AI$2)-MONTH($F18)) / 12),
  0)</f>
        <v>6000</v>
      </c>
      <c r="AJ18" s="266">
        <f>IF(AND($F18&lt;=AJ$2, OR($G18="",$G18&gt;=AJ$2)),
  $H18 * (1 + Assumptions!$C$7) ^ INT(((YEAR(AJ$2)-YEAR($F18))*12 + MONTH(AJ$2)-MONTH($F18)) / 12),
  0)</f>
        <v>6000</v>
      </c>
      <c r="AK18" s="266">
        <f>IF(AND($F18&lt;=AK$2, OR($G18="",$G18&gt;=AK$2)),
  $H18 * (1 + Assumptions!$C$7) ^ INT(((YEAR(AK$2)-YEAR($F18))*12 + MONTH(AK$2)-MONTH($F18)) / 12),
  0)</f>
        <v>6000</v>
      </c>
      <c r="AL18" s="266">
        <f>IF(AND($F18&lt;=AL$2, OR($G18="",$G18&gt;=AL$2)),
  $H18 * (1 + Assumptions!$C$7) ^ INT(((YEAR(AL$2)-YEAR($F18))*12 + MONTH(AL$2)-MONTH($F18)) / 12),
  0)</f>
        <v>6000</v>
      </c>
      <c r="AM18" s="266">
        <f>IF(AND($F18&lt;=AM$2, OR($G18="",$G18&gt;=AM$2)),
  $H18 * (1 + Assumptions!$C$7) ^ INT(((YEAR(AM$2)-YEAR($F18))*12 + MONTH(AM$2)-MONTH($F18)) / 12),
  0)</f>
        <v>6000</v>
      </c>
      <c r="AN18" s="266">
        <f>IF(AND($F18&lt;=AN$2, OR($G18="",$G18&gt;=AN$2)),
  $H18 * (1 + Assumptions!$C$7) ^ INT(((YEAR(AN$2)-YEAR($F18))*12 + MONTH(AN$2)-MONTH($F18)) / 12),
  0)</f>
        <v>6480</v>
      </c>
      <c r="AO18" s="266">
        <f>IF(AND($F18&lt;=AO$2, OR($G18="",$G18&gt;=AO$2)),
  $H18 * (1 + Assumptions!$C$7) ^ INT(((YEAR(AO$2)-YEAR($F18))*12 + MONTH(AO$2)-MONTH($F18)) / 12),
  0)</f>
        <v>6480</v>
      </c>
      <c r="AP18" s="266">
        <f>IF(AND($F18&lt;=AP$2, OR($G18="",$G18&gt;=AP$2)),
  $H18 * (1 + Assumptions!$C$7) ^ INT(((YEAR(AP$2)-YEAR($F18))*12 + MONTH(AP$2)-MONTH($F18)) / 12),
  0)</f>
        <v>6480</v>
      </c>
      <c r="AQ18" s="266">
        <f>IF(AND($F18&lt;=AQ$2, OR($G18="",$G18&gt;=AQ$2)),
  $H18 * (1 + Assumptions!$C$7) ^ INT(((YEAR(AQ$2)-YEAR($F18))*12 + MONTH(AQ$2)-MONTH($F18)) / 12),
  0)</f>
        <v>6480</v>
      </c>
      <c r="AR18" s="266">
        <f>IF(AND($F18&lt;=AR$2, OR($G18="",$G18&gt;=AR$2)),
  $H18 * (1 + Assumptions!$C$7) ^ INT(((YEAR(AR$2)-YEAR($F18))*12 + MONTH(AR$2)-MONTH($F18)) / 12),
  0)</f>
        <v>6480</v>
      </c>
      <c r="AS18" s="266">
        <f>IF(AND($F18&lt;=AS$2, OR($G18="",$G18&gt;=AS$2)),
  $H18 * (1 + Assumptions!$C$7) ^ INT(((YEAR(AS$2)-YEAR($F18))*12 + MONTH(AS$2)-MONTH($F18)) / 12),
  0)</f>
        <v>6480</v>
      </c>
      <c r="AT18" s="266">
        <f>IF(AND($F18&lt;=AT$2, OR($G18="",$G18&gt;=AT$2)),
  $H18 * (1 + Assumptions!$C$7) ^ INT(((YEAR(AT$2)-YEAR($F18))*12 + MONTH(AT$2)-MONTH($F18)) / 12),
  0)</f>
        <v>6480</v>
      </c>
      <c r="AU18" s="266">
        <f>IF(AND($F18&lt;=AU$2, OR($G18="",$G18&gt;=AU$2)),
  $H18 * (1 + Assumptions!$C$7) ^ INT(((YEAR(AU$2)-YEAR($F18))*12 + MONTH(AU$2)-MONTH($F18)) / 12),
  0)</f>
        <v>6480</v>
      </c>
      <c r="AV18" s="266">
        <f>IF(AND($F18&lt;=AV$2, OR($G18="",$G18&gt;=AV$2)),
  $H18 * (1 + Assumptions!$C$7) ^ INT(((YEAR(AV$2)-YEAR($F18))*12 + MONTH(AV$2)-MONTH($F18)) / 12),
  0)</f>
        <v>6480</v>
      </c>
      <c r="AW18" s="266">
        <f>IF(AND($F18&lt;=AW$2, OR($G18="",$G18&gt;=AW$2)),
  $H18 * (1 + Assumptions!$C$7) ^ INT(((YEAR(AW$2)-YEAR($F18))*12 + MONTH(AW$2)-MONTH($F18)) / 12),
  0)</f>
        <v>6480</v>
      </c>
      <c r="AX18" s="266">
        <f>IF(AND($F18&lt;=AX$2, OR($G18="",$G18&gt;=AX$2)),
  $H18 * (1 + Assumptions!$C$7) ^ INT(((YEAR(AX$2)-YEAR($F18))*12 + MONTH(AX$2)-MONTH($F18)) / 12),
  0)</f>
        <v>6480</v>
      </c>
      <c r="AY18" s="266">
        <f>IF(AND($F18&lt;=AY$2, OR($G18="",$G18&gt;=AY$2)),
  $H18 * (1 + Assumptions!$C$7) ^ INT(((YEAR(AY$2)-YEAR($F18))*12 + MONTH(AY$2)-MONTH($F18)) / 12),
  0)</f>
        <v>6480</v>
      </c>
      <c r="AZ18" s="266">
        <f>IF(AND($F18&lt;=AZ$2, OR($G18="",$G18&gt;=AZ$2)),
  $H18 * (1 + Assumptions!$C$7) ^ INT(((YEAR(AZ$2)-YEAR($F18))*12 + MONTH(AZ$2)-MONTH($F18)) / 12),
  0)</f>
        <v>6998.4</v>
      </c>
      <c r="BA18" s="266">
        <f>IF(AND($F18&lt;=BA$2, OR($G18="",$G18&gt;=BA$2)),
  $H18 * (1 + Assumptions!$C$7) ^ INT(((YEAR(BA$2)-YEAR($F18))*12 + MONTH(BA$2)-MONTH($F18)) / 12),
  0)</f>
        <v>6998.4</v>
      </c>
      <c r="BB18" s="266">
        <f>IF(AND($F18&lt;=BB$2, OR($G18="",$G18&gt;=BB$2)),
  $H18 * (1 + Assumptions!$C$7) ^ INT(((YEAR(BB$2)-YEAR($F18))*12 + MONTH(BB$2)-MONTH($F18)) / 12),
  0)</f>
        <v>6998.4</v>
      </c>
      <c r="BC18" s="266">
        <f>IF(AND($F18&lt;=BC$2, OR($G18="",$G18&gt;=BC$2)),
  $H18 * (1 + Assumptions!$C$7) ^ INT(((YEAR(BC$2)-YEAR($F18))*12 + MONTH(BC$2)-MONTH($F18)) / 12),
  0)</f>
        <v>6998.4</v>
      </c>
      <c r="BD18" s="266">
        <f>IF(AND($F18&lt;=BD$2, OR($G18="",$G18&gt;=BD$2)),
  $H18 * (1 + Assumptions!$C$7) ^ INT(((YEAR(BD$2)-YEAR($F18))*12 + MONTH(BD$2)-MONTH($F18)) / 12),
  0)</f>
        <v>6998.4</v>
      </c>
      <c r="BE18" s="266">
        <f>IF(AND($F18&lt;=BE$2, OR($G18="",$G18&gt;=BE$2)),
  $H18 * (1 + Assumptions!$C$7) ^ INT(((YEAR(BE$2)-YEAR($F18))*12 + MONTH(BE$2)-MONTH($F18)) / 12),
  0)</f>
        <v>6998.4</v>
      </c>
      <c r="BF18" s="266">
        <f>IF(AND($F18&lt;=BF$2, OR($G18="",$G18&gt;=BF$2)),
  $H18 * (1 + Assumptions!$C$7) ^ INT(((YEAR(BF$2)-YEAR($F18))*12 + MONTH(BF$2)-MONTH($F18)) / 12),
  0)</f>
        <v>6998.4</v>
      </c>
      <c r="BG18" s="266">
        <f>IF(AND($F18&lt;=BG$2, OR($G18="",$G18&gt;=BG$2)),
  $H18 * (1 + Assumptions!$C$7) ^ INT(((YEAR(BG$2)-YEAR($F18))*12 + MONTH(BG$2)-MONTH($F18)) / 12),
  0)</f>
        <v>6998.4</v>
      </c>
      <c r="BH18" s="266">
        <f>IF(AND($F18&lt;=BH$2, OR($G18="",$G18&gt;=BH$2)),
  $H18 * (1 + Assumptions!$C$7) ^ INT(((YEAR(BH$2)-YEAR($F18))*12 + MONTH(BH$2)-MONTH($F18)) / 12),
  0)</f>
        <v>6998.4</v>
      </c>
      <c r="BI18" s="266">
        <f>IF(AND($F18&lt;=BI$2, OR($G18="",$G18&gt;=BI$2)),
  $H18 * (1 + Assumptions!$C$7) ^ INT(((YEAR(BI$2)-YEAR($F18))*12 + MONTH(BI$2)-MONTH($F18)) / 12),
  0)</f>
        <v>6998.4</v>
      </c>
      <c r="BJ18" s="266">
        <f>IF(AND($F18&lt;=BJ$2, OR($G18="",$G18&gt;=BJ$2)),
  $H18 * (1 + Assumptions!$C$7) ^ INT(((YEAR(BJ$2)-YEAR($F18))*12 + MONTH(BJ$2)-MONTH($F18)) / 12),
  0)</f>
        <v>6998.4</v>
      </c>
      <c r="BK18" s="266">
        <f>IF(AND($F18&lt;=BK$2, OR($G18="",$G18&gt;=BK$2)),
  $H18 * (1 + Assumptions!$C$7) ^ INT(((YEAR(BK$2)-YEAR($F18))*12 + MONTH(BK$2)-MONTH($F18)) / 12),
  0)</f>
        <v>6998.4</v>
      </c>
      <c r="BL18" s="266">
        <f>IF(AND($F18&lt;=BL$2, OR($G18="",$G18&gt;=BL$2)),
  $H18 * (1 + Assumptions!$C$7) ^ INT(((YEAR(BL$2)-YEAR($F18))*12 + MONTH(BL$2)-MONTH($F18)) / 12),
  0)</f>
        <v>7558.272</v>
      </c>
      <c r="BM18" s="266">
        <f>IF(AND($F18&lt;=BM$2, OR($G18="",$G18&gt;=BM$2)),
  $H18 * (1 + Assumptions!$C$7) ^ INT(((YEAR(BM$2)-YEAR($F18))*12 + MONTH(BM$2)-MONTH($F18)) / 12),
  0)</f>
        <v>7558.272</v>
      </c>
      <c r="BN18" s="266">
        <f>IF(AND($F18&lt;=BN$2, OR($G18="",$G18&gt;=BN$2)),
  $H18 * (1 + Assumptions!$C$7) ^ INT(((YEAR(BN$2)-YEAR($F18))*12 + MONTH(BN$2)-MONTH($F18)) / 12),
  0)</f>
        <v>7558.272</v>
      </c>
      <c r="BO18" s="266">
        <f>IF(AND($F18&lt;=BO$2, OR($G18="",$G18&gt;=BO$2)),
  $H18 * (1 + Assumptions!$C$7) ^ INT(((YEAR(BO$2)-YEAR($F18))*12 + MONTH(BO$2)-MONTH($F18)) / 12),
  0)</f>
        <v>7558.272</v>
      </c>
      <c r="BP18" s="266">
        <f>IF(AND($F18&lt;=BP$2, OR($G18="",$G18&gt;=BP$2)),
  $H18 * (1 + Assumptions!$C$7) ^ INT(((YEAR(BP$2)-YEAR($F18))*12 + MONTH(BP$2)-MONTH($F18)) / 12),
  0)</f>
        <v>7558.272</v>
      </c>
      <c r="BQ18" s="34"/>
    </row>
    <row r="19">
      <c r="A19" s="273">
        <v>15.0</v>
      </c>
      <c r="B19" s="257" t="s">
        <v>330</v>
      </c>
      <c r="C19" s="274" t="s">
        <v>146</v>
      </c>
      <c r="D19" s="23" t="s">
        <v>335</v>
      </c>
      <c r="E19" s="264" t="s">
        <v>332</v>
      </c>
      <c r="F19" s="258">
        <v>46235.0</v>
      </c>
      <c r="G19" s="269"/>
      <c r="H19" s="260">
        <v>9000.0</v>
      </c>
      <c r="I19" s="266">
        <f>IF(AND($F19&lt;=I$2, OR($G19="",$G19&gt;=I$2)),
  $H19 * (1 + Assumptions!$C$7) ^ INT(((YEAR(I$2)-YEAR($F19))*12 + MONTH(I$2)-MONTH($F19)) / 12),
  0)</f>
        <v>0</v>
      </c>
      <c r="J19" s="266">
        <f>IF(AND($F19&lt;=J$2, OR($G19="",$G19&gt;=J$2)),
  $H19 * (1 + Assumptions!$C$7) ^ INT(((YEAR(J$2)-YEAR($F19))*12 + MONTH(J$2)-MONTH($F19)) / 12),
  0)</f>
        <v>0</v>
      </c>
      <c r="K19" s="266">
        <f>IF(AND($F19&lt;=K$2, OR($G19="",$G19&gt;=K$2)),
  $H19 * (1 + Assumptions!$C$7) ^ INT(((YEAR(K$2)-YEAR($F19))*12 + MONTH(K$2)-MONTH($F19)) / 12),
  0)</f>
        <v>0</v>
      </c>
      <c r="L19" s="266">
        <f>IF(AND($F19&lt;=L$2, OR($G19="",$G19&gt;=L$2)),
  $H19 * (1 + Assumptions!$C$7) ^ INT(((YEAR(L$2)-YEAR($F19))*12 + MONTH(L$2)-MONTH($F19)) / 12),
  0)</f>
        <v>0</v>
      </c>
      <c r="M19" s="266">
        <f>IF(AND($F19&lt;=M$2, OR($G19="",$G19&gt;=M$2)),
  $H19 * (1 + Assumptions!$C$7) ^ INT(((YEAR(M$2)-YEAR($F19))*12 + MONTH(M$2)-MONTH($F19)) / 12),
  0)</f>
        <v>0</v>
      </c>
      <c r="N19" s="266">
        <f>IF(AND($F19&lt;=N$2, OR($G19="",$G19&gt;=N$2)),
  $H19 * (1 + Assumptions!$C$7) ^ INT(((YEAR(N$2)-YEAR($F19))*12 + MONTH(N$2)-MONTH($F19)) / 12),
  0)</f>
        <v>0</v>
      </c>
      <c r="O19" s="266">
        <f>IF(AND($F19&lt;=O$2, OR($G19="",$G19&gt;=O$2)),
  $H19 * (1 + Assumptions!$C$7) ^ INT(((YEAR(O$2)-YEAR($F19))*12 + MONTH(O$2)-MONTH($F19)) / 12),
  0)</f>
        <v>0</v>
      </c>
      <c r="P19" s="266">
        <f>IF(AND($F19&lt;=P$2, OR($G19="",$G19&gt;=P$2)),
  $H19 * (1 + Assumptions!$C$7) ^ INT(((YEAR(P$2)-YEAR($F19))*12 + MONTH(P$2)-MONTH($F19)) / 12),
  0)</f>
        <v>0</v>
      </c>
      <c r="Q19" s="266">
        <f>IF(AND($F19&lt;=Q$2, OR($G19="",$G19&gt;=Q$2)),
  $H19 * (1 + Assumptions!$C$7) ^ INT(((YEAR(Q$2)-YEAR($F19))*12 + MONTH(Q$2)-MONTH($F19)) / 12),
  0)</f>
        <v>0</v>
      </c>
      <c r="R19" s="266">
        <f>IF(AND($F19&lt;=R$2, OR($G19="",$G19&gt;=R$2)),
  $H19 * (1 + Assumptions!$C$7) ^ INT(((YEAR(R$2)-YEAR($F19))*12 + MONTH(R$2)-MONTH($F19)) / 12),
  0)</f>
        <v>0</v>
      </c>
      <c r="S19" s="266">
        <f>IF(AND($F19&lt;=S$2, OR($G19="",$G19&gt;=S$2)),
  $H19 * (1 + Assumptions!$C$7) ^ INT(((YEAR(S$2)-YEAR($F19))*12 + MONTH(S$2)-MONTH($F19)) / 12),
  0)</f>
        <v>0</v>
      </c>
      <c r="T19" s="266">
        <f>IF(AND($F19&lt;=T$2, OR($G19="",$G19&gt;=T$2)),
  $H19 * (1 + Assumptions!$C$7) ^ INT(((YEAR(T$2)-YEAR($F19))*12 + MONTH(T$2)-MONTH($F19)) / 12),
  0)</f>
        <v>0</v>
      </c>
      <c r="U19" s="266">
        <f>IF(AND($F19&lt;=U$2, OR($G19="",$G19&gt;=U$2)),
  $H19 * (1 + Assumptions!$C$7) ^ INT(((YEAR(U$2)-YEAR($F19))*12 + MONTH(U$2)-MONTH($F19)) / 12),
  0)</f>
        <v>0</v>
      </c>
      <c r="V19" s="266">
        <f>IF(AND($F19&lt;=V$2, OR($G19="",$G19&gt;=V$2)),
  $H19 * (1 + Assumptions!$C$7) ^ INT(((YEAR(V$2)-YEAR($F19))*12 + MONTH(V$2)-MONTH($F19)) / 12),
  0)</f>
        <v>0</v>
      </c>
      <c r="W19" s="266">
        <f>IF(AND($F19&lt;=W$2, OR($G19="",$G19&gt;=W$2)),
  $H19 * (1 + Assumptions!$C$7) ^ INT(((YEAR(W$2)-YEAR($F19))*12 + MONTH(W$2)-MONTH($F19)) / 12),
  0)</f>
        <v>0</v>
      </c>
      <c r="X19" s="266">
        <f>IF(AND($F19&lt;=X$2, OR($G19="",$G19&gt;=X$2)),
  $H19 * (1 + Assumptions!$C$7) ^ INT(((YEAR(X$2)-YEAR($F19))*12 + MONTH(X$2)-MONTH($F19)) / 12),
  0)</f>
        <v>0</v>
      </c>
      <c r="Y19" s="266">
        <f>IF(AND($F19&lt;=Y$2, OR($G19="",$G19&gt;=Y$2)),
  $H19 * (1 + Assumptions!$C$7) ^ INT(((YEAR(Y$2)-YEAR($F19))*12 + MONTH(Y$2)-MONTH($F19)) / 12),
  0)</f>
        <v>0</v>
      </c>
      <c r="Z19" s="266">
        <f>IF(AND($F19&lt;=Z$2, OR($G19="",$G19&gt;=Z$2)),
  $H19 * (1 + Assumptions!$C$7) ^ INT(((YEAR(Z$2)-YEAR($F19))*12 + MONTH(Z$2)-MONTH($F19)) / 12),
  0)</f>
        <v>0</v>
      </c>
      <c r="AA19" s="266">
        <f>IF(AND($F19&lt;=AA$2, OR($G19="",$G19&gt;=AA$2)),
  $H19 * (1 + Assumptions!$C$7) ^ INT(((YEAR(AA$2)-YEAR($F19))*12 + MONTH(AA$2)-MONTH($F19)) / 12),
  0)</f>
        <v>0</v>
      </c>
      <c r="AB19" s="266">
        <f>IF(AND($F19&lt;=AB$2, OR($G19="",$G19&gt;=AB$2)),
  $H19 * (1 + Assumptions!$C$7) ^ INT(((YEAR(AB$2)-YEAR($F19))*12 + MONTH(AB$2)-MONTH($F19)) / 12),
  0)</f>
        <v>9000</v>
      </c>
      <c r="AC19" s="266">
        <f>IF(AND($F19&lt;=AC$2, OR($G19="",$G19&gt;=AC$2)),
  $H19 * (1 + Assumptions!$C$7) ^ INT(((YEAR(AC$2)-YEAR($F19))*12 + MONTH(AC$2)-MONTH($F19)) / 12),
  0)</f>
        <v>9000</v>
      </c>
      <c r="AD19" s="266">
        <f>IF(AND($F19&lt;=AD$2, OR($G19="",$G19&gt;=AD$2)),
  $H19 * (1 + Assumptions!$C$7) ^ INT(((YEAR(AD$2)-YEAR($F19))*12 + MONTH(AD$2)-MONTH($F19)) / 12),
  0)</f>
        <v>9000</v>
      </c>
      <c r="AE19" s="266">
        <f>IF(AND($F19&lt;=AE$2, OR($G19="",$G19&gt;=AE$2)),
  $H19 * (1 + Assumptions!$C$7) ^ INT(((YEAR(AE$2)-YEAR($F19))*12 + MONTH(AE$2)-MONTH($F19)) / 12),
  0)</f>
        <v>9000</v>
      </c>
      <c r="AF19" s="266">
        <f>IF(AND($F19&lt;=AF$2, OR($G19="",$G19&gt;=AF$2)),
  $H19 * (1 + Assumptions!$C$7) ^ INT(((YEAR(AF$2)-YEAR($F19))*12 + MONTH(AF$2)-MONTH($F19)) / 12),
  0)</f>
        <v>9000</v>
      </c>
      <c r="AG19" s="266">
        <f>IF(AND($F19&lt;=AG$2, OR($G19="",$G19&gt;=AG$2)),
  $H19 * (1 + Assumptions!$C$7) ^ INT(((YEAR(AG$2)-YEAR($F19))*12 + MONTH(AG$2)-MONTH($F19)) / 12),
  0)</f>
        <v>9000</v>
      </c>
      <c r="AH19" s="266">
        <f>IF(AND($F19&lt;=AH$2, OR($G19="",$G19&gt;=AH$2)),
  $H19 * (1 + Assumptions!$C$7) ^ INT(((YEAR(AH$2)-YEAR($F19))*12 + MONTH(AH$2)-MONTH($F19)) / 12),
  0)</f>
        <v>9000</v>
      </c>
      <c r="AI19" s="266">
        <f>IF(AND($F19&lt;=AI$2, OR($G19="",$G19&gt;=AI$2)),
  $H19 * (1 + Assumptions!$C$7) ^ INT(((YEAR(AI$2)-YEAR($F19))*12 + MONTH(AI$2)-MONTH($F19)) / 12),
  0)</f>
        <v>9000</v>
      </c>
      <c r="AJ19" s="266">
        <f>IF(AND($F19&lt;=AJ$2, OR($G19="",$G19&gt;=AJ$2)),
  $H19 * (1 + Assumptions!$C$7) ^ INT(((YEAR(AJ$2)-YEAR($F19))*12 + MONTH(AJ$2)-MONTH($F19)) / 12),
  0)</f>
        <v>9000</v>
      </c>
      <c r="AK19" s="266">
        <f>IF(AND($F19&lt;=AK$2, OR($G19="",$G19&gt;=AK$2)),
  $H19 * (1 + Assumptions!$C$7) ^ INT(((YEAR(AK$2)-YEAR($F19))*12 + MONTH(AK$2)-MONTH($F19)) / 12),
  0)</f>
        <v>9000</v>
      </c>
      <c r="AL19" s="266">
        <f>IF(AND($F19&lt;=AL$2, OR($G19="",$G19&gt;=AL$2)),
  $H19 * (1 + Assumptions!$C$7) ^ INT(((YEAR(AL$2)-YEAR($F19))*12 + MONTH(AL$2)-MONTH($F19)) / 12),
  0)</f>
        <v>9000</v>
      </c>
      <c r="AM19" s="266">
        <f>IF(AND($F19&lt;=AM$2, OR($G19="",$G19&gt;=AM$2)),
  $H19 * (1 + Assumptions!$C$7) ^ INT(((YEAR(AM$2)-YEAR($F19))*12 + MONTH(AM$2)-MONTH($F19)) / 12),
  0)</f>
        <v>9000</v>
      </c>
      <c r="AN19" s="266">
        <f>IF(AND($F19&lt;=AN$2, OR($G19="",$G19&gt;=AN$2)),
  $H19 * (1 + Assumptions!$C$7) ^ INT(((YEAR(AN$2)-YEAR($F19))*12 + MONTH(AN$2)-MONTH($F19)) / 12),
  0)</f>
        <v>9720</v>
      </c>
      <c r="AO19" s="266">
        <f>IF(AND($F19&lt;=AO$2, OR($G19="",$G19&gt;=AO$2)),
  $H19 * (1 + Assumptions!$C$7) ^ INT(((YEAR(AO$2)-YEAR($F19))*12 + MONTH(AO$2)-MONTH($F19)) / 12),
  0)</f>
        <v>9720</v>
      </c>
      <c r="AP19" s="266">
        <f>IF(AND($F19&lt;=AP$2, OR($G19="",$G19&gt;=AP$2)),
  $H19 * (1 + Assumptions!$C$7) ^ INT(((YEAR(AP$2)-YEAR($F19))*12 + MONTH(AP$2)-MONTH($F19)) / 12),
  0)</f>
        <v>9720</v>
      </c>
      <c r="AQ19" s="266">
        <f>IF(AND($F19&lt;=AQ$2, OR($G19="",$G19&gt;=AQ$2)),
  $H19 * (1 + Assumptions!$C$7) ^ INT(((YEAR(AQ$2)-YEAR($F19))*12 + MONTH(AQ$2)-MONTH($F19)) / 12),
  0)</f>
        <v>9720</v>
      </c>
      <c r="AR19" s="266">
        <f>IF(AND($F19&lt;=AR$2, OR($G19="",$G19&gt;=AR$2)),
  $H19 * (1 + Assumptions!$C$7) ^ INT(((YEAR(AR$2)-YEAR($F19))*12 + MONTH(AR$2)-MONTH($F19)) / 12),
  0)</f>
        <v>9720</v>
      </c>
      <c r="AS19" s="266">
        <f>IF(AND($F19&lt;=AS$2, OR($G19="",$G19&gt;=AS$2)),
  $H19 * (1 + Assumptions!$C$7) ^ INT(((YEAR(AS$2)-YEAR($F19))*12 + MONTH(AS$2)-MONTH($F19)) / 12),
  0)</f>
        <v>9720</v>
      </c>
      <c r="AT19" s="266">
        <f>IF(AND($F19&lt;=AT$2, OR($G19="",$G19&gt;=AT$2)),
  $H19 * (1 + Assumptions!$C$7) ^ INT(((YEAR(AT$2)-YEAR($F19))*12 + MONTH(AT$2)-MONTH($F19)) / 12),
  0)</f>
        <v>9720</v>
      </c>
      <c r="AU19" s="266">
        <f>IF(AND($F19&lt;=AU$2, OR($G19="",$G19&gt;=AU$2)),
  $H19 * (1 + Assumptions!$C$7) ^ INT(((YEAR(AU$2)-YEAR($F19))*12 + MONTH(AU$2)-MONTH($F19)) / 12),
  0)</f>
        <v>9720</v>
      </c>
      <c r="AV19" s="266">
        <f>IF(AND($F19&lt;=AV$2, OR($G19="",$G19&gt;=AV$2)),
  $H19 * (1 + Assumptions!$C$7) ^ INT(((YEAR(AV$2)-YEAR($F19))*12 + MONTH(AV$2)-MONTH($F19)) / 12),
  0)</f>
        <v>9720</v>
      </c>
      <c r="AW19" s="266">
        <f>IF(AND($F19&lt;=AW$2, OR($G19="",$G19&gt;=AW$2)),
  $H19 * (1 + Assumptions!$C$7) ^ INT(((YEAR(AW$2)-YEAR($F19))*12 + MONTH(AW$2)-MONTH($F19)) / 12),
  0)</f>
        <v>9720</v>
      </c>
      <c r="AX19" s="266">
        <f>IF(AND($F19&lt;=AX$2, OR($G19="",$G19&gt;=AX$2)),
  $H19 * (1 + Assumptions!$C$7) ^ INT(((YEAR(AX$2)-YEAR($F19))*12 + MONTH(AX$2)-MONTH($F19)) / 12),
  0)</f>
        <v>9720</v>
      </c>
      <c r="AY19" s="266">
        <f>IF(AND($F19&lt;=AY$2, OR($G19="",$G19&gt;=AY$2)),
  $H19 * (1 + Assumptions!$C$7) ^ INT(((YEAR(AY$2)-YEAR($F19))*12 + MONTH(AY$2)-MONTH($F19)) / 12),
  0)</f>
        <v>9720</v>
      </c>
      <c r="AZ19" s="266">
        <f>IF(AND($F19&lt;=AZ$2, OR($G19="",$G19&gt;=AZ$2)),
  $H19 * (1 + Assumptions!$C$7) ^ INT(((YEAR(AZ$2)-YEAR($F19))*12 + MONTH(AZ$2)-MONTH($F19)) / 12),
  0)</f>
        <v>10497.6</v>
      </c>
      <c r="BA19" s="266">
        <f>IF(AND($F19&lt;=BA$2, OR($G19="",$G19&gt;=BA$2)),
  $H19 * (1 + Assumptions!$C$7) ^ INT(((YEAR(BA$2)-YEAR($F19))*12 + MONTH(BA$2)-MONTH($F19)) / 12),
  0)</f>
        <v>10497.6</v>
      </c>
      <c r="BB19" s="266">
        <f>IF(AND($F19&lt;=BB$2, OR($G19="",$G19&gt;=BB$2)),
  $H19 * (1 + Assumptions!$C$7) ^ INT(((YEAR(BB$2)-YEAR($F19))*12 + MONTH(BB$2)-MONTH($F19)) / 12),
  0)</f>
        <v>10497.6</v>
      </c>
      <c r="BC19" s="266">
        <f>IF(AND($F19&lt;=BC$2, OR($G19="",$G19&gt;=BC$2)),
  $H19 * (1 + Assumptions!$C$7) ^ INT(((YEAR(BC$2)-YEAR($F19))*12 + MONTH(BC$2)-MONTH($F19)) / 12),
  0)</f>
        <v>10497.6</v>
      </c>
      <c r="BD19" s="266">
        <f>IF(AND($F19&lt;=BD$2, OR($G19="",$G19&gt;=BD$2)),
  $H19 * (1 + Assumptions!$C$7) ^ INT(((YEAR(BD$2)-YEAR($F19))*12 + MONTH(BD$2)-MONTH($F19)) / 12),
  0)</f>
        <v>10497.6</v>
      </c>
      <c r="BE19" s="266">
        <f>IF(AND($F19&lt;=BE$2, OR($G19="",$G19&gt;=BE$2)),
  $H19 * (1 + Assumptions!$C$7) ^ INT(((YEAR(BE$2)-YEAR($F19))*12 + MONTH(BE$2)-MONTH($F19)) / 12),
  0)</f>
        <v>10497.6</v>
      </c>
      <c r="BF19" s="266">
        <f>IF(AND($F19&lt;=BF$2, OR($G19="",$G19&gt;=BF$2)),
  $H19 * (1 + Assumptions!$C$7) ^ INT(((YEAR(BF$2)-YEAR($F19))*12 + MONTH(BF$2)-MONTH($F19)) / 12),
  0)</f>
        <v>10497.6</v>
      </c>
      <c r="BG19" s="266">
        <f>IF(AND($F19&lt;=BG$2, OR($G19="",$G19&gt;=BG$2)),
  $H19 * (1 + Assumptions!$C$7) ^ INT(((YEAR(BG$2)-YEAR($F19))*12 + MONTH(BG$2)-MONTH($F19)) / 12),
  0)</f>
        <v>10497.6</v>
      </c>
      <c r="BH19" s="266">
        <f>IF(AND($F19&lt;=BH$2, OR($G19="",$G19&gt;=BH$2)),
  $H19 * (1 + Assumptions!$C$7) ^ INT(((YEAR(BH$2)-YEAR($F19))*12 + MONTH(BH$2)-MONTH($F19)) / 12),
  0)</f>
        <v>10497.6</v>
      </c>
      <c r="BI19" s="266">
        <f>IF(AND($F19&lt;=BI$2, OR($G19="",$G19&gt;=BI$2)),
  $H19 * (1 + Assumptions!$C$7) ^ INT(((YEAR(BI$2)-YEAR($F19))*12 + MONTH(BI$2)-MONTH($F19)) / 12),
  0)</f>
        <v>10497.6</v>
      </c>
      <c r="BJ19" s="266">
        <f>IF(AND($F19&lt;=BJ$2, OR($G19="",$G19&gt;=BJ$2)),
  $H19 * (1 + Assumptions!$C$7) ^ INT(((YEAR(BJ$2)-YEAR($F19))*12 + MONTH(BJ$2)-MONTH($F19)) / 12),
  0)</f>
        <v>10497.6</v>
      </c>
      <c r="BK19" s="266">
        <f>IF(AND($F19&lt;=BK$2, OR($G19="",$G19&gt;=BK$2)),
  $H19 * (1 + Assumptions!$C$7) ^ INT(((YEAR(BK$2)-YEAR($F19))*12 + MONTH(BK$2)-MONTH($F19)) / 12),
  0)</f>
        <v>10497.6</v>
      </c>
      <c r="BL19" s="266">
        <f>IF(AND($F19&lt;=BL$2, OR($G19="",$G19&gt;=BL$2)),
  $H19 * (1 + Assumptions!$C$7) ^ INT(((YEAR(BL$2)-YEAR($F19))*12 + MONTH(BL$2)-MONTH($F19)) / 12),
  0)</f>
        <v>11337.408</v>
      </c>
      <c r="BM19" s="266">
        <f>IF(AND($F19&lt;=BM$2, OR($G19="",$G19&gt;=BM$2)),
  $H19 * (1 + Assumptions!$C$7) ^ INT(((YEAR(BM$2)-YEAR($F19))*12 + MONTH(BM$2)-MONTH($F19)) / 12),
  0)</f>
        <v>11337.408</v>
      </c>
      <c r="BN19" s="266">
        <f>IF(AND($F19&lt;=BN$2, OR($G19="",$G19&gt;=BN$2)),
  $H19 * (1 + Assumptions!$C$7) ^ INT(((YEAR(BN$2)-YEAR($F19))*12 + MONTH(BN$2)-MONTH($F19)) / 12),
  0)</f>
        <v>11337.408</v>
      </c>
      <c r="BO19" s="266">
        <f>IF(AND($F19&lt;=BO$2, OR($G19="",$G19&gt;=BO$2)),
  $H19 * (1 + Assumptions!$C$7) ^ INT(((YEAR(BO$2)-YEAR($F19))*12 + MONTH(BO$2)-MONTH($F19)) / 12),
  0)</f>
        <v>11337.408</v>
      </c>
      <c r="BP19" s="266">
        <f>IF(AND($F19&lt;=BP$2, OR($G19="",$G19&gt;=BP$2)),
  $H19 * (1 + Assumptions!$C$7) ^ INT(((YEAR(BP$2)-YEAR($F19))*12 + MONTH(BP$2)-MONTH($F19)) / 12),
  0)</f>
        <v>11337.408</v>
      </c>
      <c r="BQ19" s="34"/>
    </row>
    <row r="20">
      <c r="A20" s="273">
        <v>16.0</v>
      </c>
      <c r="B20" s="257" t="s">
        <v>330</v>
      </c>
      <c r="C20" s="274" t="s">
        <v>142</v>
      </c>
      <c r="D20" s="274" t="s">
        <v>324</v>
      </c>
      <c r="E20" s="264" t="s">
        <v>332</v>
      </c>
      <c r="F20" s="258">
        <v>46296.0</v>
      </c>
      <c r="G20" s="258"/>
      <c r="H20" s="260">
        <v>9500.0</v>
      </c>
      <c r="I20" s="266">
        <f>IF(AND($F20&lt;=I$2, OR($G20="",$G20&gt;=I$2)),
  $H20 * (1 + Assumptions!$C$7) ^ INT(((YEAR(I$2)-YEAR($F20))*12 + MONTH(I$2)-MONTH($F20)) / 12),
  0)</f>
        <v>0</v>
      </c>
      <c r="J20" s="266">
        <f>IF(AND($F20&lt;=J$2, OR($G20="",$G20&gt;=J$2)),
  $H20 * (1 + Assumptions!$C$7) ^ INT(((YEAR(J$2)-YEAR($F20))*12 + MONTH(J$2)-MONTH($F20)) / 12),
  0)</f>
        <v>0</v>
      </c>
      <c r="K20" s="266">
        <f>IF(AND($F20&lt;=K$2, OR($G20="",$G20&gt;=K$2)),
  $H20 * (1 + Assumptions!$C$7) ^ INT(((YEAR(K$2)-YEAR($F20))*12 + MONTH(K$2)-MONTH($F20)) / 12),
  0)</f>
        <v>0</v>
      </c>
      <c r="L20" s="266">
        <f>IF(AND($F20&lt;=L$2, OR($G20="",$G20&gt;=L$2)),
  $H20 * (1 + Assumptions!$C$7) ^ INT(((YEAR(L$2)-YEAR($F20))*12 + MONTH(L$2)-MONTH($F20)) / 12),
  0)</f>
        <v>0</v>
      </c>
      <c r="M20" s="266">
        <f>IF(AND($F20&lt;=M$2, OR($G20="",$G20&gt;=M$2)),
  $H20 * (1 + Assumptions!$C$7) ^ INT(((YEAR(M$2)-YEAR($F20))*12 + MONTH(M$2)-MONTH($F20)) / 12),
  0)</f>
        <v>0</v>
      </c>
      <c r="N20" s="266">
        <f>IF(AND($F20&lt;=N$2, OR($G20="",$G20&gt;=N$2)),
  $H20 * (1 + Assumptions!$C$7) ^ INT(((YEAR(N$2)-YEAR($F20))*12 + MONTH(N$2)-MONTH($F20)) / 12),
  0)</f>
        <v>0</v>
      </c>
      <c r="O20" s="266">
        <f>IF(AND($F20&lt;=O$2, OR($G20="",$G20&gt;=O$2)),
  $H20 * (1 + Assumptions!$C$7) ^ INT(((YEAR(O$2)-YEAR($F20))*12 + MONTH(O$2)-MONTH($F20)) / 12),
  0)</f>
        <v>0</v>
      </c>
      <c r="P20" s="266">
        <f>IF(AND($F20&lt;=P$2, OR($G20="",$G20&gt;=P$2)),
  $H20 * (1 + Assumptions!$C$7) ^ INT(((YEAR(P$2)-YEAR($F20))*12 + MONTH(P$2)-MONTH($F20)) / 12),
  0)</f>
        <v>0</v>
      </c>
      <c r="Q20" s="266">
        <f>IF(AND($F20&lt;=Q$2, OR($G20="",$G20&gt;=Q$2)),
  $H20 * (1 + Assumptions!$C$7) ^ INT(((YEAR(Q$2)-YEAR($F20))*12 + MONTH(Q$2)-MONTH($F20)) / 12),
  0)</f>
        <v>0</v>
      </c>
      <c r="R20" s="266">
        <f>IF(AND($F20&lt;=R$2, OR($G20="",$G20&gt;=R$2)),
  $H20 * (1 + Assumptions!$C$7) ^ INT(((YEAR(R$2)-YEAR($F20))*12 + MONTH(R$2)-MONTH($F20)) / 12),
  0)</f>
        <v>0</v>
      </c>
      <c r="S20" s="266">
        <f>IF(AND($F20&lt;=S$2, OR($G20="",$G20&gt;=S$2)),
  $H20 * (1 + Assumptions!$C$7) ^ INT(((YEAR(S$2)-YEAR($F20))*12 + MONTH(S$2)-MONTH($F20)) / 12),
  0)</f>
        <v>0</v>
      </c>
      <c r="T20" s="266">
        <f>IF(AND($F20&lt;=T$2, OR($G20="",$G20&gt;=T$2)),
  $H20 * (1 + Assumptions!$C$7) ^ INT(((YEAR(T$2)-YEAR($F20))*12 + MONTH(T$2)-MONTH($F20)) / 12),
  0)</f>
        <v>0</v>
      </c>
      <c r="U20" s="266">
        <f>IF(AND($F20&lt;=U$2, OR($G20="",$G20&gt;=U$2)),
  $H20 * (1 + Assumptions!$C$7) ^ INT(((YEAR(U$2)-YEAR($F20))*12 + MONTH(U$2)-MONTH($F20)) / 12),
  0)</f>
        <v>0</v>
      </c>
      <c r="V20" s="266">
        <f>IF(AND($F20&lt;=V$2, OR($G20="",$G20&gt;=V$2)),
  $H20 * (1 + Assumptions!$C$7) ^ INT(((YEAR(V$2)-YEAR($F20))*12 + MONTH(V$2)-MONTH($F20)) / 12),
  0)</f>
        <v>0</v>
      </c>
      <c r="W20" s="266">
        <f>IF(AND($F20&lt;=W$2, OR($G20="",$G20&gt;=W$2)),
  $H20 * (1 + Assumptions!$C$7) ^ INT(((YEAR(W$2)-YEAR($F20))*12 + MONTH(W$2)-MONTH($F20)) / 12),
  0)</f>
        <v>0</v>
      </c>
      <c r="X20" s="266">
        <f>IF(AND($F20&lt;=X$2, OR($G20="",$G20&gt;=X$2)),
  $H20 * (1 + Assumptions!$C$7) ^ INT(((YEAR(X$2)-YEAR($F20))*12 + MONTH(X$2)-MONTH($F20)) / 12),
  0)</f>
        <v>0</v>
      </c>
      <c r="Y20" s="266">
        <f>IF(AND($F20&lt;=Y$2, OR($G20="",$G20&gt;=Y$2)),
  $H20 * (1 + Assumptions!$C$7) ^ INT(((YEAR(Y$2)-YEAR($F20))*12 + MONTH(Y$2)-MONTH($F20)) / 12),
  0)</f>
        <v>0</v>
      </c>
      <c r="Z20" s="266">
        <f>IF(AND($F20&lt;=Z$2, OR($G20="",$G20&gt;=Z$2)),
  $H20 * (1 + Assumptions!$C$7) ^ INT(((YEAR(Z$2)-YEAR($F20))*12 + MONTH(Z$2)-MONTH($F20)) / 12),
  0)</f>
        <v>0</v>
      </c>
      <c r="AA20" s="266">
        <f>IF(AND($F20&lt;=AA$2, OR($G20="",$G20&gt;=AA$2)),
  $H20 * (1 + Assumptions!$C$7) ^ INT(((YEAR(AA$2)-YEAR($F20))*12 + MONTH(AA$2)-MONTH($F20)) / 12),
  0)</f>
        <v>0</v>
      </c>
      <c r="AB20" s="266">
        <f>IF(AND($F20&lt;=AB$2, OR($G20="",$G20&gt;=AB$2)),
  $H20 * (1 + Assumptions!$C$7) ^ INT(((YEAR(AB$2)-YEAR($F20))*12 + MONTH(AB$2)-MONTH($F20)) / 12),
  0)</f>
        <v>0</v>
      </c>
      <c r="AC20" s="266">
        <f>IF(AND($F20&lt;=AC$2, OR($G20="",$G20&gt;=AC$2)),
  $H20 * (1 + Assumptions!$C$7) ^ INT(((YEAR(AC$2)-YEAR($F20))*12 + MONTH(AC$2)-MONTH($F20)) / 12),
  0)</f>
        <v>0</v>
      </c>
      <c r="AD20" s="266">
        <f>IF(AND($F20&lt;=AD$2, OR($G20="",$G20&gt;=AD$2)),
  $H20 * (1 + Assumptions!$C$7) ^ INT(((YEAR(AD$2)-YEAR($F20))*12 + MONTH(AD$2)-MONTH($F20)) / 12),
  0)</f>
        <v>9500</v>
      </c>
      <c r="AE20" s="266">
        <f>IF(AND($F20&lt;=AE$2, OR($G20="",$G20&gt;=AE$2)),
  $H20 * (1 + Assumptions!$C$7) ^ INT(((YEAR(AE$2)-YEAR($F20))*12 + MONTH(AE$2)-MONTH($F20)) / 12),
  0)</f>
        <v>9500</v>
      </c>
      <c r="AF20" s="266">
        <f>IF(AND($F20&lt;=AF$2, OR($G20="",$G20&gt;=AF$2)),
  $H20 * (1 + Assumptions!$C$7) ^ INT(((YEAR(AF$2)-YEAR($F20))*12 + MONTH(AF$2)-MONTH($F20)) / 12),
  0)</f>
        <v>9500</v>
      </c>
      <c r="AG20" s="266">
        <f>IF(AND($F20&lt;=AG$2, OR($G20="",$G20&gt;=AG$2)),
  $H20 * (1 + Assumptions!$C$7) ^ INT(((YEAR(AG$2)-YEAR($F20))*12 + MONTH(AG$2)-MONTH($F20)) / 12),
  0)</f>
        <v>9500</v>
      </c>
      <c r="AH20" s="266">
        <f>IF(AND($F20&lt;=AH$2, OR($G20="",$G20&gt;=AH$2)),
  $H20 * (1 + Assumptions!$C$7) ^ INT(((YEAR(AH$2)-YEAR($F20))*12 + MONTH(AH$2)-MONTH($F20)) / 12),
  0)</f>
        <v>9500</v>
      </c>
      <c r="AI20" s="266">
        <f>IF(AND($F20&lt;=AI$2, OR($G20="",$G20&gt;=AI$2)),
  $H20 * (1 + Assumptions!$C$7) ^ INT(((YEAR(AI$2)-YEAR($F20))*12 + MONTH(AI$2)-MONTH($F20)) / 12),
  0)</f>
        <v>9500</v>
      </c>
      <c r="AJ20" s="266">
        <f>IF(AND($F20&lt;=AJ$2, OR($G20="",$G20&gt;=AJ$2)),
  $H20 * (1 + Assumptions!$C$7) ^ INT(((YEAR(AJ$2)-YEAR($F20))*12 + MONTH(AJ$2)-MONTH($F20)) / 12),
  0)</f>
        <v>9500</v>
      </c>
      <c r="AK20" s="266">
        <f>IF(AND($F20&lt;=AK$2, OR($G20="",$G20&gt;=AK$2)),
  $H20 * (1 + Assumptions!$C$7) ^ INT(((YEAR(AK$2)-YEAR($F20))*12 + MONTH(AK$2)-MONTH($F20)) / 12),
  0)</f>
        <v>9500</v>
      </c>
      <c r="AL20" s="266">
        <f>IF(AND($F20&lt;=AL$2, OR($G20="",$G20&gt;=AL$2)),
  $H20 * (1 + Assumptions!$C$7) ^ INT(((YEAR(AL$2)-YEAR($F20))*12 + MONTH(AL$2)-MONTH($F20)) / 12),
  0)</f>
        <v>9500</v>
      </c>
      <c r="AM20" s="266">
        <f>IF(AND($F20&lt;=AM$2, OR($G20="",$G20&gt;=AM$2)),
  $H20 * (1 + Assumptions!$C$7) ^ INT(((YEAR(AM$2)-YEAR($F20))*12 + MONTH(AM$2)-MONTH($F20)) / 12),
  0)</f>
        <v>9500</v>
      </c>
      <c r="AN20" s="266">
        <f>IF(AND($F20&lt;=AN$2, OR($G20="",$G20&gt;=AN$2)),
  $H20 * (1 + Assumptions!$C$7) ^ INT(((YEAR(AN$2)-YEAR($F20))*12 + MONTH(AN$2)-MONTH($F20)) / 12),
  0)</f>
        <v>9500</v>
      </c>
      <c r="AO20" s="266">
        <f>IF(AND($F20&lt;=AO$2, OR($G20="",$G20&gt;=AO$2)),
  $H20 * (1 + Assumptions!$C$7) ^ INT(((YEAR(AO$2)-YEAR($F20))*12 + MONTH(AO$2)-MONTH($F20)) / 12),
  0)</f>
        <v>9500</v>
      </c>
      <c r="AP20" s="266">
        <f>IF(AND($F20&lt;=AP$2, OR($G20="",$G20&gt;=AP$2)),
  $H20 * (1 + Assumptions!$C$7) ^ INT(((YEAR(AP$2)-YEAR($F20))*12 + MONTH(AP$2)-MONTH($F20)) / 12),
  0)</f>
        <v>10260</v>
      </c>
      <c r="AQ20" s="266">
        <f>IF(AND($F20&lt;=AQ$2, OR($G20="",$G20&gt;=AQ$2)),
  $H20 * (1 + Assumptions!$C$7) ^ INT(((YEAR(AQ$2)-YEAR($F20))*12 + MONTH(AQ$2)-MONTH($F20)) / 12),
  0)</f>
        <v>10260</v>
      </c>
      <c r="AR20" s="266">
        <f>IF(AND($F20&lt;=AR$2, OR($G20="",$G20&gt;=AR$2)),
  $H20 * (1 + Assumptions!$C$7) ^ INT(((YEAR(AR$2)-YEAR($F20))*12 + MONTH(AR$2)-MONTH($F20)) / 12),
  0)</f>
        <v>10260</v>
      </c>
      <c r="AS20" s="266">
        <f>IF(AND($F20&lt;=AS$2, OR($G20="",$G20&gt;=AS$2)),
  $H20 * (1 + Assumptions!$C$7) ^ INT(((YEAR(AS$2)-YEAR($F20))*12 + MONTH(AS$2)-MONTH($F20)) / 12),
  0)</f>
        <v>10260</v>
      </c>
      <c r="AT20" s="266">
        <f>IF(AND($F20&lt;=AT$2, OR($G20="",$G20&gt;=AT$2)),
  $H20 * (1 + Assumptions!$C$7) ^ INT(((YEAR(AT$2)-YEAR($F20))*12 + MONTH(AT$2)-MONTH($F20)) / 12),
  0)</f>
        <v>10260</v>
      </c>
      <c r="AU20" s="266">
        <f>IF(AND($F20&lt;=AU$2, OR($G20="",$G20&gt;=AU$2)),
  $H20 * (1 + Assumptions!$C$7) ^ INT(((YEAR(AU$2)-YEAR($F20))*12 + MONTH(AU$2)-MONTH($F20)) / 12),
  0)</f>
        <v>10260</v>
      </c>
      <c r="AV20" s="266">
        <f>IF(AND($F20&lt;=AV$2, OR($G20="",$G20&gt;=AV$2)),
  $H20 * (1 + Assumptions!$C$7) ^ INT(((YEAR(AV$2)-YEAR($F20))*12 + MONTH(AV$2)-MONTH($F20)) / 12),
  0)</f>
        <v>10260</v>
      </c>
      <c r="AW20" s="266">
        <f>IF(AND($F20&lt;=AW$2, OR($G20="",$G20&gt;=AW$2)),
  $H20 * (1 + Assumptions!$C$7) ^ INT(((YEAR(AW$2)-YEAR($F20))*12 + MONTH(AW$2)-MONTH($F20)) / 12),
  0)</f>
        <v>10260</v>
      </c>
      <c r="AX20" s="266">
        <f>IF(AND($F20&lt;=AX$2, OR($G20="",$G20&gt;=AX$2)),
  $H20 * (1 + Assumptions!$C$7) ^ INT(((YEAR(AX$2)-YEAR($F20))*12 + MONTH(AX$2)-MONTH($F20)) / 12),
  0)</f>
        <v>10260</v>
      </c>
      <c r="AY20" s="266">
        <f>IF(AND($F20&lt;=AY$2, OR($G20="",$G20&gt;=AY$2)),
  $H20 * (1 + Assumptions!$C$7) ^ INT(((YEAR(AY$2)-YEAR($F20))*12 + MONTH(AY$2)-MONTH($F20)) / 12),
  0)</f>
        <v>10260</v>
      </c>
      <c r="AZ20" s="266">
        <f>IF(AND($F20&lt;=AZ$2, OR($G20="",$G20&gt;=AZ$2)),
  $H20 * (1 + Assumptions!$C$7) ^ INT(((YEAR(AZ$2)-YEAR($F20))*12 + MONTH(AZ$2)-MONTH($F20)) / 12),
  0)</f>
        <v>10260</v>
      </c>
      <c r="BA20" s="266">
        <f>IF(AND($F20&lt;=BA$2, OR($G20="",$G20&gt;=BA$2)),
  $H20 * (1 + Assumptions!$C$7) ^ INT(((YEAR(BA$2)-YEAR($F20))*12 + MONTH(BA$2)-MONTH($F20)) / 12),
  0)</f>
        <v>10260</v>
      </c>
      <c r="BB20" s="266">
        <f>IF(AND($F20&lt;=BB$2, OR($G20="",$G20&gt;=BB$2)),
  $H20 * (1 + Assumptions!$C$7) ^ INT(((YEAR(BB$2)-YEAR($F20))*12 + MONTH(BB$2)-MONTH($F20)) / 12),
  0)</f>
        <v>11080.8</v>
      </c>
      <c r="BC20" s="266">
        <f>IF(AND($F20&lt;=BC$2, OR($G20="",$G20&gt;=BC$2)),
  $H20 * (1 + Assumptions!$C$7) ^ INT(((YEAR(BC$2)-YEAR($F20))*12 + MONTH(BC$2)-MONTH($F20)) / 12),
  0)</f>
        <v>11080.8</v>
      </c>
      <c r="BD20" s="266">
        <f>IF(AND($F20&lt;=BD$2, OR($G20="",$G20&gt;=BD$2)),
  $H20 * (1 + Assumptions!$C$7) ^ INT(((YEAR(BD$2)-YEAR($F20))*12 + MONTH(BD$2)-MONTH($F20)) / 12),
  0)</f>
        <v>11080.8</v>
      </c>
      <c r="BE20" s="266">
        <f>IF(AND($F20&lt;=BE$2, OR($G20="",$G20&gt;=BE$2)),
  $H20 * (1 + Assumptions!$C$7) ^ INT(((YEAR(BE$2)-YEAR($F20))*12 + MONTH(BE$2)-MONTH($F20)) / 12),
  0)</f>
        <v>11080.8</v>
      </c>
      <c r="BF20" s="266">
        <f>IF(AND($F20&lt;=BF$2, OR($G20="",$G20&gt;=BF$2)),
  $H20 * (1 + Assumptions!$C$7) ^ INT(((YEAR(BF$2)-YEAR($F20))*12 + MONTH(BF$2)-MONTH($F20)) / 12),
  0)</f>
        <v>11080.8</v>
      </c>
      <c r="BG20" s="266">
        <f>IF(AND($F20&lt;=BG$2, OR($G20="",$G20&gt;=BG$2)),
  $H20 * (1 + Assumptions!$C$7) ^ INT(((YEAR(BG$2)-YEAR($F20))*12 + MONTH(BG$2)-MONTH($F20)) / 12),
  0)</f>
        <v>11080.8</v>
      </c>
      <c r="BH20" s="266">
        <f>IF(AND($F20&lt;=BH$2, OR($G20="",$G20&gt;=BH$2)),
  $H20 * (1 + Assumptions!$C$7) ^ INT(((YEAR(BH$2)-YEAR($F20))*12 + MONTH(BH$2)-MONTH($F20)) / 12),
  0)</f>
        <v>11080.8</v>
      </c>
      <c r="BI20" s="266">
        <f>IF(AND($F20&lt;=BI$2, OR($G20="",$G20&gt;=BI$2)),
  $H20 * (1 + Assumptions!$C$7) ^ INT(((YEAR(BI$2)-YEAR($F20))*12 + MONTH(BI$2)-MONTH($F20)) / 12),
  0)</f>
        <v>11080.8</v>
      </c>
      <c r="BJ20" s="266">
        <f>IF(AND($F20&lt;=BJ$2, OR($G20="",$G20&gt;=BJ$2)),
  $H20 * (1 + Assumptions!$C$7) ^ INT(((YEAR(BJ$2)-YEAR($F20))*12 + MONTH(BJ$2)-MONTH($F20)) / 12),
  0)</f>
        <v>11080.8</v>
      </c>
      <c r="BK20" s="266">
        <f>IF(AND($F20&lt;=BK$2, OR($G20="",$G20&gt;=BK$2)),
  $H20 * (1 + Assumptions!$C$7) ^ INT(((YEAR(BK$2)-YEAR($F20))*12 + MONTH(BK$2)-MONTH($F20)) / 12),
  0)</f>
        <v>11080.8</v>
      </c>
      <c r="BL20" s="266">
        <f>IF(AND($F20&lt;=BL$2, OR($G20="",$G20&gt;=BL$2)),
  $H20 * (1 + Assumptions!$C$7) ^ INT(((YEAR(BL$2)-YEAR($F20))*12 + MONTH(BL$2)-MONTH($F20)) / 12),
  0)</f>
        <v>11080.8</v>
      </c>
      <c r="BM20" s="266">
        <f>IF(AND($F20&lt;=BM$2, OR($G20="",$G20&gt;=BM$2)),
  $H20 * (1 + Assumptions!$C$7) ^ INT(((YEAR(BM$2)-YEAR($F20))*12 + MONTH(BM$2)-MONTH($F20)) / 12),
  0)</f>
        <v>11080.8</v>
      </c>
      <c r="BN20" s="266">
        <f>IF(AND($F20&lt;=BN$2, OR($G20="",$G20&gt;=BN$2)),
  $H20 * (1 + Assumptions!$C$7) ^ INT(((YEAR(BN$2)-YEAR($F20))*12 + MONTH(BN$2)-MONTH($F20)) / 12),
  0)</f>
        <v>11967.264</v>
      </c>
      <c r="BO20" s="266">
        <f>IF(AND($F20&lt;=BO$2, OR($G20="",$G20&gt;=BO$2)),
  $H20 * (1 + Assumptions!$C$7) ^ INT(((YEAR(BO$2)-YEAR($F20))*12 + MONTH(BO$2)-MONTH($F20)) / 12),
  0)</f>
        <v>11967.264</v>
      </c>
      <c r="BP20" s="266">
        <f>IF(AND($F20&lt;=BP$2, OR($G20="",$G20&gt;=BP$2)),
  $H20 * (1 + Assumptions!$C$7) ^ INT(((YEAR(BP$2)-YEAR($F20))*12 + MONTH(BP$2)-MONTH($F20)) / 12),
  0)</f>
        <v>11967.264</v>
      </c>
      <c r="BQ20" s="34"/>
    </row>
    <row r="21" ht="15.75" customHeight="1">
      <c r="A21" s="273">
        <v>17.0</v>
      </c>
      <c r="B21" s="257" t="s">
        <v>330</v>
      </c>
      <c r="C21" s="274" t="s">
        <v>146</v>
      </c>
      <c r="D21" s="274" t="s">
        <v>336</v>
      </c>
      <c r="E21" s="264" t="s">
        <v>332</v>
      </c>
      <c r="F21" s="258">
        <v>46296.0</v>
      </c>
      <c r="G21" s="258"/>
      <c r="H21" s="260">
        <v>6500.0</v>
      </c>
      <c r="I21" s="266">
        <f>IF(AND($F21&lt;=I$2, OR($G21="",$G21&gt;=I$2)),
  $H21 * (1 + Assumptions!$C$7) ^ INT(((YEAR(I$2)-YEAR($F21))*12 + MONTH(I$2)-MONTH($F21)) / 12),
  0)</f>
        <v>0</v>
      </c>
      <c r="J21" s="266">
        <f>IF(AND($F21&lt;=J$2, OR($G21="",$G21&gt;=J$2)),
  $H21 * (1 + Assumptions!$C$7) ^ INT(((YEAR(J$2)-YEAR($F21))*12 + MONTH(J$2)-MONTH($F21)) / 12),
  0)</f>
        <v>0</v>
      </c>
      <c r="K21" s="266">
        <f>IF(AND($F21&lt;=K$2, OR($G21="",$G21&gt;=K$2)),
  $H21 * (1 + Assumptions!$C$7) ^ INT(((YEAR(K$2)-YEAR($F21))*12 + MONTH(K$2)-MONTH($F21)) / 12),
  0)</f>
        <v>0</v>
      </c>
      <c r="L21" s="266">
        <f>IF(AND($F21&lt;=L$2, OR($G21="",$G21&gt;=L$2)),
  $H21 * (1 + Assumptions!$C$7) ^ INT(((YEAR(L$2)-YEAR($F21))*12 + MONTH(L$2)-MONTH($F21)) / 12),
  0)</f>
        <v>0</v>
      </c>
      <c r="M21" s="266">
        <f>IF(AND($F21&lt;=M$2, OR($G21="",$G21&gt;=M$2)),
  $H21 * (1 + Assumptions!$C$7) ^ INT(((YEAR(M$2)-YEAR($F21))*12 + MONTH(M$2)-MONTH($F21)) / 12),
  0)</f>
        <v>0</v>
      </c>
      <c r="N21" s="266">
        <f>IF(AND($F21&lt;=N$2, OR($G21="",$G21&gt;=N$2)),
  $H21 * (1 + Assumptions!$C$7) ^ INT(((YEAR(N$2)-YEAR($F21))*12 + MONTH(N$2)-MONTH($F21)) / 12),
  0)</f>
        <v>0</v>
      </c>
      <c r="O21" s="266">
        <f>IF(AND($F21&lt;=O$2, OR($G21="",$G21&gt;=O$2)),
  $H21 * (1 + Assumptions!$C$7) ^ INT(((YEAR(O$2)-YEAR($F21))*12 + MONTH(O$2)-MONTH($F21)) / 12),
  0)</f>
        <v>0</v>
      </c>
      <c r="P21" s="266">
        <f>IF(AND($F21&lt;=P$2, OR($G21="",$G21&gt;=P$2)),
  $H21 * (1 + Assumptions!$C$7) ^ INT(((YEAR(P$2)-YEAR($F21))*12 + MONTH(P$2)-MONTH($F21)) / 12),
  0)</f>
        <v>0</v>
      </c>
      <c r="Q21" s="266">
        <f>IF(AND($F21&lt;=Q$2, OR($G21="",$G21&gt;=Q$2)),
  $H21 * (1 + Assumptions!$C$7) ^ INT(((YEAR(Q$2)-YEAR($F21))*12 + MONTH(Q$2)-MONTH($F21)) / 12),
  0)</f>
        <v>0</v>
      </c>
      <c r="R21" s="266">
        <f>IF(AND($F21&lt;=R$2, OR($G21="",$G21&gt;=R$2)),
  $H21 * (1 + Assumptions!$C$7) ^ INT(((YEAR(R$2)-YEAR($F21))*12 + MONTH(R$2)-MONTH($F21)) / 12),
  0)</f>
        <v>0</v>
      </c>
      <c r="S21" s="266">
        <f>IF(AND($F21&lt;=S$2, OR($G21="",$G21&gt;=S$2)),
  $H21 * (1 + Assumptions!$C$7) ^ INT(((YEAR(S$2)-YEAR($F21))*12 + MONTH(S$2)-MONTH($F21)) / 12),
  0)</f>
        <v>0</v>
      </c>
      <c r="T21" s="266">
        <f>IF(AND($F21&lt;=T$2, OR($G21="",$G21&gt;=T$2)),
  $H21 * (1 + Assumptions!$C$7) ^ INT(((YEAR(T$2)-YEAR($F21))*12 + MONTH(T$2)-MONTH($F21)) / 12),
  0)</f>
        <v>0</v>
      </c>
      <c r="U21" s="266">
        <f>IF(AND($F21&lt;=U$2, OR($G21="",$G21&gt;=U$2)),
  $H21 * (1 + Assumptions!$C$7) ^ INT(((YEAR(U$2)-YEAR($F21))*12 + MONTH(U$2)-MONTH($F21)) / 12),
  0)</f>
        <v>0</v>
      </c>
      <c r="V21" s="266">
        <f>IF(AND($F21&lt;=V$2, OR($G21="",$G21&gt;=V$2)),
  $H21 * (1 + Assumptions!$C$7) ^ INT(((YEAR(V$2)-YEAR($F21))*12 + MONTH(V$2)-MONTH($F21)) / 12),
  0)</f>
        <v>0</v>
      </c>
      <c r="W21" s="266">
        <f>IF(AND($F21&lt;=W$2, OR($G21="",$G21&gt;=W$2)),
  $H21 * (1 + Assumptions!$C$7) ^ INT(((YEAR(W$2)-YEAR($F21))*12 + MONTH(W$2)-MONTH($F21)) / 12),
  0)</f>
        <v>0</v>
      </c>
      <c r="X21" s="266">
        <f>IF(AND($F21&lt;=X$2, OR($G21="",$G21&gt;=X$2)),
  $H21 * (1 + Assumptions!$C$7) ^ INT(((YEAR(X$2)-YEAR($F21))*12 + MONTH(X$2)-MONTH($F21)) / 12),
  0)</f>
        <v>0</v>
      </c>
      <c r="Y21" s="266">
        <f>IF(AND($F21&lt;=Y$2, OR($G21="",$G21&gt;=Y$2)),
  $H21 * (1 + Assumptions!$C$7) ^ INT(((YEAR(Y$2)-YEAR($F21))*12 + MONTH(Y$2)-MONTH($F21)) / 12),
  0)</f>
        <v>0</v>
      </c>
      <c r="Z21" s="266">
        <f>IF(AND($F21&lt;=Z$2, OR($G21="",$G21&gt;=Z$2)),
  $H21 * (1 + Assumptions!$C$7) ^ INT(((YEAR(Z$2)-YEAR($F21))*12 + MONTH(Z$2)-MONTH($F21)) / 12),
  0)</f>
        <v>0</v>
      </c>
      <c r="AA21" s="266">
        <f>IF(AND($F21&lt;=AA$2, OR($G21="",$G21&gt;=AA$2)),
  $H21 * (1 + Assumptions!$C$7) ^ INT(((YEAR(AA$2)-YEAR($F21))*12 + MONTH(AA$2)-MONTH($F21)) / 12),
  0)</f>
        <v>0</v>
      </c>
      <c r="AB21" s="266">
        <f>IF(AND($F21&lt;=AB$2, OR($G21="",$G21&gt;=AB$2)),
  $H21 * (1 + Assumptions!$C$7) ^ INT(((YEAR(AB$2)-YEAR($F21))*12 + MONTH(AB$2)-MONTH($F21)) / 12),
  0)</f>
        <v>0</v>
      </c>
      <c r="AC21" s="266">
        <f>IF(AND($F21&lt;=AC$2, OR($G21="",$G21&gt;=AC$2)),
  $H21 * (1 + Assumptions!$C$7) ^ INT(((YEAR(AC$2)-YEAR($F21))*12 + MONTH(AC$2)-MONTH($F21)) / 12),
  0)</f>
        <v>0</v>
      </c>
      <c r="AD21" s="266">
        <f>IF(AND($F21&lt;=AD$2, OR($G21="",$G21&gt;=AD$2)),
  $H21 * (1 + Assumptions!$C$7) ^ INT(((YEAR(AD$2)-YEAR($F21))*12 + MONTH(AD$2)-MONTH($F21)) / 12),
  0)</f>
        <v>6500</v>
      </c>
      <c r="AE21" s="266">
        <f>IF(AND($F21&lt;=AE$2, OR($G21="",$G21&gt;=AE$2)),
  $H21 * (1 + Assumptions!$C$7) ^ INT(((YEAR(AE$2)-YEAR($F21))*12 + MONTH(AE$2)-MONTH($F21)) / 12),
  0)</f>
        <v>6500</v>
      </c>
      <c r="AF21" s="266">
        <f>IF(AND($F21&lt;=AF$2, OR($G21="",$G21&gt;=AF$2)),
  $H21 * (1 + Assumptions!$C$7) ^ INT(((YEAR(AF$2)-YEAR($F21))*12 + MONTH(AF$2)-MONTH($F21)) / 12),
  0)</f>
        <v>6500</v>
      </c>
      <c r="AG21" s="266">
        <f>IF(AND($F21&lt;=AG$2, OR($G21="",$G21&gt;=AG$2)),
  $H21 * (1 + Assumptions!$C$7) ^ INT(((YEAR(AG$2)-YEAR($F21))*12 + MONTH(AG$2)-MONTH($F21)) / 12),
  0)</f>
        <v>6500</v>
      </c>
      <c r="AH21" s="266">
        <f>IF(AND($F21&lt;=AH$2, OR($G21="",$G21&gt;=AH$2)),
  $H21 * (1 + Assumptions!$C$7) ^ INT(((YEAR(AH$2)-YEAR($F21))*12 + MONTH(AH$2)-MONTH($F21)) / 12),
  0)</f>
        <v>6500</v>
      </c>
      <c r="AI21" s="266">
        <f>IF(AND($F21&lt;=AI$2, OR($G21="",$G21&gt;=AI$2)),
  $H21 * (1 + Assumptions!$C$7) ^ INT(((YEAR(AI$2)-YEAR($F21))*12 + MONTH(AI$2)-MONTH($F21)) / 12),
  0)</f>
        <v>6500</v>
      </c>
      <c r="AJ21" s="266">
        <f>IF(AND($F21&lt;=AJ$2, OR($G21="",$G21&gt;=AJ$2)),
  $H21 * (1 + Assumptions!$C$7) ^ INT(((YEAR(AJ$2)-YEAR($F21))*12 + MONTH(AJ$2)-MONTH($F21)) / 12),
  0)</f>
        <v>6500</v>
      </c>
      <c r="AK21" s="266">
        <f>IF(AND($F21&lt;=AK$2, OR($G21="",$G21&gt;=AK$2)),
  $H21 * (1 + Assumptions!$C$7) ^ INT(((YEAR(AK$2)-YEAR($F21))*12 + MONTH(AK$2)-MONTH($F21)) / 12),
  0)</f>
        <v>6500</v>
      </c>
      <c r="AL21" s="266">
        <f>IF(AND($F21&lt;=AL$2, OR($G21="",$G21&gt;=AL$2)),
  $H21 * (1 + Assumptions!$C$7) ^ INT(((YEAR(AL$2)-YEAR($F21))*12 + MONTH(AL$2)-MONTH($F21)) / 12),
  0)</f>
        <v>6500</v>
      </c>
      <c r="AM21" s="266">
        <f>IF(AND($F21&lt;=AM$2, OR($G21="",$G21&gt;=AM$2)),
  $H21 * (1 + Assumptions!$C$7) ^ INT(((YEAR(AM$2)-YEAR($F21))*12 + MONTH(AM$2)-MONTH($F21)) / 12),
  0)</f>
        <v>6500</v>
      </c>
      <c r="AN21" s="266">
        <f>IF(AND($F21&lt;=AN$2, OR($G21="",$G21&gt;=AN$2)),
  $H21 * (1 + Assumptions!$C$7) ^ INT(((YEAR(AN$2)-YEAR($F21))*12 + MONTH(AN$2)-MONTH($F21)) / 12),
  0)</f>
        <v>6500</v>
      </c>
      <c r="AO21" s="266">
        <f>IF(AND($F21&lt;=AO$2, OR($G21="",$G21&gt;=AO$2)),
  $H21 * (1 + Assumptions!$C$7) ^ INT(((YEAR(AO$2)-YEAR($F21))*12 + MONTH(AO$2)-MONTH($F21)) / 12),
  0)</f>
        <v>6500</v>
      </c>
      <c r="AP21" s="266">
        <f>IF(AND($F21&lt;=AP$2, OR($G21="",$G21&gt;=AP$2)),
  $H21 * (1 + Assumptions!$C$7) ^ INT(((YEAR(AP$2)-YEAR($F21))*12 + MONTH(AP$2)-MONTH($F21)) / 12),
  0)</f>
        <v>7020</v>
      </c>
      <c r="AQ21" s="266">
        <f>IF(AND($F21&lt;=AQ$2, OR($G21="",$G21&gt;=AQ$2)),
  $H21 * (1 + Assumptions!$C$7) ^ INT(((YEAR(AQ$2)-YEAR($F21))*12 + MONTH(AQ$2)-MONTH($F21)) / 12),
  0)</f>
        <v>7020</v>
      </c>
      <c r="AR21" s="266">
        <f>IF(AND($F21&lt;=AR$2, OR($G21="",$G21&gt;=AR$2)),
  $H21 * (1 + Assumptions!$C$7) ^ INT(((YEAR(AR$2)-YEAR($F21))*12 + MONTH(AR$2)-MONTH($F21)) / 12),
  0)</f>
        <v>7020</v>
      </c>
      <c r="AS21" s="266">
        <f>IF(AND($F21&lt;=AS$2, OR($G21="",$G21&gt;=AS$2)),
  $H21 * (1 + Assumptions!$C$7) ^ INT(((YEAR(AS$2)-YEAR($F21))*12 + MONTH(AS$2)-MONTH($F21)) / 12),
  0)</f>
        <v>7020</v>
      </c>
      <c r="AT21" s="266">
        <f>IF(AND($F21&lt;=AT$2, OR($G21="",$G21&gt;=AT$2)),
  $H21 * (1 + Assumptions!$C$7) ^ INT(((YEAR(AT$2)-YEAR($F21))*12 + MONTH(AT$2)-MONTH($F21)) / 12),
  0)</f>
        <v>7020</v>
      </c>
      <c r="AU21" s="266">
        <f>IF(AND($F21&lt;=AU$2, OR($G21="",$G21&gt;=AU$2)),
  $H21 * (1 + Assumptions!$C$7) ^ INT(((YEAR(AU$2)-YEAR($F21))*12 + MONTH(AU$2)-MONTH($F21)) / 12),
  0)</f>
        <v>7020</v>
      </c>
      <c r="AV21" s="266">
        <f>IF(AND($F21&lt;=AV$2, OR($G21="",$G21&gt;=AV$2)),
  $H21 * (1 + Assumptions!$C$7) ^ INT(((YEAR(AV$2)-YEAR($F21))*12 + MONTH(AV$2)-MONTH($F21)) / 12),
  0)</f>
        <v>7020</v>
      </c>
      <c r="AW21" s="266">
        <f>IF(AND($F21&lt;=AW$2, OR($G21="",$G21&gt;=AW$2)),
  $H21 * (1 + Assumptions!$C$7) ^ INT(((YEAR(AW$2)-YEAR($F21))*12 + MONTH(AW$2)-MONTH($F21)) / 12),
  0)</f>
        <v>7020</v>
      </c>
      <c r="AX21" s="266">
        <f>IF(AND($F21&lt;=AX$2, OR($G21="",$G21&gt;=AX$2)),
  $H21 * (1 + Assumptions!$C$7) ^ INT(((YEAR(AX$2)-YEAR($F21))*12 + MONTH(AX$2)-MONTH($F21)) / 12),
  0)</f>
        <v>7020</v>
      </c>
      <c r="AY21" s="266">
        <f>IF(AND($F21&lt;=AY$2, OR($G21="",$G21&gt;=AY$2)),
  $H21 * (1 + Assumptions!$C$7) ^ INT(((YEAR(AY$2)-YEAR($F21))*12 + MONTH(AY$2)-MONTH($F21)) / 12),
  0)</f>
        <v>7020</v>
      </c>
      <c r="AZ21" s="266">
        <f>IF(AND($F21&lt;=AZ$2, OR($G21="",$G21&gt;=AZ$2)),
  $H21 * (1 + Assumptions!$C$7) ^ INT(((YEAR(AZ$2)-YEAR($F21))*12 + MONTH(AZ$2)-MONTH($F21)) / 12),
  0)</f>
        <v>7020</v>
      </c>
      <c r="BA21" s="266">
        <f>IF(AND($F21&lt;=BA$2, OR($G21="",$G21&gt;=BA$2)),
  $H21 * (1 + Assumptions!$C$7) ^ INT(((YEAR(BA$2)-YEAR($F21))*12 + MONTH(BA$2)-MONTH($F21)) / 12),
  0)</f>
        <v>7020</v>
      </c>
      <c r="BB21" s="266">
        <f>IF(AND($F21&lt;=BB$2, OR($G21="",$G21&gt;=BB$2)),
  $H21 * (1 + Assumptions!$C$7) ^ INT(((YEAR(BB$2)-YEAR($F21))*12 + MONTH(BB$2)-MONTH($F21)) / 12),
  0)</f>
        <v>7581.6</v>
      </c>
      <c r="BC21" s="266">
        <f>IF(AND($F21&lt;=BC$2, OR($G21="",$G21&gt;=BC$2)),
  $H21 * (1 + Assumptions!$C$7) ^ INT(((YEAR(BC$2)-YEAR($F21))*12 + MONTH(BC$2)-MONTH($F21)) / 12),
  0)</f>
        <v>7581.6</v>
      </c>
      <c r="BD21" s="266">
        <f>IF(AND($F21&lt;=BD$2, OR($G21="",$G21&gt;=BD$2)),
  $H21 * (1 + Assumptions!$C$7) ^ INT(((YEAR(BD$2)-YEAR($F21))*12 + MONTH(BD$2)-MONTH($F21)) / 12),
  0)</f>
        <v>7581.6</v>
      </c>
      <c r="BE21" s="266">
        <f>IF(AND($F21&lt;=BE$2, OR($G21="",$G21&gt;=BE$2)),
  $H21 * (1 + Assumptions!$C$7) ^ INT(((YEAR(BE$2)-YEAR($F21))*12 + MONTH(BE$2)-MONTH($F21)) / 12),
  0)</f>
        <v>7581.6</v>
      </c>
      <c r="BF21" s="266">
        <f>IF(AND($F21&lt;=BF$2, OR($G21="",$G21&gt;=BF$2)),
  $H21 * (1 + Assumptions!$C$7) ^ INT(((YEAR(BF$2)-YEAR($F21))*12 + MONTH(BF$2)-MONTH($F21)) / 12),
  0)</f>
        <v>7581.6</v>
      </c>
      <c r="BG21" s="266">
        <f>IF(AND($F21&lt;=BG$2, OR($G21="",$G21&gt;=BG$2)),
  $H21 * (1 + Assumptions!$C$7) ^ INT(((YEAR(BG$2)-YEAR($F21))*12 + MONTH(BG$2)-MONTH($F21)) / 12),
  0)</f>
        <v>7581.6</v>
      </c>
      <c r="BH21" s="266">
        <f>IF(AND($F21&lt;=BH$2, OR($G21="",$G21&gt;=BH$2)),
  $H21 * (1 + Assumptions!$C$7) ^ INT(((YEAR(BH$2)-YEAR($F21))*12 + MONTH(BH$2)-MONTH($F21)) / 12),
  0)</f>
        <v>7581.6</v>
      </c>
      <c r="BI21" s="266">
        <f>IF(AND($F21&lt;=BI$2, OR($G21="",$G21&gt;=BI$2)),
  $H21 * (1 + Assumptions!$C$7) ^ INT(((YEAR(BI$2)-YEAR($F21))*12 + MONTH(BI$2)-MONTH($F21)) / 12),
  0)</f>
        <v>7581.6</v>
      </c>
      <c r="BJ21" s="266">
        <f>IF(AND($F21&lt;=BJ$2, OR($G21="",$G21&gt;=BJ$2)),
  $H21 * (1 + Assumptions!$C$7) ^ INT(((YEAR(BJ$2)-YEAR($F21))*12 + MONTH(BJ$2)-MONTH($F21)) / 12),
  0)</f>
        <v>7581.6</v>
      </c>
      <c r="BK21" s="266">
        <f>IF(AND($F21&lt;=BK$2, OR($G21="",$G21&gt;=BK$2)),
  $H21 * (1 + Assumptions!$C$7) ^ INT(((YEAR(BK$2)-YEAR($F21))*12 + MONTH(BK$2)-MONTH($F21)) / 12),
  0)</f>
        <v>7581.6</v>
      </c>
      <c r="BL21" s="266">
        <f>IF(AND($F21&lt;=BL$2, OR($G21="",$G21&gt;=BL$2)),
  $H21 * (1 + Assumptions!$C$7) ^ INT(((YEAR(BL$2)-YEAR($F21))*12 + MONTH(BL$2)-MONTH($F21)) / 12),
  0)</f>
        <v>7581.6</v>
      </c>
      <c r="BM21" s="266">
        <f>IF(AND($F21&lt;=BM$2, OR($G21="",$G21&gt;=BM$2)),
  $H21 * (1 + Assumptions!$C$7) ^ INT(((YEAR(BM$2)-YEAR($F21))*12 + MONTH(BM$2)-MONTH($F21)) / 12),
  0)</f>
        <v>7581.6</v>
      </c>
      <c r="BN21" s="266">
        <f>IF(AND($F21&lt;=BN$2, OR($G21="",$G21&gt;=BN$2)),
  $H21 * (1 + Assumptions!$C$7) ^ INT(((YEAR(BN$2)-YEAR($F21))*12 + MONTH(BN$2)-MONTH($F21)) / 12),
  0)</f>
        <v>8188.128</v>
      </c>
      <c r="BO21" s="266">
        <f>IF(AND($F21&lt;=BO$2, OR($G21="",$G21&gt;=BO$2)),
  $H21 * (1 + Assumptions!$C$7) ^ INT(((YEAR(BO$2)-YEAR($F21))*12 + MONTH(BO$2)-MONTH($F21)) / 12),
  0)</f>
        <v>8188.128</v>
      </c>
      <c r="BP21" s="266">
        <f>IF(AND($F21&lt;=BP$2, OR($G21="",$G21&gt;=BP$2)),
  $H21 * (1 + Assumptions!$C$7) ^ INT(((YEAR(BP$2)-YEAR($F21))*12 + MONTH(BP$2)-MONTH($F21)) / 12),
  0)</f>
        <v>8188.128</v>
      </c>
      <c r="BQ21" s="34"/>
    </row>
    <row r="22" ht="15.75" customHeight="1">
      <c r="A22" s="273">
        <v>18.0</v>
      </c>
      <c r="B22" s="257" t="s">
        <v>330</v>
      </c>
      <c r="C22" s="257" t="s">
        <v>149</v>
      </c>
      <c r="D22" s="69" t="s">
        <v>316</v>
      </c>
      <c r="E22" s="264" t="s">
        <v>332</v>
      </c>
      <c r="F22" s="258">
        <v>46388.0</v>
      </c>
      <c r="G22" s="276"/>
      <c r="H22" s="260">
        <v>7500.0</v>
      </c>
      <c r="I22" s="266">
        <f>IF(AND($F22&lt;=I$2, OR($G22="",$G22&gt;=I$2)),
  $H22 * (1 + Assumptions!$C$7) ^ INT(((YEAR(I$2)-YEAR($F22))*12 + MONTH(I$2)-MONTH($F22)) / 12),
  0)</f>
        <v>0</v>
      </c>
      <c r="J22" s="266">
        <f>IF(AND($F22&lt;=J$2, OR($G22="",$G22&gt;=J$2)),
  $H22 * (1 + Assumptions!$C$7) ^ INT(((YEAR(J$2)-YEAR($F22))*12 + MONTH(J$2)-MONTH($F22)) / 12),
  0)</f>
        <v>0</v>
      </c>
      <c r="K22" s="266">
        <f>IF(AND($F22&lt;=K$2, OR($G22="",$G22&gt;=K$2)),
  $H22 * (1 + Assumptions!$C$7) ^ INT(((YEAR(K$2)-YEAR($F22))*12 + MONTH(K$2)-MONTH($F22)) / 12),
  0)</f>
        <v>0</v>
      </c>
      <c r="L22" s="266">
        <f>IF(AND($F22&lt;=L$2, OR($G22="",$G22&gt;=L$2)),
  $H22 * (1 + Assumptions!$C$7) ^ INT(((YEAR(L$2)-YEAR($F22))*12 + MONTH(L$2)-MONTH($F22)) / 12),
  0)</f>
        <v>0</v>
      </c>
      <c r="M22" s="266">
        <f>IF(AND($F22&lt;=M$2, OR($G22="",$G22&gt;=M$2)),
  $H22 * (1 + Assumptions!$C$7) ^ INT(((YEAR(M$2)-YEAR($F22))*12 + MONTH(M$2)-MONTH($F22)) / 12),
  0)</f>
        <v>0</v>
      </c>
      <c r="N22" s="266">
        <f>IF(AND($F22&lt;=N$2, OR($G22="",$G22&gt;=N$2)),
  $H22 * (1 + Assumptions!$C$7) ^ INT(((YEAR(N$2)-YEAR($F22))*12 + MONTH(N$2)-MONTH($F22)) / 12),
  0)</f>
        <v>0</v>
      </c>
      <c r="O22" s="266">
        <f>IF(AND($F22&lt;=O$2, OR($G22="",$G22&gt;=O$2)),
  $H22 * (1 + Assumptions!$C$7) ^ INT(((YEAR(O$2)-YEAR($F22))*12 + MONTH(O$2)-MONTH($F22)) / 12),
  0)</f>
        <v>0</v>
      </c>
      <c r="P22" s="266">
        <f>IF(AND($F22&lt;=P$2, OR($G22="",$G22&gt;=P$2)),
  $H22 * (1 + Assumptions!$C$7) ^ INT(((YEAR(P$2)-YEAR($F22))*12 + MONTH(P$2)-MONTH($F22)) / 12),
  0)</f>
        <v>0</v>
      </c>
      <c r="Q22" s="266">
        <f>IF(AND($F22&lt;=Q$2, OR($G22="",$G22&gt;=Q$2)),
  $H22 * (1 + Assumptions!$C$7) ^ INT(((YEAR(Q$2)-YEAR($F22))*12 + MONTH(Q$2)-MONTH($F22)) / 12),
  0)</f>
        <v>0</v>
      </c>
      <c r="R22" s="266">
        <f>IF(AND($F22&lt;=R$2, OR($G22="",$G22&gt;=R$2)),
  $H22 * (1 + Assumptions!$C$7) ^ INT(((YEAR(R$2)-YEAR($F22))*12 + MONTH(R$2)-MONTH($F22)) / 12),
  0)</f>
        <v>0</v>
      </c>
      <c r="S22" s="266">
        <f>IF(AND($F22&lt;=S$2, OR($G22="",$G22&gt;=S$2)),
  $H22 * (1 + Assumptions!$C$7) ^ INT(((YEAR(S$2)-YEAR($F22))*12 + MONTH(S$2)-MONTH($F22)) / 12),
  0)</f>
        <v>0</v>
      </c>
      <c r="T22" s="266">
        <f>IF(AND($F22&lt;=T$2, OR($G22="",$G22&gt;=T$2)),
  $H22 * (1 + Assumptions!$C$7) ^ INT(((YEAR(T$2)-YEAR($F22))*12 + MONTH(T$2)-MONTH($F22)) / 12),
  0)</f>
        <v>0</v>
      </c>
      <c r="U22" s="266">
        <f>IF(AND($F22&lt;=U$2, OR($G22="",$G22&gt;=U$2)),
  $H22 * (1 + Assumptions!$C$7) ^ INT(((YEAR(U$2)-YEAR($F22))*12 + MONTH(U$2)-MONTH($F22)) / 12),
  0)</f>
        <v>0</v>
      </c>
      <c r="V22" s="266">
        <f>IF(AND($F22&lt;=V$2, OR($G22="",$G22&gt;=V$2)),
  $H22 * (1 + Assumptions!$C$7) ^ INT(((YEAR(V$2)-YEAR($F22))*12 + MONTH(V$2)-MONTH($F22)) / 12),
  0)</f>
        <v>0</v>
      </c>
      <c r="W22" s="266">
        <f>IF(AND($F22&lt;=W$2, OR($G22="",$G22&gt;=W$2)),
  $H22 * (1 + Assumptions!$C$7) ^ INT(((YEAR(W$2)-YEAR($F22))*12 + MONTH(W$2)-MONTH($F22)) / 12),
  0)</f>
        <v>0</v>
      </c>
      <c r="X22" s="266">
        <f>IF(AND($F22&lt;=X$2, OR($G22="",$G22&gt;=X$2)),
  $H22 * (1 + Assumptions!$C$7) ^ INT(((YEAR(X$2)-YEAR($F22))*12 + MONTH(X$2)-MONTH($F22)) / 12),
  0)</f>
        <v>0</v>
      </c>
      <c r="Y22" s="266">
        <f>IF(AND($F22&lt;=Y$2, OR($G22="",$G22&gt;=Y$2)),
  $H22 * (1 + Assumptions!$C$7) ^ INT(((YEAR(Y$2)-YEAR($F22))*12 + MONTH(Y$2)-MONTH($F22)) / 12),
  0)</f>
        <v>0</v>
      </c>
      <c r="Z22" s="266">
        <f>IF(AND($F22&lt;=Z$2, OR($G22="",$G22&gt;=Z$2)),
  $H22 * (1 + Assumptions!$C$7) ^ INT(((YEAR(Z$2)-YEAR($F22))*12 + MONTH(Z$2)-MONTH($F22)) / 12),
  0)</f>
        <v>0</v>
      </c>
      <c r="AA22" s="266">
        <f>IF(AND($F22&lt;=AA$2, OR($G22="",$G22&gt;=AA$2)),
  $H22 * (1 + Assumptions!$C$7) ^ INT(((YEAR(AA$2)-YEAR($F22))*12 + MONTH(AA$2)-MONTH($F22)) / 12),
  0)</f>
        <v>0</v>
      </c>
      <c r="AB22" s="266">
        <f>IF(AND($F22&lt;=AB$2, OR($G22="",$G22&gt;=AB$2)),
  $H22 * (1 + Assumptions!$C$7) ^ INT(((YEAR(AB$2)-YEAR($F22))*12 + MONTH(AB$2)-MONTH($F22)) / 12),
  0)</f>
        <v>0</v>
      </c>
      <c r="AC22" s="266">
        <f>IF(AND($F22&lt;=AC$2, OR($G22="",$G22&gt;=AC$2)),
  $H22 * (1 + Assumptions!$C$7) ^ INT(((YEAR(AC$2)-YEAR($F22))*12 + MONTH(AC$2)-MONTH($F22)) / 12),
  0)</f>
        <v>0</v>
      </c>
      <c r="AD22" s="266">
        <f>IF(AND($F22&lt;=AD$2, OR($G22="",$G22&gt;=AD$2)),
  $H22 * (1 + Assumptions!$C$7) ^ INT(((YEAR(AD$2)-YEAR($F22))*12 + MONTH(AD$2)-MONTH($F22)) / 12),
  0)</f>
        <v>0</v>
      </c>
      <c r="AE22" s="266">
        <f>IF(AND($F22&lt;=AE$2, OR($G22="",$G22&gt;=AE$2)),
  $H22 * (1 + Assumptions!$C$7) ^ INT(((YEAR(AE$2)-YEAR($F22))*12 + MONTH(AE$2)-MONTH($F22)) / 12),
  0)</f>
        <v>0</v>
      </c>
      <c r="AF22" s="266">
        <f>IF(AND($F22&lt;=AF$2, OR($G22="",$G22&gt;=AF$2)),
  $H22 * (1 + Assumptions!$C$7) ^ INT(((YEAR(AF$2)-YEAR($F22))*12 + MONTH(AF$2)-MONTH($F22)) / 12),
  0)</f>
        <v>0</v>
      </c>
      <c r="AG22" s="266">
        <f>IF(AND($F22&lt;=AG$2, OR($G22="",$G22&gt;=AG$2)),
  $H22 * (1 + Assumptions!$C$7) ^ INT(((YEAR(AG$2)-YEAR($F22))*12 + MONTH(AG$2)-MONTH($F22)) / 12),
  0)</f>
        <v>7500</v>
      </c>
      <c r="AH22" s="266">
        <f>IF(AND($F22&lt;=AH$2, OR($G22="",$G22&gt;=AH$2)),
  $H22 * (1 + Assumptions!$C$7) ^ INT(((YEAR(AH$2)-YEAR($F22))*12 + MONTH(AH$2)-MONTH($F22)) / 12),
  0)</f>
        <v>7500</v>
      </c>
      <c r="AI22" s="266">
        <f>IF(AND($F22&lt;=AI$2, OR($G22="",$G22&gt;=AI$2)),
  $H22 * (1 + Assumptions!$C$7) ^ INT(((YEAR(AI$2)-YEAR($F22))*12 + MONTH(AI$2)-MONTH($F22)) / 12),
  0)</f>
        <v>7500</v>
      </c>
      <c r="AJ22" s="266">
        <f>IF(AND($F22&lt;=AJ$2, OR($G22="",$G22&gt;=AJ$2)),
  $H22 * (1 + Assumptions!$C$7) ^ INT(((YEAR(AJ$2)-YEAR($F22))*12 + MONTH(AJ$2)-MONTH($F22)) / 12),
  0)</f>
        <v>7500</v>
      </c>
      <c r="AK22" s="266">
        <f>IF(AND($F22&lt;=AK$2, OR($G22="",$G22&gt;=AK$2)),
  $H22 * (1 + Assumptions!$C$7) ^ INT(((YEAR(AK$2)-YEAR($F22))*12 + MONTH(AK$2)-MONTH($F22)) / 12),
  0)</f>
        <v>7500</v>
      </c>
      <c r="AL22" s="266">
        <f>IF(AND($F22&lt;=AL$2, OR($G22="",$G22&gt;=AL$2)),
  $H22 * (1 + Assumptions!$C$7) ^ INT(((YEAR(AL$2)-YEAR($F22))*12 + MONTH(AL$2)-MONTH($F22)) / 12),
  0)</f>
        <v>7500</v>
      </c>
      <c r="AM22" s="266">
        <f>IF(AND($F22&lt;=AM$2, OR($G22="",$G22&gt;=AM$2)),
  $H22 * (1 + Assumptions!$C$7) ^ INT(((YEAR(AM$2)-YEAR($F22))*12 + MONTH(AM$2)-MONTH($F22)) / 12),
  0)</f>
        <v>7500</v>
      </c>
      <c r="AN22" s="266">
        <f>IF(AND($F22&lt;=AN$2, OR($G22="",$G22&gt;=AN$2)),
  $H22 * (1 + Assumptions!$C$7) ^ INT(((YEAR(AN$2)-YEAR($F22))*12 + MONTH(AN$2)-MONTH($F22)) / 12),
  0)</f>
        <v>7500</v>
      </c>
      <c r="AO22" s="266">
        <f>IF(AND($F22&lt;=AO$2, OR($G22="",$G22&gt;=AO$2)),
  $H22 * (1 + Assumptions!$C$7) ^ INT(((YEAR(AO$2)-YEAR($F22))*12 + MONTH(AO$2)-MONTH($F22)) / 12),
  0)</f>
        <v>7500</v>
      </c>
      <c r="AP22" s="266">
        <f>IF(AND($F22&lt;=AP$2, OR($G22="",$G22&gt;=AP$2)),
  $H22 * (1 + Assumptions!$C$7) ^ INT(((YEAR(AP$2)-YEAR($F22))*12 + MONTH(AP$2)-MONTH($F22)) / 12),
  0)</f>
        <v>7500</v>
      </c>
      <c r="AQ22" s="266">
        <f>IF(AND($F22&lt;=AQ$2, OR($G22="",$G22&gt;=AQ$2)),
  $H22 * (1 + Assumptions!$C$7) ^ INT(((YEAR(AQ$2)-YEAR($F22))*12 + MONTH(AQ$2)-MONTH($F22)) / 12),
  0)</f>
        <v>7500</v>
      </c>
      <c r="AR22" s="266">
        <f>IF(AND($F22&lt;=AR$2, OR($G22="",$G22&gt;=AR$2)),
  $H22 * (1 + Assumptions!$C$7) ^ INT(((YEAR(AR$2)-YEAR($F22))*12 + MONTH(AR$2)-MONTH($F22)) / 12),
  0)</f>
        <v>7500</v>
      </c>
      <c r="AS22" s="266">
        <f>IF(AND($F22&lt;=AS$2, OR($G22="",$G22&gt;=AS$2)),
  $H22 * (1 + Assumptions!$C$7) ^ INT(((YEAR(AS$2)-YEAR($F22))*12 + MONTH(AS$2)-MONTH($F22)) / 12),
  0)</f>
        <v>8100</v>
      </c>
      <c r="AT22" s="266">
        <f>IF(AND($F22&lt;=AT$2, OR($G22="",$G22&gt;=AT$2)),
  $H22 * (1 + Assumptions!$C$7) ^ INT(((YEAR(AT$2)-YEAR($F22))*12 + MONTH(AT$2)-MONTH($F22)) / 12),
  0)</f>
        <v>8100</v>
      </c>
      <c r="AU22" s="266">
        <f>IF(AND($F22&lt;=AU$2, OR($G22="",$G22&gt;=AU$2)),
  $H22 * (1 + Assumptions!$C$7) ^ INT(((YEAR(AU$2)-YEAR($F22))*12 + MONTH(AU$2)-MONTH($F22)) / 12),
  0)</f>
        <v>8100</v>
      </c>
      <c r="AV22" s="266">
        <f>IF(AND($F22&lt;=AV$2, OR($G22="",$G22&gt;=AV$2)),
  $H22 * (1 + Assumptions!$C$7) ^ INT(((YEAR(AV$2)-YEAR($F22))*12 + MONTH(AV$2)-MONTH($F22)) / 12),
  0)</f>
        <v>8100</v>
      </c>
      <c r="AW22" s="266">
        <f>IF(AND($F22&lt;=AW$2, OR($G22="",$G22&gt;=AW$2)),
  $H22 * (1 + Assumptions!$C$7) ^ INT(((YEAR(AW$2)-YEAR($F22))*12 + MONTH(AW$2)-MONTH($F22)) / 12),
  0)</f>
        <v>8100</v>
      </c>
      <c r="AX22" s="266">
        <f>IF(AND($F22&lt;=AX$2, OR($G22="",$G22&gt;=AX$2)),
  $H22 * (1 + Assumptions!$C$7) ^ INT(((YEAR(AX$2)-YEAR($F22))*12 + MONTH(AX$2)-MONTH($F22)) / 12),
  0)</f>
        <v>8100</v>
      </c>
      <c r="AY22" s="266">
        <f>IF(AND($F22&lt;=AY$2, OR($G22="",$G22&gt;=AY$2)),
  $H22 * (1 + Assumptions!$C$7) ^ INT(((YEAR(AY$2)-YEAR($F22))*12 + MONTH(AY$2)-MONTH($F22)) / 12),
  0)</f>
        <v>8100</v>
      </c>
      <c r="AZ22" s="266">
        <f>IF(AND($F22&lt;=AZ$2, OR($G22="",$G22&gt;=AZ$2)),
  $H22 * (1 + Assumptions!$C$7) ^ INT(((YEAR(AZ$2)-YEAR($F22))*12 + MONTH(AZ$2)-MONTH($F22)) / 12),
  0)</f>
        <v>8100</v>
      </c>
      <c r="BA22" s="266">
        <f>IF(AND($F22&lt;=BA$2, OR($G22="",$G22&gt;=BA$2)),
  $H22 * (1 + Assumptions!$C$7) ^ INT(((YEAR(BA$2)-YEAR($F22))*12 + MONTH(BA$2)-MONTH($F22)) / 12),
  0)</f>
        <v>8100</v>
      </c>
      <c r="BB22" s="266">
        <f>IF(AND($F22&lt;=BB$2, OR($G22="",$G22&gt;=BB$2)),
  $H22 * (1 + Assumptions!$C$7) ^ INT(((YEAR(BB$2)-YEAR($F22))*12 + MONTH(BB$2)-MONTH($F22)) / 12),
  0)</f>
        <v>8100</v>
      </c>
      <c r="BC22" s="266">
        <f>IF(AND($F22&lt;=BC$2, OR($G22="",$G22&gt;=BC$2)),
  $H22 * (1 + Assumptions!$C$7) ^ INT(((YEAR(BC$2)-YEAR($F22))*12 + MONTH(BC$2)-MONTH($F22)) / 12),
  0)</f>
        <v>8100</v>
      </c>
      <c r="BD22" s="266">
        <f>IF(AND($F22&lt;=BD$2, OR($G22="",$G22&gt;=BD$2)),
  $H22 * (1 + Assumptions!$C$7) ^ INT(((YEAR(BD$2)-YEAR($F22))*12 + MONTH(BD$2)-MONTH($F22)) / 12),
  0)</f>
        <v>8100</v>
      </c>
      <c r="BE22" s="266">
        <f>IF(AND($F22&lt;=BE$2, OR($G22="",$G22&gt;=BE$2)),
  $H22 * (1 + Assumptions!$C$7) ^ INT(((YEAR(BE$2)-YEAR($F22))*12 + MONTH(BE$2)-MONTH($F22)) / 12),
  0)</f>
        <v>8748</v>
      </c>
      <c r="BF22" s="266">
        <f>IF(AND($F22&lt;=BF$2, OR($G22="",$G22&gt;=BF$2)),
  $H22 * (1 + Assumptions!$C$7) ^ INT(((YEAR(BF$2)-YEAR($F22))*12 + MONTH(BF$2)-MONTH($F22)) / 12),
  0)</f>
        <v>8748</v>
      </c>
      <c r="BG22" s="266">
        <f>IF(AND($F22&lt;=BG$2, OR($G22="",$G22&gt;=BG$2)),
  $H22 * (1 + Assumptions!$C$7) ^ INT(((YEAR(BG$2)-YEAR($F22))*12 + MONTH(BG$2)-MONTH($F22)) / 12),
  0)</f>
        <v>8748</v>
      </c>
      <c r="BH22" s="266">
        <f>IF(AND($F22&lt;=BH$2, OR($G22="",$G22&gt;=BH$2)),
  $H22 * (1 + Assumptions!$C$7) ^ INT(((YEAR(BH$2)-YEAR($F22))*12 + MONTH(BH$2)-MONTH($F22)) / 12),
  0)</f>
        <v>8748</v>
      </c>
      <c r="BI22" s="266">
        <f>IF(AND($F22&lt;=BI$2, OR($G22="",$G22&gt;=BI$2)),
  $H22 * (1 + Assumptions!$C$7) ^ INT(((YEAR(BI$2)-YEAR($F22))*12 + MONTH(BI$2)-MONTH($F22)) / 12),
  0)</f>
        <v>8748</v>
      </c>
      <c r="BJ22" s="266">
        <f>IF(AND($F22&lt;=BJ$2, OR($G22="",$G22&gt;=BJ$2)),
  $H22 * (1 + Assumptions!$C$7) ^ INT(((YEAR(BJ$2)-YEAR($F22))*12 + MONTH(BJ$2)-MONTH($F22)) / 12),
  0)</f>
        <v>8748</v>
      </c>
      <c r="BK22" s="266">
        <f>IF(AND($F22&lt;=BK$2, OR($G22="",$G22&gt;=BK$2)),
  $H22 * (1 + Assumptions!$C$7) ^ INT(((YEAR(BK$2)-YEAR($F22))*12 + MONTH(BK$2)-MONTH($F22)) / 12),
  0)</f>
        <v>8748</v>
      </c>
      <c r="BL22" s="266">
        <f>IF(AND($F22&lt;=BL$2, OR($G22="",$G22&gt;=BL$2)),
  $H22 * (1 + Assumptions!$C$7) ^ INT(((YEAR(BL$2)-YEAR($F22))*12 + MONTH(BL$2)-MONTH($F22)) / 12),
  0)</f>
        <v>8748</v>
      </c>
      <c r="BM22" s="266">
        <f>IF(AND($F22&lt;=BM$2, OR($G22="",$G22&gt;=BM$2)),
  $H22 * (1 + Assumptions!$C$7) ^ INT(((YEAR(BM$2)-YEAR($F22))*12 + MONTH(BM$2)-MONTH($F22)) / 12),
  0)</f>
        <v>8748</v>
      </c>
      <c r="BN22" s="266">
        <f>IF(AND($F22&lt;=BN$2, OR($G22="",$G22&gt;=BN$2)),
  $H22 * (1 + Assumptions!$C$7) ^ INT(((YEAR(BN$2)-YEAR($F22))*12 + MONTH(BN$2)-MONTH($F22)) / 12),
  0)</f>
        <v>8748</v>
      </c>
      <c r="BO22" s="266">
        <f>IF(AND($F22&lt;=BO$2, OR($G22="",$G22&gt;=BO$2)),
  $H22 * (1 + Assumptions!$C$7) ^ INT(((YEAR(BO$2)-YEAR($F22))*12 + MONTH(BO$2)-MONTH($F22)) / 12),
  0)</f>
        <v>8748</v>
      </c>
      <c r="BP22" s="266">
        <f>IF(AND($F22&lt;=BP$2, OR($G22="",$G22&gt;=BP$2)),
  $H22 * (1 + Assumptions!$C$7) ^ INT(((YEAR(BP$2)-YEAR($F22))*12 + MONTH(BP$2)-MONTH($F22)) / 12),
  0)</f>
        <v>8748</v>
      </c>
      <c r="BQ22" s="34"/>
    </row>
    <row r="23" ht="15.75" customHeight="1">
      <c r="A23" s="273">
        <v>19.0</v>
      </c>
      <c r="B23" s="257" t="s">
        <v>330</v>
      </c>
      <c r="C23" s="23" t="s">
        <v>142</v>
      </c>
      <c r="D23" s="23" t="s">
        <v>337</v>
      </c>
      <c r="E23" s="264" t="s">
        <v>332</v>
      </c>
      <c r="F23" s="258">
        <v>46388.0</v>
      </c>
      <c r="G23" s="269"/>
      <c r="H23" s="260">
        <v>4500.0</v>
      </c>
      <c r="I23" s="266">
        <f>IF(AND($F23&lt;=I$2, OR($G23="",$G23&gt;=I$2)),
  $H23 * (1 + Assumptions!$C$7) ^ INT(((YEAR(I$2)-YEAR($F23))*12 + MONTH(I$2)-MONTH($F23)) / 12),
  0)</f>
        <v>0</v>
      </c>
      <c r="J23" s="266">
        <f>IF(AND($F23&lt;=J$2, OR($G23="",$G23&gt;=J$2)),
  $H23 * (1 + Assumptions!$C$7) ^ INT(((YEAR(J$2)-YEAR($F23))*12 + MONTH(J$2)-MONTH($F23)) / 12),
  0)</f>
        <v>0</v>
      </c>
      <c r="K23" s="266">
        <f>IF(AND($F23&lt;=K$2, OR($G23="",$G23&gt;=K$2)),
  $H23 * (1 + Assumptions!$C$7) ^ INT(((YEAR(K$2)-YEAR($F23))*12 + MONTH(K$2)-MONTH($F23)) / 12),
  0)</f>
        <v>0</v>
      </c>
      <c r="L23" s="266">
        <f>IF(AND($F23&lt;=L$2, OR($G23="",$G23&gt;=L$2)),
  $H23 * (1 + Assumptions!$C$7) ^ INT(((YEAR(L$2)-YEAR($F23))*12 + MONTH(L$2)-MONTH($F23)) / 12),
  0)</f>
        <v>0</v>
      </c>
      <c r="M23" s="266">
        <f>IF(AND($F23&lt;=M$2, OR($G23="",$G23&gt;=M$2)),
  $H23 * (1 + Assumptions!$C$7) ^ INT(((YEAR(M$2)-YEAR($F23))*12 + MONTH(M$2)-MONTH($F23)) / 12),
  0)</f>
        <v>0</v>
      </c>
      <c r="N23" s="266">
        <f>IF(AND($F23&lt;=N$2, OR($G23="",$G23&gt;=N$2)),
  $H23 * (1 + Assumptions!$C$7) ^ INT(((YEAR(N$2)-YEAR($F23))*12 + MONTH(N$2)-MONTH($F23)) / 12),
  0)</f>
        <v>0</v>
      </c>
      <c r="O23" s="266">
        <f>IF(AND($F23&lt;=O$2, OR($G23="",$G23&gt;=O$2)),
  $H23 * (1 + Assumptions!$C$7) ^ INT(((YEAR(O$2)-YEAR($F23))*12 + MONTH(O$2)-MONTH($F23)) / 12),
  0)</f>
        <v>0</v>
      </c>
      <c r="P23" s="266">
        <f>IF(AND($F23&lt;=P$2, OR($G23="",$G23&gt;=P$2)),
  $H23 * (1 + Assumptions!$C$7) ^ INT(((YEAR(P$2)-YEAR($F23))*12 + MONTH(P$2)-MONTH($F23)) / 12),
  0)</f>
        <v>0</v>
      </c>
      <c r="Q23" s="266">
        <f>IF(AND($F23&lt;=Q$2, OR($G23="",$G23&gt;=Q$2)),
  $H23 * (1 + Assumptions!$C$7) ^ INT(((YEAR(Q$2)-YEAR($F23))*12 + MONTH(Q$2)-MONTH($F23)) / 12),
  0)</f>
        <v>0</v>
      </c>
      <c r="R23" s="266">
        <f>IF(AND($F23&lt;=R$2, OR($G23="",$G23&gt;=R$2)),
  $H23 * (1 + Assumptions!$C$7) ^ INT(((YEAR(R$2)-YEAR($F23))*12 + MONTH(R$2)-MONTH($F23)) / 12),
  0)</f>
        <v>0</v>
      </c>
      <c r="S23" s="266">
        <f>IF(AND($F23&lt;=S$2, OR($G23="",$G23&gt;=S$2)),
  $H23 * (1 + Assumptions!$C$7) ^ INT(((YEAR(S$2)-YEAR($F23))*12 + MONTH(S$2)-MONTH($F23)) / 12),
  0)</f>
        <v>0</v>
      </c>
      <c r="T23" s="266">
        <f>IF(AND($F23&lt;=T$2, OR($G23="",$G23&gt;=T$2)),
  $H23 * (1 + Assumptions!$C$7) ^ INT(((YEAR(T$2)-YEAR($F23))*12 + MONTH(T$2)-MONTH($F23)) / 12),
  0)</f>
        <v>0</v>
      </c>
      <c r="U23" s="266">
        <f>IF(AND($F23&lt;=U$2, OR($G23="",$G23&gt;=U$2)),
  $H23 * (1 + Assumptions!$C$7) ^ INT(((YEAR(U$2)-YEAR($F23))*12 + MONTH(U$2)-MONTH($F23)) / 12),
  0)</f>
        <v>0</v>
      </c>
      <c r="V23" s="266">
        <f>IF(AND($F23&lt;=V$2, OR($G23="",$G23&gt;=V$2)),
  $H23 * (1 + Assumptions!$C$7) ^ INT(((YEAR(V$2)-YEAR($F23))*12 + MONTH(V$2)-MONTH($F23)) / 12),
  0)</f>
        <v>0</v>
      </c>
      <c r="W23" s="266">
        <f>IF(AND($F23&lt;=W$2, OR($G23="",$G23&gt;=W$2)),
  $H23 * (1 + Assumptions!$C$7) ^ INT(((YEAR(W$2)-YEAR($F23))*12 + MONTH(W$2)-MONTH($F23)) / 12),
  0)</f>
        <v>0</v>
      </c>
      <c r="X23" s="266">
        <f>IF(AND($F23&lt;=X$2, OR($G23="",$G23&gt;=X$2)),
  $H23 * (1 + Assumptions!$C$7) ^ INT(((YEAR(X$2)-YEAR($F23))*12 + MONTH(X$2)-MONTH($F23)) / 12),
  0)</f>
        <v>0</v>
      </c>
      <c r="Y23" s="266">
        <f>IF(AND($F23&lt;=Y$2, OR($G23="",$G23&gt;=Y$2)),
  $H23 * (1 + Assumptions!$C$7) ^ INT(((YEAR(Y$2)-YEAR($F23))*12 + MONTH(Y$2)-MONTH($F23)) / 12),
  0)</f>
        <v>0</v>
      </c>
      <c r="Z23" s="266">
        <f>IF(AND($F23&lt;=Z$2, OR($G23="",$G23&gt;=Z$2)),
  $H23 * (1 + Assumptions!$C$7) ^ INT(((YEAR(Z$2)-YEAR($F23))*12 + MONTH(Z$2)-MONTH($F23)) / 12),
  0)</f>
        <v>0</v>
      </c>
      <c r="AA23" s="266">
        <f>IF(AND($F23&lt;=AA$2, OR($G23="",$G23&gt;=AA$2)),
  $H23 * (1 + Assumptions!$C$7) ^ INT(((YEAR(AA$2)-YEAR($F23))*12 + MONTH(AA$2)-MONTH($F23)) / 12),
  0)</f>
        <v>0</v>
      </c>
      <c r="AB23" s="266">
        <f>IF(AND($F23&lt;=AB$2, OR($G23="",$G23&gt;=AB$2)),
  $H23 * (1 + Assumptions!$C$7) ^ INT(((YEAR(AB$2)-YEAR($F23))*12 + MONTH(AB$2)-MONTH($F23)) / 12),
  0)</f>
        <v>0</v>
      </c>
      <c r="AC23" s="266">
        <f>IF(AND($F23&lt;=AC$2, OR($G23="",$G23&gt;=AC$2)),
  $H23 * (1 + Assumptions!$C$7) ^ INT(((YEAR(AC$2)-YEAR($F23))*12 + MONTH(AC$2)-MONTH($F23)) / 12),
  0)</f>
        <v>0</v>
      </c>
      <c r="AD23" s="266">
        <f>IF(AND($F23&lt;=AD$2, OR($G23="",$G23&gt;=AD$2)),
  $H23 * (1 + Assumptions!$C$7) ^ INT(((YEAR(AD$2)-YEAR($F23))*12 + MONTH(AD$2)-MONTH($F23)) / 12),
  0)</f>
        <v>0</v>
      </c>
      <c r="AE23" s="266">
        <f>IF(AND($F23&lt;=AE$2, OR($G23="",$G23&gt;=AE$2)),
  $H23 * (1 + Assumptions!$C$7) ^ INT(((YEAR(AE$2)-YEAR($F23))*12 + MONTH(AE$2)-MONTH($F23)) / 12),
  0)</f>
        <v>0</v>
      </c>
      <c r="AF23" s="266">
        <f>IF(AND($F23&lt;=AF$2, OR($G23="",$G23&gt;=AF$2)),
  $H23 * (1 + Assumptions!$C$7) ^ INT(((YEAR(AF$2)-YEAR($F23))*12 + MONTH(AF$2)-MONTH($F23)) / 12),
  0)</f>
        <v>0</v>
      </c>
      <c r="AG23" s="266">
        <f>IF(AND($F23&lt;=AG$2, OR($G23="",$G23&gt;=AG$2)),
  $H23 * (1 + Assumptions!$C$7) ^ INT(((YEAR(AG$2)-YEAR($F23))*12 + MONTH(AG$2)-MONTH($F23)) / 12),
  0)</f>
        <v>4500</v>
      </c>
      <c r="AH23" s="266">
        <f>IF(AND($F23&lt;=AH$2, OR($G23="",$G23&gt;=AH$2)),
  $H23 * (1 + Assumptions!$C$7) ^ INT(((YEAR(AH$2)-YEAR($F23))*12 + MONTH(AH$2)-MONTH($F23)) / 12),
  0)</f>
        <v>4500</v>
      </c>
      <c r="AI23" s="266">
        <f>IF(AND($F23&lt;=AI$2, OR($G23="",$G23&gt;=AI$2)),
  $H23 * (1 + Assumptions!$C$7) ^ INT(((YEAR(AI$2)-YEAR($F23))*12 + MONTH(AI$2)-MONTH($F23)) / 12),
  0)</f>
        <v>4500</v>
      </c>
      <c r="AJ23" s="266">
        <f>IF(AND($F23&lt;=AJ$2, OR($G23="",$G23&gt;=AJ$2)),
  $H23 * (1 + Assumptions!$C$7) ^ INT(((YEAR(AJ$2)-YEAR($F23))*12 + MONTH(AJ$2)-MONTH($F23)) / 12),
  0)</f>
        <v>4500</v>
      </c>
      <c r="AK23" s="266">
        <f>IF(AND($F23&lt;=AK$2, OR($G23="",$G23&gt;=AK$2)),
  $H23 * (1 + Assumptions!$C$7) ^ INT(((YEAR(AK$2)-YEAR($F23))*12 + MONTH(AK$2)-MONTH($F23)) / 12),
  0)</f>
        <v>4500</v>
      </c>
      <c r="AL23" s="266">
        <f>IF(AND($F23&lt;=AL$2, OR($G23="",$G23&gt;=AL$2)),
  $H23 * (1 + Assumptions!$C$7) ^ INT(((YEAR(AL$2)-YEAR($F23))*12 + MONTH(AL$2)-MONTH($F23)) / 12),
  0)</f>
        <v>4500</v>
      </c>
      <c r="AM23" s="266">
        <f>IF(AND($F23&lt;=AM$2, OR($G23="",$G23&gt;=AM$2)),
  $H23 * (1 + Assumptions!$C$7) ^ INT(((YEAR(AM$2)-YEAR($F23))*12 + MONTH(AM$2)-MONTH($F23)) / 12),
  0)</f>
        <v>4500</v>
      </c>
      <c r="AN23" s="266">
        <f>IF(AND($F23&lt;=AN$2, OR($G23="",$G23&gt;=AN$2)),
  $H23 * (1 + Assumptions!$C$7) ^ INT(((YEAR(AN$2)-YEAR($F23))*12 + MONTH(AN$2)-MONTH($F23)) / 12),
  0)</f>
        <v>4500</v>
      </c>
      <c r="AO23" s="266">
        <f>IF(AND($F23&lt;=AO$2, OR($G23="",$G23&gt;=AO$2)),
  $H23 * (1 + Assumptions!$C$7) ^ INT(((YEAR(AO$2)-YEAR($F23))*12 + MONTH(AO$2)-MONTH($F23)) / 12),
  0)</f>
        <v>4500</v>
      </c>
      <c r="AP23" s="266">
        <f>IF(AND($F23&lt;=AP$2, OR($G23="",$G23&gt;=AP$2)),
  $H23 * (1 + Assumptions!$C$7) ^ INT(((YEAR(AP$2)-YEAR($F23))*12 + MONTH(AP$2)-MONTH($F23)) / 12),
  0)</f>
        <v>4500</v>
      </c>
      <c r="AQ23" s="266">
        <f>IF(AND($F23&lt;=AQ$2, OR($G23="",$G23&gt;=AQ$2)),
  $H23 * (1 + Assumptions!$C$7) ^ INT(((YEAR(AQ$2)-YEAR($F23))*12 + MONTH(AQ$2)-MONTH($F23)) / 12),
  0)</f>
        <v>4500</v>
      </c>
      <c r="AR23" s="266">
        <f>IF(AND($F23&lt;=AR$2, OR($G23="",$G23&gt;=AR$2)),
  $H23 * (1 + Assumptions!$C$7) ^ INT(((YEAR(AR$2)-YEAR($F23))*12 + MONTH(AR$2)-MONTH($F23)) / 12),
  0)</f>
        <v>4500</v>
      </c>
      <c r="AS23" s="266">
        <f>IF(AND($F23&lt;=AS$2, OR($G23="",$G23&gt;=AS$2)),
  $H23 * (1 + Assumptions!$C$7) ^ INT(((YEAR(AS$2)-YEAR($F23))*12 + MONTH(AS$2)-MONTH($F23)) / 12),
  0)</f>
        <v>4860</v>
      </c>
      <c r="AT23" s="266">
        <f>IF(AND($F23&lt;=AT$2, OR($G23="",$G23&gt;=AT$2)),
  $H23 * (1 + Assumptions!$C$7) ^ INT(((YEAR(AT$2)-YEAR($F23))*12 + MONTH(AT$2)-MONTH($F23)) / 12),
  0)</f>
        <v>4860</v>
      </c>
      <c r="AU23" s="266">
        <f>IF(AND($F23&lt;=AU$2, OR($G23="",$G23&gt;=AU$2)),
  $H23 * (1 + Assumptions!$C$7) ^ INT(((YEAR(AU$2)-YEAR($F23))*12 + MONTH(AU$2)-MONTH($F23)) / 12),
  0)</f>
        <v>4860</v>
      </c>
      <c r="AV23" s="266">
        <f>IF(AND($F23&lt;=AV$2, OR($G23="",$G23&gt;=AV$2)),
  $H23 * (1 + Assumptions!$C$7) ^ INT(((YEAR(AV$2)-YEAR($F23))*12 + MONTH(AV$2)-MONTH($F23)) / 12),
  0)</f>
        <v>4860</v>
      </c>
      <c r="AW23" s="266">
        <f>IF(AND($F23&lt;=AW$2, OR($G23="",$G23&gt;=AW$2)),
  $H23 * (1 + Assumptions!$C$7) ^ INT(((YEAR(AW$2)-YEAR($F23))*12 + MONTH(AW$2)-MONTH($F23)) / 12),
  0)</f>
        <v>4860</v>
      </c>
      <c r="AX23" s="266">
        <f>IF(AND($F23&lt;=AX$2, OR($G23="",$G23&gt;=AX$2)),
  $H23 * (1 + Assumptions!$C$7) ^ INT(((YEAR(AX$2)-YEAR($F23))*12 + MONTH(AX$2)-MONTH($F23)) / 12),
  0)</f>
        <v>4860</v>
      </c>
      <c r="AY23" s="266">
        <f>IF(AND($F23&lt;=AY$2, OR($G23="",$G23&gt;=AY$2)),
  $H23 * (1 + Assumptions!$C$7) ^ INT(((YEAR(AY$2)-YEAR($F23))*12 + MONTH(AY$2)-MONTH($F23)) / 12),
  0)</f>
        <v>4860</v>
      </c>
      <c r="AZ23" s="266">
        <f>IF(AND($F23&lt;=AZ$2, OR($G23="",$G23&gt;=AZ$2)),
  $H23 * (1 + Assumptions!$C$7) ^ INT(((YEAR(AZ$2)-YEAR($F23))*12 + MONTH(AZ$2)-MONTH($F23)) / 12),
  0)</f>
        <v>4860</v>
      </c>
      <c r="BA23" s="266">
        <f>IF(AND($F23&lt;=BA$2, OR($G23="",$G23&gt;=BA$2)),
  $H23 * (1 + Assumptions!$C$7) ^ INT(((YEAR(BA$2)-YEAR($F23))*12 + MONTH(BA$2)-MONTH($F23)) / 12),
  0)</f>
        <v>4860</v>
      </c>
      <c r="BB23" s="266">
        <f>IF(AND($F23&lt;=BB$2, OR($G23="",$G23&gt;=BB$2)),
  $H23 * (1 + Assumptions!$C$7) ^ INT(((YEAR(BB$2)-YEAR($F23))*12 + MONTH(BB$2)-MONTH($F23)) / 12),
  0)</f>
        <v>4860</v>
      </c>
      <c r="BC23" s="266">
        <f>IF(AND($F23&lt;=BC$2, OR($G23="",$G23&gt;=BC$2)),
  $H23 * (1 + Assumptions!$C$7) ^ INT(((YEAR(BC$2)-YEAR($F23))*12 + MONTH(BC$2)-MONTH($F23)) / 12),
  0)</f>
        <v>4860</v>
      </c>
      <c r="BD23" s="266">
        <f>IF(AND($F23&lt;=BD$2, OR($G23="",$G23&gt;=BD$2)),
  $H23 * (1 + Assumptions!$C$7) ^ INT(((YEAR(BD$2)-YEAR($F23))*12 + MONTH(BD$2)-MONTH($F23)) / 12),
  0)</f>
        <v>4860</v>
      </c>
      <c r="BE23" s="266">
        <f>IF(AND($F23&lt;=BE$2, OR($G23="",$G23&gt;=BE$2)),
  $H23 * (1 + Assumptions!$C$7) ^ INT(((YEAR(BE$2)-YEAR($F23))*12 + MONTH(BE$2)-MONTH($F23)) / 12),
  0)</f>
        <v>5248.8</v>
      </c>
      <c r="BF23" s="266">
        <f>IF(AND($F23&lt;=BF$2, OR($G23="",$G23&gt;=BF$2)),
  $H23 * (1 + Assumptions!$C$7) ^ INT(((YEAR(BF$2)-YEAR($F23))*12 + MONTH(BF$2)-MONTH($F23)) / 12),
  0)</f>
        <v>5248.8</v>
      </c>
      <c r="BG23" s="266">
        <f>IF(AND($F23&lt;=BG$2, OR($G23="",$G23&gt;=BG$2)),
  $H23 * (1 + Assumptions!$C$7) ^ INT(((YEAR(BG$2)-YEAR($F23))*12 + MONTH(BG$2)-MONTH($F23)) / 12),
  0)</f>
        <v>5248.8</v>
      </c>
      <c r="BH23" s="266">
        <f>IF(AND($F23&lt;=BH$2, OR($G23="",$G23&gt;=BH$2)),
  $H23 * (1 + Assumptions!$C$7) ^ INT(((YEAR(BH$2)-YEAR($F23))*12 + MONTH(BH$2)-MONTH($F23)) / 12),
  0)</f>
        <v>5248.8</v>
      </c>
      <c r="BI23" s="266">
        <f>IF(AND($F23&lt;=BI$2, OR($G23="",$G23&gt;=BI$2)),
  $H23 * (1 + Assumptions!$C$7) ^ INT(((YEAR(BI$2)-YEAR($F23))*12 + MONTH(BI$2)-MONTH($F23)) / 12),
  0)</f>
        <v>5248.8</v>
      </c>
      <c r="BJ23" s="266">
        <f>IF(AND($F23&lt;=BJ$2, OR($G23="",$G23&gt;=BJ$2)),
  $H23 * (1 + Assumptions!$C$7) ^ INT(((YEAR(BJ$2)-YEAR($F23))*12 + MONTH(BJ$2)-MONTH($F23)) / 12),
  0)</f>
        <v>5248.8</v>
      </c>
      <c r="BK23" s="266">
        <f>IF(AND($F23&lt;=BK$2, OR($G23="",$G23&gt;=BK$2)),
  $H23 * (1 + Assumptions!$C$7) ^ INT(((YEAR(BK$2)-YEAR($F23))*12 + MONTH(BK$2)-MONTH($F23)) / 12),
  0)</f>
        <v>5248.8</v>
      </c>
      <c r="BL23" s="266">
        <f>IF(AND($F23&lt;=BL$2, OR($G23="",$G23&gt;=BL$2)),
  $H23 * (1 + Assumptions!$C$7) ^ INT(((YEAR(BL$2)-YEAR($F23))*12 + MONTH(BL$2)-MONTH($F23)) / 12),
  0)</f>
        <v>5248.8</v>
      </c>
      <c r="BM23" s="266">
        <f>IF(AND($F23&lt;=BM$2, OR($G23="",$G23&gt;=BM$2)),
  $H23 * (1 + Assumptions!$C$7) ^ INT(((YEAR(BM$2)-YEAR($F23))*12 + MONTH(BM$2)-MONTH($F23)) / 12),
  0)</f>
        <v>5248.8</v>
      </c>
      <c r="BN23" s="266">
        <f>IF(AND($F23&lt;=BN$2, OR($G23="",$G23&gt;=BN$2)),
  $H23 * (1 + Assumptions!$C$7) ^ INT(((YEAR(BN$2)-YEAR($F23))*12 + MONTH(BN$2)-MONTH($F23)) / 12),
  0)</f>
        <v>5248.8</v>
      </c>
      <c r="BO23" s="266">
        <f>IF(AND($F23&lt;=BO$2, OR($G23="",$G23&gt;=BO$2)),
  $H23 * (1 + Assumptions!$C$7) ^ INT(((YEAR(BO$2)-YEAR($F23))*12 + MONTH(BO$2)-MONTH($F23)) / 12),
  0)</f>
        <v>5248.8</v>
      </c>
      <c r="BP23" s="266">
        <f>IF(AND($F23&lt;=BP$2, OR($G23="",$G23&gt;=BP$2)),
  $H23 * (1 + Assumptions!$C$7) ^ INT(((YEAR(BP$2)-YEAR($F23))*12 + MONTH(BP$2)-MONTH($F23)) / 12),
  0)</f>
        <v>5248.8</v>
      </c>
      <c r="BQ23" s="34"/>
    </row>
    <row r="24" ht="15.75" customHeight="1">
      <c r="A24" s="273">
        <v>20.0</v>
      </c>
      <c r="B24" s="257" t="s">
        <v>330</v>
      </c>
      <c r="C24" s="257" t="s">
        <v>149</v>
      </c>
      <c r="D24" s="274" t="s">
        <v>170</v>
      </c>
      <c r="E24" s="264" t="s">
        <v>332</v>
      </c>
      <c r="F24" s="258">
        <v>46388.0</v>
      </c>
      <c r="G24" s="275"/>
      <c r="H24" s="260">
        <v>6500.0</v>
      </c>
      <c r="I24" s="266">
        <f>IF(AND($F24&lt;=I$2, OR($G24="",$G24&gt;=I$2)),
  $H24 * (1 + Assumptions!$C$7) ^ INT(((YEAR(I$2)-YEAR($F24))*12 + MONTH(I$2)-MONTH($F24)) / 12),
  0)</f>
        <v>0</v>
      </c>
      <c r="J24" s="266">
        <f>IF(AND($F24&lt;=J$2, OR($G24="",$G24&gt;=J$2)),
  $H24 * (1 + Assumptions!$C$7) ^ INT(((YEAR(J$2)-YEAR($F24))*12 + MONTH(J$2)-MONTH($F24)) / 12),
  0)</f>
        <v>0</v>
      </c>
      <c r="K24" s="266">
        <f>IF(AND($F24&lt;=K$2, OR($G24="",$G24&gt;=K$2)),
  $H24 * (1 + Assumptions!$C$7) ^ INT(((YEAR(K$2)-YEAR($F24))*12 + MONTH(K$2)-MONTH($F24)) / 12),
  0)</f>
        <v>0</v>
      </c>
      <c r="L24" s="266">
        <f>IF(AND($F24&lt;=L$2, OR($G24="",$G24&gt;=L$2)),
  $H24 * (1 + Assumptions!$C$7) ^ INT(((YEAR(L$2)-YEAR($F24))*12 + MONTH(L$2)-MONTH($F24)) / 12),
  0)</f>
        <v>0</v>
      </c>
      <c r="M24" s="266">
        <f>IF(AND($F24&lt;=M$2, OR($G24="",$G24&gt;=M$2)),
  $H24 * (1 + Assumptions!$C$7) ^ INT(((YEAR(M$2)-YEAR($F24))*12 + MONTH(M$2)-MONTH($F24)) / 12),
  0)</f>
        <v>0</v>
      </c>
      <c r="N24" s="266">
        <f>IF(AND($F24&lt;=N$2, OR($G24="",$G24&gt;=N$2)),
  $H24 * (1 + Assumptions!$C$7) ^ INT(((YEAR(N$2)-YEAR($F24))*12 + MONTH(N$2)-MONTH($F24)) / 12),
  0)</f>
        <v>0</v>
      </c>
      <c r="O24" s="266">
        <f>IF(AND($F24&lt;=O$2, OR($G24="",$G24&gt;=O$2)),
  $H24 * (1 + Assumptions!$C$7) ^ INT(((YEAR(O$2)-YEAR($F24))*12 + MONTH(O$2)-MONTH($F24)) / 12),
  0)</f>
        <v>0</v>
      </c>
      <c r="P24" s="266">
        <f>IF(AND($F24&lt;=P$2, OR($G24="",$G24&gt;=P$2)),
  $H24 * (1 + Assumptions!$C$7) ^ INT(((YEAR(P$2)-YEAR($F24))*12 + MONTH(P$2)-MONTH($F24)) / 12),
  0)</f>
        <v>0</v>
      </c>
      <c r="Q24" s="266">
        <f>IF(AND($F24&lt;=Q$2, OR($G24="",$G24&gt;=Q$2)),
  $H24 * (1 + Assumptions!$C$7) ^ INT(((YEAR(Q$2)-YEAR($F24))*12 + MONTH(Q$2)-MONTH($F24)) / 12),
  0)</f>
        <v>0</v>
      </c>
      <c r="R24" s="266">
        <f>IF(AND($F24&lt;=R$2, OR($G24="",$G24&gt;=R$2)),
  $H24 * (1 + Assumptions!$C$7) ^ INT(((YEAR(R$2)-YEAR($F24))*12 + MONTH(R$2)-MONTH($F24)) / 12),
  0)</f>
        <v>0</v>
      </c>
      <c r="S24" s="266">
        <f>IF(AND($F24&lt;=S$2, OR($G24="",$G24&gt;=S$2)),
  $H24 * (1 + Assumptions!$C$7) ^ INT(((YEAR(S$2)-YEAR($F24))*12 + MONTH(S$2)-MONTH($F24)) / 12),
  0)</f>
        <v>0</v>
      </c>
      <c r="T24" s="266">
        <f>IF(AND($F24&lt;=T$2, OR($G24="",$G24&gt;=T$2)),
  $H24 * (1 + Assumptions!$C$7) ^ INT(((YEAR(T$2)-YEAR($F24))*12 + MONTH(T$2)-MONTH($F24)) / 12),
  0)</f>
        <v>0</v>
      </c>
      <c r="U24" s="266">
        <f>IF(AND($F24&lt;=U$2, OR($G24="",$G24&gt;=U$2)),
  $H24 * (1 + Assumptions!$C$7) ^ INT(((YEAR(U$2)-YEAR($F24))*12 + MONTH(U$2)-MONTH($F24)) / 12),
  0)</f>
        <v>0</v>
      </c>
      <c r="V24" s="266">
        <f>IF(AND($F24&lt;=V$2, OR($G24="",$G24&gt;=V$2)),
  $H24 * (1 + Assumptions!$C$7) ^ INT(((YEAR(V$2)-YEAR($F24))*12 + MONTH(V$2)-MONTH($F24)) / 12),
  0)</f>
        <v>0</v>
      </c>
      <c r="W24" s="266">
        <f>IF(AND($F24&lt;=W$2, OR($G24="",$G24&gt;=W$2)),
  $H24 * (1 + Assumptions!$C$7) ^ INT(((YEAR(W$2)-YEAR($F24))*12 + MONTH(W$2)-MONTH($F24)) / 12),
  0)</f>
        <v>0</v>
      </c>
      <c r="X24" s="266">
        <f>IF(AND($F24&lt;=X$2, OR($G24="",$G24&gt;=X$2)),
  $H24 * (1 + Assumptions!$C$7) ^ INT(((YEAR(X$2)-YEAR($F24))*12 + MONTH(X$2)-MONTH($F24)) / 12),
  0)</f>
        <v>0</v>
      </c>
      <c r="Y24" s="266">
        <f>IF(AND($F24&lt;=Y$2, OR($G24="",$G24&gt;=Y$2)),
  $H24 * (1 + Assumptions!$C$7) ^ INT(((YEAR(Y$2)-YEAR($F24))*12 + MONTH(Y$2)-MONTH($F24)) / 12),
  0)</f>
        <v>0</v>
      </c>
      <c r="Z24" s="266">
        <f>IF(AND($F24&lt;=Z$2, OR($G24="",$G24&gt;=Z$2)),
  $H24 * (1 + Assumptions!$C$7) ^ INT(((YEAR(Z$2)-YEAR($F24))*12 + MONTH(Z$2)-MONTH($F24)) / 12),
  0)</f>
        <v>0</v>
      </c>
      <c r="AA24" s="266">
        <f>IF(AND($F24&lt;=AA$2, OR($G24="",$G24&gt;=AA$2)),
  $H24 * (1 + Assumptions!$C$7) ^ INT(((YEAR(AA$2)-YEAR($F24))*12 + MONTH(AA$2)-MONTH($F24)) / 12),
  0)</f>
        <v>0</v>
      </c>
      <c r="AB24" s="266">
        <f>IF(AND($F24&lt;=AB$2, OR($G24="",$G24&gt;=AB$2)),
  $H24 * (1 + Assumptions!$C$7) ^ INT(((YEAR(AB$2)-YEAR($F24))*12 + MONTH(AB$2)-MONTH($F24)) / 12),
  0)</f>
        <v>0</v>
      </c>
      <c r="AC24" s="266">
        <f>IF(AND($F24&lt;=AC$2, OR($G24="",$G24&gt;=AC$2)),
  $H24 * (1 + Assumptions!$C$7) ^ INT(((YEAR(AC$2)-YEAR($F24))*12 + MONTH(AC$2)-MONTH($F24)) / 12),
  0)</f>
        <v>0</v>
      </c>
      <c r="AD24" s="266">
        <f>IF(AND($F24&lt;=AD$2, OR($G24="",$G24&gt;=AD$2)),
  $H24 * (1 + Assumptions!$C$7) ^ INT(((YEAR(AD$2)-YEAR($F24))*12 + MONTH(AD$2)-MONTH($F24)) / 12),
  0)</f>
        <v>0</v>
      </c>
      <c r="AE24" s="266">
        <f>IF(AND($F24&lt;=AE$2, OR($G24="",$G24&gt;=AE$2)),
  $H24 * (1 + Assumptions!$C$7) ^ INT(((YEAR(AE$2)-YEAR($F24))*12 + MONTH(AE$2)-MONTH($F24)) / 12),
  0)</f>
        <v>0</v>
      </c>
      <c r="AF24" s="266">
        <f>IF(AND($F24&lt;=AF$2, OR($G24="",$G24&gt;=AF$2)),
  $H24 * (1 + Assumptions!$C$7) ^ INT(((YEAR(AF$2)-YEAR($F24))*12 + MONTH(AF$2)-MONTH($F24)) / 12),
  0)</f>
        <v>0</v>
      </c>
      <c r="AG24" s="266">
        <f>IF(AND($F24&lt;=AG$2, OR($G24="",$G24&gt;=AG$2)),
  $H24 * (1 + Assumptions!$C$7) ^ INT(((YEAR(AG$2)-YEAR($F24))*12 + MONTH(AG$2)-MONTH($F24)) / 12),
  0)</f>
        <v>6500</v>
      </c>
      <c r="AH24" s="266">
        <f>IF(AND($F24&lt;=AH$2, OR($G24="",$G24&gt;=AH$2)),
  $H24 * (1 + Assumptions!$C$7) ^ INT(((YEAR(AH$2)-YEAR($F24))*12 + MONTH(AH$2)-MONTH($F24)) / 12),
  0)</f>
        <v>6500</v>
      </c>
      <c r="AI24" s="266">
        <f>IF(AND($F24&lt;=AI$2, OR($G24="",$G24&gt;=AI$2)),
  $H24 * (1 + Assumptions!$C$7) ^ INT(((YEAR(AI$2)-YEAR($F24))*12 + MONTH(AI$2)-MONTH($F24)) / 12),
  0)</f>
        <v>6500</v>
      </c>
      <c r="AJ24" s="266">
        <f>IF(AND($F24&lt;=AJ$2, OR($G24="",$G24&gt;=AJ$2)),
  $H24 * (1 + Assumptions!$C$7) ^ INT(((YEAR(AJ$2)-YEAR($F24))*12 + MONTH(AJ$2)-MONTH($F24)) / 12),
  0)</f>
        <v>6500</v>
      </c>
      <c r="AK24" s="266">
        <f>IF(AND($F24&lt;=AK$2, OR($G24="",$G24&gt;=AK$2)),
  $H24 * (1 + Assumptions!$C$7) ^ INT(((YEAR(AK$2)-YEAR($F24))*12 + MONTH(AK$2)-MONTH($F24)) / 12),
  0)</f>
        <v>6500</v>
      </c>
      <c r="AL24" s="266">
        <f>IF(AND($F24&lt;=AL$2, OR($G24="",$G24&gt;=AL$2)),
  $H24 * (1 + Assumptions!$C$7) ^ INT(((YEAR(AL$2)-YEAR($F24))*12 + MONTH(AL$2)-MONTH($F24)) / 12),
  0)</f>
        <v>6500</v>
      </c>
      <c r="AM24" s="266">
        <f>IF(AND($F24&lt;=AM$2, OR($G24="",$G24&gt;=AM$2)),
  $H24 * (1 + Assumptions!$C$7) ^ INT(((YEAR(AM$2)-YEAR($F24))*12 + MONTH(AM$2)-MONTH($F24)) / 12),
  0)</f>
        <v>6500</v>
      </c>
      <c r="AN24" s="266">
        <f>IF(AND($F24&lt;=AN$2, OR($G24="",$G24&gt;=AN$2)),
  $H24 * (1 + Assumptions!$C$7) ^ INT(((YEAR(AN$2)-YEAR($F24))*12 + MONTH(AN$2)-MONTH($F24)) / 12),
  0)</f>
        <v>6500</v>
      </c>
      <c r="AO24" s="266">
        <f>IF(AND($F24&lt;=AO$2, OR($G24="",$G24&gt;=AO$2)),
  $H24 * (1 + Assumptions!$C$7) ^ INT(((YEAR(AO$2)-YEAR($F24))*12 + MONTH(AO$2)-MONTH($F24)) / 12),
  0)</f>
        <v>6500</v>
      </c>
      <c r="AP24" s="266">
        <f>IF(AND($F24&lt;=AP$2, OR($G24="",$G24&gt;=AP$2)),
  $H24 * (1 + Assumptions!$C$7) ^ INT(((YEAR(AP$2)-YEAR($F24))*12 + MONTH(AP$2)-MONTH($F24)) / 12),
  0)</f>
        <v>6500</v>
      </c>
      <c r="AQ24" s="266">
        <f>IF(AND($F24&lt;=AQ$2, OR($G24="",$G24&gt;=AQ$2)),
  $H24 * (1 + Assumptions!$C$7) ^ INT(((YEAR(AQ$2)-YEAR($F24))*12 + MONTH(AQ$2)-MONTH($F24)) / 12),
  0)</f>
        <v>6500</v>
      </c>
      <c r="AR24" s="266">
        <f>IF(AND($F24&lt;=AR$2, OR($G24="",$G24&gt;=AR$2)),
  $H24 * (1 + Assumptions!$C$7) ^ INT(((YEAR(AR$2)-YEAR($F24))*12 + MONTH(AR$2)-MONTH($F24)) / 12),
  0)</f>
        <v>6500</v>
      </c>
      <c r="AS24" s="266">
        <f>IF(AND($F24&lt;=AS$2, OR($G24="",$G24&gt;=AS$2)),
  $H24 * (1 + Assumptions!$C$7) ^ INT(((YEAR(AS$2)-YEAR($F24))*12 + MONTH(AS$2)-MONTH($F24)) / 12),
  0)</f>
        <v>7020</v>
      </c>
      <c r="AT24" s="266">
        <f>IF(AND($F24&lt;=AT$2, OR($G24="",$G24&gt;=AT$2)),
  $H24 * (1 + Assumptions!$C$7) ^ INT(((YEAR(AT$2)-YEAR($F24))*12 + MONTH(AT$2)-MONTH($F24)) / 12),
  0)</f>
        <v>7020</v>
      </c>
      <c r="AU24" s="266">
        <f>IF(AND($F24&lt;=AU$2, OR($G24="",$G24&gt;=AU$2)),
  $H24 * (1 + Assumptions!$C$7) ^ INT(((YEAR(AU$2)-YEAR($F24))*12 + MONTH(AU$2)-MONTH($F24)) / 12),
  0)</f>
        <v>7020</v>
      </c>
      <c r="AV24" s="266">
        <f>IF(AND($F24&lt;=AV$2, OR($G24="",$G24&gt;=AV$2)),
  $H24 * (1 + Assumptions!$C$7) ^ INT(((YEAR(AV$2)-YEAR($F24))*12 + MONTH(AV$2)-MONTH($F24)) / 12),
  0)</f>
        <v>7020</v>
      </c>
      <c r="AW24" s="266">
        <f>IF(AND($F24&lt;=AW$2, OR($G24="",$G24&gt;=AW$2)),
  $H24 * (1 + Assumptions!$C$7) ^ INT(((YEAR(AW$2)-YEAR($F24))*12 + MONTH(AW$2)-MONTH($F24)) / 12),
  0)</f>
        <v>7020</v>
      </c>
      <c r="AX24" s="266">
        <f>IF(AND($F24&lt;=AX$2, OR($G24="",$G24&gt;=AX$2)),
  $H24 * (1 + Assumptions!$C$7) ^ INT(((YEAR(AX$2)-YEAR($F24))*12 + MONTH(AX$2)-MONTH($F24)) / 12),
  0)</f>
        <v>7020</v>
      </c>
      <c r="AY24" s="266">
        <f>IF(AND($F24&lt;=AY$2, OR($G24="",$G24&gt;=AY$2)),
  $H24 * (1 + Assumptions!$C$7) ^ INT(((YEAR(AY$2)-YEAR($F24))*12 + MONTH(AY$2)-MONTH($F24)) / 12),
  0)</f>
        <v>7020</v>
      </c>
      <c r="AZ24" s="266">
        <f>IF(AND($F24&lt;=AZ$2, OR($G24="",$G24&gt;=AZ$2)),
  $H24 * (1 + Assumptions!$C$7) ^ INT(((YEAR(AZ$2)-YEAR($F24))*12 + MONTH(AZ$2)-MONTH($F24)) / 12),
  0)</f>
        <v>7020</v>
      </c>
      <c r="BA24" s="266">
        <f>IF(AND($F24&lt;=BA$2, OR($G24="",$G24&gt;=BA$2)),
  $H24 * (1 + Assumptions!$C$7) ^ INT(((YEAR(BA$2)-YEAR($F24))*12 + MONTH(BA$2)-MONTH($F24)) / 12),
  0)</f>
        <v>7020</v>
      </c>
      <c r="BB24" s="266">
        <f>IF(AND($F24&lt;=BB$2, OR($G24="",$G24&gt;=BB$2)),
  $H24 * (1 + Assumptions!$C$7) ^ INT(((YEAR(BB$2)-YEAR($F24))*12 + MONTH(BB$2)-MONTH($F24)) / 12),
  0)</f>
        <v>7020</v>
      </c>
      <c r="BC24" s="266">
        <f>IF(AND($F24&lt;=BC$2, OR($G24="",$G24&gt;=BC$2)),
  $H24 * (1 + Assumptions!$C$7) ^ INT(((YEAR(BC$2)-YEAR($F24))*12 + MONTH(BC$2)-MONTH($F24)) / 12),
  0)</f>
        <v>7020</v>
      </c>
      <c r="BD24" s="266">
        <f>IF(AND($F24&lt;=BD$2, OR($G24="",$G24&gt;=BD$2)),
  $H24 * (1 + Assumptions!$C$7) ^ INT(((YEAR(BD$2)-YEAR($F24))*12 + MONTH(BD$2)-MONTH($F24)) / 12),
  0)</f>
        <v>7020</v>
      </c>
      <c r="BE24" s="266">
        <f>IF(AND($F24&lt;=BE$2, OR($G24="",$G24&gt;=BE$2)),
  $H24 * (1 + Assumptions!$C$7) ^ INT(((YEAR(BE$2)-YEAR($F24))*12 + MONTH(BE$2)-MONTH($F24)) / 12),
  0)</f>
        <v>7581.6</v>
      </c>
      <c r="BF24" s="266">
        <f>IF(AND($F24&lt;=BF$2, OR($G24="",$G24&gt;=BF$2)),
  $H24 * (1 + Assumptions!$C$7) ^ INT(((YEAR(BF$2)-YEAR($F24))*12 + MONTH(BF$2)-MONTH($F24)) / 12),
  0)</f>
        <v>7581.6</v>
      </c>
      <c r="BG24" s="266">
        <f>IF(AND($F24&lt;=BG$2, OR($G24="",$G24&gt;=BG$2)),
  $H24 * (1 + Assumptions!$C$7) ^ INT(((YEAR(BG$2)-YEAR($F24))*12 + MONTH(BG$2)-MONTH($F24)) / 12),
  0)</f>
        <v>7581.6</v>
      </c>
      <c r="BH24" s="266">
        <f>IF(AND($F24&lt;=BH$2, OR($G24="",$G24&gt;=BH$2)),
  $H24 * (1 + Assumptions!$C$7) ^ INT(((YEAR(BH$2)-YEAR($F24))*12 + MONTH(BH$2)-MONTH($F24)) / 12),
  0)</f>
        <v>7581.6</v>
      </c>
      <c r="BI24" s="266">
        <f>IF(AND($F24&lt;=BI$2, OR($G24="",$G24&gt;=BI$2)),
  $H24 * (1 + Assumptions!$C$7) ^ INT(((YEAR(BI$2)-YEAR($F24))*12 + MONTH(BI$2)-MONTH($F24)) / 12),
  0)</f>
        <v>7581.6</v>
      </c>
      <c r="BJ24" s="266">
        <f>IF(AND($F24&lt;=BJ$2, OR($G24="",$G24&gt;=BJ$2)),
  $H24 * (1 + Assumptions!$C$7) ^ INT(((YEAR(BJ$2)-YEAR($F24))*12 + MONTH(BJ$2)-MONTH($F24)) / 12),
  0)</f>
        <v>7581.6</v>
      </c>
      <c r="BK24" s="266">
        <f>IF(AND($F24&lt;=BK$2, OR($G24="",$G24&gt;=BK$2)),
  $H24 * (1 + Assumptions!$C$7) ^ INT(((YEAR(BK$2)-YEAR($F24))*12 + MONTH(BK$2)-MONTH($F24)) / 12),
  0)</f>
        <v>7581.6</v>
      </c>
      <c r="BL24" s="266">
        <f>IF(AND($F24&lt;=BL$2, OR($G24="",$G24&gt;=BL$2)),
  $H24 * (1 + Assumptions!$C$7) ^ INT(((YEAR(BL$2)-YEAR($F24))*12 + MONTH(BL$2)-MONTH($F24)) / 12),
  0)</f>
        <v>7581.6</v>
      </c>
      <c r="BM24" s="266">
        <f>IF(AND($F24&lt;=BM$2, OR($G24="",$G24&gt;=BM$2)),
  $H24 * (1 + Assumptions!$C$7) ^ INT(((YEAR(BM$2)-YEAR($F24))*12 + MONTH(BM$2)-MONTH($F24)) / 12),
  0)</f>
        <v>7581.6</v>
      </c>
      <c r="BN24" s="266">
        <f>IF(AND($F24&lt;=BN$2, OR($G24="",$G24&gt;=BN$2)),
  $H24 * (1 + Assumptions!$C$7) ^ INT(((YEAR(BN$2)-YEAR($F24))*12 + MONTH(BN$2)-MONTH($F24)) / 12),
  0)</f>
        <v>7581.6</v>
      </c>
      <c r="BO24" s="266">
        <f>IF(AND($F24&lt;=BO$2, OR($G24="",$G24&gt;=BO$2)),
  $H24 * (1 + Assumptions!$C$7) ^ INT(((YEAR(BO$2)-YEAR($F24))*12 + MONTH(BO$2)-MONTH($F24)) / 12),
  0)</f>
        <v>7581.6</v>
      </c>
      <c r="BP24" s="266">
        <f>IF(AND($F24&lt;=BP$2, OR($G24="",$G24&gt;=BP$2)),
  $H24 * (1 + Assumptions!$C$7) ^ INT(((YEAR(BP$2)-YEAR($F24))*12 + MONTH(BP$2)-MONTH($F24)) / 12),
  0)</f>
        <v>7581.6</v>
      </c>
      <c r="BQ24" s="34"/>
    </row>
    <row r="25" ht="15.75" customHeight="1">
      <c r="A25" s="273">
        <v>21.0</v>
      </c>
      <c r="B25" s="257" t="s">
        <v>330</v>
      </c>
      <c r="C25" s="274" t="s">
        <v>142</v>
      </c>
      <c r="D25" s="273" t="s">
        <v>338</v>
      </c>
      <c r="E25" s="264" t="s">
        <v>332</v>
      </c>
      <c r="F25" s="258">
        <v>46388.0</v>
      </c>
      <c r="G25" s="275"/>
      <c r="H25" s="260">
        <v>6500.0</v>
      </c>
      <c r="I25" s="266">
        <f>IF(AND($F25&lt;=I$2, OR($G25="",$G25&gt;=I$2)),
  $H25 * (1 + Assumptions!$C$7) ^ INT(((YEAR(I$2)-YEAR($F25))*12 + MONTH(I$2)-MONTH($F25)) / 12),
  0)</f>
        <v>0</v>
      </c>
      <c r="J25" s="266">
        <f>IF(AND($F25&lt;=J$2, OR($G25="",$G25&gt;=J$2)),
  $H25 * (1 + Assumptions!$C$7) ^ INT(((YEAR(J$2)-YEAR($F25))*12 + MONTH(J$2)-MONTH($F25)) / 12),
  0)</f>
        <v>0</v>
      </c>
      <c r="K25" s="266">
        <f>IF(AND($F25&lt;=K$2, OR($G25="",$G25&gt;=K$2)),
  $H25 * (1 + Assumptions!$C$7) ^ INT(((YEAR(K$2)-YEAR($F25))*12 + MONTH(K$2)-MONTH($F25)) / 12),
  0)</f>
        <v>0</v>
      </c>
      <c r="L25" s="266">
        <f>IF(AND($F25&lt;=L$2, OR($G25="",$G25&gt;=L$2)),
  $H25 * (1 + Assumptions!$C$7) ^ INT(((YEAR(L$2)-YEAR($F25))*12 + MONTH(L$2)-MONTH($F25)) / 12),
  0)</f>
        <v>0</v>
      </c>
      <c r="M25" s="266">
        <f>IF(AND($F25&lt;=M$2, OR($G25="",$G25&gt;=M$2)),
  $H25 * (1 + Assumptions!$C$7) ^ INT(((YEAR(M$2)-YEAR($F25))*12 + MONTH(M$2)-MONTH($F25)) / 12),
  0)</f>
        <v>0</v>
      </c>
      <c r="N25" s="266">
        <f>IF(AND($F25&lt;=N$2, OR($G25="",$G25&gt;=N$2)),
  $H25 * (1 + Assumptions!$C$7) ^ INT(((YEAR(N$2)-YEAR($F25))*12 + MONTH(N$2)-MONTH($F25)) / 12),
  0)</f>
        <v>0</v>
      </c>
      <c r="O25" s="266">
        <f>IF(AND($F25&lt;=O$2, OR($G25="",$G25&gt;=O$2)),
  $H25 * (1 + Assumptions!$C$7) ^ INT(((YEAR(O$2)-YEAR($F25))*12 + MONTH(O$2)-MONTH($F25)) / 12),
  0)</f>
        <v>0</v>
      </c>
      <c r="P25" s="266">
        <f>IF(AND($F25&lt;=P$2, OR($G25="",$G25&gt;=P$2)),
  $H25 * (1 + Assumptions!$C$7) ^ INT(((YEAR(P$2)-YEAR($F25))*12 + MONTH(P$2)-MONTH($F25)) / 12),
  0)</f>
        <v>0</v>
      </c>
      <c r="Q25" s="266">
        <f>IF(AND($F25&lt;=Q$2, OR($G25="",$G25&gt;=Q$2)),
  $H25 * (1 + Assumptions!$C$7) ^ INT(((YEAR(Q$2)-YEAR($F25))*12 + MONTH(Q$2)-MONTH($F25)) / 12),
  0)</f>
        <v>0</v>
      </c>
      <c r="R25" s="266">
        <f>IF(AND($F25&lt;=R$2, OR($G25="",$G25&gt;=R$2)),
  $H25 * (1 + Assumptions!$C$7) ^ INT(((YEAR(R$2)-YEAR($F25))*12 + MONTH(R$2)-MONTH($F25)) / 12),
  0)</f>
        <v>0</v>
      </c>
      <c r="S25" s="266">
        <f>IF(AND($F25&lt;=S$2, OR($G25="",$G25&gt;=S$2)),
  $H25 * (1 + Assumptions!$C$7) ^ INT(((YEAR(S$2)-YEAR($F25))*12 + MONTH(S$2)-MONTH($F25)) / 12),
  0)</f>
        <v>0</v>
      </c>
      <c r="T25" s="266">
        <f>IF(AND($F25&lt;=T$2, OR($G25="",$G25&gt;=T$2)),
  $H25 * (1 + Assumptions!$C$7) ^ INT(((YEAR(T$2)-YEAR($F25))*12 + MONTH(T$2)-MONTH($F25)) / 12),
  0)</f>
        <v>0</v>
      </c>
      <c r="U25" s="266">
        <f>IF(AND($F25&lt;=U$2, OR($G25="",$G25&gt;=U$2)),
  $H25 * (1 + Assumptions!$C$7) ^ INT(((YEAR(U$2)-YEAR($F25))*12 + MONTH(U$2)-MONTH($F25)) / 12),
  0)</f>
        <v>0</v>
      </c>
      <c r="V25" s="266">
        <f>IF(AND($F25&lt;=V$2, OR($G25="",$G25&gt;=V$2)),
  $H25 * (1 + Assumptions!$C$7) ^ INT(((YEAR(V$2)-YEAR($F25))*12 + MONTH(V$2)-MONTH($F25)) / 12),
  0)</f>
        <v>0</v>
      </c>
      <c r="W25" s="266">
        <f>IF(AND($F25&lt;=W$2, OR($G25="",$G25&gt;=W$2)),
  $H25 * (1 + Assumptions!$C$7) ^ INT(((YEAR(W$2)-YEAR($F25))*12 + MONTH(W$2)-MONTH($F25)) / 12),
  0)</f>
        <v>0</v>
      </c>
      <c r="X25" s="266">
        <f>IF(AND($F25&lt;=X$2, OR($G25="",$G25&gt;=X$2)),
  $H25 * (1 + Assumptions!$C$7) ^ INT(((YEAR(X$2)-YEAR($F25))*12 + MONTH(X$2)-MONTH($F25)) / 12),
  0)</f>
        <v>0</v>
      </c>
      <c r="Y25" s="266">
        <f>IF(AND($F25&lt;=Y$2, OR($G25="",$G25&gt;=Y$2)),
  $H25 * (1 + Assumptions!$C$7) ^ INT(((YEAR(Y$2)-YEAR($F25))*12 + MONTH(Y$2)-MONTH($F25)) / 12),
  0)</f>
        <v>0</v>
      </c>
      <c r="Z25" s="266">
        <f>IF(AND($F25&lt;=Z$2, OR($G25="",$G25&gt;=Z$2)),
  $H25 * (1 + Assumptions!$C$7) ^ INT(((YEAR(Z$2)-YEAR($F25))*12 + MONTH(Z$2)-MONTH($F25)) / 12),
  0)</f>
        <v>0</v>
      </c>
      <c r="AA25" s="266">
        <f>IF(AND($F25&lt;=AA$2, OR($G25="",$G25&gt;=AA$2)),
  $H25 * (1 + Assumptions!$C$7) ^ INT(((YEAR(AA$2)-YEAR($F25))*12 + MONTH(AA$2)-MONTH($F25)) / 12),
  0)</f>
        <v>0</v>
      </c>
      <c r="AB25" s="266">
        <f>IF(AND($F25&lt;=AB$2, OR($G25="",$G25&gt;=AB$2)),
  $H25 * (1 + Assumptions!$C$7) ^ INT(((YEAR(AB$2)-YEAR($F25))*12 + MONTH(AB$2)-MONTH($F25)) / 12),
  0)</f>
        <v>0</v>
      </c>
      <c r="AC25" s="266">
        <f>IF(AND($F25&lt;=AC$2, OR($G25="",$G25&gt;=AC$2)),
  $H25 * (1 + Assumptions!$C$7) ^ INT(((YEAR(AC$2)-YEAR($F25))*12 + MONTH(AC$2)-MONTH($F25)) / 12),
  0)</f>
        <v>0</v>
      </c>
      <c r="AD25" s="266">
        <f>IF(AND($F25&lt;=AD$2, OR($G25="",$G25&gt;=AD$2)),
  $H25 * (1 + Assumptions!$C$7) ^ INT(((YEAR(AD$2)-YEAR($F25))*12 + MONTH(AD$2)-MONTH($F25)) / 12),
  0)</f>
        <v>0</v>
      </c>
      <c r="AE25" s="266">
        <f>IF(AND($F25&lt;=AE$2, OR($G25="",$G25&gt;=AE$2)),
  $H25 * (1 + Assumptions!$C$7) ^ INT(((YEAR(AE$2)-YEAR($F25))*12 + MONTH(AE$2)-MONTH($F25)) / 12),
  0)</f>
        <v>0</v>
      </c>
      <c r="AF25" s="266">
        <f>IF(AND($F25&lt;=AF$2, OR($G25="",$G25&gt;=AF$2)),
  $H25 * (1 + Assumptions!$C$7) ^ INT(((YEAR(AF$2)-YEAR($F25))*12 + MONTH(AF$2)-MONTH($F25)) / 12),
  0)</f>
        <v>0</v>
      </c>
      <c r="AG25" s="266">
        <f>IF(AND($F25&lt;=AG$2, OR($G25="",$G25&gt;=AG$2)),
  $H25 * (1 + Assumptions!$C$7) ^ INT(((YEAR(AG$2)-YEAR($F25))*12 + MONTH(AG$2)-MONTH($F25)) / 12),
  0)</f>
        <v>6500</v>
      </c>
      <c r="AH25" s="266">
        <f>IF(AND($F25&lt;=AH$2, OR($G25="",$G25&gt;=AH$2)),
  $H25 * (1 + Assumptions!$C$7) ^ INT(((YEAR(AH$2)-YEAR($F25))*12 + MONTH(AH$2)-MONTH($F25)) / 12),
  0)</f>
        <v>6500</v>
      </c>
      <c r="AI25" s="266">
        <f>IF(AND($F25&lt;=AI$2, OR($G25="",$G25&gt;=AI$2)),
  $H25 * (1 + Assumptions!$C$7) ^ INT(((YEAR(AI$2)-YEAR($F25))*12 + MONTH(AI$2)-MONTH($F25)) / 12),
  0)</f>
        <v>6500</v>
      </c>
      <c r="AJ25" s="266">
        <f>IF(AND($F25&lt;=AJ$2, OR($G25="",$G25&gt;=AJ$2)),
  $H25 * (1 + Assumptions!$C$7) ^ INT(((YEAR(AJ$2)-YEAR($F25))*12 + MONTH(AJ$2)-MONTH($F25)) / 12),
  0)</f>
        <v>6500</v>
      </c>
      <c r="AK25" s="266">
        <f>IF(AND($F25&lt;=AK$2, OR($G25="",$G25&gt;=AK$2)),
  $H25 * (1 + Assumptions!$C$7) ^ INT(((YEAR(AK$2)-YEAR($F25))*12 + MONTH(AK$2)-MONTH($F25)) / 12),
  0)</f>
        <v>6500</v>
      </c>
      <c r="AL25" s="266">
        <f>IF(AND($F25&lt;=AL$2, OR($G25="",$G25&gt;=AL$2)),
  $H25 * (1 + Assumptions!$C$7) ^ INT(((YEAR(AL$2)-YEAR($F25))*12 + MONTH(AL$2)-MONTH($F25)) / 12),
  0)</f>
        <v>6500</v>
      </c>
      <c r="AM25" s="266">
        <f>IF(AND($F25&lt;=AM$2, OR($G25="",$G25&gt;=AM$2)),
  $H25 * (1 + Assumptions!$C$7) ^ INT(((YEAR(AM$2)-YEAR($F25))*12 + MONTH(AM$2)-MONTH($F25)) / 12),
  0)</f>
        <v>6500</v>
      </c>
      <c r="AN25" s="266">
        <f>IF(AND($F25&lt;=AN$2, OR($G25="",$G25&gt;=AN$2)),
  $H25 * (1 + Assumptions!$C$7) ^ INT(((YEAR(AN$2)-YEAR($F25))*12 + MONTH(AN$2)-MONTH($F25)) / 12),
  0)</f>
        <v>6500</v>
      </c>
      <c r="AO25" s="266">
        <f>IF(AND($F25&lt;=AO$2, OR($G25="",$G25&gt;=AO$2)),
  $H25 * (1 + Assumptions!$C$7) ^ INT(((YEAR(AO$2)-YEAR($F25))*12 + MONTH(AO$2)-MONTH($F25)) / 12),
  0)</f>
        <v>6500</v>
      </c>
      <c r="AP25" s="266">
        <f>IF(AND($F25&lt;=AP$2, OR($G25="",$G25&gt;=AP$2)),
  $H25 * (1 + Assumptions!$C$7) ^ INT(((YEAR(AP$2)-YEAR($F25))*12 + MONTH(AP$2)-MONTH($F25)) / 12),
  0)</f>
        <v>6500</v>
      </c>
      <c r="AQ25" s="266">
        <f>IF(AND($F25&lt;=AQ$2, OR($G25="",$G25&gt;=AQ$2)),
  $H25 * (1 + Assumptions!$C$7) ^ INT(((YEAR(AQ$2)-YEAR($F25))*12 + MONTH(AQ$2)-MONTH($F25)) / 12),
  0)</f>
        <v>6500</v>
      </c>
      <c r="AR25" s="266">
        <f>IF(AND($F25&lt;=AR$2, OR($G25="",$G25&gt;=AR$2)),
  $H25 * (1 + Assumptions!$C$7) ^ INT(((YEAR(AR$2)-YEAR($F25))*12 + MONTH(AR$2)-MONTH($F25)) / 12),
  0)</f>
        <v>6500</v>
      </c>
      <c r="AS25" s="266">
        <f>IF(AND($F25&lt;=AS$2, OR($G25="",$G25&gt;=AS$2)),
  $H25 * (1 + Assumptions!$C$7) ^ INT(((YEAR(AS$2)-YEAR($F25))*12 + MONTH(AS$2)-MONTH($F25)) / 12),
  0)</f>
        <v>7020</v>
      </c>
      <c r="AT25" s="266">
        <f>IF(AND($F25&lt;=AT$2, OR($G25="",$G25&gt;=AT$2)),
  $H25 * (1 + Assumptions!$C$7) ^ INT(((YEAR(AT$2)-YEAR($F25))*12 + MONTH(AT$2)-MONTH($F25)) / 12),
  0)</f>
        <v>7020</v>
      </c>
      <c r="AU25" s="266">
        <f>IF(AND($F25&lt;=AU$2, OR($G25="",$G25&gt;=AU$2)),
  $H25 * (1 + Assumptions!$C$7) ^ INT(((YEAR(AU$2)-YEAR($F25))*12 + MONTH(AU$2)-MONTH($F25)) / 12),
  0)</f>
        <v>7020</v>
      </c>
      <c r="AV25" s="266">
        <f>IF(AND($F25&lt;=AV$2, OR($G25="",$G25&gt;=AV$2)),
  $H25 * (1 + Assumptions!$C$7) ^ INT(((YEAR(AV$2)-YEAR($F25))*12 + MONTH(AV$2)-MONTH($F25)) / 12),
  0)</f>
        <v>7020</v>
      </c>
      <c r="AW25" s="266">
        <f>IF(AND($F25&lt;=AW$2, OR($G25="",$G25&gt;=AW$2)),
  $H25 * (1 + Assumptions!$C$7) ^ INT(((YEAR(AW$2)-YEAR($F25))*12 + MONTH(AW$2)-MONTH($F25)) / 12),
  0)</f>
        <v>7020</v>
      </c>
      <c r="AX25" s="266">
        <f>IF(AND($F25&lt;=AX$2, OR($G25="",$G25&gt;=AX$2)),
  $H25 * (1 + Assumptions!$C$7) ^ INT(((YEAR(AX$2)-YEAR($F25))*12 + MONTH(AX$2)-MONTH($F25)) / 12),
  0)</f>
        <v>7020</v>
      </c>
      <c r="AY25" s="266">
        <f>IF(AND($F25&lt;=AY$2, OR($G25="",$G25&gt;=AY$2)),
  $H25 * (1 + Assumptions!$C$7) ^ INT(((YEAR(AY$2)-YEAR($F25))*12 + MONTH(AY$2)-MONTH($F25)) / 12),
  0)</f>
        <v>7020</v>
      </c>
      <c r="AZ25" s="266">
        <f>IF(AND($F25&lt;=AZ$2, OR($G25="",$G25&gt;=AZ$2)),
  $H25 * (1 + Assumptions!$C$7) ^ INT(((YEAR(AZ$2)-YEAR($F25))*12 + MONTH(AZ$2)-MONTH($F25)) / 12),
  0)</f>
        <v>7020</v>
      </c>
      <c r="BA25" s="266">
        <f>IF(AND($F25&lt;=BA$2, OR($G25="",$G25&gt;=BA$2)),
  $H25 * (1 + Assumptions!$C$7) ^ INT(((YEAR(BA$2)-YEAR($F25))*12 + MONTH(BA$2)-MONTH($F25)) / 12),
  0)</f>
        <v>7020</v>
      </c>
      <c r="BB25" s="266">
        <f>IF(AND($F25&lt;=BB$2, OR($G25="",$G25&gt;=BB$2)),
  $H25 * (1 + Assumptions!$C$7) ^ INT(((YEAR(BB$2)-YEAR($F25))*12 + MONTH(BB$2)-MONTH($F25)) / 12),
  0)</f>
        <v>7020</v>
      </c>
      <c r="BC25" s="266">
        <f>IF(AND($F25&lt;=BC$2, OR($G25="",$G25&gt;=BC$2)),
  $H25 * (1 + Assumptions!$C$7) ^ INT(((YEAR(BC$2)-YEAR($F25))*12 + MONTH(BC$2)-MONTH($F25)) / 12),
  0)</f>
        <v>7020</v>
      </c>
      <c r="BD25" s="266">
        <f>IF(AND($F25&lt;=BD$2, OR($G25="",$G25&gt;=BD$2)),
  $H25 * (1 + Assumptions!$C$7) ^ INT(((YEAR(BD$2)-YEAR($F25))*12 + MONTH(BD$2)-MONTH($F25)) / 12),
  0)</f>
        <v>7020</v>
      </c>
      <c r="BE25" s="266">
        <f>IF(AND($F25&lt;=BE$2, OR($G25="",$G25&gt;=BE$2)),
  $H25 * (1 + Assumptions!$C$7) ^ INT(((YEAR(BE$2)-YEAR($F25))*12 + MONTH(BE$2)-MONTH($F25)) / 12),
  0)</f>
        <v>7581.6</v>
      </c>
      <c r="BF25" s="266">
        <f>IF(AND($F25&lt;=BF$2, OR($G25="",$G25&gt;=BF$2)),
  $H25 * (1 + Assumptions!$C$7) ^ INT(((YEAR(BF$2)-YEAR($F25))*12 + MONTH(BF$2)-MONTH($F25)) / 12),
  0)</f>
        <v>7581.6</v>
      </c>
      <c r="BG25" s="266">
        <f>IF(AND($F25&lt;=BG$2, OR($G25="",$G25&gt;=BG$2)),
  $H25 * (1 + Assumptions!$C$7) ^ INT(((YEAR(BG$2)-YEAR($F25))*12 + MONTH(BG$2)-MONTH($F25)) / 12),
  0)</f>
        <v>7581.6</v>
      </c>
      <c r="BH25" s="266">
        <f>IF(AND($F25&lt;=BH$2, OR($G25="",$G25&gt;=BH$2)),
  $H25 * (1 + Assumptions!$C$7) ^ INT(((YEAR(BH$2)-YEAR($F25))*12 + MONTH(BH$2)-MONTH($F25)) / 12),
  0)</f>
        <v>7581.6</v>
      </c>
      <c r="BI25" s="266">
        <f>IF(AND($F25&lt;=BI$2, OR($G25="",$G25&gt;=BI$2)),
  $H25 * (1 + Assumptions!$C$7) ^ INT(((YEAR(BI$2)-YEAR($F25))*12 + MONTH(BI$2)-MONTH($F25)) / 12),
  0)</f>
        <v>7581.6</v>
      </c>
      <c r="BJ25" s="266">
        <f>IF(AND($F25&lt;=BJ$2, OR($G25="",$G25&gt;=BJ$2)),
  $H25 * (1 + Assumptions!$C$7) ^ INT(((YEAR(BJ$2)-YEAR($F25))*12 + MONTH(BJ$2)-MONTH($F25)) / 12),
  0)</f>
        <v>7581.6</v>
      </c>
      <c r="BK25" s="266">
        <f>IF(AND($F25&lt;=BK$2, OR($G25="",$G25&gt;=BK$2)),
  $H25 * (1 + Assumptions!$C$7) ^ INT(((YEAR(BK$2)-YEAR($F25))*12 + MONTH(BK$2)-MONTH($F25)) / 12),
  0)</f>
        <v>7581.6</v>
      </c>
      <c r="BL25" s="266">
        <f>IF(AND($F25&lt;=BL$2, OR($G25="",$G25&gt;=BL$2)),
  $H25 * (1 + Assumptions!$C$7) ^ INT(((YEAR(BL$2)-YEAR($F25))*12 + MONTH(BL$2)-MONTH($F25)) / 12),
  0)</f>
        <v>7581.6</v>
      </c>
      <c r="BM25" s="266">
        <f>IF(AND($F25&lt;=BM$2, OR($G25="",$G25&gt;=BM$2)),
  $H25 * (1 + Assumptions!$C$7) ^ INT(((YEAR(BM$2)-YEAR($F25))*12 + MONTH(BM$2)-MONTH($F25)) / 12),
  0)</f>
        <v>7581.6</v>
      </c>
      <c r="BN25" s="266">
        <f>IF(AND($F25&lt;=BN$2, OR($G25="",$G25&gt;=BN$2)),
  $H25 * (1 + Assumptions!$C$7) ^ INT(((YEAR(BN$2)-YEAR($F25))*12 + MONTH(BN$2)-MONTH($F25)) / 12),
  0)</f>
        <v>7581.6</v>
      </c>
      <c r="BO25" s="266">
        <f>IF(AND($F25&lt;=BO$2, OR($G25="",$G25&gt;=BO$2)),
  $H25 * (1 + Assumptions!$C$7) ^ INT(((YEAR(BO$2)-YEAR($F25))*12 + MONTH(BO$2)-MONTH($F25)) / 12),
  0)</f>
        <v>7581.6</v>
      </c>
      <c r="BP25" s="266">
        <f>IF(AND($F25&lt;=BP$2, OR($G25="",$G25&gt;=BP$2)),
  $H25 * (1 + Assumptions!$C$7) ^ INT(((YEAR(BP$2)-YEAR($F25))*12 + MONTH(BP$2)-MONTH($F25)) / 12),
  0)</f>
        <v>7581.6</v>
      </c>
      <c r="BQ25" s="34"/>
    </row>
    <row r="26" ht="15.75" customHeight="1">
      <c r="A26" s="273">
        <v>22.0</v>
      </c>
      <c r="B26" s="257" t="s">
        <v>330</v>
      </c>
      <c r="C26" s="257" t="s">
        <v>149</v>
      </c>
      <c r="D26" s="257" t="s">
        <v>317</v>
      </c>
      <c r="E26" s="264" t="s">
        <v>332</v>
      </c>
      <c r="F26" s="258">
        <v>46388.0</v>
      </c>
      <c r="G26" s="265"/>
      <c r="H26" s="260">
        <v>6500.0</v>
      </c>
      <c r="I26" s="266">
        <f>IF(AND($F26&lt;=I$2, OR($G26="",$G26&gt;=I$2)),
  $H26 * (1 + Assumptions!$C$7) ^ INT(((YEAR(I$2)-YEAR($F26))*12 + MONTH(I$2)-MONTH($F26)) / 12),
  0)</f>
        <v>0</v>
      </c>
      <c r="J26" s="266">
        <f>IF(AND($F26&lt;=J$2, OR($G26="",$G26&gt;=J$2)),
  $H26 * (1 + Assumptions!$C$7) ^ INT(((YEAR(J$2)-YEAR($F26))*12 + MONTH(J$2)-MONTH($F26)) / 12),
  0)</f>
        <v>0</v>
      </c>
      <c r="K26" s="266">
        <f>IF(AND($F26&lt;=K$2, OR($G26="",$G26&gt;=K$2)),
  $H26 * (1 + Assumptions!$C$7) ^ INT(((YEAR(K$2)-YEAR($F26))*12 + MONTH(K$2)-MONTH($F26)) / 12),
  0)</f>
        <v>0</v>
      </c>
      <c r="L26" s="266">
        <f>IF(AND($F26&lt;=L$2, OR($G26="",$G26&gt;=L$2)),
  $H26 * (1 + Assumptions!$C$7) ^ INT(((YEAR(L$2)-YEAR($F26))*12 + MONTH(L$2)-MONTH($F26)) / 12),
  0)</f>
        <v>0</v>
      </c>
      <c r="M26" s="266">
        <f>IF(AND($F26&lt;=M$2, OR($G26="",$G26&gt;=M$2)),
  $H26 * (1 + Assumptions!$C$7) ^ INT(((YEAR(M$2)-YEAR($F26))*12 + MONTH(M$2)-MONTH($F26)) / 12),
  0)</f>
        <v>0</v>
      </c>
      <c r="N26" s="266">
        <f>IF(AND($F26&lt;=N$2, OR($G26="",$G26&gt;=N$2)),
  $H26 * (1 + Assumptions!$C$7) ^ INT(((YEAR(N$2)-YEAR($F26))*12 + MONTH(N$2)-MONTH($F26)) / 12),
  0)</f>
        <v>0</v>
      </c>
      <c r="O26" s="266">
        <f>IF(AND($F26&lt;=O$2, OR($G26="",$G26&gt;=O$2)),
  $H26 * (1 + Assumptions!$C$7) ^ INT(((YEAR(O$2)-YEAR($F26))*12 + MONTH(O$2)-MONTH($F26)) / 12),
  0)</f>
        <v>0</v>
      </c>
      <c r="P26" s="266">
        <f>IF(AND($F26&lt;=P$2, OR($G26="",$G26&gt;=P$2)),
  $H26 * (1 + Assumptions!$C$7) ^ INT(((YEAR(P$2)-YEAR($F26))*12 + MONTH(P$2)-MONTH($F26)) / 12),
  0)</f>
        <v>0</v>
      </c>
      <c r="Q26" s="266">
        <f>IF(AND($F26&lt;=Q$2, OR($G26="",$G26&gt;=Q$2)),
  $H26 * (1 + Assumptions!$C$7) ^ INT(((YEAR(Q$2)-YEAR($F26))*12 + MONTH(Q$2)-MONTH($F26)) / 12),
  0)</f>
        <v>0</v>
      </c>
      <c r="R26" s="266">
        <f>IF(AND($F26&lt;=R$2, OR($G26="",$G26&gt;=R$2)),
  $H26 * (1 + Assumptions!$C$7) ^ INT(((YEAR(R$2)-YEAR($F26))*12 + MONTH(R$2)-MONTH($F26)) / 12),
  0)</f>
        <v>0</v>
      </c>
      <c r="S26" s="266">
        <f>IF(AND($F26&lt;=S$2, OR($G26="",$G26&gt;=S$2)),
  $H26 * (1 + Assumptions!$C$7) ^ INT(((YEAR(S$2)-YEAR($F26))*12 + MONTH(S$2)-MONTH($F26)) / 12),
  0)</f>
        <v>0</v>
      </c>
      <c r="T26" s="266">
        <f>IF(AND($F26&lt;=T$2, OR($G26="",$G26&gt;=T$2)),
  $H26 * (1 + Assumptions!$C$7) ^ INT(((YEAR(T$2)-YEAR($F26))*12 + MONTH(T$2)-MONTH($F26)) / 12),
  0)</f>
        <v>0</v>
      </c>
      <c r="U26" s="266">
        <f>IF(AND($F26&lt;=U$2, OR($G26="",$G26&gt;=U$2)),
  $H26 * (1 + Assumptions!$C$7) ^ INT(((YEAR(U$2)-YEAR($F26))*12 + MONTH(U$2)-MONTH($F26)) / 12),
  0)</f>
        <v>0</v>
      </c>
      <c r="V26" s="266">
        <f>IF(AND($F26&lt;=V$2, OR($G26="",$G26&gt;=V$2)),
  $H26 * (1 + Assumptions!$C$7) ^ INT(((YEAR(V$2)-YEAR($F26))*12 + MONTH(V$2)-MONTH($F26)) / 12),
  0)</f>
        <v>0</v>
      </c>
      <c r="W26" s="266">
        <f>IF(AND($F26&lt;=W$2, OR($G26="",$G26&gt;=W$2)),
  $H26 * (1 + Assumptions!$C$7) ^ INT(((YEAR(W$2)-YEAR($F26))*12 + MONTH(W$2)-MONTH($F26)) / 12),
  0)</f>
        <v>0</v>
      </c>
      <c r="X26" s="266">
        <f>IF(AND($F26&lt;=X$2, OR($G26="",$G26&gt;=X$2)),
  $H26 * (1 + Assumptions!$C$7) ^ INT(((YEAR(X$2)-YEAR($F26))*12 + MONTH(X$2)-MONTH($F26)) / 12),
  0)</f>
        <v>0</v>
      </c>
      <c r="Y26" s="266">
        <f>IF(AND($F26&lt;=Y$2, OR($G26="",$G26&gt;=Y$2)),
  $H26 * (1 + Assumptions!$C$7) ^ INT(((YEAR(Y$2)-YEAR($F26))*12 + MONTH(Y$2)-MONTH($F26)) / 12),
  0)</f>
        <v>0</v>
      </c>
      <c r="Z26" s="266">
        <f>IF(AND($F26&lt;=Z$2, OR($G26="",$G26&gt;=Z$2)),
  $H26 * (1 + Assumptions!$C$7) ^ INT(((YEAR(Z$2)-YEAR($F26))*12 + MONTH(Z$2)-MONTH($F26)) / 12),
  0)</f>
        <v>0</v>
      </c>
      <c r="AA26" s="266">
        <f>IF(AND($F26&lt;=AA$2, OR($G26="",$G26&gt;=AA$2)),
  $H26 * (1 + Assumptions!$C$7) ^ INT(((YEAR(AA$2)-YEAR($F26))*12 + MONTH(AA$2)-MONTH($F26)) / 12),
  0)</f>
        <v>0</v>
      </c>
      <c r="AB26" s="266">
        <f>IF(AND($F26&lt;=AB$2, OR($G26="",$G26&gt;=AB$2)),
  $H26 * (1 + Assumptions!$C$7) ^ INT(((YEAR(AB$2)-YEAR($F26))*12 + MONTH(AB$2)-MONTH($F26)) / 12),
  0)</f>
        <v>0</v>
      </c>
      <c r="AC26" s="266">
        <f>IF(AND($F26&lt;=AC$2, OR($G26="",$G26&gt;=AC$2)),
  $H26 * (1 + Assumptions!$C$7) ^ INT(((YEAR(AC$2)-YEAR($F26))*12 + MONTH(AC$2)-MONTH($F26)) / 12),
  0)</f>
        <v>0</v>
      </c>
      <c r="AD26" s="266">
        <f>IF(AND($F26&lt;=AD$2, OR($G26="",$G26&gt;=AD$2)),
  $H26 * (1 + Assumptions!$C$7) ^ INT(((YEAR(AD$2)-YEAR($F26))*12 + MONTH(AD$2)-MONTH($F26)) / 12),
  0)</f>
        <v>0</v>
      </c>
      <c r="AE26" s="266">
        <f>IF(AND($F26&lt;=AE$2, OR($G26="",$G26&gt;=AE$2)),
  $H26 * (1 + Assumptions!$C$7) ^ INT(((YEAR(AE$2)-YEAR($F26))*12 + MONTH(AE$2)-MONTH($F26)) / 12),
  0)</f>
        <v>0</v>
      </c>
      <c r="AF26" s="266">
        <f>IF(AND($F26&lt;=AF$2, OR($G26="",$G26&gt;=AF$2)),
  $H26 * (1 + Assumptions!$C$7) ^ INT(((YEAR(AF$2)-YEAR($F26))*12 + MONTH(AF$2)-MONTH($F26)) / 12),
  0)</f>
        <v>0</v>
      </c>
      <c r="AG26" s="266">
        <f>IF(AND($F26&lt;=AG$2, OR($G26="",$G26&gt;=AG$2)),
  $H26 * (1 + Assumptions!$C$7) ^ INT(((YEAR(AG$2)-YEAR($F26))*12 + MONTH(AG$2)-MONTH($F26)) / 12),
  0)</f>
        <v>6500</v>
      </c>
      <c r="AH26" s="266">
        <f>IF(AND($F26&lt;=AH$2, OR($G26="",$G26&gt;=AH$2)),
  $H26 * (1 + Assumptions!$C$7) ^ INT(((YEAR(AH$2)-YEAR($F26))*12 + MONTH(AH$2)-MONTH($F26)) / 12),
  0)</f>
        <v>6500</v>
      </c>
      <c r="AI26" s="266">
        <f>IF(AND($F26&lt;=AI$2, OR($G26="",$G26&gt;=AI$2)),
  $H26 * (1 + Assumptions!$C$7) ^ INT(((YEAR(AI$2)-YEAR($F26))*12 + MONTH(AI$2)-MONTH($F26)) / 12),
  0)</f>
        <v>6500</v>
      </c>
      <c r="AJ26" s="266">
        <f>IF(AND($F26&lt;=AJ$2, OR($G26="",$G26&gt;=AJ$2)),
  $H26 * (1 + Assumptions!$C$7) ^ INT(((YEAR(AJ$2)-YEAR($F26))*12 + MONTH(AJ$2)-MONTH($F26)) / 12),
  0)</f>
        <v>6500</v>
      </c>
      <c r="AK26" s="266">
        <f>IF(AND($F26&lt;=AK$2, OR($G26="",$G26&gt;=AK$2)),
  $H26 * (1 + Assumptions!$C$7) ^ INT(((YEAR(AK$2)-YEAR($F26))*12 + MONTH(AK$2)-MONTH($F26)) / 12),
  0)</f>
        <v>6500</v>
      </c>
      <c r="AL26" s="266">
        <f>IF(AND($F26&lt;=AL$2, OR($G26="",$G26&gt;=AL$2)),
  $H26 * (1 + Assumptions!$C$7) ^ INT(((YEAR(AL$2)-YEAR($F26))*12 + MONTH(AL$2)-MONTH($F26)) / 12),
  0)</f>
        <v>6500</v>
      </c>
      <c r="AM26" s="266">
        <f>IF(AND($F26&lt;=AM$2, OR($G26="",$G26&gt;=AM$2)),
  $H26 * (1 + Assumptions!$C$7) ^ INT(((YEAR(AM$2)-YEAR($F26))*12 + MONTH(AM$2)-MONTH($F26)) / 12),
  0)</f>
        <v>6500</v>
      </c>
      <c r="AN26" s="266">
        <f>IF(AND($F26&lt;=AN$2, OR($G26="",$G26&gt;=AN$2)),
  $H26 * (1 + Assumptions!$C$7) ^ INT(((YEAR(AN$2)-YEAR($F26))*12 + MONTH(AN$2)-MONTH($F26)) / 12),
  0)</f>
        <v>6500</v>
      </c>
      <c r="AO26" s="266">
        <f>IF(AND($F26&lt;=AO$2, OR($G26="",$G26&gt;=AO$2)),
  $H26 * (1 + Assumptions!$C$7) ^ INT(((YEAR(AO$2)-YEAR($F26))*12 + MONTH(AO$2)-MONTH($F26)) / 12),
  0)</f>
        <v>6500</v>
      </c>
      <c r="AP26" s="266">
        <f>IF(AND($F26&lt;=AP$2, OR($G26="",$G26&gt;=AP$2)),
  $H26 * (1 + Assumptions!$C$7) ^ INT(((YEAR(AP$2)-YEAR($F26))*12 + MONTH(AP$2)-MONTH($F26)) / 12),
  0)</f>
        <v>6500</v>
      </c>
      <c r="AQ26" s="266">
        <f>IF(AND($F26&lt;=AQ$2, OR($G26="",$G26&gt;=AQ$2)),
  $H26 * (1 + Assumptions!$C$7) ^ INT(((YEAR(AQ$2)-YEAR($F26))*12 + MONTH(AQ$2)-MONTH($F26)) / 12),
  0)</f>
        <v>6500</v>
      </c>
      <c r="AR26" s="266">
        <f>IF(AND($F26&lt;=AR$2, OR($G26="",$G26&gt;=AR$2)),
  $H26 * (1 + Assumptions!$C$7) ^ INT(((YEAR(AR$2)-YEAR($F26))*12 + MONTH(AR$2)-MONTH($F26)) / 12),
  0)</f>
        <v>6500</v>
      </c>
      <c r="AS26" s="266">
        <f>IF(AND($F26&lt;=AS$2, OR($G26="",$G26&gt;=AS$2)),
  $H26 * (1 + Assumptions!$C$7) ^ INT(((YEAR(AS$2)-YEAR($F26))*12 + MONTH(AS$2)-MONTH($F26)) / 12),
  0)</f>
        <v>7020</v>
      </c>
      <c r="AT26" s="266">
        <f>IF(AND($F26&lt;=AT$2, OR($G26="",$G26&gt;=AT$2)),
  $H26 * (1 + Assumptions!$C$7) ^ INT(((YEAR(AT$2)-YEAR($F26))*12 + MONTH(AT$2)-MONTH($F26)) / 12),
  0)</f>
        <v>7020</v>
      </c>
      <c r="AU26" s="266">
        <f>IF(AND($F26&lt;=AU$2, OR($G26="",$G26&gt;=AU$2)),
  $H26 * (1 + Assumptions!$C$7) ^ INT(((YEAR(AU$2)-YEAR($F26))*12 + MONTH(AU$2)-MONTH($F26)) / 12),
  0)</f>
        <v>7020</v>
      </c>
      <c r="AV26" s="266">
        <f>IF(AND($F26&lt;=AV$2, OR($G26="",$G26&gt;=AV$2)),
  $H26 * (1 + Assumptions!$C$7) ^ INT(((YEAR(AV$2)-YEAR($F26))*12 + MONTH(AV$2)-MONTH($F26)) / 12),
  0)</f>
        <v>7020</v>
      </c>
      <c r="AW26" s="266">
        <f>IF(AND($F26&lt;=AW$2, OR($G26="",$G26&gt;=AW$2)),
  $H26 * (1 + Assumptions!$C$7) ^ INT(((YEAR(AW$2)-YEAR($F26))*12 + MONTH(AW$2)-MONTH($F26)) / 12),
  0)</f>
        <v>7020</v>
      </c>
      <c r="AX26" s="266">
        <f>IF(AND($F26&lt;=AX$2, OR($G26="",$G26&gt;=AX$2)),
  $H26 * (1 + Assumptions!$C$7) ^ INT(((YEAR(AX$2)-YEAR($F26))*12 + MONTH(AX$2)-MONTH($F26)) / 12),
  0)</f>
        <v>7020</v>
      </c>
      <c r="AY26" s="266">
        <f>IF(AND($F26&lt;=AY$2, OR($G26="",$G26&gt;=AY$2)),
  $H26 * (1 + Assumptions!$C$7) ^ INT(((YEAR(AY$2)-YEAR($F26))*12 + MONTH(AY$2)-MONTH($F26)) / 12),
  0)</f>
        <v>7020</v>
      </c>
      <c r="AZ26" s="266">
        <f>IF(AND($F26&lt;=AZ$2, OR($G26="",$G26&gt;=AZ$2)),
  $H26 * (1 + Assumptions!$C$7) ^ INT(((YEAR(AZ$2)-YEAR($F26))*12 + MONTH(AZ$2)-MONTH($F26)) / 12),
  0)</f>
        <v>7020</v>
      </c>
      <c r="BA26" s="266">
        <f>IF(AND($F26&lt;=BA$2, OR($G26="",$G26&gt;=BA$2)),
  $H26 * (1 + Assumptions!$C$7) ^ INT(((YEAR(BA$2)-YEAR($F26))*12 + MONTH(BA$2)-MONTH($F26)) / 12),
  0)</f>
        <v>7020</v>
      </c>
      <c r="BB26" s="266">
        <f>IF(AND($F26&lt;=BB$2, OR($G26="",$G26&gt;=BB$2)),
  $H26 * (1 + Assumptions!$C$7) ^ INT(((YEAR(BB$2)-YEAR($F26))*12 + MONTH(BB$2)-MONTH($F26)) / 12),
  0)</f>
        <v>7020</v>
      </c>
      <c r="BC26" s="266">
        <f>IF(AND($F26&lt;=BC$2, OR($G26="",$G26&gt;=BC$2)),
  $H26 * (1 + Assumptions!$C$7) ^ INT(((YEAR(BC$2)-YEAR($F26))*12 + MONTH(BC$2)-MONTH($F26)) / 12),
  0)</f>
        <v>7020</v>
      </c>
      <c r="BD26" s="266">
        <f>IF(AND($F26&lt;=BD$2, OR($G26="",$G26&gt;=BD$2)),
  $H26 * (1 + Assumptions!$C$7) ^ INT(((YEAR(BD$2)-YEAR($F26))*12 + MONTH(BD$2)-MONTH($F26)) / 12),
  0)</f>
        <v>7020</v>
      </c>
      <c r="BE26" s="266">
        <f>IF(AND($F26&lt;=BE$2, OR($G26="",$G26&gt;=BE$2)),
  $H26 * (1 + Assumptions!$C$7) ^ INT(((YEAR(BE$2)-YEAR($F26))*12 + MONTH(BE$2)-MONTH($F26)) / 12),
  0)</f>
        <v>7581.6</v>
      </c>
      <c r="BF26" s="266">
        <f>IF(AND($F26&lt;=BF$2, OR($G26="",$G26&gt;=BF$2)),
  $H26 * (1 + Assumptions!$C$7) ^ INT(((YEAR(BF$2)-YEAR($F26))*12 + MONTH(BF$2)-MONTH($F26)) / 12),
  0)</f>
        <v>7581.6</v>
      </c>
      <c r="BG26" s="266">
        <f>IF(AND($F26&lt;=BG$2, OR($G26="",$G26&gt;=BG$2)),
  $H26 * (1 + Assumptions!$C$7) ^ INT(((YEAR(BG$2)-YEAR($F26))*12 + MONTH(BG$2)-MONTH($F26)) / 12),
  0)</f>
        <v>7581.6</v>
      </c>
      <c r="BH26" s="266">
        <f>IF(AND($F26&lt;=BH$2, OR($G26="",$G26&gt;=BH$2)),
  $H26 * (1 + Assumptions!$C$7) ^ INT(((YEAR(BH$2)-YEAR($F26))*12 + MONTH(BH$2)-MONTH($F26)) / 12),
  0)</f>
        <v>7581.6</v>
      </c>
      <c r="BI26" s="266">
        <f>IF(AND($F26&lt;=BI$2, OR($G26="",$G26&gt;=BI$2)),
  $H26 * (1 + Assumptions!$C$7) ^ INT(((YEAR(BI$2)-YEAR($F26))*12 + MONTH(BI$2)-MONTH($F26)) / 12),
  0)</f>
        <v>7581.6</v>
      </c>
      <c r="BJ26" s="266">
        <f>IF(AND($F26&lt;=BJ$2, OR($G26="",$G26&gt;=BJ$2)),
  $H26 * (1 + Assumptions!$C$7) ^ INT(((YEAR(BJ$2)-YEAR($F26))*12 + MONTH(BJ$2)-MONTH($F26)) / 12),
  0)</f>
        <v>7581.6</v>
      </c>
      <c r="BK26" s="266">
        <f>IF(AND($F26&lt;=BK$2, OR($G26="",$G26&gt;=BK$2)),
  $H26 * (1 + Assumptions!$C$7) ^ INT(((YEAR(BK$2)-YEAR($F26))*12 + MONTH(BK$2)-MONTH($F26)) / 12),
  0)</f>
        <v>7581.6</v>
      </c>
      <c r="BL26" s="266">
        <f>IF(AND($F26&lt;=BL$2, OR($G26="",$G26&gt;=BL$2)),
  $H26 * (1 + Assumptions!$C$7) ^ INT(((YEAR(BL$2)-YEAR($F26))*12 + MONTH(BL$2)-MONTH($F26)) / 12),
  0)</f>
        <v>7581.6</v>
      </c>
      <c r="BM26" s="266">
        <f>IF(AND($F26&lt;=BM$2, OR($G26="",$G26&gt;=BM$2)),
  $H26 * (1 + Assumptions!$C$7) ^ INT(((YEAR(BM$2)-YEAR($F26))*12 + MONTH(BM$2)-MONTH($F26)) / 12),
  0)</f>
        <v>7581.6</v>
      </c>
      <c r="BN26" s="266">
        <f>IF(AND($F26&lt;=BN$2, OR($G26="",$G26&gt;=BN$2)),
  $H26 * (1 + Assumptions!$C$7) ^ INT(((YEAR(BN$2)-YEAR($F26))*12 + MONTH(BN$2)-MONTH($F26)) / 12),
  0)</f>
        <v>7581.6</v>
      </c>
      <c r="BO26" s="266">
        <f>IF(AND($F26&lt;=BO$2, OR($G26="",$G26&gt;=BO$2)),
  $H26 * (1 + Assumptions!$C$7) ^ INT(((YEAR(BO$2)-YEAR($F26))*12 + MONTH(BO$2)-MONTH($F26)) / 12),
  0)</f>
        <v>7581.6</v>
      </c>
      <c r="BP26" s="266">
        <f>IF(AND($F26&lt;=BP$2, OR($G26="",$G26&gt;=BP$2)),
  $H26 * (1 + Assumptions!$C$7) ^ INT(((YEAR(BP$2)-YEAR($F26))*12 + MONTH(BP$2)-MONTH($F26)) / 12),
  0)</f>
        <v>7581.6</v>
      </c>
      <c r="BQ26" s="34"/>
    </row>
    <row r="27" ht="15.75" customHeight="1">
      <c r="A27" s="273">
        <v>23.0</v>
      </c>
      <c r="B27" s="257" t="s">
        <v>330</v>
      </c>
      <c r="C27" s="257" t="s">
        <v>149</v>
      </c>
      <c r="D27" s="273" t="s">
        <v>317</v>
      </c>
      <c r="E27" s="264" t="s">
        <v>332</v>
      </c>
      <c r="F27" s="258">
        <v>46539.0</v>
      </c>
      <c r="G27" s="269"/>
      <c r="H27" s="260">
        <v>6500.0</v>
      </c>
      <c r="I27" s="266">
        <f>IF(AND($F27&lt;=I$2, OR($G27="",$G27&gt;=I$2)),
  $H27 * (1 + Assumptions!$C$7) ^ INT(((YEAR(I$2)-YEAR($F27))*12 + MONTH(I$2)-MONTH($F27)) / 12),
  0)</f>
        <v>0</v>
      </c>
      <c r="J27" s="266">
        <f>IF(AND($F27&lt;=J$2, OR($G27="",$G27&gt;=J$2)),
  $H27 * (1 + Assumptions!$C$7) ^ INT(((YEAR(J$2)-YEAR($F27))*12 + MONTH(J$2)-MONTH($F27)) / 12),
  0)</f>
        <v>0</v>
      </c>
      <c r="K27" s="266">
        <f>IF(AND($F27&lt;=K$2, OR($G27="",$G27&gt;=K$2)),
  $H27 * (1 + Assumptions!$C$7) ^ INT(((YEAR(K$2)-YEAR($F27))*12 + MONTH(K$2)-MONTH($F27)) / 12),
  0)</f>
        <v>0</v>
      </c>
      <c r="L27" s="266">
        <f>IF(AND($F27&lt;=L$2, OR($G27="",$G27&gt;=L$2)),
  $H27 * (1 + Assumptions!$C$7) ^ INT(((YEAR(L$2)-YEAR($F27))*12 + MONTH(L$2)-MONTH($F27)) / 12),
  0)</f>
        <v>0</v>
      </c>
      <c r="M27" s="266">
        <f>IF(AND($F27&lt;=M$2, OR($G27="",$G27&gt;=M$2)),
  $H27 * (1 + Assumptions!$C$7) ^ INT(((YEAR(M$2)-YEAR($F27))*12 + MONTH(M$2)-MONTH($F27)) / 12),
  0)</f>
        <v>0</v>
      </c>
      <c r="N27" s="266">
        <f>IF(AND($F27&lt;=N$2, OR($G27="",$G27&gt;=N$2)),
  $H27 * (1 + Assumptions!$C$7) ^ INT(((YEAR(N$2)-YEAR($F27))*12 + MONTH(N$2)-MONTH($F27)) / 12),
  0)</f>
        <v>0</v>
      </c>
      <c r="O27" s="266">
        <f>IF(AND($F27&lt;=O$2, OR($G27="",$G27&gt;=O$2)),
  $H27 * (1 + Assumptions!$C$7) ^ INT(((YEAR(O$2)-YEAR($F27))*12 + MONTH(O$2)-MONTH($F27)) / 12),
  0)</f>
        <v>0</v>
      </c>
      <c r="P27" s="266">
        <f>IF(AND($F27&lt;=P$2, OR($G27="",$G27&gt;=P$2)),
  $H27 * (1 + Assumptions!$C$7) ^ INT(((YEAR(P$2)-YEAR($F27))*12 + MONTH(P$2)-MONTH($F27)) / 12),
  0)</f>
        <v>0</v>
      </c>
      <c r="Q27" s="266">
        <f>IF(AND($F27&lt;=Q$2, OR($G27="",$G27&gt;=Q$2)),
  $H27 * (1 + Assumptions!$C$7) ^ INT(((YEAR(Q$2)-YEAR($F27))*12 + MONTH(Q$2)-MONTH($F27)) / 12),
  0)</f>
        <v>0</v>
      </c>
      <c r="R27" s="266">
        <f>IF(AND($F27&lt;=R$2, OR($G27="",$G27&gt;=R$2)),
  $H27 * (1 + Assumptions!$C$7) ^ INT(((YEAR(R$2)-YEAR($F27))*12 + MONTH(R$2)-MONTH($F27)) / 12),
  0)</f>
        <v>0</v>
      </c>
      <c r="S27" s="266">
        <f>IF(AND($F27&lt;=S$2, OR($G27="",$G27&gt;=S$2)),
  $H27 * (1 + Assumptions!$C$7) ^ INT(((YEAR(S$2)-YEAR($F27))*12 + MONTH(S$2)-MONTH($F27)) / 12),
  0)</f>
        <v>0</v>
      </c>
      <c r="T27" s="266">
        <f>IF(AND($F27&lt;=T$2, OR($G27="",$G27&gt;=T$2)),
  $H27 * (1 + Assumptions!$C$7) ^ INT(((YEAR(T$2)-YEAR($F27))*12 + MONTH(T$2)-MONTH($F27)) / 12),
  0)</f>
        <v>0</v>
      </c>
      <c r="U27" s="266">
        <f>IF(AND($F27&lt;=U$2, OR($G27="",$G27&gt;=U$2)),
  $H27 * (1 + Assumptions!$C$7) ^ INT(((YEAR(U$2)-YEAR($F27))*12 + MONTH(U$2)-MONTH($F27)) / 12),
  0)</f>
        <v>0</v>
      </c>
      <c r="V27" s="266">
        <f>IF(AND($F27&lt;=V$2, OR($G27="",$G27&gt;=V$2)),
  $H27 * (1 + Assumptions!$C$7) ^ INT(((YEAR(V$2)-YEAR($F27))*12 + MONTH(V$2)-MONTH($F27)) / 12),
  0)</f>
        <v>0</v>
      </c>
      <c r="W27" s="266">
        <f>IF(AND($F27&lt;=W$2, OR($G27="",$G27&gt;=W$2)),
  $H27 * (1 + Assumptions!$C$7) ^ INT(((YEAR(W$2)-YEAR($F27))*12 + MONTH(W$2)-MONTH($F27)) / 12),
  0)</f>
        <v>0</v>
      </c>
      <c r="X27" s="266">
        <f>IF(AND($F27&lt;=X$2, OR($G27="",$G27&gt;=X$2)),
  $H27 * (1 + Assumptions!$C$7) ^ INT(((YEAR(X$2)-YEAR($F27))*12 + MONTH(X$2)-MONTH($F27)) / 12),
  0)</f>
        <v>0</v>
      </c>
      <c r="Y27" s="266">
        <f>IF(AND($F27&lt;=Y$2, OR($G27="",$G27&gt;=Y$2)),
  $H27 * (1 + Assumptions!$C$7) ^ INT(((YEAR(Y$2)-YEAR($F27))*12 + MONTH(Y$2)-MONTH($F27)) / 12),
  0)</f>
        <v>0</v>
      </c>
      <c r="Z27" s="266">
        <f>IF(AND($F27&lt;=Z$2, OR($G27="",$G27&gt;=Z$2)),
  $H27 * (1 + Assumptions!$C$7) ^ INT(((YEAR(Z$2)-YEAR($F27))*12 + MONTH(Z$2)-MONTH($F27)) / 12),
  0)</f>
        <v>0</v>
      </c>
      <c r="AA27" s="266">
        <f>IF(AND($F27&lt;=AA$2, OR($G27="",$G27&gt;=AA$2)),
  $H27 * (1 + Assumptions!$C$7) ^ INT(((YEAR(AA$2)-YEAR($F27))*12 + MONTH(AA$2)-MONTH($F27)) / 12),
  0)</f>
        <v>0</v>
      </c>
      <c r="AB27" s="266">
        <f>IF(AND($F27&lt;=AB$2, OR($G27="",$G27&gt;=AB$2)),
  $H27 * (1 + Assumptions!$C$7) ^ INT(((YEAR(AB$2)-YEAR($F27))*12 + MONTH(AB$2)-MONTH($F27)) / 12),
  0)</f>
        <v>0</v>
      </c>
      <c r="AC27" s="266">
        <f>IF(AND($F27&lt;=AC$2, OR($G27="",$G27&gt;=AC$2)),
  $H27 * (1 + Assumptions!$C$7) ^ INT(((YEAR(AC$2)-YEAR($F27))*12 + MONTH(AC$2)-MONTH($F27)) / 12),
  0)</f>
        <v>0</v>
      </c>
      <c r="AD27" s="266">
        <f>IF(AND($F27&lt;=AD$2, OR($G27="",$G27&gt;=AD$2)),
  $H27 * (1 + Assumptions!$C$7) ^ INT(((YEAR(AD$2)-YEAR($F27))*12 + MONTH(AD$2)-MONTH($F27)) / 12),
  0)</f>
        <v>0</v>
      </c>
      <c r="AE27" s="266">
        <f>IF(AND($F27&lt;=AE$2, OR($G27="",$G27&gt;=AE$2)),
  $H27 * (1 + Assumptions!$C$7) ^ INT(((YEAR(AE$2)-YEAR($F27))*12 + MONTH(AE$2)-MONTH($F27)) / 12),
  0)</f>
        <v>0</v>
      </c>
      <c r="AF27" s="266">
        <f>IF(AND($F27&lt;=AF$2, OR($G27="",$G27&gt;=AF$2)),
  $H27 * (1 + Assumptions!$C$7) ^ INT(((YEAR(AF$2)-YEAR($F27))*12 + MONTH(AF$2)-MONTH($F27)) / 12),
  0)</f>
        <v>0</v>
      </c>
      <c r="AG27" s="266">
        <f>IF(AND($F27&lt;=AG$2, OR($G27="",$G27&gt;=AG$2)),
  $H27 * (1 + Assumptions!$C$7) ^ INT(((YEAR(AG$2)-YEAR($F27))*12 + MONTH(AG$2)-MONTH($F27)) / 12),
  0)</f>
        <v>0</v>
      </c>
      <c r="AH27" s="266">
        <f>IF(AND($F27&lt;=AH$2, OR($G27="",$G27&gt;=AH$2)),
  $H27 * (1 + Assumptions!$C$7) ^ INT(((YEAR(AH$2)-YEAR($F27))*12 + MONTH(AH$2)-MONTH($F27)) / 12),
  0)</f>
        <v>0</v>
      </c>
      <c r="AI27" s="266">
        <f>IF(AND($F27&lt;=AI$2, OR($G27="",$G27&gt;=AI$2)),
  $H27 * (1 + Assumptions!$C$7) ^ INT(((YEAR(AI$2)-YEAR($F27))*12 + MONTH(AI$2)-MONTH($F27)) / 12),
  0)</f>
        <v>0</v>
      </c>
      <c r="AJ27" s="266">
        <f>IF(AND($F27&lt;=AJ$2, OR($G27="",$G27&gt;=AJ$2)),
  $H27 * (1 + Assumptions!$C$7) ^ INT(((YEAR(AJ$2)-YEAR($F27))*12 + MONTH(AJ$2)-MONTH($F27)) / 12),
  0)</f>
        <v>0</v>
      </c>
      <c r="AK27" s="266">
        <f>IF(AND($F27&lt;=AK$2, OR($G27="",$G27&gt;=AK$2)),
  $H27 * (1 + Assumptions!$C$7) ^ INT(((YEAR(AK$2)-YEAR($F27))*12 + MONTH(AK$2)-MONTH($F27)) / 12),
  0)</f>
        <v>0</v>
      </c>
      <c r="AL27" s="266">
        <f>IF(AND($F27&lt;=AL$2, OR($G27="",$G27&gt;=AL$2)),
  $H27 * (1 + Assumptions!$C$7) ^ INT(((YEAR(AL$2)-YEAR($F27))*12 + MONTH(AL$2)-MONTH($F27)) / 12),
  0)</f>
        <v>6500</v>
      </c>
      <c r="AM27" s="266">
        <f>IF(AND($F27&lt;=AM$2, OR($G27="",$G27&gt;=AM$2)),
  $H27 * (1 + Assumptions!$C$7) ^ INT(((YEAR(AM$2)-YEAR($F27))*12 + MONTH(AM$2)-MONTH($F27)) / 12),
  0)</f>
        <v>6500</v>
      </c>
      <c r="AN27" s="266">
        <f>IF(AND($F27&lt;=AN$2, OR($G27="",$G27&gt;=AN$2)),
  $H27 * (1 + Assumptions!$C$7) ^ INT(((YEAR(AN$2)-YEAR($F27))*12 + MONTH(AN$2)-MONTH($F27)) / 12),
  0)</f>
        <v>6500</v>
      </c>
      <c r="AO27" s="266">
        <f>IF(AND($F27&lt;=AO$2, OR($G27="",$G27&gt;=AO$2)),
  $H27 * (1 + Assumptions!$C$7) ^ INT(((YEAR(AO$2)-YEAR($F27))*12 + MONTH(AO$2)-MONTH($F27)) / 12),
  0)</f>
        <v>6500</v>
      </c>
      <c r="AP27" s="266">
        <f>IF(AND($F27&lt;=AP$2, OR($G27="",$G27&gt;=AP$2)),
  $H27 * (1 + Assumptions!$C$7) ^ INT(((YEAR(AP$2)-YEAR($F27))*12 + MONTH(AP$2)-MONTH($F27)) / 12),
  0)</f>
        <v>6500</v>
      </c>
      <c r="AQ27" s="266">
        <f>IF(AND($F27&lt;=AQ$2, OR($G27="",$G27&gt;=AQ$2)),
  $H27 * (1 + Assumptions!$C$7) ^ INT(((YEAR(AQ$2)-YEAR($F27))*12 + MONTH(AQ$2)-MONTH($F27)) / 12),
  0)</f>
        <v>6500</v>
      </c>
      <c r="AR27" s="266">
        <f>IF(AND($F27&lt;=AR$2, OR($G27="",$G27&gt;=AR$2)),
  $H27 * (1 + Assumptions!$C$7) ^ INT(((YEAR(AR$2)-YEAR($F27))*12 + MONTH(AR$2)-MONTH($F27)) / 12),
  0)</f>
        <v>6500</v>
      </c>
      <c r="AS27" s="266">
        <f>IF(AND($F27&lt;=AS$2, OR($G27="",$G27&gt;=AS$2)),
  $H27 * (1 + Assumptions!$C$7) ^ INT(((YEAR(AS$2)-YEAR($F27))*12 + MONTH(AS$2)-MONTH($F27)) / 12),
  0)</f>
        <v>6500</v>
      </c>
      <c r="AT27" s="266">
        <f>IF(AND($F27&lt;=AT$2, OR($G27="",$G27&gt;=AT$2)),
  $H27 * (1 + Assumptions!$C$7) ^ INT(((YEAR(AT$2)-YEAR($F27))*12 + MONTH(AT$2)-MONTH($F27)) / 12),
  0)</f>
        <v>6500</v>
      </c>
      <c r="AU27" s="266">
        <f>IF(AND($F27&lt;=AU$2, OR($G27="",$G27&gt;=AU$2)),
  $H27 * (1 + Assumptions!$C$7) ^ INT(((YEAR(AU$2)-YEAR($F27))*12 + MONTH(AU$2)-MONTH($F27)) / 12),
  0)</f>
        <v>6500</v>
      </c>
      <c r="AV27" s="266">
        <f>IF(AND($F27&lt;=AV$2, OR($G27="",$G27&gt;=AV$2)),
  $H27 * (1 + Assumptions!$C$7) ^ INT(((YEAR(AV$2)-YEAR($F27))*12 + MONTH(AV$2)-MONTH($F27)) / 12),
  0)</f>
        <v>6500</v>
      </c>
      <c r="AW27" s="266">
        <f>IF(AND($F27&lt;=AW$2, OR($G27="",$G27&gt;=AW$2)),
  $H27 * (1 + Assumptions!$C$7) ^ INT(((YEAR(AW$2)-YEAR($F27))*12 + MONTH(AW$2)-MONTH($F27)) / 12),
  0)</f>
        <v>6500</v>
      </c>
      <c r="AX27" s="266">
        <f>IF(AND($F27&lt;=AX$2, OR($G27="",$G27&gt;=AX$2)),
  $H27 * (1 + Assumptions!$C$7) ^ INT(((YEAR(AX$2)-YEAR($F27))*12 + MONTH(AX$2)-MONTH($F27)) / 12),
  0)</f>
        <v>7020</v>
      </c>
      <c r="AY27" s="266">
        <f>IF(AND($F27&lt;=AY$2, OR($G27="",$G27&gt;=AY$2)),
  $H27 * (1 + Assumptions!$C$7) ^ INT(((YEAR(AY$2)-YEAR($F27))*12 + MONTH(AY$2)-MONTH($F27)) / 12),
  0)</f>
        <v>7020</v>
      </c>
      <c r="AZ27" s="266">
        <f>IF(AND($F27&lt;=AZ$2, OR($G27="",$G27&gt;=AZ$2)),
  $H27 * (1 + Assumptions!$C$7) ^ INT(((YEAR(AZ$2)-YEAR($F27))*12 + MONTH(AZ$2)-MONTH($F27)) / 12),
  0)</f>
        <v>7020</v>
      </c>
      <c r="BA27" s="266">
        <f>IF(AND($F27&lt;=BA$2, OR($G27="",$G27&gt;=BA$2)),
  $H27 * (1 + Assumptions!$C$7) ^ INT(((YEAR(BA$2)-YEAR($F27))*12 + MONTH(BA$2)-MONTH($F27)) / 12),
  0)</f>
        <v>7020</v>
      </c>
      <c r="BB27" s="266">
        <f>IF(AND($F27&lt;=BB$2, OR($G27="",$G27&gt;=BB$2)),
  $H27 * (1 + Assumptions!$C$7) ^ INT(((YEAR(BB$2)-YEAR($F27))*12 + MONTH(BB$2)-MONTH($F27)) / 12),
  0)</f>
        <v>7020</v>
      </c>
      <c r="BC27" s="266">
        <f>IF(AND($F27&lt;=BC$2, OR($G27="",$G27&gt;=BC$2)),
  $H27 * (1 + Assumptions!$C$7) ^ INT(((YEAR(BC$2)-YEAR($F27))*12 + MONTH(BC$2)-MONTH($F27)) / 12),
  0)</f>
        <v>7020</v>
      </c>
      <c r="BD27" s="266">
        <f>IF(AND($F27&lt;=BD$2, OR($G27="",$G27&gt;=BD$2)),
  $H27 * (1 + Assumptions!$C$7) ^ INT(((YEAR(BD$2)-YEAR($F27))*12 + MONTH(BD$2)-MONTH($F27)) / 12),
  0)</f>
        <v>7020</v>
      </c>
      <c r="BE27" s="266">
        <f>IF(AND($F27&lt;=BE$2, OR($G27="",$G27&gt;=BE$2)),
  $H27 * (1 + Assumptions!$C$7) ^ INT(((YEAR(BE$2)-YEAR($F27))*12 + MONTH(BE$2)-MONTH($F27)) / 12),
  0)</f>
        <v>7020</v>
      </c>
      <c r="BF27" s="266">
        <f>IF(AND($F27&lt;=BF$2, OR($G27="",$G27&gt;=BF$2)),
  $H27 * (1 + Assumptions!$C$7) ^ INT(((YEAR(BF$2)-YEAR($F27))*12 + MONTH(BF$2)-MONTH($F27)) / 12),
  0)</f>
        <v>7020</v>
      </c>
      <c r="BG27" s="266">
        <f>IF(AND($F27&lt;=BG$2, OR($G27="",$G27&gt;=BG$2)),
  $H27 * (1 + Assumptions!$C$7) ^ INT(((YEAR(BG$2)-YEAR($F27))*12 + MONTH(BG$2)-MONTH($F27)) / 12),
  0)</f>
        <v>7020</v>
      </c>
      <c r="BH27" s="266">
        <f>IF(AND($F27&lt;=BH$2, OR($G27="",$G27&gt;=BH$2)),
  $H27 * (1 + Assumptions!$C$7) ^ INT(((YEAR(BH$2)-YEAR($F27))*12 + MONTH(BH$2)-MONTH($F27)) / 12),
  0)</f>
        <v>7020</v>
      </c>
      <c r="BI27" s="266">
        <f>IF(AND($F27&lt;=BI$2, OR($G27="",$G27&gt;=BI$2)),
  $H27 * (1 + Assumptions!$C$7) ^ INT(((YEAR(BI$2)-YEAR($F27))*12 + MONTH(BI$2)-MONTH($F27)) / 12),
  0)</f>
        <v>7020</v>
      </c>
      <c r="BJ27" s="266">
        <f>IF(AND($F27&lt;=BJ$2, OR($G27="",$G27&gt;=BJ$2)),
  $H27 * (1 + Assumptions!$C$7) ^ INT(((YEAR(BJ$2)-YEAR($F27))*12 + MONTH(BJ$2)-MONTH($F27)) / 12),
  0)</f>
        <v>7581.6</v>
      </c>
      <c r="BK27" s="266">
        <f>IF(AND($F27&lt;=BK$2, OR($G27="",$G27&gt;=BK$2)),
  $H27 * (1 + Assumptions!$C$7) ^ INT(((YEAR(BK$2)-YEAR($F27))*12 + MONTH(BK$2)-MONTH($F27)) / 12),
  0)</f>
        <v>7581.6</v>
      </c>
      <c r="BL27" s="266">
        <f>IF(AND($F27&lt;=BL$2, OR($G27="",$G27&gt;=BL$2)),
  $H27 * (1 + Assumptions!$C$7) ^ INT(((YEAR(BL$2)-YEAR($F27))*12 + MONTH(BL$2)-MONTH($F27)) / 12),
  0)</f>
        <v>7581.6</v>
      </c>
      <c r="BM27" s="266">
        <f>IF(AND($F27&lt;=BM$2, OR($G27="",$G27&gt;=BM$2)),
  $H27 * (1 + Assumptions!$C$7) ^ INT(((YEAR(BM$2)-YEAR($F27))*12 + MONTH(BM$2)-MONTH($F27)) / 12),
  0)</f>
        <v>7581.6</v>
      </c>
      <c r="BN27" s="266">
        <f>IF(AND($F27&lt;=BN$2, OR($G27="",$G27&gt;=BN$2)),
  $H27 * (1 + Assumptions!$C$7) ^ INT(((YEAR(BN$2)-YEAR($F27))*12 + MONTH(BN$2)-MONTH($F27)) / 12),
  0)</f>
        <v>7581.6</v>
      </c>
      <c r="BO27" s="266">
        <f>IF(AND($F27&lt;=BO$2, OR($G27="",$G27&gt;=BO$2)),
  $H27 * (1 + Assumptions!$C$7) ^ INT(((YEAR(BO$2)-YEAR($F27))*12 + MONTH(BO$2)-MONTH($F27)) / 12),
  0)</f>
        <v>7581.6</v>
      </c>
      <c r="BP27" s="266">
        <f>IF(AND($F27&lt;=BP$2, OR($G27="",$G27&gt;=BP$2)),
  $H27 * (1 + Assumptions!$C$7) ^ INT(((YEAR(BP$2)-YEAR($F27))*12 + MONTH(BP$2)-MONTH($F27)) / 12),
  0)</f>
        <v>7581.6</v>
      </c>
      <c r="BQ27" s="34"/>
    </row>
    <row r="28" ht="15.75" customHeight="1">
      <c r="A28" s="273">
        <v>24.0</v>
      </c>
      <c r="B28" s="257" t="s">
        <v>330</v>
      </c>
      <c r="C28" s="257" t="s">
        <v>146</v>
      </c>
      <c r="D28" s="274" t="s">
        <v>339</v>
      </c>
      <c r="E28" s="264" t="s">
        <v>332</v>
      </c>
      <c r="F28" s="258">
        <v>46753.0</v>
      </c>
      <c r="G28" s="275"/>
      <c r="H28" s="260">
        <v>7500.0</v>
      </c>
      <c r="I28" s="266">
        <f>IF(AND($F28&lt;=I$2, OR($G28="",$G28&gt;=I$2)),
  $H28 * (1 + Assumptions!$C$7) ^ INT(((YEAR(I$2)-YEAR($F28))*12 + MONTH(I$2)-MONTH($F28)) / 12),
  0)</f>
        <v>0</v>
      </c>
      <c r="J28" s="266">
        <f>IF(AND($F28&lt;=J$2, OR($G28="",$G28&gt;=J$2)),
  $H28 * (1 + Assumptions!$C$7) ^ INT(((YEAR(J$2)-YEAR($F28))*12 + MONTH(J$2)-MONTH($F28)) / 12),
  0)</f>
        <v>0</v>
      </c>
      <c r="K28" s="266">
        <f>IF(AND($F28&lt;=K$2, OR($G28="",$G28&gt;=K$2)),
  $H28 * (1 + Assumptions!$C$7) ^ INT(((YEAR(K$2)-YEAR($F28))*12 + MONTH(K$2)-MONTH($F28)) / 12),
  0)</f>
        <v>0</v>
      </c>
      <c r="L28" s="266">
        <f>IF(AND($F28&lt;=L$2, OR($G28="",$G28&gt;=L$2)),
  $H28 * (1 + Assumptions!$C$7) ^ INT(((YEAR(L$2)-YEAR($F28))*12 + MONTH(L$2)-MONTH($F28)) / 12),
  0)</f>
        <v>0</v>
      </c>
      <c r="M28" s="266">
        <f>IF(AND($F28&lt;=M$2, OR($G28="",$G28&gt;=M$2)),
  $H28 * (1 + Assumptions!$C$7) ^ INT(((YEAR(M$2)-YEAR($F28))*12 + MONTH(M$2)-MONTH($F28)) / 12),
  0)</f>
        <v>0</v>
      </c>
      <c r="N28" s="266">
        <f>IF(AND($F28&lt;=N$2, OR($G28="",$G28&gt;=N$2)),
  $H28 * (1 + Assumptions!$C$7) ^ INT(((YEAR(N$2)-YEAR($F28))*12 + MONTH(N$2)-MONTH($F28)) / 12),
  0)</f>
        <v>0</v>
      </c>
      <c r="O28" s="266">
        <f>IF(AND($F28&lt;=O$2, OR($G28="",$G28&gt;=O$2)),
  $H28 * (1 + Assumptions!$C$7) ^ INT(((YEAR(O$2)-YEAR($F28))*12 + MONTH(O$2)-MONTH($F28)) / 12),
  0)</f>
        <v>0</v>
      </c>
      <c r="P28" s="266">
        <f>IF(AND($F28&lt;=P$2, OR($G28="",$G28&gt;=P$2)),
  $H28 * (1 + Assumptions!$C$7) ^ INT(((YEAR(P$2)-YEAR($F28))*12 + MONTH(P$2)-MONTH($F28)) / 12),
  0)</f>
        <v>0</v>
      </c>
      <c r="Q28" s="266">
        <f>IF(AND($F28&lt;=Q$2, OR($G28="",$G28&gt;=Q$2)),
  $H28 * (1 + Assumptions!$C$7) ^ INT(((YEAR(Q$2)-YEAR($F28))*12 + MONTH(Q$2)-MONTH($F28)) / 12),
  0)</f>
        <v>0</v>
      </c>
      <c r="R28" s="266">
        <f>IF(AND($F28&lt;=R$2, OR($G28="",$G28&gt;=R$2)),
  $H28 * (1 + Assumptions!$C$7) ^ INT(((YEAR(R$2)-YEAR($F28))*12 + MONTH(R$2)-MONTH($F28)) / 12),
  0)</f>
        <v>0</v>
      </c>
      <c r="S28" s="266">
        <f>IF(AND($F28&lt;=S$2, OR($G28="",$G28&gt;=S$2)),
  $H28 * (1 + Assumptions!$C$7) ^ INT(((YEAR(S$2)-YEAR($F28))*12 + MONTH(S$2)-MONTH($F28)) / 12),
  0)</f>
        <v>0</v>
      </c>
      <c r="T28" s="266">
        <f>IF(AND($F28&lt;=T$2, OR($G28="",$G28&gt;=T$2)),
  $H28 * (1 + Assumptions!$C$7) ^ INT(((YEAR(T$2)-YEAR($F28))*12 + MONTH(T$2)-MONTH($F28)) / 12),
  0)</f>
        <v>0</v>
      </c>
      <c r="U28" s="266">
        <f>IF(AND($F28&lt;=U$2, OR($G28="",$G28&gt;=U$2)),
  $H28 * (1 + Assumptions!$C$7) ^ INT(((YEAR(U$2)-YEAR($F28))*12 + MONTH(U$2)-MONTH($F28)) / 12),
  0)</f>
        <v>0</v>
      </c>
      <c r="V28" s="266">
        <f>IF(AND($F28&lt;=V$2, OR($G28="",$G28&gt;=V$2)),
  $H28 * (1 + Assumptions!$C$7) ^ INT(((YEAR(V$2)-YEAR($F28))*12 + MONTH(V$2)-MONTH($F28)) / 12),
  0)</f>
        <v>0</v>
      </c>
      <c r="W28" s="266">
        <f>IF(AND($F28&lt;=W$2, OR($G28="",$G28&gt;=W$2)),
  $H28 * (1 + Assumptions!$C$7) ^ INT(((YEAR(W$2)-YEAR($F28))*12 + MONTH(W$2)-MONTH($F28)) / 12),
  0)</f>
        <v>0</v>
      </c>
      <c r="X28" s="266">
        <f>IF(AND($F28&lt;=X$2, OR($G28="",$G28&gt;=X$2)),
  $H28 * (1 + Assumptions!$C$7) ^ INT(((YEAR(X$2)-YEAR($F28))*12 + MONTH(X$2)-MONTH($F28)) / 12),
  0)</f>
        <v>0</v>
      </c>
      <c r="Y28" s="266">
        <f>IF(AND($F28&lt;=Y$2, OR($G28="",$G28&gt;=Y$2)),
  $H28 * (1 + Assumptions!$C$7) ^ INT(((YEAR(Y$2)-YEAR($F28))*12 + MONTH(Y$2)-MONTH($F28)) / 12),
  0)</f>
        <v>0</v>
      </c>
      <c r="Z28" s="266">
        <f>IF(AND($F28&lt;=Z$2, OR($G28="",$G28&gt;=Z$2)),
  $H28 * (1 + Assumptions!$C$7) ^ INT(((YEAR(Z$2)-YEAR($F28))*12 + MONTH(Z$2)-MONTH($F28)) / 12),
  0)</f>
        <v>0</v>
      </c>
      <c r="AA28" s="266">
        <f>IF(AND($F28&lt;=AA$2, OR($G28="",$G28&gt;=AA$2)),
  $H28 * (1 + Assumptions!$C$7) ^ INT(((YEAR(AA$2)-YEAR($F28))*12 + MONTH(AA$2)-MONTH($F28)) / 12),
  0)</f>
        <v>0</v>
      </c>
      <c r="AB28" s="266">
        <f>IF(AND($F28&lt;=AB$2, OR($G28="",$G28&gt;=AB$2)),
  $H28 * (1 + Assumptions!$C$7) ^ INT(((YEAR(AB$2)-YEAR($F28))*12 + MONTH(AB$2)-MONTH($F28)) / 12),
  0)</f>
        <v>0</v>
      </c>
      <c r="AC28" s="266">
        <f>IF(AND($F28&lt;=AC$2, OR($G28="",$G28&gt;=AC$2)),
  $H28 * (1 + Assumptions!$C$7) ^ INT(((YEAR(AC$2)-YEAR($F28))*12 + MONTH(AC$2)-MONTH($F28)) / 12),
  0)</f>
        <v>0</v>
      </c>
      <c r="AD28" s="266">
        <f>IF(AND($F28&lt;=AD$2, OR($G28="",$G28&gt;=AD$2)),
  $H28 * (1 + Assumptions!$C$7) ^ INT(((YEAR(AD$2)-YEAR($F28))*12 + MONTH(AD$2)-MONTH($F28)) / 12),
  0)</f>
        <v>0</v>
      </c>
      <c r="AE28" s="266">
        <f>IF(AND($F28&lt;=AE$2, OR($G28="",$G28&gt;=AE$2)),
  $H28 * (1 + Assumptions!$C$7) ^ INT(((YEAR(AE$2)-YEAR($F28))*12 + MONTH(AE$2)-MONTH($F28)) / 12),
  0)</f>
        <v>0</v>
      </c>
      <c r="AF28" s="266">
        <f>IF(AND($F28&lt;=AF$2, OR($G28="",$G28&gt;=AF$2)),
  $H28 * (1 + Assumptions!$C$7) ^ INT(((YEAR(AF$2)-YEAR($F28))*12 + MONTH(AF$2)-MONTH($F28)) / 12),
  0)</f>
        <v>0</v>
      </c>
      <c r="AG28" s="266">
        <f>IF(AND($F28&lt;=AG$2, OR($G28="",$G28&gt;=AG$2)),
  $H28 * (1 + Assumptions!$C$7) ^ INT(((YEAR(AG$2)-YEAR($F28))*12 + MONTH(AG$2)-MONTH($F28)) / 12),
  0)</f>
        <v>0</v>
      </c>
      <c r="AH28" s="266">
        <f>IF(AND($F28&lt;=AH$2, OR($G28="",$G28&gt;=AH$2)),
  $H28 * (1 + Assumptions!$C$7) ^ INT(((YEAR(AH$2)-YEAR($F28))*12 + MONTH(AH$2)-MONTH($F28)) / 12),
  0)</f>
        <v>0</v>
      </c>
      <c r="AI28" s="266">
        <f>IF(AND($F28&lt;=AI$2, OR($G28="",$G28&gt;=AI$2)),
  $H28 * (1 + Assumptions!$C$7) ^ INT(((YEAR(AI$2)-YEAR($F28))*12 + MONTH(AI$2)-MONTH($F28)) / 12),
  0)</f>
        <v>0</v>
      </c>
      <c r="AJ28" s="266">
        <f>IF(AND($F28&lt;=AJ$2, OR($G28="",$G28&gt;=AJ$2)),
  $H28 * (1 + Assumptions!$C$7) ^ INT(((YEAR(AJ$2)-YEAR($F28))*12 + MONTH(AJ$2)-MONTH($F28)) / 12),
  0)</f>
        <v>0</v>
      </c>
      <c r="AK28" s="266">
        <f>IF(AND($F28&lt;=AK$2, OR($G28="",$G28&gt;=AK$2)),
  $H28 * (1 + Assumptions!$C$7) ^ INT(((YEAR(AK$2)-YEAR($F28))*12 + MONTH(AK$2)-MONTH($F28)) / 12),
  0)</f>
        <v>0</v>
      </c>
      <c r="AL28" s="266">
        <f>IF(AND($F28&lt;=AL$2, OR($G28="",$G28&gt;=AL$2)),
  $H28 * (1 + Assumptions!$C$7) ^ INT(((YEAR(AL$2)-YEAR($F28))*12 + MONTH(AL$2)-MONTH($F28)) / 12),
  0)</f>
        <v>0</v>
      </c>
      <c r="AM28" s="266">
        <f>IF(AND($F28&lt;=AM$2, OR($G28="",$G28&gt;=AM$2)),
  $H28 * (1 + Assumptions!$C$7) ^ INT(((YEAR(AM$2)-YEAR($F28))*12 + MONTH(AM$2)-MONTH($F28)) / 12),
  0)</f>
        <v>0</v>
      </c>
      <c r="AN28" s="266">
        <f>IF(AND($F28&lt;=AN$2, OR($G28="",$G28&gt;=AN$2)),
  $H28 * (1 + Assumptions!$C$7) ^ INT(((YEAR(AN$2)-YEAR($F28))*12 + MONTH(AN$2)-MONTH($F28)) / 12),
  0)</f>
        <v>0</v>
      </c>
      <c r="AO28" s="266">
        <f>IF(AND($F28&lt;=AO$2, OR($G28="",$G28&gt;=AO$2)),
  $H28 * (1 + Assumptions!$C$7) ^ INT(((YEAR(AO$2)-YEAR($F28))*12 + MONTH(AO$2)-MONTH($F28)) / 12),
  0)</f>
        <v>0</v>
      </c>
      <c r="AP28" s="266">
        <f>IF(AND($F28&lt;=AP$2, OR($G28="",$G28&gt;=AP$2)),
  $H28 * (1 + Assumptions!$C$7) ^ INT(((YEAR(AP$2)-YEAR($F28))*12 + MONTH(AP$2)-MONTH($F28)) / 12),
  0)</f>
        <v>0</v>
      </c>
      <c r="AQ28" s="266">
        <f>IF(AND($F28&lt;=AQ$2, OR($G28="",$G28&gt;=AQ$2)),
  $H28 * (1 + Assumptions!$C$7) ^ INT(((YEAR(AQ$2)-YEAR($F28))*12 + MONTH(AQ$2)-MONTH($F28)) / 12),
  0)</f>
        <v>0</v>
      </c>
      <c r="AR28" s="266">
        <f>IF(AND($F28&lt;=AR$2, OR($G28="",$G28&gt;=AR$2)),
  $H28 * (1 + Assumptions!$C$7) ^ INT(((YEAR(AR$2)-YEAR($F28))*12 + MONTH(AR$2)-MONTH($F28)) / 12),
  0)</f>
        <v>0</v>
      </c>
      <c r="AS28" s="266">
        <f>IF(AND($F28&lt;=AS$2, OR($G28="",$G28&gt;=AS$2)),
  $H28 * (1 + Assumptions!$C$7) ^ INT(((YEAR(AS$2)-YEAR($F28))*12 + MONTH(AS$2)-MONTH($F28)) / 12),
  0)</f>
        <v>7500</v>
      </c>
      <c r="AT28" s="266">
        <f>IF(AND($F28&lt;=AT$2, OR($G28="",$G28&gt;=AT$2)),
  $H28 * (1 + Assumptions!$C$7) ^ INT(((YEAR(AT$2)-YEAR($F28))*12 + MONTH(AT$2)-MONTH($F28)) / 12),
  0)</f>
        <v>7500</v>
      </c>
      <c r="AU28" s="266">
        <f>IF(AND($F28&lt;=AU$2, OR($G28="",$G28&gt;=AU$2)),
  $H28 * (1 + Assumptions!$C$7) ^ INT(((YEAR(AU$2)-YEAR($F28))*12 + MONTH(AU$2)-MONTH($F28)) / 12),
  0)</f>
        <v>7500</v>
      </c>
      <c r="AV28" s="266">
        <f>IF(AND($F28&lt;=AV$2, OR($G28="",$G28&gt;=AV$2)),
  $H28 * (1 + Assumptions!$C$7) ^ INT(((YEAR(AV$2)-YEAR($F28))*12 + MONTH(AV$2)-MONTH($F28)) / 12),
  0)</f>
        <v>7500</v>
      </c>
      <c r="AW28" s="266">
        <f>IF(AND($F28&lt;=AW$2, OR($G28="",$G28&gt;=AW$2)),
  $H28 * (1 + Assumptions!$C$7) ^ INT(((YEAR(AW$2)-YEAR($F28))*12 + MONTH(AW$2)-MONTH($F28)) / 12),
  0)</f>
        <v>7500</v>
      </c>
      <c r="AX28" s="266">
        <f>IF(AND($F28&lt;=AX$2, OR($G28="",$G28&gt;=AX$2)),
  $H28 * (1 + Assumptions!$C$7) ^ INT(((YEAR(AX$2)-YEAR($F28))*12 + MONTH(AX$2)-MONTH($F28)) / 12),
  0)</f>
        <v>7500</v>
      </c>
      <c r="AY28" s="266">
        <f>IF(AND($F28&lt;=AY$2, OR($G28="",$G28&gt;=AY$2)),
  $H28 * (1 + Assumptions!$C$7) ^ INT(((YEAR(AY$2)-YEAR($F28))*12 + MONTH(AY$2)-MONTH($F28)) / 12),
  0)</f>
        <v>7500</v>
      </c>
      <c r="AZ28" s="266">
        <f>IF(AND($F28&lt;=AZ$2, OR($G28="",$G28&gt;=AZ$2)),
  $H28 * (1 + Assumptions!$C$7) ^ INT(((YEAR(AZ$2)-YEAR($F28))*12 + MONTH(AZ$2)-MONTH($F28)) / 12),
  0)</f>
        <v>7500</v>
      </c>
      <c r="BA28" s="266">
        <f>IF(AND($F28&lt;=BA$2, OR($G28="",$G28&gt;=BA$2)),
  $H28 * (1 + Assumptions!$C$7) ^ INT(((YEAR(BA$2)-YEAR($F28))*12 + MONTH(BA$2)-MONTH($F28)) / 12),
  0)</f>
        <v>7500</v>
      </c>
      <c r="BB28" s="266">
        <f>IF(AND($F28&lt;=BB$2, OR($G28="",$G28&gt;=BB$2)),
  $H28 * (1 + Assumptions!$C$7) ^ INT(((YEAR(BB$2)-YEAR($F28))*12 + MONTH(BB$2)-MONTH($F28)) / 12),
  0)</f>
        <v>7500</v>
      </c>
      <c r="BC28" s="266">
        <f>IF(AND($F28&lt;=BC$2, OR($G28="",$G28&gt;=BC$2)),
  $H28 * (1 + Assumptions!$C$7) ^ INT(((YEAR(BC$2)-YEAR($F28))*12 + MONTH(BC$2)-MONTH($F28)) / 12),
  0)</f>
        <v>7500</v>
      </c>
      <c r="BD28" s="266">
        <f>IF(AND($F28&lt;=BD$2, OR($G28="",$G28&gt;=BD$2)),
  $H28 * (1 + Assumptions!$C$7) ^ INT(((YEAR(BD$2)-YEAR($F28))*12 + MONTH(BD$2)-MONTH($F28)) / 12),
  0)</f>
        <v>7500</v>
      </c>
      <c r="BE28" s="266">
        <f>IF(AND($F28&lt;=BE$2, OR($G28="",$G28&gt;=BE$2)),
  $H28 * (1 + Assumptions!$C$7) ^ INT(((YEAR(BE$2)-YEAR($F28))*12 + MONTH(BE$2)-MONTH($F28)) / 12),
  0)</f>
        <v>8100</v>
      </c>
      <c r="BF28" s="266">
        <f>IF(AND($F28&lt;=BF$2, OR($G28="",$G28&gt;=BF$2)),
  $H28 * (1 + Assumptions!$C$7) ^ INT(((YEAR(BF$2)-YEAR($F28))*12 + MONTH(BF$2)-MONTH($F28)) / 12),
  0)</f>
        <v>8100</v>
      </c>
      <c r="BG28" s="266">
        <f>IF(AND($F28&lt;=BG$2, OR($G28="",$G28&gt;=BG$2)),
  $H28 * (1 + Assumptions!$C$7) ^ INT(((YEAR(BG$2)-YEAR($F28))*12 + MONTH(BG$2)-MONTH($F28)) / 12),
  0)</f>
        <v>8100</v>
      </c>
      <c r="BH28" s="266">
        <f>IF(AND($F28&lt;=BH$2, OR($G28="",$G28&gt;=BH$2)),
  $H28 * (1 + Assumptions!$C$7) ^ INT(((YEAR(BH$2)-YEAR($F28))*12 + MONTH(BH$2)-MONTH($F28)) / 12),
  0)</f>
        <v>8100</v>
      </c>
      <c r="BI28" s="266">
        <f>IF(AND($F28&lt;=BI$2, OR($G28="",$G28&gt;=BI$2)),
  $H28 * (1 + Assumptions!$C$7) ^ INT(((YEAR(BI$2)-YEAR($F28))*12 + MONTH(BI$2)-MONTH($F28)) / 12),
  0)</f>
        <v>8100</v>
      </c>
      <c r="BJ28" s="266">
        <f>IF(AND($F28&lt;=BJ$2, OR($G28="",$G28&gt;=BJ$2)),
  $H28 * (1 + Assumptions!$C$7) ^ INT(((YEAR(BJ$2)-YEAR($F28))*12 + MONTH(BJ$2)-MONTH($F28)) / 12),
  0)</f>
        <v>8100</v>
      </c>
      <c r="BK28" s="266">
        <f>IF(AND($F28&lt;=BK$2, OR($G28="",$G28&gt;=BK$2)),
  $H28 * (1 + Assumptions!$C$7) ^ INT(((YEAR(BK$2)-YEAR($F28))*12 + MONTH(BK$2)-MONTH($F28)) / 12),
  0)</f>
        <v>8100</v>
      </c>
      <c r="BL28" s="266">
        <f>IF(AND($F28&lt;=BL$2, OR($G28="",$G28&gt;=BL$2)),
  $H28 * (1 + Assumptions!$C$7) ^ INT(((YEAR(BL$2)-YEAR($F28))*12 + MONTH(BL$2)-MONTH($F28)) / 12),
  0)</f>
        <v>8100</v>
      </c>
      <c r="BM28" s="266">
        <f>IF(AND($F28&lt;=BM$2, OR($G28="",$G28&gt;=BM$2)),
  $H28 * (1 + Assumptions!$C$7) ^ INT(((YEAR(BM$2)-YEAR($F28))*12 + MONTH(BM$2)-MONTH($F28)) / 12),
  0)</f>
        <v>8100</v>
      </c>
      <c r="BN28" s="266">
        <f>IF(AND($F28&lt;=BN$2, OR($G28="",$G28&gt;=BN$2)),
  $H28 * (1 + Assumptions!$C$7) ^ INT(((YEAR(BN$2)-YEAR($F28))*12 + MONTH(BN$2)-MONTH($F28)) / 12),
  0)</f>
        <v>8100</v>
      </c>
      <c r="BO28" s="266">
        <f>IF(AND($F28&lt;=BO$2, OR($G28="",$G28&gt;=BO$2)),
  $H28 * (1 + Assumptions!$C$7) ^ INT(((YEAR(BO$2)-YEAR($F28))*12 + MONTH(BO$2)-MONTH($F28)) / 12),
  0)</f>
        <v>8100</v>
      </c>
      <c r="BP28" s="266">
        <f>IF(AND($F28&lt;=BP$2, OR($G28="",$G28&gt;=BP$2)),
  $H28 * (1 + Assumptions!$C$7) ^ INT(((YEAR(BP$2)-YEAR($F28))*12 + MONTH(BP$2)-MONTH($F28)) / 12),
  0)</f>
        <v>8100</v>
      </c>
      <c r="BQ28" s="27"/>
    </row>
    <row r="29" ht="15.75" customHeight="1">
      <c r="A29" s="273">
        <v>25.0</v>
      </c>
      <c r="B29" s="257" t="s">
        <v>330</v>
      </c>
      <c r="C29" s="257" t="s">
        <v>146</v>
      </c>
      <c r="D29" s="69" t="s">
        <v>335</v>
      </c>
      <c r="E29" s="264" t="s">
        <v>332</v>
      </c>
      <c r="F29" s="258">
        <v>46753.0</v>
      </c>
      <c r="G29" s="275"/>
      <c r="H29" s="260">
        <v>7500.0</v>
      </c>
      <c r="I29" s="266">
        <f>IF(AND($F29&lt;=I$2, OR($G29="",$G29&gt;=I$2)),
  $H29 * (1 + Assumptions!$C$7) ^ INT(((YEAR(I$2)-YEAR($F29))*12 + MONTH(I$2)-MONTH($F29)) / 12),
  0)</f>
        <v>0</v>
      </c>
      <c r="J29" s="266">
        <f>IF(AND($F29&lt;=J$2, OR($G29="",$G29&gt;=J$2)),
  $H29 * (1 + Assumptions!$C$7) ^ INT(((YEAR(J$2)-YEAR($F29))*12 + MONTH(J$2)-MONTH($F29)) / 12),
  0)</f>
        <v>0</v>
      </c>
      <c r="K29" s="266">
        <f>IF(AND($F29&lt;=K$2, OR($G29="",$G29&gt;=K$2)),
  $H29 * (1 + Assumptions!$C$7) ^ INT(((YEAR(K$2)-YEAR($F29))*12 + MONTH(K$2)-MONTH($F29)) / 12),
  0)</f>
        <v>0</v>
      </c>
      <c r="L29" s="266">
        <f>IF(AND($F29&lt;=L$2, OR($G29="",$G29&gt;=L$2)),
  $H29 * (1 + Assumptions!$C$7) ^ INT(((YEAR(L$2)-YEAR($F29))*12 + MONTH(L$2)-MONTH($F29)) / 12),
  0)</f>
        <v>0</v>
      </c>
      <c r="M29" s="266">
        <f>IF(AND($F29&lt;=M$2, OR($G29="",$G29&gt;=M$2)),
  $H29 * (1 + Assumptions!$C$7) ^ INT(((YEAR(M$2)-YEAR($F29))*12 + MONTH(M$2)-MONTH($F29)) / 12),
  0)</f>
        <v>0</v>
      </c>
      <c r="N29" s="266">
        <f>IF(AND($F29&lt;=N$2, OR($G29="",$G29&gt;=N$2)),
  $H29 * (1 + Assumptions!$C$7) ^ INT(((YEAR(N$2)-YEAR($F29))*12 + MONTH(N$2)-MONTH($F29)) / 12),
  0)</f>
        <v>0</v>
      </c>
      <c r="O29" s="266">
        <f>IF(AND($F29&lt;=O$2, OR($G29="",$G29&gt;=O$2)),
  $H29 * (1 + Assumptions!$C$7) ^ INT(((YEAR(O$2)-YEAR($F29))*12 + MONTH(O$2)-MONTH($F29)) / 12),
  0)</f>
        <v>0</v>
      </c>
      <c r="P29" s="266">
        <f>IF(AND($F29&lt;=P$2, OR($G29="",$G29&gt;=P$2)),
  $H29 * (1 + Assumptions!$C$7) ^ INT(((YEAR(P$2)-YEAR($F29))*12 + MONTH(P$2)-MONTH($F29)) / 12),
  0)</f>
        <v>0</v>
      </c>
      <c r="Q29" s="266">
        <f>IF(AND($F29&lt;=Q$2, OR($G29="",$G29&gt;=Q$2)),
  $H29 * (1 + Assumptions!$C$7) ^ INT(((YEAR(Q$2)-YEAR($F29))*12 + MONTH(Q$2)-MONTH($F29)) / 12),
  0)</f>
        <v>0</v>
      </c>
      <c r="R29" s="266">
        <f>IF(AND($F29&lt;=R$2, OR($G29="",$G29&gt;=R$2)),
  $H29 * (1 + Assumptions!$C$7) ^ INT(((YEAR(R$2)-YEAR($F29))*12 + MONTH(R$2)-MONTH($F29)) / 12),
  0)</f>
        <v>0</v>
      </c>
      <c r="S29" s="266">
        <f>IF(AND($F29&lt;=S$2, OR($G29="",$G29&gt;=S$2)),
  $H29 * (1 + Assumptions!$C$7) ^ INT(((YEAR(S$2)-YEAR($F29))*12 + MONTH(S$2)-MONTH($F29)) / 12),
  0)</f>
        <v>0</v>
      </c>
      <c r="T29" s="266">
        <f>IF(AND($F29&lt;=T$2, OR($G29="",$G29&gt;=T$2)),
  $H29 * (1 + Assumptions!$C$7) ^ INT(((YEAR(T$2)-YEAR($F29))*12 + MONTH(T$2)-MONTH($F29)) / 12),
  0)</f>
        <v>0</v>
      </c>
      <c r="U29" s="266">
        <f>IF(AND($F29&lt;=U$2, OR($G29="",$G29&gt;=U$2)),
  $H29 * (1 + Assumptions!$C$7) ^ INT(((YEAR(U$2)-YEAR($F29))*12 + MONTH(U$2)-MONTH($F29)) / 12),
  0)</f>
        <v>0</v>
      </c>
      <c r="V29" s="266">
        <f>IF(AND($F29&lt;=V$2, OR($G29="",$G29&gt;=V$2)),
  $H29 * (1 + Assumptions!$C$7) ^ INT(((YEAR(V$2)-YEAR($F29))*12 + MONTH(V$2)-MONTH($F29)) / 12),
  0)</f>
        <v>0</v>
      </c>
      <c r="W29" s="266">
        <f>IF(AND($F29&lt;=W$2, OR($G29="",$G29&gt;=W$2)),
  $H29 * (1 + Assumptions!$C$7) ^ INT(((YEAR(W$2)-YEAR($F29))*12 + MONTH(W$2)-MONTH($F29)) / 12),
  0)</f>
        <v>0</v>
      </c>
      <c r="X29" s="266">
        <f>IF(AND($F29&lt;=X$2, OR($G29="",$G29&gt;=X$2)),
  $H29 * (1 + Assumptions!$C$7) ^ INT(((YEAR(X$2)-YEAR($F29))*12 + MONTH(X$2)-MONTH($F29)) / 12),
  0)</f>
        <v>0</v>
      </c>
      <c r="Y29" s="266">
        <f>IF(AND($F29&lt;=Y$2, OR($G29="",$G29&gt;=Y$2)),
  $H29 * (1 + Assumptions!$C$7) ^ INT(((YEAR(Y$2)-YEAR($F29))*12 + MONTH(Y$2)-MONTH($F29)) / 12),
  0)</f>
        <v>0</v>
      </c>
      <c r="Z29" s="266">
        <f>IF(AND($F29&lt;=Z$2, OR($G29="",$G29&gt;=Z$2)),
  $H29 * (1 + Assumptions!$C$7) ^ INT(((YEAR(Z$2)-YEAR($F29))*12 + MONTH(Z$2)-MONTH($F29)) / 12),
  0)</f>
        <v>0</v>
      </c>
      <c r="AA29" s="266">
        <f>IF(AND($F29&lt;=AA$2, OR($G29="",$G29&gt;=AA$2)),
  $H29 * (1 + Assumptions!$C$7) ^ INT(((YEAR(AA$2)-YEAR($F29))*12 + MONTH(AA$2)-MONTH($F29)) / 12),
  0)</f>
        <v>0</v>
      </c>
      <c r="AB29" s="266">
        <f>IF(AND($F29&lt;=AB$2, OR($G29="",$G29&gt;=AB$2)),
  $H29 * (1 + Assumptions!$C$7) ^ INT(((YEAR(AB$2)-YEAR($F29))*12 + MONTH(AB$2)-MONTH($F29)) / 12),
  0)</f>
        <v>0</v>
      </c>
      <c r="AC29" s="266">
        <f>IF(AND($F29&lt;=AC$2, OR($G29="",$G29&gt;=AC$2)),
  $H29 * (1 + Assumptions!$C$7) ^ INT(((YEAR(AC$2)-YEAR($F29))*12 + MONTH(AC$2)-MONTH($F29)) / 12),
  0)</f>
        <v>0</v>
      </c>
      <c r="AD29" s="266">
        <f>IF(AND($F29&lt;=AD$2, OR($G29="",$G29&gt;=AD$2)),
  $H29 * (1 + Assumptions!$C$7) ^ INT(((YEAR(AD$2)-YEAR($F29))*12 + MONTH(AD$2)-MONTH($F29)) / 12),
  0)</f>
        <v>0</v>
      </c>
      <c r="AE29" s="266">
        <f>IF(AND($F29&lt;=AE$2, OR($G29="",$G29&gt;=AE$2)),
  $H29 * (1 + Assumptions!$C$7) ^ INT(((YEAR(AE$2)-YEAR($F29))*12 + MONTH(AE$2)-MONTH($F29)) / 12),
  0)</f>
        <v>0</v>
      </c>
      <c r="AF29" s="266">
        <f>IF(AND($F29&lt;=AF$2, OR($G29="",$G29&gt;=AF$2)),
  $H29 * (1 + Assumptions!$C$7) ^ INT(((YEAR(AF$2)-YEAR($F29))*12 + MONTH(AF$2)-MONTH($F29)) / 12),
  0)</f>
        <v>0</v>
      </c>
      <c r="AG29" s="266">
        <f>IF(AND($F29&lt;=AG$2, OR($G29="",$G29&gt;=AG$2)),
  $H29 * (1 + Assumptions!$C$7) ^ INT(((YEAR(AG$2)-YEAR($F29))*12 + MONTH(AG$2)-MONTH($F29)) / 12),
  0)</f>
        <v>0</v>
      </c>
      <c r="AH29" s="266">
        <f>IF(AND($F29&lt;=AH$2, OR($G29="",$G29&gt;=AH$2)),
  $H29 * (1 + Assumptions!$C$7) ^ INT(((YEAR(AH$2)-YEAR($F29))*12 + MONTH(AH$2)-MONTH($F29)) / 12),
  0)</f>
        <v>0</v>
      </c>
      <c r="AI29" s="266">
        <f>IF(AND($F29&lt;=AI$2, OR($G29="",$G29&gt;=AI$2)),
  $H29 * (1 + Assumptions!$C$7) ^ INT(((YEAR(AI$2)-YEAR($F29))*12 + MONTH(AI$2)-MONTH($F29)) / 12),
  0)</f>
        <v>0</v>
      </c>
      <c r="AJ29" s="266">
        <f>IF(AND($F29&lt;=AJ$2, OR($G29="",$G29&gt;=AJ$2)),
  $H29 * (1 + Assumptions!$C$7) ^ INT(((YEAR(AJ$2)-YEAR($F29))*12 + MONTH(AJ$2)-MONTH($F29)) / 12),
  0)</f>
        <v>0</v>
      </c>
      <c r="AK29" s="266">
        <f>IF(AND($F29&lt;=AK$2, OR($G29="",$G29&gt;=AK$2)),
  $H29 * (1 + Assumptions!$C$7) ^ INT(((YEAR(AK$2)-YEAR($F29))*12 + MONTH(AK$2)-MONTH($F29)) / 12),
  0)</f>
        <v>0</v>
      </c>
      <c r="AL29" s="266">
        <f>IF(AND($F29&lt;=AL$2, OR($G29="",$G29&gt;=AL$2)),
  $H29 * (1 + Assumptions!$C$7) ^ INT(((YEAR(AL$2)-YEAR($F29))*12 + MONTH(AL$2)-MONTH($F29)) / 12),
  0)</f>
        <v>0</v>
      </c>
      <c r="AM29" s="266">
        <f>IF(AND($F29&lt;=AM$2, OR($G29="",$G29&gt;=AM$2)),
  $H29 * (1 + Assumptions!$C$7) ^ INT(((YEAR(AM$2)-YEAR($F29))*12 + MONTH(AM$2)-MONTH($F29)) / 12),
  0)</f>
        <v>0</v>
      </c>
      <c r="AN29" s="266">
        <f>IF(AND($F29&lt;=AN$2, OR($G29="",$G29&gt;=AN$2)),
  $H29 * (1 + Assumptions!$C$7) ^ INT(((YEAR(AN$2)-YEAR($F29))*12 + MONTH(AN$2)-MONTH($F29)) / 12),
  0)</f>
        <v>0</v>
      </c>
      <c r="AO29" s="266">
        <f>IF(AND($F29&lt;=AO$2, OR($G29="",$G29&gt;=AO$2)),
  $H29 * (1 + Assumptions!$C$7) ^ INT(((YEAR(AO$2)-YEAR($F29))*12 + MONTH(AO$2)-MONTH($F29)) / 12),
  0)</f>
        <v>0</v>
      </c>
      <c r="AP29" s="266">
        <f>IF(AND($F29&lt;=AP$2, OR($G29="",$G29&gt;=AP$2)),
  $H29 * (1 + Assumptions!$C$7) ^ INT(((YEAR(AP$2)-YEAR($F29))*12 + MONTH(AP$2)-MONTH($F29)) / 12),
  0)</f>
        <v>0</v>
      </c>
      <c r="AQ29" s="266">
        <f>IF(AND($F29&lt;=AQ$2, OR($G29="",$G29&gt;=AQ$2)),
  $H29 * (1 + Assumptions!$C$7) ^ INT(((YEAR(AQ$2)-YEAR($F29))*12 + MONTH(AQ$2)-MONTH($F29)) / 12),
  0)</f>
        <v>0</v>
      </c>
      <c r="AR29" s="266">
        <f>IF(AND($F29&lt;=AR$2, OR($G29="",$G29&gt;=AR$2)),
  $H29 * (1 + Assumptions!$C$7) ^ INT(((YEAR(AR$2)-YEAR($F29))*12 + MONTH(AR$2)-MONTH($F29)) / 12),
  0)</f>
        <v>0</v>
      </c>
      <c r="AS29" s="266">
        <f>IF(AND($F29&lt;=AS$2, OR($G29="",$G29&gt;=AS$2)),
  $H29 * (1 + Assumptions!$C$7) ^ INT(((YEAR(AS$2)-YEAR($F29))*12 + MONTH(AS$2)-MONTH($F29)) / 12),
  0)</f>
        <v>7500</v>
      </c>
      <c r="AT29" s="266">
        <f>IF(AND($F29&lt;=AT$2, OR($G29="",$G29&gt;=AT$2)),
  $H29 * (1 + Assumptions!$C$7) ^ INT(((YEAR(AT$2)-YEAR($F29))*12 + MONTH(AT$2)-MONTH($F29)) / 12),
  0)</f>
        <v>7500</v>
      </c>
      <c r="AU29" s="266">
        <f>IF(AND($F29&lt;=AU$2, OR($G29="",$G29&gt;=AU$2)),
  $H29 * (1 + Assumptions!$C$7) ^ INT(((YEAR(AU$2)-YEAR($F29))*12 + MONTH(AU$2)-MONTH($F29)) / 12),
  0)</f>
        <v>7500</v>
      </c>
      <c r="AV29" s="266">
        <f>IF(AND($F29&lt;=AV$2, OR($G29="",$G29&gt;=AV$2)),
  $H29 * (1 + Assumptions!$C$7) ^ INT(((YEAR(AV$2)-YEAR($F29))*12 + MONTH(AV$2)-MONTH($F29)) / 12),
  0)</f>
        <v>7500</v>
      </c>
      <c r="AW29" s="266">
        <f>IF(AND($F29&lt;=AW$2, OR($G29="",$G29&gt;=AW$2)),
  $H29 * (1 + Assumptions!$C$7) ^ INT(((YEAR(AW$2)-YEAR($F29))*12 + MONTH(AW$2)-MONTH($F29)) / 12),
  0)</f>
        <v>7500</v>
      </c>
      <c r="AX29" s="266">
        <f>IF(AND($F29&lt;=AX$2, OR($G29="",$G29&gt;=AX$2)),
  $H29 * (1 + Assumptions!$C$7) ^ INT(((YEAR(AX$2)-YEAR($F29))*12 + MONTH(AX$2)-MONTH($F29)) / 12),
  0)</f>
        <v>7500</v>
      </c>
      <c r="AY29" s="266">
        <f>IF(AND($F29&lt;=AY$2, OR($G29="",$G29&gt;=AY$2)),
  $H29 * (1 + Assumptions!$C$7) ^ INT(((YEAR(AY$2)-YEAR($F29))*12 + MONTH(AY$2)-MONTH($F29)) / 12),
  0)</f>
        <v>7500</v>
      </c>
      <c r="AZ29" s="266">
        <f>IF(AND($F29&lt;=AZ$2, OR($G29="",$G29&gt;=AZ$2)),
  $H29 * (1 + Assumptions!$C$7) ^ INT(((YEAR(AZ$2)-YEAR($F29))*12 + MONTH(AZ$2)-MONTH($F29)) / 12),
  0)</f>
        <v>7500</v>
      </c>
      <c r="BA29" s="266">
        <f>IF(AND($F29&lt;=BA$2, OR($G29="",$G29&gt;=BA$2)),
  $H29 * (1 + Assumptions!$C$7) ^ INT(((YEAR(BA$2)-YEAR($F29))*12 + MONTH(BA$2)-MONTH($F29)) / 12),
  0)</f>
        <v>7500</v>
      </c>
      <c r="BB29" s="266">
        <f>IF(AND($F29&lt;=BB$2, OR($G29="",$G29&gt;=BB$2)),
  $H29 * (1 + Assumptions!$C$7) ^ INT(((YEAR(BB$2)-YEAR($F29))*12 + MONTH(BB$2)-MONTH($F29)) / 12),
  0)</f>
        <v>7500</v>
      </c>
      <c r="BC29" s="266">
        <f>IF(AND($F29&lt;=BC$2, OR($G29="",$G29&gt;=BC$2)),
  $H29 * (1 + Assumptions!$C$7) ^ INT(((YEAR(BC$2)-YEAR($F29))*12 + MONTH(BC$2)-MONTH($F29)) / 12),
  0)</f>
        <v>7500</v>
      </c>
      <c r="BD29" s="266">
        <f>IF(AND($F29&lt;=BD$2, OR($G29="",$G29&gt;=BD$2)),
  $H29 * (1 + Assumptions!$C$7) ^ INT(((YEAR(BD$2)-YEAR($F29))*12 + MONTH(BD$2)-MONTH($F29)) / 12),
  0)</f>
        <v>7500</v>
      </c>
      <c r="BE29" s="266">
        <f>IF(AND($F29&lt;=BE$2, OR($G29="",$G29&gt;=BE$2)),
  $H29 * (1 + Assumptions!$C$7) ^ INT(((YEAR(BE$2)-YEAR($F29))*12 + MONTH(BE$2)-MONTH($F29)) / 12),
  0)</f>
        <v>8100</v>
      </c>
      <c r="BF29" s="266">
        <f>IF(AND($F29&lt;=BF$2, OR($G29="",$G29&gt;=BF$2)),
  $H29 * (1 + Assumptions!$C$7) ^ INT(((YEAR(BF$2)-YEAR($F29))*12 + MONTH(BF$2)-MONTH($F29)) / 12),
  0)</f>
        <v>8100</v>
      </c>
      <c r="BG29" s="266">
        <f>IF(AND($F29&lt;=BG$2, OR($G29="",$G29&gt;=BG$2)),
  $H29 * (1 + Assumptions!$C$7) ^ INT(((YEAR(BG$2)-YEAR($F29))*12 + MONTH(BG$2)-MONTH($F29)) / 12),
  0)</f>
        <v>8100</v>
      </c>
      <c r="BH29" s="266">
        <f>IF(AND($F29&lt;=BH$2, OR($G29="",$G29&gt;=BH$2)),
  $H29 * (1 + Assumptions!$C$7) ^ INT(((YEAR(BH$2)-YEAR($F29))*12 + MONTH(BH$2)-MONTH($F29)) / 12),
  0)</f>
        <v>8100</v>
      </c>
      <c r="BI29" s="266">
        <f>IF(AND($F29&lt;=BI$2, OR($G29="",$G29&gt;=BI$2)),
  $H29 * (1 + Assumptions!$C$7) ^ INT(((YEAR(BI$2)-YEAR($F29))*12 + MONTH(BI$2)-MONTH($F29)) / 12),
  0)</f>
        <v>8100</v>
      </c>
      <c r="BJ29" s="266">
        <f>IF(AND($F29&lt;=BJ$2, OR($G29="",$G29&gt;=BJ$2)),
  $H29 * (1 + Assumptions!$C$7) ^ INT(((YEAR(BJ$2)-YEAR($F29))*12 + MONTH(BJ$2)-MONTH($F29)) / 12),
  0)</f>
        <v>8100</v>
      </c>
      <c r="BK29" s="266">
        <f>IF(AND($F29&lt;=BK$2, OR($G29="",$G29&gt;=BK$2)),
  $H29 * (1 + Assumptions!$C$7) ^ INT(((YEAR(BK$2)-YEAR($F29))*12 + MONTH(BK$2)-MONTH($F29)) / 12),
  0)</f>
        <v>8100</v>
      </c>
      <c r="BL29" s="266">
        <f>IF(AND($F29&lt;=BL$2, OR($G29="",$G29&gt;=BL$2)),
  $H29 * (1 + Assumptions!$C$7) ^ INT(((YEAR(BL$2)-YEAR($F29))*12 + MONTH(BL$2)-MONTH($F29)) / 12),
  0)</f>
        <v>8100</v>
      </c>
      <c r="BM29" s="266">
        <f>IF(AND($F29&lt;=BM$2, OR($G29="",$G29&gt;=BM$2)),
  $H29 * (1 + Assumptions!$C$7) ^ INT(((YEAR(BM$2)-YEAR($F29))*12 + MONTH(BM$2)-MONTH($F29)) / 12),
  0)</f>
        <v>8100</v>
      </c>
      <c r="BN29" s="266">
        <f>IF(AND($F29&lt;=BN$2, OR($G29="",$G29&gt;=BN$2)),
  $H29 * (1 + Assumptions!$C$7) ^ INT(((YEAR(BN$2)-YEAR($F29))*12 + MONTH(BN$2)-MONTH($F29)) / 12),
  0)</f>
        <v>8100</v>
      </c>
      <c r="BO29" s="266">
        <f>IF(AND($F29&lt;=BO$2, OR($G29="",$G29&gt;=BO$2)),
  $H29 * (1 + Assumptions!$C$7) ^ INT(((YEAR(BO$2)-YEAR($F29))*12 + MONTH(BO$2)-MONTH($F29)) / 12),
  0)</f>
        <v>8100</v>
      </c>
      <c r="BP29" s="266">
        <f>IF(AND($F29&lt;=BP$2, OR($G29="",$G29&gt;=BP$2)),
  $H29 * (1 + Assumptions!$C$7) ^ INT(((YEAR(BP$2)-YEAR($F29))*12 + MONTH(BP$2)-MONTH($F29)) / 12),
  0)</f>
        <v>8100</v>
      </c>
      <c r="BQ29" s="27"/>
    </row>
    <row r="30" ht="15.75" customHeight="1">
      <c r="A30" s="273">
        <v>26.0</v>
      </c>
      <c r="B30" s="257" t="s">
        <v>330</v>
      </c>
      <c r="C30" s="257" t="s">
        <v>146</v>
      </c>
      <c r="D30" s="273" t="s">
        <v>336</v>
      </c>
      <c r="E30" s="264" t="s">
        <v>332</v>
      </c>
      <c r="F30" s="258">
        <v>46754.0</v>
      </c>
      <c r="G30" s="275"/>
      <c r="H30" s="260">
        <v>7500.0</v>
      </c>
      <c r="I30" s="266">
        <f>IF(AND($F30&lt;=I$2, OR($G30="",$G30&gt;=I$2)),
  $H30 * (1 + Assumptions!$C$7) ^ INT(((YEAR(I$2)-YEAR($F30))*12 + MONTH(I$2)-MONTH($F30)) / 12),
  0)</f>
        <v>0</v>
      </c>
      <c r="J30" s="266">
        <f>IF(AND($F30&lt;=J$2, OR($G30="",$G30&gt;=J$2)),
  $H30 * (1 + Assumptions!$C$7) ^ INT(((YEAR(J$2)-YEAR($F30))*12 + MONTH(J$2)-MONTH($F30)) / 12),
  0)</f>
        <v>0</v>
      </c>
      <c r="K30" s="266">
        <f>IF(AND($F30&lt;=K$2, OR($G30="",$G30&gt;=K$2)),
  $H30 * (1 + Assumptions!$C$7) ^ INT(((YEAR(K$2)-YEAR($F30))*12 + MONTH(K$2)-MONTH($F30)) / 12),
  0)</f>
        <v>0</v>
      </c>
      <c r="L30" s="266">
        <f>IF(AND($F30&lt;=L$2, OR($G30="",$G30&gt;=L$2)),
  $H30 * (1 + Assumptions!$C$7) ^ INT(((YEAR(L$2)-YEAR($F30))*12 + MONTH(L$2)-MONTH($F30)) / 12),
  0)</f>
        <v>0</v>
      </c>
      <c r="M30" s="266">
        <f>IF(AND($F30&lt;=M$2, OR($G30="",$G30&gt;=M$2)),
  $H30 * (1 + Assumptions!$C$7) ^ INT(((YEAR(M$2)-YEAR($F30))*12 + MONTH(M$2)-MONTH($F30)) / 12),
  0)</f>
        <v>0</v>
      </c>
      <c r="N30" s="266">
        <f>IF(AND($F30&lt;=N$2, OR($G30="",$G30&gt;=N$2)),
  $H30 * (1 + Assumptions!$C$7) ^ INT(((YEAR(N$2)-YEAR($F30))*12 + MONTH(N$2)-MONTH($F30)) / 12),
  0)</f>
        <v>0</v>
      </c>
      <c r="O30" s="266">
        <f>IF(AND($F30&lt;=O$2, OR($G30="",$G30&gt;=O$2)),
  $H30 * (1 + Assumptions!$C$7) ^ INT(((YEAR(O$2)-YEAR($F30))*12 + MONTH(O$2)-MONTH($F30)) / 12),
  0)</f>
        <v>0</v>
      </c>
      <c r="P30" s="266">
        <f>IF(AND($F30&lt;=P$2, OR($G30="",$G30&gt;=P$2)),
  $H30 * (1 + Assumptions!$C$7) ^ INT(((YEAR(P$2)-YEAR($F30))*12 + MONTH(P$2)-MONTH($F30)) / 12),
  0)</f>
        <v>0</v>
      </c>
      <c r="Q30" s="266">
        <f>IF(AND($F30&lt;=Q$2, OR($G30="",$G30&gt;=Q$2)),
  $H30 * (1 + Assumptions!$C$7) ^ INT(((YEAR(Q$2)-YEAR($F30))*12 + MONTH(Q$2)-MONTH($F30)) / 12),
  0)</f>
        <v>0</v>
      </c>
      <c r="R30" s="266">
        <f>IF(AND($F30&lt;=R$2, OR($G30="",$G30&gt;=R$2)),
  $H30 * (1 + Assumptions!$C$7) ^ INT(((YEAR(R$2)-YEAR($F30))*12 + MONTH(R$2)-MONTH($F30)) / 12),
  0)</f>
        <v>0</v>
      </c>
      <c r="S30" s="266">
        <f>IF(AND($F30&lt;=S$2, OR($G30="",$G30&gt;=S$2)),
  $H30 * (1 + Assumptions!$C$7) ^ INT(((YEAR(S$2)-YEAR($F30))*12 + MONTH(S$2)-MONTH($F30)) / 12),
  0)</f>
        <v>0</v>
      </c>
      <c r="T30" s="266">
        <f>IF(AND($F30&lt;=T$2, OR($G30="",$G30&gt;=T$2)),
  $H30 * (1 + Assumptions!$C$7) ^ INT(((YEAR(T$2)-YEAR($F30))*12 + MONTH(T$2)-MONTH($F30)) / 12),
  0)</f>
        <v>0</v>
      </c>
      <c r="U30" s="266">
        <f>IF(AND($F30&lt;=U$2, OR($G30="",$G30&gt;=U$2)),
  $H30 * (1 + Assumptions!$C$7) ^ INT(((YEAR(U$2)-YEAR($F30))*12 + MONTH(U$2)-MONTH($F30)) / 12),
  0)</f>
        <v>0</v>
      </c>
      <c r="V30" s="266">
        <f>IF(AND($F30&lt;=V$2, OR($G30="",$G30&gt;=V$2)),
  $H30 * (1 + Assumptions!$C$7) ^ INT(((YEAR(V$2)-YEAR($F30))*12 + MONTH(V$2)-MONTH($F30)) / 12),
  0)</f>
        <v>0</v>
      </c>
      <c r="W30" s="266">
        <f>IF(AND($F30&lt;=W$2, OR($G30="",$G30&gt;=W$2)),
  $H30 * (1 + Assumptions!$C$7) ^ INT(((YEAR(W$2)-YEAR($F30))*12 + MONTH(W$2)-MONTH($F30)) / 12),
  0)</f>
        <v>0</v>
      </c>
      <c r="X30" s="266">
        <f>IF(AND($F30&lt;=X$2, OR($G30="",$G30&gt;=X$2)),
  $H30 * (1 + Assumptions!$C$7) ^ INT(((YEAR(X$2)-YEAR($F30))*12 + MONTH(X$2)-MONTH($F30)) / 12),
  0)</f>
        <v>0</v>
      </c>
      <c r="Y30" s="266">
        <f>IF(AND($F30&lt;=Y$2, OR($G30="",$G30&gt;=Y$2)),
  $H30 * (1 + Assumptions!$C$7) ^ INT(((YEAR(Y$2)-YEAR($F30))*12 + MONTH(Y$2)-MONTH($F30)) / 12),
  0)</f>
        <v>0</v>
      </c>
      <c r="Z30" s="266">
        <f>IF(AND($F30&lt;=Z$2, OR($G30="",$G30&gt;=Z$2)),
  $H30 * (1 + Assumptions!$C$7) ^ INT(((YEAR(Z$2)-YEAR($F30))*12 + MONTH(Z$2)-MONTH($F30)) / 12),
  0)</f>
        <v>0</v>
      </c>
      <c r="AA30" s="266">
        <f>IF(AND($F30&lt;=AA$2, OR($G30="",$G30&gt;=AA$2)),
  $H30 * (1 + Assumptions!$C$7) ^ INT(((YEAR(AA$2)-YEAR($F30))*12 + MONTH(AA$2)-MONTH($F30)) / 12),
  0)</f>
        <v>0</v>
      </c>
      <c r="AB30" s="266">
        <f>IF(AND($F30&lt;=AB$2, OR($G30="",$G30&gt;=AB$2)),
  $H30 * (1 + Assumptions!$C$7) ^ INT(((YEAR(AB$2)-YEAR($F30))*12 + MONTH(AB$2)-MONTH($F30)) / 12),
  0)</f>
        <v>0</v>
      </c>
      <c r="AC30" s="266">
        <f>IF(AND($F30&lt;=AC$2, OR($G30="",$G30&gt;=AC$2)),
  $H30 * (1 + Assumptions!$C$7) ^ INT(((YEAR(AC$2)-YEAR($F30))*12 + MONTH(AC$2)-MONTH($F30)) / 12),
  0)</f>
        <v>0</v>
      </c>
      <c r="AD30" s="266">
        <f>IF(AND($F30&lt;=AD$2, OR($G30="",$G30&gt;=AD$2)),
  $H30 * (1 + Assumptions!$C$7) ^ INT(((YEAR(AD$2)-YEAR($F30))*12 + MONTH(AD$2)-MONTH($F30)) / 12),
  0)</f>
        <v>0</v>
      </c>
      <c r="AE30" s="266">
        <f>IF(AND($F30&lt;=AE$2, OR($G30="",$G30&gt;=AE$2)),
  $H30 * (1 + Assumptions!$C$7) ^ INT(((YEAR(AE$2)-YEAR($F30))*12 + MONTH(AE$2)-MONTH($F30)) / 12),
  0)</f>
        <v>0</v>
      </c>
      <c r="AF30" s="266">
        <f>IF(AND($F30&lt;=AF$2, OR($G30="",$G30&gt;=AF$2)),
  $H30 * (1 + Assumptions!$C$7) ^ INT(((YEAR(AF$2)-YEAR($F30))*12 + MONTH(AF$2)-MONTH($F30)) / 12),
  0)</f>
        <v>0</v>
      </c>
      <c r="AG30" s="266">
        <f>IF(AND($F30&lt;=AG$2, OR($G30="",$G30&gt;=AG$2)),
  $H30 * (1 + Assumptions!$C$7) ^ INT(((YEAR(AG$2)-YEAR($F30))*12 + MONTH(AG$2)-MONTH($F30)) / 12),
  0)</f>
        <v>0</v>
      </c>
      <c r="AH30" s="266">
        <f>IF(AND($F30&lt;=AH$2, OR($G30="",$G30&gt;=AH$2)),
  $H30 * (1 + Assumptions!$C$7) ^ INT(((YEAR(AH$2)-YEAR($F30))*12 + MONTH(AH$2)-MONTH($F30)) / 12),
  0)</f>
        <v>0</v>
      </c>
      <c r="AI30" s="266">
        <f>IF(AND($F30&lt;=AI$2, OR($G30="",$G30&gt;=AI$2)),
  $H30 * (1 + Assumptions!$C$7) ^ INT(((YEAR(AI$2)-YEAR($F30))*12 + MONTH(AI$2)-MONTH($F30)) / 12),
  0)</f>
        <v>0</v>
      </c>
      <c r="AJ30" s="266">
        <f>IF(AND($F30&lt;=AJ$2, OR($G30="",$G30&gt;=AJ$2)),
  $H30 * (1 + Assumptions!$C$7) ^ INT(((YEAR(AJ$2)-YEAR($F30))*12 + MONTH(AJ$2)-MONTH($F30)) / 12),
  0)</f>
        <v>0</v>
      </c>
      <c r="AK30" s="266">
        <f>IF(AND($F30&lt;=AK$2, OR($G30="",$G30&gt;=AK$2)),
  $H30 * (1 + Assumptions!$C$7) ^ INT(((YEAR(AK$2)-YEAR($F30))*12 + MONTH(AK$2)-MONTH($F30)) / 12),
  0)</f>
        <v>0</v>
      </c>
      <c r="AL30" s="266">
        <f>IF(AND($F30&lt;=AL$2, OR($G30="",$G30&gt;=AL$2)),
  $H30 * (1 + Assumptions!$C$7) ^ INT(((YEAR(AL$2)-YEAR($F30))*12 + MONTH(AL$2)-MONTH($F30)) / 12),
  0)</f>
        <v>0</v>
      </c>
      <c r="AM30" s="266">
        <f>IF(AND($F30&lt;=AM$2, OR($G30="",$G30&gt;=AM$2)),
  $H30 * (1 + Assumptions!$C$7) ^ INT(((YEAR(AM$2)-YEAR($F30))*12 + MONTH(AM$2)-MONTH($F30)) / 12),
  0)</f>
        <v>0</v>
      </c>
      <c r="AN30" s="266">
        <f>IF(AND($F30&lt;=AN$2, OR($G30="",$G30&gt;=AN$2)),
  $H30 * (1 + Assumptions!$C$7) ^ INT(((YEAR(AN$2)-YEAR($F30))*12 + MONTH(AN$2)-MONTH($F30)) / 12),
  0)</f>
        <v>0</v>
      </c>
      <c r="AO30" s="266">
        <f>IF(AND($F30&lt;=AO$2, OR($G30="",$G30&gt;=AO$2)),
  $H30 * (1 + Assumptions!$C$7) ^ INT(((YEAR(AO$2)-YEAR($F30))*12 + MONTH(AO$2)-MONTH($F30)) / 12),
  0)</f>
        <v>0</v>
      </c>
      <c r="AP30" s="266">
        <f>IF(AND($F30&lt;=AP$2, OR($G30="",$G30&gt;=AP$2)),
  $H30 * (1 + Assumptions!$C$7) ^ INT(((YEAR(AP$2)-YEAR($F30))*12 + MONTH(AP$2)-MONTH($F30)) / 12),
  0)</f>
        <v>0</v>
      </c>
      <c r="AQ30" s="266">
        <f>IF(AND($F30&lt;=AQ$2, OR($G30="",$G30&gt;=AQ$2)),
  $H30 * (1 + Assumptions!$C$7) ^ INT(((YEAR(AQ$2)-YEAR($F30))*12 + MONTH(AQ$2)-MONTH($F30)) / 12),
  0)</f>
        <v>0</v>
      </c>
      <c r="AR30" s="266">
        <f>IF(AND($F30&lt;=AR$2, OR($G30="",$G30&gt;=AR$2)),
  $H30 * (1 + Assumptions!$C$7) ^ INT(((YEAR(AR$2)-YEAR($F30))*12 + MONTH(AR$2)-MONTH($F30)) / 12),
  0)</f>
        <v>0</v>
      </c>
      <c r="AS30" s="266">
        <f>IF(AND($F30&lt;=AS$2, OR($G30="",$G30&gt;=AS$2)),
  $H30 * (1 + Assumptions!$C$7) ^ INT(((YEAR(AS$2)-YEAR($F30))*12 + MONTH(AS$2)-MONTH($F30)) / 12),
  0)</f>
        <v>0</v>
      </c>
      <c r="AT30" s="266">
        <f>IF(AND($F30&lt;=AT$2, OR($G30="",$G30&gt;=AT$2)),
  $H30 * (1 + Assumptions!$C$7) ^ INT(((YEAR(AT$2)-YEAR($F30))*12 + MONTH(AT$2)-MONTH($F30)) / 12),
  0)</f>
        <v>7500</v>
      </c>
      <c r="AU30" s="266">
        <f>IF(AND($F30&lt;=AU$2, OR($G30="",$G30&gt;=AU$2)),
  $H30 * (1 + Assumptions!$C$7) ^ INT(((YEAR(AU$2)-YEAR($F30))*12 + MONTH(AU$2)-MONTH($F30)) / 12),
  0)</f>
        <v>7500</v>
      </c>
      <c r="AV30" s="266">
        <f>IF(AND($F30&lt;=AV$2, OR($G30="",$G30&gt;=AV$2)),
  $H30 * (1 + Assumptions!$C$7) ^ INT(((YEAR(AV$2)-YEAR($F30))*12 + MONTH(AV$2)-MONTH($F30)) / 12),
  0)</f>
        <v>7500</v>
      </c>
      <c r="AW30" s="266">
        <f>IF(AND($F30&lt;=AW$2, OR($G30="",$G30&gt;=AW$2)),
  $H30 * (1 + Assumptions!$C$7) ^ INT(((YEAR(AW$2)-YEAR($F30))*12 + MONTH(AW$2)-MONTH($F30)) / 12),
  0)</f>
        <v>7500</v>
      </c>
      <c r="AX30" s="266">
        <f>IF(AND($F30&lt;=AX$2, OR($G30="",$G30&gt;=AX$2)),
  $H30 * (1 + Assumptions!$C$7) ^ INT(((YEAR(AX$2)-YEAR($F30))*12 + MONTH(AX$2)-MONTH($F30)) / 12),
  0)</f>
        <v>7500</v>
      </c>
      <c r="AY30" s="266">
        <f>IF(AND($F30&lt;=AY$2, OR($G30="",$G30&gt;=AY$2)),
  $H30 * (1 + Assumptions!$C$7) ^ INT(((YEAR(AY$2)-YEAR($F30))*12 + MONTH(AY$2)-MONTH($F30)) / 12),
  0)</f>
        <v>7500</v>
      </c>
      <c r="AZ30" s="266">
        <f>IF(AND($F30&lt;=AZ$2, OR($G30="",$G30&gt;=AZ$2)),
  $H30 * (1 + Assumptions!$C$7) ^ INT(((YEAR(AZ$2)-YEAR($F30))*12 + MONTH(AZ$2)-MONTH($F30)) / 12),
  0)</f>
        <v>7500</v>
      </c>
      <c r="BA30" s="266">
        <f>IF(AND($F30&lt;=BA$2, OR($G30="",$G30&gt;=BA$2)),
  $H30 * (1 + Assumptions!$C$7) ^ INT(((YEAR(BA$2)-YEAR($F30))*12 + MONTH(BA$2)-MONTH($F30)) / 12),
  0)</f>
        <v>7500</v>
      </c>
      <c r="BB30" s="266">
        <f>IF(AND($F30&lt;=BB$2, OR($G30="",$G30&gt;=BB$2)),
  $H30 * (1 + Assumptions!$C$7) ^ INT(((YEAR(BB$2)-YEAR($F30))*12 + MONTH(BB$2)-MONTH($F30)) / 12),
  0)</f>
        <v>7500</v>
      </c>
      <c r="BC30" s="266">
        <f>IF(AND($F30&lt;=BC$2, OR($G30="",$G30&gt;=BC$2)),
  $H30 * (1 + Assumptions!$C$7) ^ INT(((YEAR(BC$2)-YEAR($F30))*12 + MONTH(BC$2)-MONTH($F30)) / 12),
  0)</f>
        <v>7500</v>
      </c>
      <c r="BD30" s="266">
        <f>IF(AND($F30&lt;=BD$2, OR($G30="",$G30&gt;=BD$2)),
  $H30 * (1 + Assumptions!$C$7) ^ INT(((YEAR(BD$2)-YEAR($F30))*12 + MONTH(BD$2)-MONTH($F30)) / 12),
  0)</f>
        <v>7500</v>
      </c>
      <c r="BE30" s="266">
        <f>IF(AND($F30&lt;=BE$2, OR($G30="",$G30&gt;=BE$2)),
  $H30 * (1 + Assumptions!$C$7) ^ INT(((YEAR(BE$2)-YEAR($F30))*12 + MONTH(BE$2)-MONTH($F30)) / 12),
  0)</f>
        <v>8100</v>
      </c>
      <c r="BF30" s="266">
        <f>IF(AND($F30&lt;=BF$2, OR($G30="",$G30&gt;=BF$2)),
  $H30 * (1 + Assumptions!$C$7) ^ INT(((YEAR(BF$2)-YEAR($F30))*12 + MONTH(BF$2)-MONTH($F30)) / 12),
  0)</f>
        <v>8100</v>
      </c>
      <c r="BG30" s="266">
        <f>IF(AND($F30&lt;=BG$2, OR($G30="",$G30&gt;=BG$2)),
  $H30 * (1 + Assumptions!$C$7) ^ INT(((YEAR(BG$2)-YEAR($F30))*12 + MONTH(BG$2)-MONTH($F30)) / 12),
  0)</f>
        <v>8100</v>
      </c>
      <c r="BH30" s="266">
        <f>IF(AND($F30&lt;=BH$2, OR($G30="",$G30&gt;=BH$2)),
  $H30 * (1 + Assumptions!$C$7) ^ INT(((YEAR(BH$2)-YEAR($F30))*12 + MONTH(BH$2)-MONTH($F30)) / 12),
  0)</f>
        <v>8100</v>
      </c>
      <c r="BI30" s="266">
        <f>IF(AND($F30&lt;=BI$2, OR($G30="",$G30&gt;=BI$2)),
  $H30 * (1 + Assumptions!$C$7) ^ INT(((YEAR(BI$2)-YEAR($F30))*12 + MONTH(BI$2)-MONTH($F30)) / 12),
  0)</f>
        <v>8100</v>
      </c>
      <c r="BJ30" s="266">
        <f>IF(AND($F30&lt;=BJ$2, OR($G30="",$G30&gt;=BJ$2)),
  $H30 * (1 + Assumptions!$C$7) ^ INT(((YEAR(BJ$2)-YEAR($F30))*12 + MONTH(BJ$2)-MONTH($F30)) / 12),
  0)</f>
        <v>8100</v>
      </c>
      <c r="BK30" s="266">
        <f>IF(AND($F30&lt;=BK$2, OR($G30="",$G30&gt;=BK$2)),
  $H30 * (1 + Assumptions!$C$7) ^ INT(((YEAR(BK$2)-YEAR($F30))*12 + MONTH(BK$2)-MONTH($F30)) / 12),
  0)</f>
        <v>8100</v>
      </c>
      <c r="BL30" s="266">
        <f>IF(AND($F30&lt;=BL$2, OR($G30="",$G30&gt;=BL$2)),
  $H30 * (1 + Assumptions!$C$7) ^ INT(((YEAR(BL$2)-YEAR($F30))*12 + MONTH(BL$2)-MONTH($F30)) / 12),
  0)</f>
        <v>8100</v>
      </c>
      <c r="BM30" s="266">
        <f>IF(AND($F30&lt;=BM$2, OR($G30="",$G30&gt;=BM$2)),
  $H30 * (1 + Assumptions!$C$7) ^ INT(((YEAR(BM$2)-YEAR($F30))*12 + MONTH(BM$2)-MONTH($F30)) / 12),
  0)</f>
        <v>8100</v>
      </c>
      <c r="BN30" s="266">
        <f>IF(AND($F30&lt;=BN$2, OR($G30="",$G30&gt;=BN$2)),
  $H30 * (1 + Assumptions!$C$7) ^ INT(((YEAR(BN$2)-YEAR($F30))*12 + MONTH(BN$2)-MONTH($F30)) / 12),
  0)</f>
        <v>8100</v>
      </c>
      <c r="BO30" s="266">
        <f>IF(AND($F30&lt;=BO$2, OR($G30="",$G30&gt;=BO$2)),
  $H30 * (1 + Assumptions!$C$7) ^ INT(((YEAR(BO$2)-YEAR($F30))*12 + MONTH(BO$2)-MONTH($F30)) / 12),
  0)</f>
        <v>8100</v>
      </c>
      <c r="BP30" s="266">
        <f>IF(AND($F30&lt;=BP$2, OR($G30="",$G30&gt;=BP$2)),
  $H30 * (1 + Assumptions!$C$7) ^ INT(((YEAR(BP$2)-YEAR($F30))*12 + MONTH(BP$2)-MONTH($F30)) / 12),
  0)</f>
        <v>8100</v>
      </c>
      <c r="BQ30" s="27"/>
    </row>
    <row r="31" ht="15.75" customHeight="1">
      <c r="A31" s="273">
        <v>27.0</v>
      </c>
      <c r="B31" s="257" t="s">
        <v>330</v>
      </c>
      <c r="C31" s="23" t="s">
        <v>142</v>
      </c>
      <c r="D31" s="273" t="s">
        <v>340</v>
      </c>
      <c r="E31" s="264" t="s">
        <v>332</v>
      </c>
      <c r="F31" s="258">
        <v>46754.0</v>
      </c>
      <c r="G31" s="275"/>
      <c r="H31" s="260">
        <v>7500.0</v>
      </c>
      <c r="I31" s="266">
        <f>IF(AND($F31&lt;=I$2, OR($G31="",$G31&gt;=I$2)),
  $H31 * (1 + Assumptions!$C$7) ^ INT(((YEAR(I$2)-YEAR($F31))*12 + MONTH(I$2)-MONTH($F31)) / 12),
  0)</f>
        <v>0</v>
      </c>
      <c r="J31" s="266">
        <f>IF(AND($F31&lt;=J$2, OR($G31="",$G31&gt;=J$2)),
  $H31 * (1 + Assumptions!$C$7) ^ INT(((YEAR(J$2)-YEAR($F31))*12 + MONTH(J$2)-MONTH($F31)) / 12),
  0)</f>
        <v>0</v>
      </c>
      <c r="K31" s="266">
        <f>IF(AND($F31&lt;=K$2, OR($G31="",$G31&gt;=K$2)),
  $H31 * (1 + Assumptions!$C$7) ^ INT(((YEAR(K$2)-YEAR($F31))*12 + MONTH(K$2)-MONTH($F31)) / 12),
  0)</f>
        <v>0</v>
      </c>
      <c r="L31" s="266">
        <f>IF(AND($F31&lt;=L$2, OR($G31="",$G31&gt;=L$2)),
  $H31 * (1 + Assumptions!$C$7) ^ INT(((YEAR(L$2)-YEAR($F31))*12 + MONTH(L$2)-MONTH($F31)) / 12),
  0)</f>
        <v>0</v>
      </c>
      <c r="M31" s="266">
        <f>IF(AND($F31&lt;=M$2, OR($G31="",$G31&gt;=M$2)),
  $H31 * (1 + Assumptions!$C$7) ^ INT(((YEAR(M$2)-YEAR($F31))*12 + MONTH(M$2)-MONTH($F31)) / 12),
  0)</f>
        <v>0</v>
      </c>
      <c r="N31" s="266">
        <f>IF(AND($F31&lt;=N$2, OR($G31="",$G31&gt;=N$2)),
  $H31 * (1 + Assumptions!$C$7) ^ INT(((YEAR(N$2)-YEAR($F31))*12 + MONTH(N$2)-MONTH($F31)) / 12),
  0)</f>
        <v>0</v>
      </c>
      <c r="O31" s="266">
        <f>IF(AND($F31&lt;=O$2, OR($G31="",$G31&gt;=O$2)),
  $H31 * (1 + Assumptions!$C$7) ^ INT(((YEAR(O$2)-YEAR($F31))*12 + MONTH(O$2)-MONTH($F31)) / 12),
  0)</f>
        <v>0</v>
      </c>
      <c r="P31" s="266">
        <f>IF(AND($F31&lt;=P$2, OR($G31="",$G31&gt;=P$2)),
  $H31 * (1 + Assumptions!$C$7) ^ INT(((YEAR(P$2)-YEAR($F31))*12 + MONTH(P$2)-MONTH($F31)) / 12),
  0)</f>
        <v>0</v>
      </c>
      <c r="Q31" s="266">
        <f>IF(AND($F31&lt;=Q$2, OR($G31="",$G31&gt;=Q$2)),
  $H31 * (1 + Assumptions!$C$7) ^ INT(((YEAR(Q$2)-YEAR($F31))*12 + MONTH(Q$2)-MONTH($F31)) / 12),
  0)</f>
        <v>0</v>
      </c>
      <c r="R31" s="266">
        <f>IF(AND($F31&lt;=R$2, OR($G31="",$G31&gt;=R$2)),
  $H31 * (1 + Assumptions!$C$7) ^ INT(((YEAR(R$2)-YEAR($F31))*12 + MONTH(R$2)-MONTH($F31)) / 12),
  0)</f>
        <v>0</v>
      </c>
      <c r="S31" s="266">
        <f>IF(AND($F31&lt;=S$2, OR($G31="",$G31&gt;=S$2)),
  $H31 * (1 + Assumptions!$C$7) ^ INT(((YEAR(S$2)-YEAR($F31))*12 + MONTH(S$2)-MONTH($F31)) / 12),
  0)</f>
        <v>0</v>
      </c>
      <c r="T31" s="266">
        <f>IF(AND($F31&lt;=T$2, OR($G31="",$G31&gt;=T$2)),
  $H31 * (1 + Assumptions!$C$7) ^ INT(((YEAR(T$2)-YEAR($F31))*12 + MONTH(T$2)-MONTH($F31)) / 12),
  0)</f>
        <v>0</v>
      </c>
      <c r="U31" s="266">
        <f>IF(AND($F31&lt;=U$2, OR($G31="",$G31&gt;=U$2)),
  $H31 * (1 + Assumptions!$C$7) ^ INT(((YEAR(U$2)-YEAR($F31))*12 + MONTH(U$2)-MONTH($F31)) / 12),
  0)</f>
        <v>0</v>
      </c>
      <c r="V31" s="266">
        <f>IF(AND($F31&lt;=V$2, OR($G31="",$G31&gt;=V$2)),
  $H31 * (1 + Assumptions!$C$7) ^ INT(((YEAR(V$2)-YEAR($F31))*12 + MONTH(V$2)-MONTH($F31)) / 12),
  0)</f>
        <v>0</v>
      </c>
      <c r="W31" s="266">
        <f>IF(AND($F31&lt;=W$2, OR($G31="",$G31&gt;=W$2)),
  $H31 * (1 + Assumptions!$C$7) ^ INT(((YEAR(W$2)-YEAR($F31))*12 + MONTH(W$2)-MONTH($F31)) / 12),
  0)</f>
        <v>0</v>
      </c>
      <c r="X31" s="266">
        <f>IF(AND($F31&lt;=X$2, OR($G31="",$G31&gt;=X$2)),
  $H31 * (1 + Assumptions!$C$7) ^ INT(((YEAR(X$2)-YEAR($F31))*12 + MONTH(X$2)-MONTH($F31)) / 12),
  0)</f>
        <v>0</v>
      </c>
      <c r="Y31" s="266">
        <f>IF(AND($F31&lt;=Y$2, OR($G31="",$G31&gt;=Y$2)),
  $H31 * (1 + Assumptions!$C$7) ^ INT(((YEAR(Y$2)-YEAR($F31))*12 + MONTH(Y$2)-MONTH($F31)) / 12),
  0)</f>
        <v>0</v>
      </c>
      <c r="Z31" s="266">
        <f>IF(AND($F31&lt;=Z$2, OR($G31="",$G31&gt;=Z$2)),
  $H31 * (1 + Assumptions!$C$7) ^ INT(((YEAR(Z$2)-YEAR($F31))*12 + MONTH(Z$2)-MONTH($F31)) / 12),
  0)</f>
        <v>0</v>
      </c>
      <c r="AA31" s="266">
        <f>IF(AND($F31&lt;=AA$2, OR($G31="",$G31&gt;=AA$2)),
  $H31 * (1 + Assumptions!$C$7) ^ INT(((YEAR(AA$2)-YEAR($F31))*12 + MONTH(AA$2)-MONTH($F31)) / 12),
  0)</f>
        <v>0</v>
      </c>
      <c r="AB31" s="266">
        <f>IF(AND($F31&lt;=AB$2, OR($G31="",$G31&gt;=AB$2)),
  $H31 * (1 + Assumptions!$C$7) ^ INT(((YEAR(AB$2)-YEAR($F31))*12 + MONTH(AB$2)-MONTH($F31)) / 12),
  0)</f>
        <v>0</v>
      </c>
      <c r="AC31" s="266">
        <f>IF(AND($F31&lt;=AC$2, OR($G31="",$G31&gt;=AC$2)),
  $H31 * (1 + Assumptions!$C$7) ^ INT(((YEAR(AC$2)-YEAR($F31))*12 + MONTH(AC$2)-MONTH($F31)) / 12),
  0)</f>
        <v>0</v>
      </c>
      <c r="AD31" s="266">
        <f>IF(AND($F31&lt;=AD$2, OR($G31="",$G31&gt;=AD$2)),
  $H31 * (1 + Assumptions!$C$7) ^ INT(((YEAR(AD$2)-YEAR($F31))*12 + MONTH(AD$2)-MONTH($F31)) / 12),
  0)</f>
        <v>0</v>
      </c>
      <c r="AE31" s="266">
        <f>IF(AND($F31&lt;=AE$2, OR($G31="",$G31&gt;=AE$2)),
  $H31 * (1 + Assumptions!$C$7) ^ INT(((YEAR(AE$2)-YEAR($F31))*12 + MONTH(AE$2)-MONTH($F31)) / 12),
  0)</f>
        <v>0</v>
      </c>
      <c r="AF31" s="266">
        <f>IF(AND($F31&lt;=AF$2, OR($G31="",$G31&gt;=AF$2)),
  $H31 * (1 + Assumptions!$C$7) ^ INT(((YEAR(AF$2)-YEAR($F31))*12 + MONTH(AF$2)-MONTH($F31)) / 12),
  0)</f>
        <v>0</v>
      </c>
      <c r="AG31" s="266">
        <f>IF(AND($F31&lt;=AG$2, OR($G31="",$G31&gt;=AG$2)),
  $H31 * (1 + Assumptions!$C$7) ^ INT(((YEAR(AG$2)-YEAR($F31))*12 + MONTH(AG$2)-MONTH($F31)) / 12),
  0)</f>
        <v>0</v>
      </c>
      <c r="AH31" s="266">
        <f>IF(AND($F31&lt;=AH$2, OR($G31="",$G31&gt;=AH$2)),
  $H31 * (1 + Assumptions!$C$7) ^ INT(((YEAR(AH$2)-YEAR($F31))*12 + MONTH(AH$2)-MONTH($F31)) / 12),
  0)</f>
        <v>0</v>
      </c>
      <c r="AI31" s="266">
        <f>IF(AND($F31&lt;=AI$2, OR($G31="",$G31&gt;=AI$2)),
  $H31 * (1 + Assumptions!$C$7) ^ INT(((YEAR(AI$2)-YEAR($F31))*12 + MONTH(AI$2)-MONTH($F31)) / 12),
  0)</f>
        <v>0</v>
      </c>
      <c r="AJ31" s="266">
        <f>IF(AND($F31&lt;=AJ$2, OR($G31="",$G31&gt;=AJ$2)),
  $H31 * (1 + Assumptions!$C$7) ^ INT(((YEAR(AJ$2)-YEAR($F31))*12 + MONTH(AJ$2)-MONTH($F31)) / 12),
  0)</f>
        <v>0</v>
      </c>
      <c r="AK31" s="266">
        <f>IF(AND($F31&lt;=AK$2, OR($G31="",$G31&gt;=AK$2)),
  $H31 * (1 + Assumptions!$C$7) ^ INT(((YEAR(AK$2)-YEAR($F31))*12 + MONTH(AK$2)-MONTH($F31)) / 12),
  0)</f>
        <v>0</v>
      </c>
      <c r="AL31" s="266">
        <f>IF(AND($F31&lt;=AL$2, OR($G31="",$G31&gt;=AL$2)),
  $H31 * (1 + Assumptions!$C$7) ^ INT(((YEAR(AL$2)-YEAR($F31))*12 + MONTH(AL$2)-MONTH($F31)) / 12),
  0)</f>
        <v>0</v>
      </c>
      <c r="AM31" s="266">
        <f>IF(AND($F31&lt;=AM$2, OR($G31="",$G31&gt;=AM$2)),
  $H31 * (1 + Assumptions!$C$7) ^ INT(((YEAR(AM$2)-YEAR($F31))*12 + MONTH(AM$2)-MONTH($F31)) / 12),
  0)</f>
        <v>0</v>
      </c>
      <c r="AN31" s="266">
        <f>IF(AND($F31&lt;=AN$2, OR($G31="",$G31&gt;=AN$2)),
  $H31 * (1 + Assumptions!$C$7) ^ INT(((YEAR(AN$2)-YEAR($F31))*12 + MONTH(AN$2)-MONTH($F31)) / 12),
  0)</f>
        <v>0</v>
      </c>
      <c r="AO31" s="266">
        <f>IF(AND($F31&lt;=AO$2, OR($G31="",$G31&gt;=AO$2)),
  $H31 * (1 + Assumptions!$C$7) ^ INT(((YEAR(AO$2)-YEAR($F31))*12 + MONTH(AO$2)-MONTH($F31)) / 12),
  0)</f>
        <v>0</v>
      </c>
      <c r="AP31" s="266">
        <f>IF(AND($F31&lt;=AP$2, OR($G31="",$G31&gt;=AP$2)),
  $H31 * (1 + Assumptions!$C$7) ^ INT(((YEAR(AP$2)-YEAR($F31))*12 + MONTH(AP$2)-MONTH($F31)) / 12),
  0)</f>
        <v>0</v>
      </c>
      <c r="AQ31" s="266">
        <f>IF(AND($F31&lt;=AQ$2, OR($G31="",$G31&gt;=AQ$2)),
  $H31 * (1 + Assumptions!$C$7) ^ INT(((YEAR(AQ$2)-YEAR($F31))*12 + MONTH(AQ$2)-MONTH($F31)) / 12),
  0)</f>
        <v>0</v>
      </c>
      <c r="AR31" s="266">
        <f>IF(AND($F31&lt;=AR$2, OR($G31="",$G31&gt;=AR$2)),
  $H31 * (1 + Assumptions!$C$7) ^ INT(((YEAR(AR$2)-YEAR($F31))*12 + MONTH(AR$2)-MONTH($F31)) / 12),
  0)</f>
        <v>0</v>
      </c>
      <c r="AS31" s="266">
        <f>IF(AND($F31&lt;=AS$2, OR($G31="",$G31&gt;=AS$2)),
  $H31 * (1 + Assumptions!$C$7) ^ INT(((YEAR(AS$2)-YEAR($F31))*12 + MONTH(AS$2)-MONTH($F31)) / 12),
  0)</f>
        <v>0</v>
      </c>
      <c r="AT31" s="266">
        <f>IF(AND($F31&lt;=AT$2, OR($G31="",$G31&gt;=AT$2)),
  $H31 * (1 + Assumptions!$C$7) ^ INT(((YEAR(AT$2)-YEAR($F31))*12 + MONTH(AT$2)-MONTH($F31)) / 12),
  0)</f>
        <v>7500</v>
      </c>
      <c r="AU31" s="266">
        <f>IF(AND($F31&lt;=AU$2, OR($G31="",$G31&gt;=AU$2)),
  $H31 * (1 + Assumptions!$C$7) ^ INT(((YEAR(AU$2)-YEAR($F31))*12 + MONTH(AU$2)-MONTH($F31)) / 12),
  0)</f>
        <v>7500</v>
      </c>
      <c r="AV31" s="266">
        <f>IF(AND($F31&lt;=AV$2, OR($G31="",$G31&gt;=AV$2)),
  $H31 * (1 + Assumptions!$C$7) ^ INT(((YEAR(AV$2)-YEAR($F31))*12 + MONTH(AV$2)-MONTH($F31)) / 12),
  0)</f>
        <v>7500</v>
      </c>
      <c r="AW31" s="266">
        <f>IF(AND($F31&lt;=AW$2, OR($G31="",$G31&gt;=AW$2)),
  $H31 * (1 + Assumptions!$C$7) ^ INT(((YEAR(AW$2)-YEAR($F31))*12 + MONTH(AW$2)-MONTH($F31)) / 12),
  0)</f>
        <v>7500</v>
      </c>
      <c r="AX31" s="266">
        <f>IF(AND($F31&lt;=AX$2, OR($G31="",$G31&gt;=AX$2)),
  $H31 * (1 + Assumptions!$C$7) ^ INT(((YEAR(AX$2)-YEAR($F31))*12 + MONTH(AX$2)-MONTH($F31)) / 12),
  0)</f>
        <v>7500</v>
      </c>
      <c r="AY31" s="266">
        <f>IF(AND($F31&lt;=AY$2, OR($G31="",$G31&gt;=AY$2)),
  $H31 * (1 + Assumptions!$C$7) ^ INT(((YEAR(AY$2)-YEAR($F31))*12 + MONTH(AY$2)-MONTH($F31)) / 12),
  0)</f>
        <v>7500</v>
      </c>
      <c r="AZ31" s="266">
        <f>IF(AND($F31&lt;=AZ$2, OR($G31="",$G31&gt;=AZ$2)),
  $H31 * (1 + Assumptions!$C$7) ^ INT(((YEAR(AZ$2)-YEAR($F31))*12 + MONTH(AZ$2)-MONTH($F31)) / 12),
  0)</f>
        <v>7500</v>
      </c>
      <c r="BA31" s="266">
        <f>IF(AND($F31&lt;=BA$2, OR($G31="",$G31&gt;=BA$2)),
  $H31 * (1 + Assumptions!$C$7) ^ INT(((YEAR(BA$2)-YEAR($F31))*12 + MONTH(BA$2)-MONTH($F31)) / 12),
  0)</f>
        <v>7500</v>
      </c>
      <c r="BB31" s="266">
        <f>IF(AND($F31&lt;=BB$2, OR($G31="",$G31&gt;=BB$2)),
  $H31 * (1 + Assumptions!$C$7) ^ INT(((YEAR(BB$2)-YEAR($F31))*12 + MONTH(BB$2)-MONTH($F31)) / 12),
  0)</f>
        <v>7500</v>
      </c>
      <c r="BC31" s="266">
        <f>IF(AND($F31&lt;=BC$2, OR($G31="",$G31&gt;=BC$2)),
  $H31 * (1 + Assumptions!$C$7) ^ INT(((YEAR(BC$2)-YEAR($F31))*12 + MONTH(BC$2)-MONTH($F31)) / 12),
  0)</f>
        <v>7500</v>
      </c>
      <c r="BD31" s="266">
        <f>IF(AND($F31&lt;=BD$2, OR($G31="",$G31&gt;=BD$2)),
  $H31 * (1 + Assumptions!$C$7) ^ INT(((YEAR(BD$2)-YEAR($F31))*12 + MONTH(BD$2)-MONTH($F31)) / 12),
  0)</f>
        <v>7500</v>
      </c>
      <c r="BE31" s="266">
        <f>IF(AND($F31&lt;=BE$2, OR($G31="",$G31&gt;=BE$2)),
  $H31 * (1 + Assumptions!$C$7) ^ INT(((YEAR(BE$2)-YEAR($F31))*12 + MONTH(BE$2)-MONTH($F31)) / 12),
  0)</f>
        <v>8100</v>
      </c>
      <c r="BF31" s="266">
        <f>IF(AND($F31&lt;=BF$2, OR($G31="",$G31&gt;=BF$2)),
  $H31 * (1 + Assumptions!$C$7) ^ INT(((YEAR(BF$2)-YEAR($F31))*12 + MONTH(BF$2)-MONTH($F31)) / 12),
  0)</f>
        <v>8100</v>
      </c>
      <c r="BG31" s="266">
        <f>IF(AND($F31&lt;=BG$2, OR($G31="",$G31&gt;=BG$2)),
  $H31 * (1 + Assumptions!$C$7) ^ INT(((YEAR(BG$2)-YEAR($F31))*12 + MONTH(BG$2)-MONTH($F31)) / 12),
  0)</f>
        <v>8100</v>
      </c>
      <c r="BH31" s="266">
        <f>IF(AND($F31&lt;=BH$2, OR($G31="",$G31&gt;=BH$2)),
  $H31 * (1 + Assumptions!$C$7) ^ INT(((YEAR(BH$2)-YEAR($F31))*12 + MONTH(BH$2)-MONTH($F31)) / 12),
  0)</f>
        <v>8100</v>
      </c>
      <c r="BI31" s="266">
        <f>IF(AND($F31&lt;=BI$2, OR($G31="",$G31&gt;=BI$2)),
  $H31 * (1 + Assumptions!$C$7) ^ INT(((YEAR(BI$2)-YEAR($F31))*12 + MONTH(BI$2)-MONTH($F31)) / 12),
  0)</f>
        <v>8100</v>
      </c>
      <c r="BJ31" s="266">
        <f>IF(AND($F31&lt;=BJ$2, OR($G31="",$G31&gt;=BJ$2)),
  $H31 * (1 + Assumptions!$C$7) ^ INT(((YEAR(BJ$2)-YEAR($F31))*12 + MONTH(BJ$2)-MONTH($F31)) / 12),
  0)</f>
        <v>8100</v>
      </c>
      <c r="BK31" s="266">
        <f>IF(AND($F31&lt;=BK$2, OR($G31="",$G31&gt;=BK$2)),
  $H31 * (1 + Assumptions!$C$7) ^ INT(((YEAR(BK$2)-YEAR($F31))*12 + MONTH(BK$2)-MONTH($F31)) / 12),
  0)</f>
        <v>8100</v>
      </c>
      <c r="BL31" s="266">
        <f>IF(AND($F31&lt;=BL$2, OR($G31="",$G31&gt;=BL$2)),
  $H31 * (1 + Assumptions!$C$7) ^ INT(((YEAR(BL$2)-YEAR($F31))*12 + MONTH(BL$2)-MONTH($F31)) / 12),
  0)</f>
        <v>8100</v>
      </c>
      <c r="BM31" s="266">
        <f>IF(AND($F31&lt;=BM$2, OR($G31="",$G31&gt;=BM$2)),
  $H31 * (1 + Assumptions!$C$7) ^ INT(((YEAR(BM$2)-YEAR($F31))*12 + MONTH(BM$2)-MONTH($F31)) / 12),
  0)</f>
        <v>8100</v>
      </c>
      <c r="BN31" s="266">
        <f>IF(AND($F31&lt;=BN$2, OR($G31="",$G31&gt;=BN$2)),
  $H31 * (1 + Assumptions!$C$7) ^ INT(((YEAR(BN$2)-YEAR($F31))*12 + MONTH(BN$2)-MONTH($F31)) / 12),
  0)</f>
        <v>8100</v>
      </c>
      <c r="BO31" s="266">
        <f>IF(AND($F31&lt;=BO$2, OR($G31="",$G31&gt;=BO$2)),
  $H31 * (1 + Assumptions!$C$7) ^ INT(((YEAR(BO$2)-YEAR($F31))*12 + MONTH(BO$2)-MONTH($F31)) / 12),
  0)</f>
        <v>8100</v>
      </c>
      <c r="BP31" s="266">
        <f>IF(AND($F31&lt;=BP$2, OR($G31="",$G31&gt;=BP$2)),
  $H31 * (1 + Assumptions!$C$7) ^ INT(((YEAR(BP$2)-YEAR($F31))*12 + MONTH(BP$2)-MONTH($F31)) / 12),
  0)</f>
        <v>8100</v>
      </c>
      <c r="BQ31" s="27"/>
    </row>
    <row r="32" ht="15.75" customHeight="1">
      <c r="A32" s="273">
        <v>28.0</v>
      </c>
      <c r="B32" s="257" t="s">
        <v>330</v>
      </c>
      <c r="C32" s="23" t="s">
        <v>146</v>
      </c>
      <c r="D32" s="273" t="s">
        <v>341</v>
      </c>
      <c r="E32" s="264" t="s">
        <v>332</v>
      </c>
      <c r="F32" s="258">
        <v>47119.0</v>
      </c>
      <c r="G32" s="275"/>
      <c r="H32" s="260">
        <v>8000.0</v>
      </c>
      <c r="I32" s="266">
        <f>IF(AND($F32&lt;=I$2, OR($G32="",$G32&gt;=I$2)),
  $H32 * (1 + Assumptions!$C$7) ^ INT(((YEAR(I$2)-YEAR($F32))*12 + MONTH(I$2)-MONTH($F32)) / 12),
  0)</f>
        <v>0</v>
      </c>
      <c r="J32" s="266">
        <f>IF(AND($F32&lt;=J$2, OR($G32="",$G32&gt;=J$2)),
  $H32 * (1 + Assumptions!$C$7) ^ INT(((YEAR(J$2)-YEAR($F32))*12 + MONTH(J$2)-MONTH($F32)) / 12),
  0)</f>
        <v>0</v>
      </c>
      <c r="K32" s="266">
        <f>IF(AND($F32&lt;=K$2, OR($G32="",$G32&gt;=K$2)),
  $H32 * (1 + Assumptions!$C$7) ^ INT(((YEAR(K$2)-YEAR($F32))*12 + MONTH(K$2)-MONTH($F32)) / 12),
  0)</f>
        <v>0</v>
      </c>
      <c r="L32" s="266">
        <f>IF(AND($F32&lt;=L$2, OR($G32="",$G32&gt;=L$2)),
  $H32 * (1 + Assumptions!$C$7) ^ INT(((YEAR(L$2)-YEAR($F32))*12 + MONTH(L$2)-MONTH($F32)) / 12),
  0)</f>
        <v>0</v>
      </c>
      <c r="M32" s="266">
        <f>IF(AND($F32&lt;=M$2, OR($G32="",$G32&gt;=M$2)),
  $H32 * (1 + Assumptions!$C$7) ^ INT(((YEAR(M$2)-YEAR($F32))*12 + MONTH(M$2)-MONTH($F32)) / 12),
  0)</f>
        <v>0</v>
      </c>
      <c r="N32" s="266">
        <f>IF(AND($F32&lt;=N$2, OR($G32="",$G32&gt;=N$2)),
  $H32 * (1 + Assumptions!$C$7) ^ INT(((YEAR(N$2)-YEAR($F32))*12 + MONTH(N$2)-MONTH($F32)) / 12),
  0)</f>
        <v>0</v>
      </c>
      <c r="O32" s="266">
        <f>IF(AND($F32&lt;=O$2, OR($G32="",$G32&gt;=O$2)),
  $H32 * (1 + Assumptions!$C$7) ^ INT(((YEAR(O$2)-YEAR($F32))*12 + MONTH(O$2)-MONTH($F32)) / 12),
  0)</f>
        <v>0</v>
      </c>
      <c r="P32" s="266">
        <f>IF(AND($F32&lt;=P$2, OR($G32="",$G32&gt;=P$2)),
  $H32 * (1 + Assumptions!$C$7) ^ INT(((YEAR(P$2)-YEAR($F32))*12 + MONTH(P$2)-MONTH($F32)) / 12),
  0)</f>
        <v>0</v>
      </c>
      <c r="Q32" s="266">
        <f>IF(AND($F32&lt;=Q$2, OR($G32="",$G32&gt;=Q$2)),
  $H32 * (1 + Assumptions!$C$7) ^ INT(((YEAR(Q$2)-YEAR($F32))*12 + MONTH(Q$2)-MONTH($F32)) / 12),
  0)</f>
        <v>0</v>
      </c>
      <c r="R32" s="266">
        <f>IF(AND($F32&lt;=R$2, OR($G32="",$G32&gt;=R$2)),
  $H32 * (1 + Assumptions!$C$7) ^ INT(((YEAR(R$2)-YEAR($F32))*12 + MONTH(R$2)-MONTH($F32)) / 12),
  0)</f>
        <v>0</v>
      </c>
      <c r="S32" s="266">
        <f>IF(AND($F32&lt;=S$2, OR($G32="",$G32&gt;=S$2)),
  $H32 * (1 + Assumptions!$C$7) ^ INT(((YEAR(S$2)-YEAR($F32))*12 + MONTH(S$2)-MONTH($F32)) / 12),
  0)</f>
        <v>0</v>
      </c>
      <c r="T32" s="266">
        <f>IF(AND($F32&lt;=T$2, OR($G32="",$G32&gt;=T$2)),
  $H32 * (1 + Assumptions!$C$7) ^ INT(((YEAR(T$2)-YEAR($F32))*12 + MONTH(T$2)-MONTH($F32)) / 12),
  0)</f>
        <v>0</v>
      </c>
      <c r="U32" s="266">
        <f>IF(AND($F32&lt;=U$2, OR($G32="",$G32&gt;=U$2)),
  $H32 * (1 + Assumptions!$C$7) ^ INT(((YEAR(U$2)-YEAR($F32))*12 + MONTH(U$2)-MONTH($F32)) / 12),
  0)</f>
        <v>0</v>
      </c>
      <c r="V32" s="266">
        <f>IF(AND($F32&lt;=V$2, OR($G32="",$G32&gt;=V$2)),
  $H32 * (1 + Assumptions!$C$7) ^ INT(((YEAR(V$2)-YEAR($F32))*12 + MONTH(V$2)-MONTH($F32)) / 12),
  0)</f>
        <v>0</v>
      </c>
      <c r="W32" s="266">
        <f>IF(AND($F32&lt;=W$2, OR($G32="",$G32&gt;=W$2)),
  $H32 * (1 + Assumptions!$C$7) ^ INT(((YEAR(W$2)-YEAR($F32))*12 + MONTH(W$2)-MONTH($F32)) / 12),
  0)</f>
        <v>0</v>
      </c>
      <c r="X32" s="266">
        <f>IF(AND($F32&lt;=X$2, OR($G32="",$G32&gt;=X$2)),
  $H32 * (1 + Assumptions!$C$7) ^ INT(((YEAR(X$2)-YEAR($F32))*12 + MONTH(X$2)-MONTH($F32)) / 12),
  0)</f>
        <v>0</v>
      </c>
      <c r="Y32" s="266">
        <f>IF(AND($F32&lt;=Y$2, OR($G32="",$G32&gt;=Y$2)),
  $H32 * (1 + Assumptions!$C$7) ^ INT(((YEAR(Y$2)-YEAR($F32))*12 + MONTH(Y$2)-MONTH($F32)) / 12),
  0)</f>
        <v>0</v>
      </c>
      <c r="Z32" s="266">
        <f>IF(AND($F32&lt;=Z$2, OR($G32="",$G32&gt;=Z$2)),
  $H32 * (1 + Assumptions!$C$7) ^ INT(((YEAR(Z$2)-YEAR($F32))*12 + MONTH(Z$2)-MONTH($F32)) / 12),
  0)</f>
        <v>0</v>
      </c>
      <c r="AA32" s="266">
        <f>IF(AND($F32&lt;=AA$2, OR($G32="",$G32&gt;=AA$2)),
  $H32 * (1 + Assumptions!$C$7) ^ INT(((YEAR(AA$2)-YEAR($F32))*12 + MONTH(AA$2)-MONTH($F32)) / 12),
  0)</f>
        <v>0</v>
      </c>
      <c r="AB32" s="266">
        <f>IF(AND($F32&lt;=AB$2, OR($G32="",$G32&gt;=AB$2)),
  $H32 * (1 + Assumptions!$C$7) ^ INT(((YEAR(AB$2)-YEAR($F32))*12 + MONTH(AB$2)-MONTH($F32)) / 12),
  0)</f>
        <v>0</v>
      </c>
      <c r="AC32" s="266">
        <f>IF(AND($F32&lt;=AC$2, OR($G32="",$G32&gt;=AC$2)),
  $H32 * (1 + Assumptions!$C$7) ^ INT(((YEAR(AC$2)-YEAR($F32))*12 + MONTH(AC$2)-MONTH($F32)) / 12),
  0)</f>
        <v>0</v>
      </c>
      <c r="AD32" s="266">
        <f>IF(AND($F32&lt;=AD$2, OR($G32="",$G32&gt;=AD$2)),
  $H32 * (1 + Assumptions!$C$7) ^ INT(((YEAR(AD$2)-YEAR($F32))*12 + MONTH(AD$2)-MONTH($F32)) / 12),
  0)</f>
        <v>0</v>
      </c>
      <c r="AE32" s="266">
        <f>IF(AND($F32&lt;=AE$2, OR($G32="",$G32&gt;=AE$2)),
  $H32 * (1 + Assumptions!$C$7) ^ INT(((YEAR(AE$2)-YEAR($F32))*12 + MONTH(AE$2)-MONTH($F32)) / 12),
  0)</f>
        <v>0</v>
      </c>
      <c r="AF32" s="266">
        <f>IF(AND($F32&lt;=AF$2, OR($G32="",$G32&gt;=AF$2)),
  $H32 * (1 + Assumptions!$C$7) ^ INT(((YEAR(AF$2)-YEAR($F32))*12 + MONTH(AF$2)-MONTH($F32)) / 12),
  0)</f>
        <v>0</v>
      </c>
      <c r="AG32" s="266">
        <f>IF(AND($F32&lt;=AG$2, OR($G32="",$G32&gt;=AG$2)),
  $H32 * (1 + Assumptions!$C$7) ^ INT(((YEAR(AG$2)-YEAR($F32))*12 + MONTH(AG$2)-MONTH($F32)) / 12),
  0)</f>
        <v>0</v>
      </c>
      <c r="AH32" s="266">
        <f>IF(AND($F32&lt;=AH$2, OR($G32="",$G32&gt;=AH$2)),
  $H32 * (1 + Assumptions!$C$7) ^ INT(((YEAR(AH$2)-YEAR($F32))*12 + MONTH(AH$2)-MONTH($F32)) / 12),
  0)</f>
        <v>0</v>
      </c>
      <c r="AI32" s="266">
        <f>IF(AND($F32&lt;=AI$2, OR($G32="",$G32&gt;=AI$2)),
  $H32 * (1 + Assumptions!$C$7) ^ INT(((YEAR(AI$2)-YEAR($F32))*12 + MONTH(AI$2)-MONTH($F32)) / 12),
  0)</f>
        <v>0</v>
      </c>
      <c r="AJ32" s="266">
        <f>IF(AND($F32&lt;=AJ$2, OR($G32="",$G32&gt;=AJ$2)),
  $H32 * (1 + Assumptions!$C$7) ^ INT(((YEAR(AJ$2)-YEAR($F32))*12 + MONTH(AJ$2)-MONTH($F32)) / 12),
  0)</f>
        <v>0</v>
      </c>
      <c r="AK32" s="266">
        <f>IF(AND($F32&lt;=AK$2, OR($G32="",$G32&gt;=AK$2)),
  $H32 * (1 + Assumptions!$C$7) ^ INT(((YEAR(AK$2)-YEAR($F32))*12 + MONTH(AK$2)-MONTH($F32)) / 12),
  0)</f>
        <v>0</v>
      </c>
      <c r="AL32" s="266">
        <f>IF(AND($F32&lt;=AL$2, OR($G32="",$G32&gt;=AL$2)),
  $H32 * (1 + Assumptions!$C$7) ^ INT(((YEAR(AL$2)-YEAR($F32))*12 + MONTH(AL$2)-MONTH($F32)) / 12),
  0)</f>
        <v>0</v>
      </c>
      <c r="AM32" s="266">
        <f>IF(AND($F32&lt;=AM$2, OR($G32="",$G32&gt;=AM$2)),
  $H32 * (1 + Assumptions!$C$7) ^ INT(((YEAR(AM$2)-YEAR($F32))*12 + MONTH(AM$2)-MONTH($F32)) / 12),
  0)</f>
        <v>0</v>
      </c>
      <c r="AN32" s="266">
        <f>IF(AND($F32&lt;=AN$2, OR($G32="",$G32&gt;=AN$2)),
  $H32 * (1 + Assumptions!$C$7) ^ INT(((YEAR(AN$2)-YEAR($F32))*12 + MONTH(AN$2)-MONTH($F32)) / 12),
  0)</f>
        <v>0</v>
      </c>
      <c r="AO32" s="266">
        <f>IF(AND($F32&lt;=AO$2, OR($G32="",$G32&gt;=AO$2)),
  $H32 * (1 + Assumptions!$C$7) ^ INT(((YEAR(AO$2)-YEAR($F32))*12 + MONTH(AO$2)-MONTH($F32)) / 12),
  0)</f>
        <v>0</v>
      </c>
      <c r="AP32" s="266">
        <f>IF(AND($F32&lt;=AP$2, OR($G32="",$G32&gt;=AP$2)),
  $H32 * (1 + Assumptions!$C$7) ^ INT(((YEAR(AP$2)-YEAR($F32))*12 + MONTH(AP$2)-MONTH($F32)) / 12),
  0)</f>
        <v>0</v>
      </c>
      <c r="AQ32" s="266">
        <f>IF(AND($F32&lt;=AQ$2, OR($G32="",$G32&gt;=AQ$2)),
  $H32 * (1 + Assumptions!$C$7) ^ INT(((YEAR(AQ$2)-YEAR($F32))*12 + MONTH(AQ$2)-MONTH($F32)) / 12),
  0)</f>
        <v>0</v>
      </c>
      <c r="AR32" s="266">
        <f>IF(AND($F32&lt;=AR$2, OR($G32="",$G32&gt;=AR$2)),
  $H32 * (1 + Assumptions!$C$7) ^ INT(((YEAR(AR$2)-YEAR($F32))*12 + MONTH(AR$2)-MONTH($F32)) / 12),
  0)</f>
        <v>0</v>
      </c>
      <c r="AS32" s="266">
        <f>IF(AND($F32&lt;=AS$2, OR($G32="",$G32&gt;=AS$2)),
  $H32 * (1 + Assumptions!$C$7) ^ INT(((YEAR(AS$2)-YEAR($F32))*12 + MONTH(AS$2)-MONTH($F32)) / 12),
  0)</f>
        <v>0</v>
      </c>
      <c r="AT32" s="266">
        <f>IF(AND($F32&lt;=AT$2, OR($G32="",$G32&gt;=AT$2)),
  $H32 * (1 + Assumptions!$C$7) ^ INT(((YEAR(AT$2)-YEAR($F32))*12 + MONTH(AT$2)-MONTH($F32)) / 12),
  0)</f>
        <v>0</v>
      </c>
      <c r="AU32" s="266">
        <f>IF(AND($F32&lt;=AU$2, OR($G32="",$G32&gt;=AU$2)),
  $H32 * (1 + Assumptions!$C$7) ^ INT(((YEAR(AU$2)-YEAR($F32))*12 + MONTH(AU$2)-MONTH($F32)) / 12),
  0)</f>
        <v>0</v>
      </c>
      <c r="AV32" s="266">
        <f>IF(AND($F32&lt;=AV$2, OR($G32="",$G32&gt;=AV$2)),
  $H32 * (1 + Assumptions!$C$7) ^ INT(((YEAR(AV$2)-YEAR($F32))*12 + MONTH(AV$2)-MONTH($F32)) / 12),
  0)</f>
        <v>0</v>
      </c>
      <c r="AW32" s="266">
        <f>IF(AND($F32&lt;=AW$2, OR($G32="",$G32&gt;=AW$2)),
  $H32 * (1 + Assumptions!$C$7) ^ INT(((YEAR(AW$2)-YEAR($F32))*12 + MONTH(AW$2)-MONTH($F32)) / 12),
  0)</f>
        <v>0</v>
      </c>
      <c r="AX32" s="266">
        <f>IF(AND($F32&lt;=AX$2, OR($G32="",$G32&gt;=AX$2)),
  $H32 * (1 + Assumptions!$C$7) ^ INT(((YEAR(AX$2)-YEAR($F32))*12 + MONTH(AX$2)-MONTH($F32)) / 12),
  0)</f>
        <v>0</v>
      </c>
      <c r="AY32" s="266">
        <f>IF(AND($F32&lt;=AY$2, OR($G32="",$G32&gt;=AY$2)),
  $H32 * (1 + Assumptions!$C$7) ^ INT(((YEAR(AY$2)-YEAR($F32))*12 + MONTH(AY$2)-MONTH($F32)) / 12),
  0)</f>
        <v>0</v>
      </c>
      <c r="AZ32" s="266">
        <f>IF(AND($F32&lt;=AZ$2, OR($G32="",$G32&gt;=AZ$2)),
  $H32 * (1 + Assumptions!$C$7) ^ INT(((YEAR(AZ$2)-YEAR($F32))*12 + MONTH(AZ$2)-MONTH($F32)) / 12),
  0)</f>
        <v>0</v>
      </c>
      <c r="BA32" s="266">
        <f>IF(AND($F32&lt;=BA$2, OR($G32="",$G32&gt;=BA$2)),
  $H32 * (1 + Assumptions!$C$7) ^ INT(((YEAR(BA$2)-YEAR($F32))*12 + MONTH(BA$2)-MONTH($F32)) / 12),
  0)</f>
        <v>0</v>
      </c>
      <c r="BB32" s="266">
        <f>IF(AND($F32&lt;=BB$2, OR($G32="",$G32&gt;=BB$2)),
  $H32 * (1 + Assumptions!$C$7) ^ INT(((YEAR(BB$2)-YEAR($F32))*12 + MONTH(BB$2)-MONTH($F32)) / 12),
  0)</f>
        <v>0</v>
      </c>
      <c r="BC32" s="266">
        <f>IF(AND($F32&lt;=BC$2, OR($G32="",$G32&gt;=BC$2)),
  $H32 * (1 + Assumptions!$C$7) ^ INT(((YEAR(BC$2)-YEAR($F32))*12 + MONTH(BC$2)-MONTH($F32)) / 12),
  0)</f>
        <v>0</v>
      </c>
      <c r="BD32" s="266">
        <f>IF(AND($F32&lt;=BD$2, OR($G32="",$G32&gt;=BD$2)),
  $H32 * (1 + Assumptions!$C$7) ^ INT(((YEAR(BD$2)-YEAR($F32))*12 + MONTH(BD$2)-MONTH($F32)) / 12),
  0)</f>
        <v>0</v>
      </c>
      <c r="BE32" s="266">
        <f>IF(AND($F32&lt;=BE$2, OR($G32="",$G32&gt;=BE$2)),
  $H32 * (1 + Assumptions!$C$7) ^ INT(((YEAR(BE$2)-YEAR($F32))*12 + MONTH(BE$2)-MONTH($F32)) / 12),
  0)</f>
        <v>8000</v>
      </c>
      <c r="BF32" s="266">
        <f>IF(AND($F32&lt;=BF$2, OR($G32="",$G32&gt;=BF$2)),
  $H32 * (1 + Assumptions!$C$7) ^ INT(((YEAR(BF$2)-YEAR($F32))*12 + MONTH(BF$2)-MONTH($F32)) / 12),
  0)</f>
        <v>8000</v>
      </c>
      <c r="BG32" s="266">
        <f>IF(AND($F32&lt;=BG$2, OR($G32="",$G32&gt;=BG$2)),
  $H32 * (1 + Assumptions!$C$7) ^ INT(((YEAR(BG$2)-YEAR($F32))*12 + MONTH(BG$2)-MONTH($F32)) / 12),
  0)</f>
        <v>8000</v>
      </c>
      <c r="BH32" s="266">
        <f>IF(AND($F32&lt;=BH$2, OR($G32="",$G32&gt;=BH$2)),
  $H32 * (1 + Assumptions!$C$7) ^ INT(((YEAR(BH$2)-YEAR($F32))*12 + MONTH(BH$2)-MONTH($F32)) / 12),
  0)</f>
        <v>8000</v>
      </c>
      <c r="BI32" s="266">
        <f>IF(AND($F32&lt;=BI$2, OR($G32="",$G32&gt;=BI$2)),
  $H32 * (1 + Assumptions!$C$7) ^ INT(((YEAR(BI$2)-YEAR($F32))*12 + MONTH(BI$2)-MONTH($F32)) / 12),
  0)</f>
        <v>8000</v>
      </c>
      <c r="BJ32" s="266">
        <f>IF(AND($F32&lt;=BJ$2, OR($G32="",$G32&gt;=BJ$2)),
  $H32 * (1 + Assumptions!$C$7) ^ INT(((YEAR(BJ$2)-YEAR($F32))*12 + MONTH(BJ$2)-MONTH($F32)) / 12),
  0)</f>
        <v>8000</v>
      </c>
      <c r="BK32" s="266">
        <f>IF(AND($F32&lt;=BK$2, OR($G32="",$G32&gt;=BK$2)),
  $H32 * (1 + Assumptions!$C$7) ^ INT(((YEAR(BK$2)-YEAR($F32))*12 + MONTH(BK$2)-MONTH($F32)) / 12),
  0)</f>
        <v>8000</v>
      </c>
      <c r="BL32" s="266">
        <f>IF(AND($F32&lt;=BL$2, OR($G32="",$G32&gt;=BL$2)),
  $H32 * (1 + Assumptions!$C$7) ^ INT(((YEAR(BL$2)-YEAR($F32))*12 + MONTH(BL$2)-MONTH($F32)) / 12),
  0)</f>
        <v>8000</v>
      </c>
      <c r="BM32" s="266">
        <f>IF(AND($F32&lt;=BM$2, OR($G32="",$G32&gt;=BM$2)),
  $H32 * (1 + Assumptions!$C$7) ^ INT(((YEAR(BM$2)-YEAR($F32))*12 + MONTH(BM$2)-MONTH($F32)) / 12),
  0)</f>
        <v>8000</v>
      </c>
      <c r="BN32" s="266">
        <f>IF(AND($F32&lt;=BN$2, OR($G32="",$G32&gt;=BN$2)),
  $H32 * (1 + Assumptions!$C$7) ^ INT(((YEAR(BN$2)-YEAR($F32))*12 + MONTH(BN$2)-MONTH($F32)) / 12),
  0)</f>
        <v>8000</v>
      </c>
      <c r="BO32" s="266">
        <f>IF(AND($F32&lt;=BO$2, OR($G32="",$G32&gt;=BO$2)),
  $H32 * (1 + Assumptions!$C$7) ^ INT(((YEAR(BO$2)-YEAR($F32))*12 + MONTH(BO$2)-MONTH($F32)) / 12),
  0)</f>
        <v>8000</v>
      </c>
      <c r="BP32" s="266">
        <f>IF(AND($F32&lt;=BP$2, OR($G32="",$G32&gt;=BP$2)),
  $H32 * (1 + Assumptions!$C$7) ^ INT(((YEAR(BP$2)-YEAR($F32))*12 + MONTH(BP$2)-MONTH($F32)) / 12),
  0)</f>
        <v>8000</v>
      </c>
      <c r="BQ32" s="27"/>
    </row>
    <row r="33" ht="15.75" customHeight="1">
      <c r="A33" s="273">
        <v>29.0</v>
      </c>
      <c r="B33" s="257" t="s">
        <v>330</v>
      </c>
      <c r="C33" s="23" t="s">
        <v>146</v>
      </c>
      <c r="D33" s="273" t="s">
        <v>336</v>
      </c>
      <c r="E33" s="264" t="s">
        <v>332</v>
      </c>
      <c r="F33" s="258">
        <v>47119.0</v>
      </c>
      <c r="G33" s="275"/>
      <c r="H33" s="260">
        <v>6500.0</v>
      </c>
      <c r="I33" s="266">
        <f>IF(AND($F33&lt;=I$2, OR($G33="",$G33&gt;=I$2)),
  $H33 * (1 + Assumptions!$C$7) ^ INT(((YEAR(I$2)-YEAR($F33))*12 + MONTH(I$2)-MONTH($F33)) / 12),
  0)</f>
        <v>0</v>
      </c>
      <c r="J33" s="266">
        <f>IF(AND($F33&lt;=J$2, OR($G33="",$G33&gt;=J$2)),
  $H33 * (1 + Assumptions!$C$7) ^ INT(((YEAR(J$2)-YEAR($F33))*12 + MONTH(J$2)-MONTH($F33)) / 12),
  0)</f>
        <v>0</v>
      </c>
      <c r="K33" s="266">
        <f>IF(AND($F33&lt;=K$2, OR($G33="",$G33&gt;=K$2)),
  $H33 * (1 + Assumptions!$C$7) ^ INT(((YEAR(K$2)-YEAR($F33))*12 + MONTH(K$2)-MONTH($F33)) / 12),
  0)</f>
        <v>0</v>
      </c>
      <c r="L33" s="266">
        <f>IF(AND($F33&lt;=L$2, OR($G33="",$G33&gt;=L$2)),
  $H33 * (1 + Assumptions!$C$7) ^ INT(((YEAR(L$2)-YEAR($F33))*12 + MONTH(L$2)-MONTH($F33)) / 12),
  0)</f>
        <v>0</v>
      </c>
      <c r="M33" s="266">
        <f>IF(AND($F33&lt;=M$2, OR($G33="",$G33&gt;=M$2)),
  $H33 * (1 + Assumptions!$C$7) ^ INT(((YEAR(M$2)-YEAR($F33))*12 + MONTH(M$2)-MONTH($F33)) / 12),
  0)</f>
        <v>0</v>
      </c>
      <c r="N33" s="266">
        <f>IF(AND($F33&lt;=N$2, OR($G33="",$G33&gt;=N$2)),
  $H33 * (1 + Assumptions!$C$7) ^ INT(((YEAR(N$2)-YEAR($F33))*12 + MONTH(N$2)-MONTH($F33)) / 12),
  0)</f>
        <v>0</v>
      </c>
      <c r="O33" s="266">
        <f>IF(AND($F33&lt;=O$2, OR($G33="",$G33&gt;=O$2)),
  $H33 * (1 + Assumptions!$C$7) ^ INT(((YEAR(O$2)-YEAR($F33))*12 + MONTH(O$2)-MONTH($F33)) / 12),
  0)</f>
        <v>0</v>
      </c>
      <c r="P33" s="266">
        <f>IF(AND($F33&lt;=P$2, OR($G33="",$G33&gt;=P$2)),
  $H33 * (1 + Assumptions!$C$7) ^ INT(((YEAR(P$2)-YEAR($F33))*12 + MONTH(P$2)-MONTH($F33)) / 12),
  0)</f>
        <v>0</v>
      </c>
      <c r="Q33" s="266">
        <f>IF(AND($F33&lt;=Q$2, OR($G33="",$G33&gt;=Q$2)),
  $H33 * (1 + Assumptions!$C$7) ^ INT(((YEAR(Q$2)-YEAR($F33))*12 + MONTH(Q$2)-MONTH($F33)) / 12),
  0)</f>
        <v>0</v>
      </c>
      <c r="R33" s="266">
        <f>IF(AND($F33&lt;=R$2, OR($G33="",$G33&gt;=R$2)),
  $H33 * (1 + Assumptions!$C$7) ^ INT(((YEAR(R$2)-YEAR($F33))*12 + MONTH(R$2)-MONTH($F33)) / 12),
  0)</f>
        <v>0</v>
      </c>
      <c r="S33" s="266">
        <f>IF(AND($F33&lt;=S$2, OR($G33="",$G33&gt;=S$2)),
  $H33 * (1 + Assumptions!$C$7) ^ INT(((YEAR(S$2)-YEAR($F33))*12 + MONTH(S$2)-MONTH($F33)) / 12),
  0)</f>
        <v>0</v>
      </c>
      <c r="T33" s="266">
        <f>IF(AND($F33&lt;=T$2, OR($G33="",$G33&gt;=T$2)),
  $H33 * (1 + Assumptions!$C$7) ^ INT(((YEAR(T$2)-YEAR($F33))*12 + MONTH(T$2)-MONTH($F33)) / 12),
  0)</f>
        <v>0</v>
      </c>
      <c r="U33" s="266">
        <f>IF(AND($F33&lt;=U$2, OR($G33="",$G33&gt;=U$2)),
  $H33 * (1 + Assumptions!$C$7) ^ INT(((YEAR(U$2)-YEAR($F33))*12 + MONTH(U$2)-MONTH($F33)) / 12),
  0)</f>
        <v>0</v>
      </c>
      <c r="V33" s="266">
        <f>IF(AND($F33&lt;=V$2, OR($G33="",$G33&gt;=V$2)),
  $H33 * (1 + Assumptions!$C$7) ^ INT(((YEAR(V$2)-YEAR($F33))*12 + MONTH(V$2)-MONTH($F33)) / 12),
  0)</f>
        <v>0</v>
      </c>
      <c r="W33" s="266">
        <f>IF(AND($F33&lt;=W$2, OR($G33="",$G33&gt;=W$2)),
  $H33 * (1 + Assumptions!$C$7) ^ INT(((YEAR(W$2)-YEAR($F33))*12 + MONTH(W$2)-MONTH($F33)) / 12),
  0)</f>
        <v>0</v>
      </c>
      <c r="X33" s="266">
        <f>IF(AND($F33&lt;=X$2, OR($G33="",$G33&gt;=X$2)),
  $H33 * (1 + Assumptions!$C$7) ^ INT(((YEAR(X$2)-YEAR($F33))*12 + MONTH(X$2)-MONTH($F33)) / 12),
  0)</f>
        <v>0</v>
      </c>
      <c r="Y33" s="266">
        <f>IF(AND($F33&lt;=Y$2, OR($G33="",$G33&gt;=Y$2)),
  $H33 * (1 + Assumptions!$C$7) ^ INT(((YEAR(Y$2)-YEAR($F33))*12 + MONTH(Y$2)-MONTH($F33)) / 12),
  0)</f>
        <v>0</v>
      </c>
      <c r="Z33" s="266">
        <f>IF(AND($F33&lt;=Z$2, OR($G33="",$G33&gt;=Z$2)),
  $H33 * (1 + Assumptions!$C$7) ^ INT(((YEAR(Z$2)-YEAR($F33))*12 + MONTH(Z$2)-MONTH($F33)) / 12),
  0)</f>
        <v>0</v>
      </c>
      <c r="AA33" s="266">
        <f>IF(AND($F33&lt;=AA$2, OR($G33="",$G33&gt;=AA$2)),
  $H33 * (1 + Assumptions!$C$7) ^ INT(((YEAR(AA$2)-YEAR($F33))*12 + MONTH(AA$2)-MONTH($F33)) / 12),
  0)</f>
        <v>0</v>
      </c>
      <c r="AB33" s="266">
        <f>IF(AND($F33&lt;=AB$2, OR($G33="",$G33&gt;=AB$2)),
  $H33 * (1 + Assumptions!$C$7) ^ INT(((YEAR(AB$2)-YEAR($F33))*12 + MONTH(AB$2)-MONTH($F33)) / 12),
  0)</f>
        <v>0</v>
      </c>
      <c r="AC33" s="266">
        <f>IF(AND($F33&lt;=AC$2, OR($G33="",$G33&gt;=AC$2)),
  $H33 * (1 + Assumptions!$C$7) ^ INT(((YEAR(AC$2)-YEAR($F33))*12 + MONTH(AC$2)-MONTH($F33)) / 12),
  0)</f>
        <v>0</v>
      </c>
      <c r="AD33" s="266">
        <f>IF(AND($F33&lt;=AD$2, OR($G33="",$G33&gt;=AD$2)),
  $H33 * (1 + Assumptions!$C$7) ^ INT(((YEAR(AD$2)-YEAR($F33))*12 + MONTH(AD$2)-MONTH($F33)) / 12),
  0)</f>
        <v>0</v>
      </c>
      <c r="AE33" s="266">
        <f>IF(AND($F33&lt;=AE$2, OR($G33="",$G33&gt;=AE$2)),
  $H33 * (1 + Assumptions!$C$7) ^ INT(((YEAR(AE$2)-YEAR($F33))*12 + MONTH(AE$2)-MONTH($F33)) / 12),
  0)</f>
        <v>0</v>
      </c>
      <c r="AF33" s="266">
        <f>IF(AND($F33&lt;=AF$2, OR($G33="",$G33&gt;=AF$2)),
  $H33 * (1 + Assumptions!$C$7) ^ INT(((YEAR(AF$2)-YEAR($F33))*12 + MONTH(AF$2)-MONTH($F33)) / 12),
  0)</f>
        <v>0</v>
      </c>
      <c r="AG33" s="266">
        <f>IF(AND($F33&lt;=AG$2, OR($G33="",$G33&gt;=AG$2)),
  $H33 * (1 + Assumptions!$C$7) ^ INT(((YEAR(AG$2)-YEAR($F33))*12 + MONTH(AG$2)-MONTH($F33)) / 12),
  0)</f>
        <v>0</v>
      </c>
      <c r="AH33" s="266">
        <f>IF(AND($F33&lt;=AH$2, OR($G33="",$G33&gt;=AH$2)),
  $H33 * (1 + Assumptions!$C$7) ^ INT(((YEAR(AH$2)-YEAR($F33))*12 + MONTH(AH$2)-MONTH($F33)) / 12),
  0)</f>
        <v>0</v>
      </c>
      <c r="AI33" s="266">
        <f>IF(AND($F33&lt;=AI$2, OR($G33="",$G33&gt;=AI$2)),
  $H33 * (1 + Assumptions!$C$7) ^ INT(((YEAR(AI$2)-YEAR($F33))*12 + MONTH(AI$2)-MONTH($F33)) / 12),
  0)</f>
        <v>0</v>
      </c>
      <c r="AJ33" s="266">
        <f>IF(AND($F33&lt;=AJ$2, OR($G33="",$G33&gt;=AJ$2)),
  $H33 * (1 + Assumptions!$C$7) ^ INT(((YEAR(AJ$2)-YEAR($F33))*12 + MONTH(AJ$2)-MONTH($F33)) / 12),
  0)</f>
        <v>0</v>
      </c>
      <c r="AK33" s="266">
        <f>IF(AND($F33&lt;=AK$2, OR($G33="",$G33&gt;=AK$2)),
  $H33 * (1 + Assumptions!$C$7) ^ INT(((YEAR(AK$2)-YEAR($F33))*12 + MONTH(AK$2)-MONTH($F33)) / 12),
  0)</f>
        <v>0</v>
      </c>
      <c r="AL33" s="266">
        <f>IF(AND($F33&lt;=AL$2, OR($G33="",$G33&gt;=AL$2)),
  $H33 * (1 + Assumptions!$C$7) ^ INT(((YEAR(AL$2)-YEAR($F33))*12 + MONTH(AL$2)-MONTH($F33)) / 12),
  0)</f>
        <v>0</v>
      </c>
      <c r="AM33" s="266">
        <f>IF(AND($F33&lt;=AM$2, OR($G33="",$G33&gt;=AM$2)),
  $H33 * (1 + Assumptions!$C$7) ^ INT(((YEAR(AM$2)-YEAR($F33))*12 + MONTH(AM$2)-MONTH($F33)) / 12),
  0)</f>
        <v>0</v>
      </c>
      <c r="AN33" s="266">
        <f>IF(AND($F33&lt;=AN$2, OR($G33="",$G33&gt;=AN$2)),
  $H33 * (1 + Assumptions!$C$7) ^ INT(((YEAR(AN$2)-YEAR($F33))*12 + MONTH(AN$2)-MONTH($F33)) / 12),
  0)</f>
        <v>0</v>
      </c>
      <c r="AO33" s="266">
        <f>IF(AND($F33&lt;=AO$2, OR($G33="",$G33&gt;=AO$2)),
  $H33 * (1 + Assumptions!$C$7) ^ INT(((YEAR(AO$2)-YEAR($F33))*12 + MONTH(AO$2)-MONTH($F33)) / 12),
  0)</f>
        <v>0</v>
      </c>
      <c r="AP33" s="266">
        <f>IF(AND($F33&lt;=AP$2, OR($G33="",$G33&gt;=AP$2)),
  $H33 * (1 + Assumptions!$C$7) ^ INT(((YEAR(AP$2)-YEAR($F33))*12 + MONTH(AP$2)-MONTH($F33)) / 12),
  0)</f>
        <v>0</v>
      </c>
      <c r="AQ33" s="266">
        <f>IF(AND($F33&lt;=AQ$2, OR($G33="",$G33&gt;=AQ$2)),
  $H33 * (1 + Assumptions!$C$7) ^ INT(((YEAR(AQ$2)-YEAR($F33))*12 + MONTH(AQ$2)-MONTH($F33)) / 12),
  0)</f>
        <v>0</v>
      </c>
      <c r="AR33" s="266">
        <f>IF(AND($F33&lt;=AR$2, OR($G33="",$G33&gt;=AR$2)),
  $H33 * (1 + Assumptions!$C$7) ^ INT(((YEAR(AR$2)-YEAR($F33))*12 + MONTH(AR$2)-MONTH($F33)) / 12),
  0)</f>
        <v>0</v>
      </c>
      <c r="AS33" s="266">
        <f>IF(AND($F33&lt;=AS$2, OR($G33="",$G33&gt;=AS$2)),
  $H33 * (1 + Assumptions!$C$7) ^ INT(((YEAR(AS$2)-YEAR($F33))*12 + MONTH(AS$2)-MONTH($F33)) / 12),
  0)</f>
        <v>0</v>
      </c>
      <c r="AT33" s="266">
        <f>IF(AND($F33&lt;=AT$2, OR($G33="",$G33&gt;=AT$2)),
  $H33 * (1 + Assumptions!$C$7) ^ INT(((YEAR(AT$2)-YEAR($F33))*12 + MONTH(AT$2)-MONTH($F33)) / 12),
  0)</f>
        <v>0</v>
      </c>
      <c r="AU33" s="266">
        <f>IF(AND($F33&lt;=AU$2, OR($G33="",$G33&gt;=AU$2)),
  $H33 * (1 + Assumptions!$C$7) ^ INT(((YEAR(AU$2)-YEAR($F33))*12 + MONTH(AU$2)-MONTH($F33)) / 12),
  0)</f>
        <v>0</v>
      </c>
      <c r="AV33" s="266">
        <f>IF(AND($F33&lt;=AV$2, OR($G33="",$G33&gt;=AV$2)),
  $H33 * (1 + Assumptions!$C$7) ^ INT(((YEAR(AV$2)-YEAR($F33))*12 + MONTH(AV$2)-MONTH($F33)) / 12),
  0)</f>
        <v>0</v>
      </c>
      <c r="AW33" s="266">
        <f>IF(AND($F33&lt;=AW$2, OR($G33="",$G33&gt;=AW$2)),
  $H33 * (1 + Assumptions!$C$7) ^ INT(((YEAR(AW$2)-YEAR($F33))*12 + MONTH(AW$2)-MONTH($F33)) / 12),
  0)</f>
        <v>0</v>
      </c>
      <c r="AX33" s="266">
        <f>IF(AND($F33&lt;=AX$2, OR($G33="",$G33&gt;=AX$2)),
  $H33 * (1 + Assumptions!$C$7) ^ INT(((YEAR(AX$2)-YEAR($F33))*12 + MONTH(AX$2)-MONTH($F33)) / 12),
  0)</f>
        <v>0</v>
      </c>
      <c r="AY33" s="266">
        <f>IF(AND($F33&lt;=AY$2, OR($G33="",$G33&gt;=AY$2)),
  $H33 * (1 + Assumptions!$C$7) ^ INT(((YEAR(AY$2)-YEAR($F33))*12 + MONTH(AY$2)-MONTH($F33)) / 12),
  0)</f>
        <v>0</v>
      </c>
      <c r="AZ33" s="266">
        <f>IF(AND($F33&lt;=AZ$2, OR($G33="",$G33&gt;=AZ$2)),
  $H33 * (1 + Assumptions!$C$7) ^ INT(((YEAR(AZ$2)-YEAR($F33))*12 + MONTH(AZ$2)-MONTH($F33)) / 12),
  0)</f>
        <v>0</v>
      </c>
      <c r="BA33" s="266">
        <f>IF(AND($F33&lt;=BA$2, OR($G33="",$G33&gt;=BA$2)),
  $H33 * (1 + Assumptions!$C$7) ^ INT(((YEAR(BA$2)-YEAR($F33))*12 + MONTH(BA$2)-MONTH($F33)) / 12),
  0)</f>
        <v>0</v>
      </c>
      <c r="BB33" s="266">
        <f>IF(AND($F33&lt;=BB$2, OR($G33="",$G33&gt;=BB$2)),
  $H33 * (1 + Assumptions!$C$7) ^ INT(((YEAR(BB$2)-YEAR($F33))*12 + MONTH(BB$2)-MONTH($F33)) / 12),
  0)</f>
        <v>0</v>
      </c>
      <c r="BC33" s="266">
        <f>IF(AND($F33&lt;=BC$2, OR($G33="",$G33&gt;=BC$2)),
  $H33 * (1 + Assumptions!$C$7) ^ INT(((YEAR(BC$2)-YEAR($F33))*12 + MONTH(BC$2)-MONTH($F33)) / 12),
  0)</f>
        <v>0</v>
      </c>
      <c r="BD33" s="266">
        <f>IF(AND($F33&lt;=BD$2, OR($G33="",$G33&gt;=BD$2)),
  $H33 * (1 + Assumptions!$C$7) ^ INT(((YEAR(BD$2)-YEAR($F33))*12 + MONTH(BD$2)-MONTH($F33)) / 12),
  0)</f>
        <v>0</v>
      </c>
      <c r="BE33" s="266">
        <f>IF(AND($F33&lt;=BE$2, OR($G33="",$G33&gt;=BE$2)),
  $H33 * (1 + Assumptions!$C$7) ^ INT(((YEAR(BE$2)-YEAR($F33))*12 + MONTH(BE$2)-MONTH($F33)) / 12),
  0)</f>
        <v>6500</v>
      </c>
      <c r="BF33" s="266">
        <f>IF(AND($F33&lt;=BF$2, OR($G33="",$G33&gt;=BF$2)),
  $H33 * (1 + Assumptions!$C$7) ^ INT(((YEAR(BF$2)-YEAR($F33))*12 + MONTH(BF$2)-MONTH($F33)) / 12),
  0)</f>
        <v>6500</v>
      </c>
      <c r="BG33" s="266">
        <f>IF(AND($F33&lt;=BG$2, OR($G33="",$G33&gt;=BG$2)),
  $H33 * (1 + Assumptions!$C$7) ^ INT(((YEAR(BG$2)-YEAR($F33))*12 + MONTH(BG$2)-MONTH($F33)) / 12),
  0)</f>
        <v>6500</v>
      </c>
      <c r="BH33" s="266">
        <f>IF(AND($F33&lt;=BH$2, OR($G33="",$G33&gt;=BH$2)),
  $H33 * (1 + Assumptions!$C$7) ^ INT(((YEAR(BH$2)-YEAR($F33))*12 + MONTH(BH$2)-MONTH($F33)) / 12),
  0)</f>
        <v>6500</v>
      </c>
      <c r="BI33" s="266">
        <f>IF(AND($F33&lt;=BI$2, OR($G33="",$G33&gt;=BI$2)),
  $H33 * (1 + Assumptions!$C$7) ^ INT(((YEAR(BI$2)-YEAR($F33))*12 + MONTH(BI$2)-MONTH($F33)) / 12),
  0)</f>
        <v>6500</v>
      </c>
      <c r="BJ33" s="266">
        <f>IF(AND($F33&lt;=BJ$2, OR($G33="",$G33&gt;=BJ$2)),
  $H33 * (1 + Assumptions!$C$7) ^ INT(((YEAR(BJ$2)-YEAR($F33))*12 + MONTH(BJ$2)-MONTH($F33)) / 12),
  0)</f>
        <v>6500</v>
      </c>
      <c r="BK33" s="266">
        <f>IF(AND($F33&lt;=BK$2, OR($G33="",$G33&gt;=BK$2)),
  $H33 * (1 + Assumptions!$C$7) ^ INT(((YEAR(BK$2)-YEAR($F33))*12 + MONTH(BK$2)-MONTH($F33)) / 12),
  0)</f>
        <v>6500</v>
      </c>
      <c r="BL33" s="266">
        <f>IF(AND($F33&lt;=BL$2, OR($G33="",$G33&gt;=BL$2)),
  $H33 * (1 + Assumptions!$C$7) ^ INT(((YEAR(BL$2)-YEAR($F33))*12 + MONTH(BL$2)-MONTH($F33)) / 12),
  0)</f>
        <v>6500</v>
      </c>
      <c r="BM33" s="266">
        <f>IF(AND($F33&lt;=BM$2, OR($G33="",$G33&gt;=BM$2)),
  $H33 * (1 + Assumptions!$C$7) ^ INT(((YEAR(BM$2)-YEAR($F33))*12 + MONTH(BM$2)-MONTH($F33)) / 12),
  0)</f>
        <v>6500</v>
      </c>
      <c r="BN33" s="266">
        <f>IF(AND($F33&lt;=BN$2, OR($G33="",$G33&gt;=BN$2)),
  $H33 * (1 + Assumptions!$C$7) ^ INT(((YEAR(BN$2)-YEAR($F33))*12 + MONTH(BN$2)-MONTH($F33)) / 12),
  0)</f>
        <v>6500</v>
      </c>
      <c r="BO33" s="266">
        <f>IF(AND($F33&lt;=BO$2, OR($G33="",$G33&gt;=BO$2)),
  $H33 * (1 + Assumptions!$C$7) ^ INT(((YEAR(BO$2)-YEAR($F33))*12 + MONTH(BO$2)-MONTH($F33)) / 12),
  0)</f>
        <v>6500</v>
      </c>
      <c r="BP33" s="266">
        <f>IF(AND($F33&lt;=BP$2, OR($G33="",$G33&gt;=BP$2)),
  $H33 * (1 + Assumptions!$C$7) ^ INT(((YEAR(BP$2)-YEAR($F33))*12 + MONTH(BP$2)-MONTH($F33)) / 12),
  0)</f>
        <v>6500</v>
      </c>
      <c r="BQ33" s="27"/>
    </row>
    <row r="34" ht="15.75" customHeight="1">
      <c r="A34" s="273">
        <v>30.0</v>
      </c>
      <c r="B34" s="257" t="s">
        <v>330</v>
      </c>
      <c r="C34" s="23" t="s">
        <v>146</v>
      </c>
      <c r="D34" s="273" t="s">
        <v>341</v>
      </c>
      <c r="E34" s="264" t="s">
        <v>332</v>
      </c>
      <c r="F34" s="258">
        <v>47119.0</v>
      </c>
      <c r="G34" s="275"/>
      <c r="H34" s="260">
        <v>8000.0</v>
      </c>
      <c r="I34" s="266">
        <f>IF(AND($F34&lt;=I$2, OR($G34="",$G34&gt;=I$2)),
  $H34 * (1 + Assumptions!$C$7) ^ INT(((YEAR(I$2)-YEAR($F34))*12 + MONTH(I$2)-MONTH($F34)) / 12),
  0)</f>
        <v>0</v>
      </c>
      <c r="J34" s="266">
        <f>IF(AND($F34&lt;=J$2, OR($G34="",$G34&gt;=J$2)),
  $H34 * (1 + Assumptions!$C$7) ^ INT(((YEAR(J$2)-YEAR($F34))*12 + MONTH(J$2)-MONTH($F34)) / 12),
  0)</f>
        <v>0</v>
      </c>
      <c r="K34" s="266">
        <f>IF(AND($F34&lt;=K$2, OR($G34="",$G34&gt;=K$2)),
  $H34 * (1 + Assumptions!$C$7) ^ INT(((YEAR(K$2)-YEAR($F34))*12 + MONTH(K$2)-MONTH($F34)) / 12),
  0)</f>
        <v>0</v>
      </c>
      <c r="L34" s="266">
        <f>IF(AND($F34&lt;=L$2, OR($G34="",$G34&gt;=L$2)),
  $H34 * (1 + Assumptions!$C$7) ^ INT(((YEAR(L$2)-YEAR($F34))*12 + MONTH(L$2)-MONTH($F34)) / 12),
  0)</f>
        <v>0</v>
      </c>
      <c r="M34" s="266">
        <f>IF(AND($F34&lt;=M$2, OR($G34="",$G34&gt;=M$2)),
  $H34 * (1 + Assumptions!$C$7) ^ INT(((YEAR(M$2)-YEAR($F34))*12 + MONTH(M$2)-MONTH($F34)) / 12),
  0)</f>
        <v>0</v>
      </c>
      <c r="N34" s="266">
        <f>IF(AND($F34&lt;=N$2, OR($G34="",$G34&gt;=N$2)),
  $H34 * (1 + Assumptions!$C$7) ^ INT(((YEAR(N$2)-YEAR($F34))*12 + MONTH(N$2)-MONTH($F34)) / 12),
  0)</f>
        <v>0</v>
      </c>
      <c r="O34" s="266">
        <f>IF(AND($F34&lt;=O$2, OR($G34="",$G34&gt;=O$2)),
  $H34 * (1 + Assumptions!$C$7) ^ INT(((YEAR(O$2)-YEAR($F34))*12 + MONTH(O$2)-MONTH($F34)) / 12),
  0)</f>
        <v>0</v>
      </c>
      <c r="P34" s="266">
        <f>IF(AND($F34&lt;=P$2, OR($G34="",$G34&gt;=P$2)),
  $H34 * (1 + Assumptions!$C$7) ^ INT(((YEAR(P$2)-YEAR($F34))*12 + MONTH(P$2)-MONTH($F34)) / 12),
  0)</f>
        <v>0</v>
      </c>
      <c r="Q34" s="266">
        <f>IF(AND($F34&lt;=Q$2, OR($G34="",$G34&gt;=Q$2)),
  $H34 * (1 + Assumptions!$C$7) ^ INT(((YEAR(Q$2)-YEAR($F34))*12 + MONTH(Q$2)-MONTH($F34)) / 12),
  0)</f>
        <v>0</v>
      </c>
      <c r="R34" s="266">
        <f>IF(AND($F34&lt;=R$2, OR($G34="",$G34&gt;=R$2)),
  $H34 * (1 + Assumptions!$C$7) ^ INT(((YEAR(R$2)-YEAR($F34))*12 + MONTH(R$2)-MONTH($F34)) / 12),
  0)</f>
        <v>0</v>
      </c>
      <c r="S34" s="266">
        <f>IF(AND($F34&lt;=S$2, OR($G34="",$G34&gt;=S$2)),
  $H34 * (1 + Assumptions!$C$7) ^ INT(((YEAR(S$2)-YEAR($F34))*12 + MONTH(S$2)-MONTH($F34)) / 12),
  0)</f>
        <v>0</v>
      </c>
      <c r="T34" s="266">
        <f>IF(AND($F34&lt;=T$2, OR($G34="",$G34&gt;=T$2)),
  $H34 * (1 + Assumptions!$C$7) ^ INT(((YEAR(T$2)-YEAR($F34))*12 + MONTH(T$2)-MONTH($F34)) / 12),
  0)</f>
        <v>0</v>
      </c>
      <c r="U34" s="266">
        <f>IF(AND($F34&lt;=U$2, OR($G34="",$G34&gt;=U$2)),
  $H34 * (1 + Assumptions!$C$7) ^ INT(((YEAR(U$2)-YEAR($F34))*12 + MONTH(U$2)-MONTH($F34)) / 12),
  0)</f>
        <v>0</v>
      </c>
      <c r="V34" s="266">
        <f>IF(AND($F34&lt;=V$2, OR($G34="",$G34&gt;=V$2)),
  $H34 * (1 + Assumptions!$C$7) ^ INT(((YEAR(V$2)-YEAR($F34))*12 + MONTH(V$2)-MONTH($F34)) / 12),
  0)</f>
        <v>0</v>
      </c>
      <c r="W34" s="266">
        <f>IF(AND($F34&lt;=W$2, OR($G34="",$G34&gt;=W$2)),
  $H34 * (1 + Assumptions!$C$7) ^ INT(((YEAR(W$2)-YEAR($F34))*12 + MONTH(W$2)-MONTH($F34)) / 12),
  0)</f>
        <v>0</v>
      </c>
      <c r="X34" s="266">
        <f>IF(AND($F34&lt;=X$2, OR($G34="",$G34&gt;=X$2)),
  $H34 * (1 + Assumptions!$C$7) ^ INT(((YEAR(X$2)-YEAR($F34))*12 + MONTH(X$2)-MONTH($F34)) / 12),
  0)</f>
        <v>0</v>
      </c>
      <c r="Y34" s="266">
        <f>IF(AND($F34&lt;=Y$2, OR($G34="",$G34&gt;=Y$2)),
  $H34 * (1 + Assumptions!$C$7) ^ INT(((YEAR(Y$2)-YEAR($F34))*12 + MONTH(Y$2)-MONTH($F34)) / 12),
  0)</f>
        <v>0</v>
      </c>
      <c r="Z34" s="266">
        <f>IF(AND($F34&lt;=Z$2, OR($G34="",$G34&gt;=Z$2)),
  $H34 * (1 + Assumptions!$C$7) ^ INT(((YEAR(Z$2)-YEAR($F34))*12 + MONTH(Z$2)-MONTH($F34)) / 12),
  0)</f>
        <v>0</v>
      </c>
      <c r="AA34" s="266">
        <f>IF(AND($F34&lt;=AA$2, OR($G34="",$G34&gt;=AA$2)),
  $H34 * (1 + Assumptions!$C$7) ^ INT(((YEAR(AA$2)-YEAR($F34))*12 + MONTH(AA$2)-MONTH($F34)) / 12),
  0)</f>
        <v>0</v>
      </c>
      <c r="AB34" s="266">
        <f>IF(AND($F34&lt;=AB$2, OR($G34="",$G34&gt;=AB$2)),
  $H34 * (1 + Assumptions!$C$7) ^ INT(((YEAR(AB$2)-YEAR($F34))*12 + MONTH(AB$2)-MONTH($F34)) / 12),
  0)</f>
        <v>0</v>
      </c>
      <c r="AC34" s="266">
        <f>IF(AND($F34&lt;=AC$2, OR($G34="",$G34&gt;=AC$2)),
  $H34 * (1 + Assumptions!$C$7) ^ INT(((YEAR(AC$2)-YEAR($F34))*12 + MONTH(AC$2)-MONTH($F34)) / 12),
  0)</f>
        <v>0</v>
      </c>
      <c r="AD34" s="266">
        <f>IF(AND($F34&lt;=AD$2, OR($G34="",$G34&gt;=AD$2)),
  $H34 * (1 + Assumptions!$C$7) ^ INT(((YEAR(AD$2)-YEAR($F34))*12 + MONTH(AD$2)-MONTH($F34)) / 12),
  0)</f>
        <v>0</v>
      </c>
      <c r="AE34" s="266">
        <f>IF(AND($F34&lt;=AE$2, OR($G34="",$G34&gt;=AE$2)),
  $H34 * (1 + Assumptions!$C$7) ^ INT(((YEAR(AE$2)-YEAR($F34))*12 + MONTH(AE$2)-MONTH($F34)) / 12),
  0)</f>
        <v>0</v>
      </c>
      <c r="AF34" s="266">
        <f>IF(AND($F34&lt;=AF$2, OR($G34="",$G34&gt;=AF$2)),
  $H34 * (1 + Assumptions!$C$7) ^ INT(((YEAR(AF$2)-YEAR($F34))*12 + MONTH(AF$2)-MONTH($F34)) / 12),
  0)</f>
        <v>0</v>
      </c>
      <c r="AG34" s="266">
        <f>IF(AND($F34&lt;=AG$2, OR($G34="",$G34&gt;=AG$2)),
  $H34 * (1 + Assumptions!$C$7) ^ INT(((YEAR(AG$2)-YEAR($F34))*12 + MONTH(AG$2)-MONTH($F34)) / 12),
  0)</f>
        <v>0</v>
      </c>
      <c r="AH34" s="266">
        <f>IF(AND($F34&lt;=AH$2, OR($G34="",$G34&gt;=AH$2)),
  $H34 * (1 + Assumptions!$C$7) ^ INT(((YEAR(AH$2)-YEAR($F34))*12 + MONTH(AH$2)-MONTH($F34)) / 12),
  0)</f>
        <v>0</v>
      </c>
      <c r="AI34" s="266">
        <f>IF(AND($F34&lt;=AI$2, OR($G34="",$G34&gt;=AI$2)),
  $H34 * (1 + Assumptions!$C$7) ^ INT(((YEAR(AI$2)-YEAR($F34))*12 + MONTH(AI$2)-MONTH($F34)) / 12),
  0)</f>
        <v>0</v>
      </c>
      <c r="AJ34" s="266">
        <f>IF(AND($F34&lt;=AJ$2, OR($G34="",$G34&gt;=AJ$2)),
  $H34 * (1 + Assumptions!$C$7) ^ INT(((YEAR(AJ$2)-YEAR($F34))*12 + MONTH(AJ$2)-MONTH($F34)) / 12),
  0)</f>
        <v>0</v>
      </c>
      <c r="AK34" s="266">
        <f>IF(AND($F34&lt;=AK$2, OR($G34="",$G34&gt;=AK$2)),
  $H34 * (1 + Assumptions!$C$7) ^ INT(((YEAR(AK$2)-YEAR($F34))*12 + MONTH(AK$2)-MONTH($F34)) / 12),
  0)</f>
        <v>0</v>
      </c>
      <c r="AL34" s="266">
        <f>IF(AND($F34&lt;=AL$2, OR($G34="",$G34&gt;=AL$2)),
  $H34 * (1 + Assumptions!$C$7) ^ INT(((YEAR(AL$2)-YEAR($F34))*12 + MONTH(AL$2)-MONTH($F34)) / 12),
  0)</f>
        <v>0</v>
      </c>
      <c r="AM34" s="266">
        <f>IF(AND($F34&lt;=AM$2, OR($G34="",$G34&gt;=AM$2)),
  $H34 * (1 + Assumptions!$C$7) ^ INT(((YEAR(AM$2)-YEAR($F34))*12 + MONTH(AM$2)-MONTH($F34)) / 12),
  0)</f>
        <v>0</v>
      </c>
      <c r="AN34" s="266">
        <f>IF(AND($F34&lt;=AN$2, OR($G34="",$G34&gt;=AN$2)),
  $H34 * (1 + Assumptions!$C$7) ^ INT(((YEAR(AN$2)-YEAR($F34))*12 + MONTH(AN$2)-MONTH($F34)) / 12),
  0)</f>
        <v>0</v>
      </c>
      <c r="AO34" s="266">
        <f>IF(AND($F34&lt;=AO$2, OR($G34="",$G34&gt;=AO$2)),
  $H34 * (1 + Assumptions!$C$7) ^ INT(((YEAR(AO$2)-YEAR($F34))*12 + MONTH(AO$2)-MONTH($F34)) / 12),
  0)</f>
        <v>0</v>
      </c>
      <c r="AP34" s="266">
        <f>IF(AND($F34&lt;=AP$2, OR($G34="",$G34&gt;=AP$2)),
  $H34 * (1 + Assumptions!$C$7) ^ INT(((YEAR(AP$2)-YEAR($F34))*12 + MONTH(AP$2)-MONTH($F34)) / 12),
  0)</f>
        <v>0</v>
      </c>
      <c r="AQ34" s="266">
        <f>IF(AND($F34&lt;=AQ$2, OR($G34="",$G34&gt;=AQ$2)),
  $H34 * (1 + Assumptions!$C$7) ^ INT(((YEAR(AQ$2)-YEAR($F34))*12 + MONTH(AQ$2)-MONTH($F34)) / 12),
  0)</f>
        <v>0</v>
      </c>
      <c r="AR34" s="266">
        <f>IF(AND($F34&lt;=AR$2, OR($G34="",$G34&gt;=AR$2)),
  $H34 * (1 + Assumptions!$C$7) ^ INT(((YEAR(AR$2)-YEAR($F34))*12 + MONTH(AR$2)-MONTH($F34)) / 12),
  0)</f>
        <v>0</v>
      </c>
      <c r="AS34" s="266">
        <f>IF(AND($F34&lt;=AS$2, OR($G34="",$G34&gt;=AS$2)),
  $H34 * (1 + Assumptions!$C$7) ^ INT(((YEAR(AS$2)-YEAR($F34))*12 + MONTH(AS$2)-MONTH($F34)) / 12),
  0)</f>
        <v>0</v>
      </c>
      <c r="AT34" s="266">
        <f>IF(AND($F34&lt;=AT$2, OR($G34="",$G34&gt;=AT$2)),
  $H34 * (1 + Assumptions!$C$7) ^ INT(((YEAR(AT$2)-YEAR($F34))*12 + MONTH(AT$2)-MONTH($F34)) / 12),
  0)</f>
        <v>0</v>
      </c>
      <c r="AU34" s="266">
        <f>IF(AND($F34&lt;=AU$2, OR($G34="",$G34&gt;=AU$2)),
  $H34 * (1 + Assumptions!$C$7) ^ INT(((YEAR(AU$2)-YEAR($F34))*12 + MONTH(AU$2)-MONTH($F34)) / 12),
  0)</f>
        <v>0</v>
      </c>
      <c r="AV34" s="266">
        <f>IF(AND($F34&lt;=AV$2, OR($G34="",$G34&gt;=AV$2)),
  $H34 * (1 + Assumptions!$C$7) ^ INT(((YEAR(AV$2)-YEAR($F34))*12 + MONTH(AV$2)-MONTH($F34)) / 12),
  0)</f>
        <v>0</v>
      </c>
      <c r="AW34" s="266">
        <f>IF(AND($F34&lt;=AW$2, OR($G34="",$G34&gt;=AW$2)),
  $H34 * (1 + Assumptions!$C$7) ^ INT(((YEAR(AW$2)-YEAR($F34))*12 + MONTH(AW$2)-MONTH($F34)) / 12),
  0)</f>
        <v>0</v>
      </c>
      <c r="AX34" s="266">
        <f>IF(AND($F34&lt;=AX$2, OR($G34="",$G34&gt;=AX$2)),
  $H34 * (1 + Assumptions!$C$7) ^ INT(((YEAR(AX$2)-YEAR($F34))*12 + MONTH(AX$2)-MONTH($F34)) / 12),
  0)</f>
        <v>0</v>
      </c>
      <c r="AY34" s="266">
        <f>IF(AND($F34&lt;=AY$2, OR($G34="",$G34&gt;=AY$2)),
  $H34 * (1 + Assumptions!$C$7) ^ INT(((YEAR(AY$2)-YEAR($F34))*12 + MONTH(AY$2)-MONTH($F34)) / 12),
  0)</f>
        <v>0</v>
      </c>
      <c r="AZ34" s="266">
        <f>IF(AND($F34&lt;=AZ$2, OR($G34="",$G34&gt;=AZ$2)),
  $H34 * (1 + Assumptions!$C$7) ^ INT(((YEAR(AZ$2)-YEAR($F34))*12 + MONTH(AZ$2)-MONTH($F34)) / 12),
  0)</f>
        <v>0</v>
      </c>
      <c r="BA34" s="266">
        <f>IF(AND($F34&lt;=BA$2, OR($G34="",$G34&gt;=BA$2)),
  $H34 * (1 + Assumptions!$C$7) ^ INT(((YEAR(BA$2)-YEAR($F34))*12 + MONTH(BA$2)-MONTH($F34)) / 12),
  0)</f>
        <v>0</v>
      </c>
      <c r="BB34" s="266">
        <f>IF(AND($F34&lt;=BB$2, OR($G34="",$G34&gt;=BB$2)),
  $H34 * (1 + Assumptions!$C$7) ^ INT(((YEAR(BB$2)-YEAR($F34))*12 + MONTH(BB$2)-MONTH($F34)) / 12),
  0)</f>
        <v>0</v>
      </c>
      <c r="BC34" s="266">
        <f>IF(AND($F34&lt;=BC$2, OR($G34="",$G34&gt;=BC$2)),
  $H34 * (1 + Assumptions!$C$7) ^ INT(((YEAR(BC$2)-YEAR($F34))*12 + MONTH(BC$2)-MONTH($F34)) / 12),
  0)</f>
        <v>0</v>
      </c>
      <c r="BD34" s="266">
        <f>IF(AND($F34&lt;=BD$2, OR($G34="",$G34&gt;=BD$2)),
  $H34 * (1 + Assumptions!$C$7) ^ INT(((YEAR(BD$2)-YEAR($F34))*12 + MONTH(BD$2)-MONTH($F34)) / 12),
  0)</f>
        <v>0</v>
      </c>
      <c r="BE34" s="266">
        <f>IF(AND($F34&lt;=BE$2, OR($G34="",$G34&gt;=BE$2)),
  $H34 * (1 + Assumptions!$C$7) ^ INT(((YEAR(BE$2)-YEAR($F34))*12 + MONTH(BE$2)-MONTH($F34)) / 12),
  0)</f>
        <v>8000</v>
      </c>
      <c r="BF34" s="266">
        <f>IF(AND($F34&lt;=BF$2, OR($G34="",$G34&gt;=BF$2)),
  $H34 * (1 + Assumptions!$C$7) ^ INT(((YEAR(BF$2)-YEAR($F34))*12 + MONTH(BF$2)-MONTH($F34)) / 12),
  0)</f>
        <v>8000</v>
      </c>
      <c r="BG34" s="266">
        <f>IF(AND($F34&lt;=BG$2, OR($G34="",$G34&gt;=BG$2)),
  $H34 * (1 + Assumptions!$C$7) ^ INT(((YEAR(BG$2)-YEAR($F34))*12 + MONTH(BG$2)-MONTH($F34)) / 12),
  0)</f>
        <v>8000</v>
      </c>
      <c r="BH34" s="266">
        <f>IF(AND($F34&lt;=BH$2, OR($G34="",$G34&gt;=BH$2)),
  $H34 * (1 + Assumptions!$C$7) ^ INT(((YEAR(BH$2)-YEAR($F34))*12 + MONTH(BH$2)-MONTH($F34)) / 12),
  0)</f>
        <v>8000</v>
      </c>
      <c r="BI34" s="266">
        <f>IF(AND($F34&lt;=BI$2, OR($G34="",$G34&gt;=BI$2)),
  $H34 * (1 + Assumptions!$C$7) ^ INT(((YEAR(BI$2)-YEAR($F34))*12 + MONTH(BI$2)-MONTH($F34)) / 12),
  0)</f>
        <v>8000</v>
      </c>
      <c r="BJ34" s="266">
        <f>IF(AND($F34&lt;=BJ$2, OR($G34="",$G34&gt;=BJ$2)),
  $H34 * (1 + Assumptions!$C$7) ^ INT(((YEAR(BJ$2)-YEAR($F34))*12 + MONTH(BJ$2)-MONTH($F34)) / 12),
  0)</f>
        <v>8000</v>
      </c>
      <c r="BK34" s="266">
        <f>IF(AND($F34&lt;=BK$2, OR($G34="",$G34&gt;=BK$2)),
  $H34 * (1 + Assumptions!$C$7) ^ INT(((YEAR(BK$2)-YEAR($F34))*12 + MONTH(BK$2)-MONTH($F34)) / 12),
  0)</f>
        <v>8000</v>
      </c>
      <c r="BL34" s="266">
        <f>IF(AND($F34&lt;=BL$2, OR($G34="",$G34&gt;=BL$2)),
  $H34 * (1 + Assumptions!$C$7) ^ INT(((YEAR(BL$2)-YEAR($F34))*12 + MONTH(BL$2)-MONTH($F34)) / 12),
  0)</f>
        <v>8000</v>
      </c>
      <c r="BM34" s="266">
        <f>IF(AND($F34&lt;=BM$2, OR($G34="",$G34&gt;=BM$2)),
  $H34 * (1 + Assumptions!$C$7) ^ INT(((YEAR(BM$2)-YEAR($F34))*12 + MONTH(BM$2)-MONTH($F34)) / 12),
  0)</f>
        <v>8000</v>
      </c>
      <c r="BN34" s="266">
        <f>IF(AND($F34&lt;=BN$2, OR($G34="",$G34&gt;=BN$2)),
  $H34 * (1 + Assumptions!$C$7) ^ INT(((YEAR(BN$2)-YEAR($F34))*12 + MONTH(BN$2)-MONTH($F34)) / 12),
  0)</f>
        <v>8000</v>
      </c>
      <c r="BO34" s="266">
        <f>IF(AND($F34&lt;=BO$2, OR($G34="",$G34&gt;=BO$2)),
  $H34 * (1 + Assumptions!$C$7) ^ INT(((YEAR(BO$2)-YEAR($F34))*12 + MONTH(BO$2)-MONTH($F34)) / 12),
  0)</f>
        <v>8000</v>
      </c>
      <c r="BP34" s="266">
        <f>IF(AND($F34&lt;=BP$2, OR($G34="",$G34&gt;=BP$2)),
  $H34 * (1 + Assumptions!$C$7) ^ INT(((YEAR(BP$2)-YEAR($F34))*12 + MONTH(BP$2)-MONTH($F34)) / 12),
  0)</f>
        <v>8000</v>
      </c>
      <c r="BQ34" s="27"/>
    </row>
    <row r="35" ht="15.75" customHeight="1">
      <c r="A35" s="273">
        <v>31.0</v>
      </c>
      <c r="B35" s="257" t="s">
        <v>330</v>
      </c>
      <c r="C35" s="23" t="s">
        <v>149</v>
      </c>
      <c r="D35" s="273" t="s">
        <v>317</v>
      </c>
      <c r="E35" s="264" t="s">
        <v>332</v>
      </c>
      <c r="F35" s="258">
        <v>47119.0</v>
      </c>
      <c r="G35" s="275"/>
      <c r="H35" s="260">
        <v>6500.0</v>
      </c>
      <c r="I35" s="266">
        <f>IF(AND($F35&lt;=I$2, OR($G35="",$G35&gt;=I$2)),
  $H35 * (1 + Assumptions!$C$7) ^ INT(((YEAR(I$2)-YEAR($F35))*12 + MONTH(I$2)-MONTH($F35)) / 12),
  0)</f>
        <v>0</v>
      </c>
      <c r="J35" s="266">
        <f>IF(AND($F35&lt;=J$2, OR($G35="",$G35&gt;=J$2)),
  $H35 * (1 + Assumptions!$C$7) ^ INT(((YEAR(J$2)-YEAR($F35))*12 + MONTH(J$2)-MONTH($F35)) / 12),
  0)</f>
        <v>0</v>
      </c>
      <c r="K35" s="266">
        <f>IF(AND($F35&lt;=K$2, OR($G35="",$G35&gt;=K$2)),
  $H35 * (1 + Assumptions!$C$7) ^ INT(((YEAR(K$2)-YEAR($F35))*12 + MONTH(K$2)-MONTH($F35)) / 12),
  0)</f>
        <v>0</v>
      </c>
      <c r="L35" s="266">
        <f>IF(AND($F35&lt;=L$2, OR($G35="",$G35&gt;=L$2)),
  $H35 * (1 + Assumptions!$C$7) ^ INT(((YEAR(L$2)-YEAR($F35))*12 + MONTH(L$2)-MONTH($F35)) / 12),
  0)</f>
        <v>0</v>
      </c>
      <c r="M35" s="266">
        <f>IF(AND($F35&lt;=M$2, OR($G35="",$G35&gt;=M$2)),
  $H35 * (1 + Assumptions!$C$7) ^ INT(((YEAR(M$2)-YEAR($F35))*12 + MONTH(M$2)-MONTH($F35)) / 12),
  0)</f>
        <v>0</v>
      </c>
      <c r="N35" s="266">
        <f>IF(AND($F35&lt;=N$2, OR($G35="",$G35&gt;=N$2)),
  $H35 * (1 + Assumptions!$C$7) ^ INT(((YEAR(N$2)-YEAR($F35))*12 + MONTH(N$2)-MONTH($F35)) / 12),
  0)</f>
        <v>0</v>
      </c>
      <c r="O35" s="266">
        <f>IF(AND($F35&lt;=O$2, OR($G35="",$G35&gt;=O$2)),
  $H35 * (1 + Assumptions!$C$7) ^ INT(((YEAR(O$2)-YEAR($F35))*12 + MONTH(O$2)-MONTH($F35)) / 12),
  0)</f>
        <v>0</v>
      </c>
      <c r="P35" s="266">
        <f>IF(AND($F35&lt;=P$2, OR($G35="",$G35&gt;=P$2)),
  $H35 * (1 + Assumptions!$C$7) ^ INT(((YEAR(P$2)-YEAR($F35))*12 + MONTH(P$2)-MONTH($F35)) / 12),
  0)</f>
        <v>0</v>
      </c>
      <c r="Q35" s="266">
        <f>IF(AND($F35&lt;=Q$2, OR($G35="",$G35&gt;=Q$2)),
  $H35 * (1 + Assumptions!$C$7) ^ INT(((YEAR(Q$2)-YEAR($F35))*12 + MONTH(Q$2)-MONTH($F35)) / 12),
  0)</f>
        <v>0</v>
      </c>
      <c r="R35" s="266">
        <f>IF(AND($F35&lt;=R$2, OR($G35="",$G35&gt;=R$2)),
  $H35 * (1 + Assumptions!$C$7) ^ INT(((YEAR(R$2)-YEAR($F35))*12 + MONTH(R$2)-MONTH($F35)) / 12),
  0)</f>
        <v>0</v>
      </c>
      <c r="S35" s="266">
        <f>IF(AND($F35&lt;=S$2, OR($G35="",$G35&gt;=S$2)),
  $H35 * (1 + Assumptions!$C$7) ^ INT(((YEAR(S$2)-YEAR($F35))*12 + MONTH(S$2)-MONTH($F35)) / 12),
  0)</f>
        <v>0</v>
      </c>
      <c r="T35" s="266">
        <f>IF(AND($F35&lt;=T$2, OR($G35="",$G35&gt;=T$2)),
  $H35 * (1 + Assumptions!$C$7) ^ INT(((YEAR(T$2)-YEAR($F35))*12 + MONTH(T$2)-MONTH($F35)) / 12),
  0)</f>
        <v>0</v>
      </c>
      <c r="U35" s="266">
        <f>IF(AND($F35&lt;=U$2, OR($G35="",$G35&gt;=U$2)),
  $H35 * (1 + Assumptions!$C$7) ^ INT(((YEAR(U$2)-YEAR($F35))*12 + MONTH(U$2)-MONTH($F35)) / 12),
  0)</f>
        <v>0</v>
      </c>
      <c r="V35" s="266">
        <f>IF(AND($F35&lt;=V$2, OR($G35="",$G35&gt;=V$2)),
  $H35 * (1 + Assumptions!$C$7) ^ INT(((YEAR(V$2)-YEAR($F35))*12 + MONTH(V$2)-MONTH($F35)) / 12),
  0)</f>
        <v>0</v>
      </c>
      <c r="W35" s="266">
        <f>IF(AND($F35&lt;=W$2, OR($G35="",$G35&gt;=W$2)),
  $H35 * (1 + Assumptions!$C$7) ^ INT(((YEAR(W$2)-YEAR($F35))*12 + MONTH(W$2)-MONTH($F35)) / 12),
  0)</f>
        <v>0</v>
      </c>
      <c r="X35" s="266">
        <f>IF(AND($F35&lt;=X$2, OR($G35="",$G35&gt;=X$2)),
  $H35 * (1 + Assumptions!$C$7) ^ INT(((YEAR(X$2)-YEAR($F35))*12 + MONTH(X$2)-MONTH($F35)) / 12),
  0)</f>
        <v>0</v>
      </c>
      <c r="Y35" s="266">
        <f>IF(AND($F35&lt;=Y$2, OR($G35="",$G35&gt;=Y$2)),
  $H35 * (1 + Assumptions!$C$7) ^ INT(((YEAR(Y$2)-YEAR($F35))*12 + MONTH(Y$2)-MONTH($F35)) / 12),
  0)</f>
        <v>0</v>
      </c>
      <c r="Z35" s="266">
        <f>IF(AND($F35&lt;=Z$2, OR($G35="",$G35&gt;=Z$2)),
  $H35 * (1 + Assumptions!$C$7) ^ INT(((YEAR(Z$2)-YEAR($F35))*12 + MONTH(Z$2)-MONTH($F35)) / 12),
  0)</f>
        <v>0</v>
      </c>
      <c r="AA35" s="266">
        <f>IF(AND($F35&lt;=AA$2, OR($G35="",$G35&gt;=AA$2)),
  $H35 * (1 + Assumptions!$C$7) ^ INT(((YEAR(AA$2)-YEAR($F35))*12 + MONTH(AA$2)-MONTH($F35)) / 12),
  0)</f>
        <v>0</v>
      </c>
      <c r="AB35" s="266">
        <f>IF(AND($F35&lt;=AB$2, OR($G35="",$G35&gt;=AB$2)),
  $H35 * (1 + Assumptions!$C$7) ^ INT(((YEAR(AB$2)-YEAR($F35))*12 + MONTH(AB$2)-MONTH($F35)) / 12),
  0)</f>
        <v>0</v>
      </c>
      <c r="AC35" s="266">
        <f>IF(AND($F35&lt;=AC$2, OR($G35="",$G35&gt;=AC$2)),
  $H35 * (1 + Assumptions!$C$7) ^ INT(((YEAR(AC$2)-YEAR($F35))*12 + MONTH(AC$2)-MONTH($F35)) / 12),
  0)</f>
        <v>0</v>
      </c>
      <c r="AD35" s="266">
        <f>IF(AND($F35&lt;=AD$2, OR($G35="",$G35&gt;=AD$2)),
  $H35 * (1 + Assumptions!$C$7) ^ INT(((YEAR(AD$2)-YEAR($F35))*12 + MONTH(AD$2)-MONTH($F35)) / 12),
  0)</f>
        <v>0</v>
      </c>
      <c r="AE35" s="266">
        <f>IF(AND($F35&lt;=AE$2, OR($G35="",$G35&gt;=AE$2)),
  $H35 * (1 + Assumptions!$C$7) ^ INT(((YEAR(AE$2)-YEAR($F35))*12 + MONTH(AE$2)-MONTH($F35)) / 12),
  0)</f>
        <v>0</v>
      </c>
      <c r="AF35" s="266">
        <f>IF(AND($F35&lt;=AF$2, OR($G35="",$G35&gt;=AF$2)),
  $H35 * (1 + Assumptions!$C$7) ^ INT(((YEAR(AF$2)-YEAR($F35))*12 + MONTH(AF$2)-MONTH($F35)) / 12),
  0)</f>
        <v>0</v>
      </c>
      <c r="AG35" s="266">
        <f>IF(AND($F35&lt;=AG$2, OR($G35="",$G35&gt;=AG$2)),
  $H35 * (1 + Assumptions!$C$7) ^ INT(((YEAR(AG$2)-YEAR($F35))*12 + MONTH(AG$2)-MONTH($F35)) / 12),
  0)</f>
        <v>0</v>
      </c>
      <c r="AH35" s="266">
        <f>IF(AND($F35&lt;=AH$2, OR($G35="",$G35&gt;=AH$2)),
  $H35 * (1 + Assumptions!$C$7) ^ INT(((YEAR(AH$2)-YEAR($F35))*12 + MONTH(AH$2)-MONTH($F35)) / 12),
  0)</f>
        <v>0</v>
      </c>
      <c r="AI35" s="266">
        <f>IF(AND($F35&lt;=AI$2, OR($G35="",$G35&gt;=AI$2)),
  $H35 * (1 + Assumptions!$C$7) ^ INT(((YEAR(AI$2)-YEAR($F35))*12 + MONTH(AI$2)-MONTH($F35)) / 12),
  0)</f>
        <v>0</v>
      </c>
      <c r="AJ35" s="266">
        <f>IF(AND($F35&lt;=AJ$2, OR($G35="",$G35&gt;=AJ$2)),
  $H35 * (1 + Assumptions!$C$7) ^ INT(((YEAR(AJ$2)-YEAR($F35))*12 + MONTH(AJ$2)-MONTH($F35)) / 12),
  0)</f>
        <v>0</v>
      </c>
      <c r="AK35" s="266">
        <f>IF(AND($F35&lt;=AK$2, OR($G35="",$G35&gt;=AK$2)),
  $H35 * (1 + Assumptions!$C$7) ^ INT(((YEAR(AK$2)-YEAR($F35))*12 + MONTH(AK$2)-MONTH($F35)) / 12),
  0)</f>
        <v>0</v>
      </c>
      <c r="AL35" s="266">
        <f>IF(AND($F35&lt;=AL$2, OR($G35="",$G35&gt;=AL$2)),
  $H35 * (1 + Assumptions!$C$7) ^ INT(((YEAR(AL$2)-YEAR($F35))*12 + MONTH(AL$2)-MONTH($F35)) / 12),
  0)</f>
        <v>0</v>
      </c>
      <c r="AM35" s="266">
        <f>IF(AND($F35&lt;=AM$2, OR($G35="",$G35&gt;=AM$2)),
  $H35 * (1 + Assumptions!$C$7) ^ INT(((YEAR(AM$2)-YEAR($F35))*12 + MONTH(AM$2)-MONTH($F35)) / 12),
  0)</f>
        <v>0</v>
      </c>
      <c r="AN35" s="266">
        <f>IF(AND($F35&lt;=AN$2, OR($G35="",$G35&gt;=AN$2)),
  $H35 * (1 + Assumptions!$C$7) ^ INT(((YEAR(AN$2)-YEAR($F35))*12 + MONTH(AN$2)-MONTH($F35)) / 12),
  0)</f>
        <v>0</v>
      </c>
      <c r="AO35" s="266">
        <f>IF(AND($F35&lt;=AO$2, OR($G35="",$G35&gt;=AO$2)),
  $H35 * (1 + Assumptions!$C$7) ^ INT(((YEAR(AO$2)-YEAR($F35))*12 + MONTH(AO$2)-MONTH($F35)) / 12),
  0)</f>
        <v>0</v>
      </c>
      <c r="AP35" s="266">
        <f>IF(AND($F35&lt;=AP$2, OR($G35="",$G35&gt;=AP$2)),
  $H35 * (1 + Assumptions!$C$7) ^ INT(((YEAR(AP$2)-YEAR($F35))*12 + MONTH(AP$2)-MONTH($F35)) / 12),
  0)</f>
        <v>0</v>
      </c>
      <c r="AQ35" s="266">
        <f>IF(AND($F35&lt;=AQ$2, OR($G35="",$G35&gt;=AQ$2)),
  $H35 * (1 + Assumptions!$C$7) ^ INT(((YEAR(AQ$2)-YEAR($F35))*12 + MONTH(AQ$2)-MONTH($F35)) / 12),
  0)</f>
        <v>0</v>
      </c>
      <c r="AR35" s="266">
        <f>IF(AND($F35&lt;=AR$2, OR($G35="",$G35&gt;=AR$2)),
  $H35 * (1 + Assumptions!$C$7) ^ INT(((YEAR(AR$2)-YEAR($F35))*12 + MONTH(AR$2)-MONTH($F35)) / 12),
  0)</f>
        <v>0</v>
      </c>
      <c r="AS35" s="266">
        <f>IF(AND($F35&lt;=AS$2, OR($G35="",$G35&gt;=AS$2)),
  $H35 * (1 + Assumptions!$C$7) ^ INT(((YEAR(AS$2)-YEAR($F35))*12 + MONTH(AS$2)-MONTH($F35)) / 12),
  0)</f>
        <v>0</v>
      </c>
      <c r="AT35" s="266">
        <f>IF(AND($F35&lt;=AT$2, OR($G35="",$G35&gt;=AT$2)),
  $H35 * (1 + Assumptions!$C$7) ^ INT(((YEAR(AT$2)-YEAR($F35))*12 + MONTH(AT$2)-MONTH($F35)) / 12),
  0)</f>
        <v>0</v>
      </c>
      <c r="AU35" s="266">
        <f>IF(AND($F35&lt;=AU$2, OR($G35="",$G35&gt;=AU$2)),
  $H35 * (1 + Assumptions!$C$7) ^ INT(((YEAR(AU$2)-YEAR($F35))*12 + MONTH(AU$2)-MONTH($F35)) / 12),
  0)</f>
        <v>0</v>
      </c>
      <c r="AV35" s="266">
        <f>IF(AND($F35&lt;=AV$2, OR($G35="",$G35&gt;=AV$2)),
  $H35 * (1 + Assumptions!$C$7) ^ INT(((YEAR(AV$2)-YEAR($F35))*12 + MONTH(AV$2)-MONTH($F35)) / 12),
  0)</f>
        <v>0</v>
      </c>
      <c r="AW35" s="266">
        <f>IF(AND($F35&lt;=AW$2, OR($G35="",$G35&gt;=AW$2)),
  $H35 * (1 + Assumptions!$C$7) ^ INT(((YEAR(AW$2)-YEAR($F35))*12 + MONTH(AW$2)-MONTH($F35)) / 12),
  0)</f>
        <v>0</v>
      </c>
      <c r="AX35" s="266">
        <f>IF(AND($F35&lt;=AX$2, OR($G35="",$G35&gt;=AX$2)),
  $H35 * (1 + Assumptions!$C$7) ^ INT(((YEAR(AX$2)-YEAR($F35))*12 + MONTH(AX$2)-MONTH($F35)) / 12),
  0)</f>
        <v>0</v>
      </c>
      <c r="AY35" s="266">
        <f>IF(AND($F35&lt;=AY$2, OR($G35="",$G35&gt;=AY$2)),
  $H35 * (1 + Assumptions!$C$7) ^ INT(((YEAR(AY$2)-YEAR($F35))*12 + MONTH(AY$2)-MONTH($F35)) / 12),
  0)</f>
        <v>0</v>
      </c>
      <c r="AZ35" s="266">
        <f>IF(AND($F35&lt;=AZ$2, OR($G35="",$G35&gt;=AZ$2)),
  $H35 * (1 + Assumptions!$C$7) ^ INT(((YEAR(AZ$2)-YEAR($F35))*12 + MONTH(AZ$2)-MONTH($F35)) / 12),
  0)</f>
        <v>0</v>
      </c>
      <c r="BA35" s="266">
        <f>IF(AND($F35&lt;=BA$2, OR($G35="",$G35&gt;=BA$2)),
  $H35 * (1 + Assumptions!$C$7) ^ INT(((YEAR(BA$2)-YEAR($F35))*12 + MONTH(BA$2)-MONTH($F35)) / 12),
  0)</f>
        <v>0</v>
      </c>
      <c r="BB35" s="266">
        <f>IF(AND($F35&lt;=BB$2, OR($G35="",$G35&gt;=BB$2)),
  $H35 * (1 + Assumptions!$C$7) ^ INT(((YEAR(BB$2)-YEAR($F35))*12 + MONTH(BB$2)-MONTH($F35)) / 12),
  0)</f>
        <v>0</v>
      </c>
      <c r="BC35" s="266">
        <f>IF(AND($F35&lt;=BC$2, OR($G35="",$G35&gt;=BC$2)),
  $H35 * (1 + Assumptions!$C$7) ^ INT(((YEAR(BC$2)-YEAR($F35))*12 + MONTH(BC$2)-MONTH($F35)) / 12),
  0)</f>
        <v>0</v>
      </c>
      <c r="BD35" s="266">
        <f>IF(AND($F35&lt;=BD$2, OR($G35="",$G35&gt;=BD$2)),
  $H35 * (1 + Assumptions!$C$7) ^ INT(((YEAR(BD$2)-YEAR($F35))*12 + MONTH(BD$2)-MONTH($F35)) / 12),
  0)</f>
        <v>0</v>
      </c>
      <c r="BE35" s="266">
        <f>IF(AND($F35&lt;=BE$2, OR($G35="",$G35&gt;=BE$2)),
  $H35 * (1 + Assumptions!$C$7) ^ INT(((YEAR(BE$2)-YEAR($F35))*12 + MONTH(BE$2)-MONTH($F35)) / 12),
  0)</f>
        <v>6500</v>
      </c>
      <c r="BF35" s="266">
        <f>IF(AND($F35&lt;=BF$2, OR($G35="",$G35&gt;=BF$2)),
  $H35 * (1 + Assumptions!$C$7) ^ INT(((YEAR(BF$2)-YEAR($F35))*12 + MONTH(BF$2)-MONTH($F35)) / 12),
  0)</f>
        <v>6500</v>
      </c>
      <c r="BG35" s="266">
        <f>IF(AND($F35&lt;=BG$2, OR($G35="",$G35&gt;=BG$2)),
  $H35 * (1 + Assumptions!$C$7) ^ INT(((YEAR(BG$2)-YEAR($F35))*12 + MONTH(BG$2)-MONTH($F35)) / 12),
  0)</f>
        <v>6500</v>
      </c>
      <c r="BH35" s="266">
        <f>IF(AND($F35&lt;=BH$2, OR($G35="",$G35&gt;=BH$2)),
  $H35 * (1 + Assumptions!$C$7) ^ INT(((YEAR(BH$2)-YEAR($F35))*12 + MONTH(BH$2)-MONTH($F35)) / 12),
  0)</f>
        <v>6500</v>
      </c>
      <c r="BI35" s="266">
        <f>IF(AND($F35&lt;=BI$2, OR($G35="",$G35&gt;=BI$2)),
  $H35 * (1 + Assumptions!$C$7) ^ INT(((YEAR(BI$2)-YEAR($F35))*12 + MONTH(BI$2)-MONTH($F35)) / 12),
  0)</f>
        <v>6500</v>
      </c>
      <c r="BJ35" s="266">
        <f>IF(AND($F35&lt;=BJ$2, OR($G35="",$G35&gt;=BJ$2)),
  $H35 * (1 + Assumptions!$C$7) ^ INT(((YEAR(BJ$2)-YEAR($F35))*12 + MONTH(BJ$2)-MONTH($F35)) / 12),
  0)</f>
        <v>6500</v>
      </c>
      <c r="BK35" s="266">
        <f>IF(AND($F35&lt;=BK$2, OR($G35="",$G35&gt;=BK$2)),
  $H35 * (1 + Assumptions!$C$7) ^ INT(((YEAR(BK$2)-YEAR($F35))*12 + MONTH(BK$2)-MONTH($F35)) / 12),
  0)</f>
        <v>6500</v>
      </c>
      <c r="BL35" s="266">
        <f>IF(AND($F35&lt;=BL$2, OR($G35="",$G35&gt;=BL$2)),
  $H35 * (1 + Assumptions!$C$7) ^ INT(((YEAR(BL$2)-YEAR($F35))*12 + MONTH(BL$2)-MONTH($F35)) / 12),
  0)</f>
        <v>6500</v>
      </c>
      <c r="BM35" s="266">
        <f>IF(AND($F35&lt;=BM$2, OR($G35="",$G35&gt;=BM$2)),
  $H35 * (1 + Assumptions!$C$7) ^ INT(((YEAR(BM$2)-YEAR($F35))*12 + MONTH(BM$2)-MONTH($F35)) / 12),
  0)</f>
        <v>6500</v>
      </c>
      <c r="BN35" s="266">
        <f>IF(AND($F35&lt;=BN$2, OR($G35="",$G35&gt;=BN$2)),
  $H35 * (1 + Assumptions!$C$7) ^ INT(((YEAR(BN$2)-YEAR($F35))*12 + MONTH(BN$2)-MONTH($F35)) / 12),
  0)</f>
        <v>6500</v>
      </c>
      <c r="BO35" s="266">
        <f>IF(AND($F35&lt;=BO$2, OR($G35="",$G35&gt;=BO$2)),
  $H35 * (1 + Assumptions!$C$7) ^ INT(((YEAR(BO$2)-YEAR($F35))*12 + MONTH(BO$2)-MONTH($F35)) / 12),
  0)</f>
        <v>6500</v>
      </c>
      <c r="BP35" s="266">
        <f>IF(AND($F35&lt;=BP$2, OR($G35="",$G35&gt;=BP$2)),
  $H35 * (1 + Assumptions!$C$7) ^ INT(((YEAR(BP$2)-YEAR($F35))*12 + MONTH(BP$2)-MONTH($F35)) / 12),
  0)</f>
        <v>6500</v>
      </c>
      <c r="BQ35" s="27"/>
    </row>
    <row r="36" ht="15.75" customHeight="1">
      <c r="A36" s="273">
        <v>32.0</v>
      </c>
      <c r="B36" s="257" t="s">
        <v>330</v>
      </c>
      <c r="C36" s="23" t="s">
        <v>146</v>
      </c>
      <c r="D36" s="273" t="s">
        <v>335</v>
      </c>
      <c r="E36" s="264" t="s">
        <v>332</v>
      </c>
      <c r="F36" s="258">
        <v>47270.0</v>
      </c>
      <c r="G36" s="275"/>
      <c r="H36" s="260">
        <v>7500.0</v>
      </c>
      <c r="I36" s="266">
        <f>IF(AND($F36&lt;=I$2, OR($G36="",$G36&gt;=I$2)),
  $H36 * (1 + Assumptions!$C$7) ^ INT(((YEAR(I$2)-YEAR($F36))*12 + MONTH(I$2)-MONTH($F36)) / 12),
  0)</f>
        <v>0</v>
      </c>
      <c r="J36" s="266">
        <f>IF(AND($F36&lt;=J$2, OR($G36="",$G36&gt;=J$2)),
  $H36 * (1 + Assumptions!$C$7) ^ INT(((YEAR(J$2)-YEAR($F36))*12 + MONTH(J$2)-MONTH($F36)) / 12),
  0)</f>
        <v>0</v>
      </c>
      <c r="K36" s="266">
        <f>IF(AND($F36&lt;=K$2, OR($G36="",$G36&gt;=K$2)),
  $H36 * (1 + Assumptions!$C$7) ^ INT(((YEAR(K$2)-YEAR($F36))*12 + MONTH(K$2)-MONTH($F36)) / 12),
  0)</f>
        <v>0</v>
      </c>
      <c r="L36" s="266">
        <f>IF(AND($F36&lt;=L$2, OR($G36="",$G36&gt;=L$2)),
  $H36 * (1 + Assumptions!$C$7) ^ INT(((YEAR(L$2)-YEAR($F36))*12 + MONTH(L$2)-MONTH($F36)) / 12),
  0)</f>
        <v>0</v>
      </c>
      <c r="M36" s="266">
        <f>IF(AND($F36&lt;=M$2, OR($G36="",$G36&gt;=M$2)),
  $H36 * (1 + Assumptions!$C$7) ^ INT(((YEAR(M$2)-YEAR($F36))*12 + MONTH(M$2)-MONTH($F36)) / 12),
  0)</f>
        <v>0</v>
      </c>
      <c r="N36" s="266">
        <f>IF(AND($F36&lt;=N$2, OR($G36="",$G36&gt;=N$2)),
  $H36 * (1 + Assumptions!$C$7) ^ INT(((YEAR(N$2)-YEAR($F36))*12 + MONTH(N$2)-MONTH($F36)) / 12),
  0)</f>
        <v>0</v>
      </c>
      <c r="O36" s="266">
        <f>IF(AND($F36&lt;=O$2, OR($G36="",$G36&gt;=O$2)),
  $H36 * (1 + Assumptions!$C$7) ^ INT(((YEAR(O$2)-YEAR($F36))*12 + MONTH(O$2)-MONTH($F36)) / 12),
  0)</f>
        <v>0</v>
      </c>
      <c r="P36" s="266">
        <f>IF(AND($F36&lt;=P$2, OR($G36="",$G36&gt;=P$2)),
  $H36 * (1 + Assumptions!$C$7) ^ INT(((YEAR(P$2)-YEAR($F36))*12 + MONTH(P$2)-MONTH($F36)) / 12),
  0)</f>
        <v>0</v>
      </c>
      <c r="Q36" s="266">
        <f>IF(AND($F36&lt;=Q$2, OR($G36="",$G36&gt;=Q$2)),
  $H36 * (1 + Assumptions!$C$7) ^ INT(((YEAR(Q$2)-YEAR($F36))*12 + MONTH(Q$2)-MONTH($F36)) / 12),
  0)</f>
        <v>0</v>
      </c>
      <c r="R36" s="266">
        <f>IF(AND($F36&lt;=R$2, OR($G36="",$G36&gt;=R$2)),
  $H36 * (1 + Assumptions!$C$7) ^ INT(((YEAR(R$2)-YEAR($F36))*12 + MONTH(R$2)-MONTH($F36)) / 12),
  0)</f>
        <v>0</v>
      </c>
      <c r="S36" s="266">
        <f>IF(AND($F36&lt;=S$2, OR($G36="",$G36&gt;=S$2)),
  $H36 * (1 + Assumptions!$C$7) ^ INT(((YEAR(S$2)-YEAR($F36))*12 + MONTH(S$2)-MONTH($F36)) / 12),
  0)</f>
        <v>0</v>
      </c>
      <c r="T36" s="266">
        <f>IF(AND($F36&lt;=T$2, OR($G36="",$G36&gt;=T$2)),
  $H36 * (1 + Assumptions!$C$7) ^ INT(((YEAR(T$2)-YEAR($F36))*12 + MONTH(T$2)-MONTH($F36)) / 12),
  0)</f>
        <v>0</v>
      </c>
      <c r="U36" s="266">
        <f>IF(AND($F36&lt;=U$2, OR($G36="",$G36&gt;=U$2)),
  $H36 * (1 + Assumptions!$C$7) ^ INT(((YEAR(U$2)-YEAR($F36))*12 + MONTH(U$2)-MONTH($F36)) / 12),
  0)</f>
        <v>0</v>
      </c>
      <c r="V36" s="266">
        <f>IF(AND($F36&lt;=V$2, OR($G36="",$G36&gt;=V$2)),
  $H36 * (1 + Assumptions!$C$7) ^ INT(((YEAR(V$2)-YEAR($F36))*12 + MONTH(V$2)-MONTH($F36)) / 12),
  0)</f>
        <v>0</v>
      </c>
      <c r="W36" s="266">
        <f>IF(AND($F36&lt;=W$2, OR($G36="",$G36&gt;=W$2)),
  $H36 * (1 + Assumptions!$C$7) ^ INT(((YEAR(W$2)-YEAR($F36))*12 + MONTH(W$2)-MONTH($F36)) / 12),
  0)</f>
        <v>0</v>
      </c>
      <c r="X36" s="266">
        <f>IF(AND($F36&lt;=X$2, OR($G36="",$G36&gt;=X$2)),
  $H36 * (1 + Assumptions!$C$7) ^ INT(((YEAR(X$2)-YEAR($F36))*12 + MONTH(X$2)-MONTH($F36)) / 12),
  0)</f>
        <v>0</v>
      </c>
      <c r="Y36" s="266">
        <f>IF(AND($F36&lt;=Y$2, OR($G36="",$G36&gt;=Y$2)),
  $H36 * (1 + Assumptions!$C$7) ^ INT(((YEAR(Y$2)-YEAR($F36))*12 + MONTH(Y$2)-MONTH($F36)) / 12),
  0)</f>
        <v>0</v>
      </c>
      <c r="Z36" s="266">
        <f>IF(AND($F36&lt;=Z$2, OR($G36="",$G36&gt;=Z$2)),
  $H36 * (1 + Assumptions!$C$7) ^ INT(((YEAR(Z$2)-YEAR($F36))*12 + MONTH(Z$2)-MONTH($F36)) / 12),
  0)</f>
        <v>0</v>
      </c>
      <c r="AA36" s="266">
        <f>IF(AND($F36&lt;=AA$2, OR($G36="",$G36&gt;=AA$2)),
  $H36 * (1 + Assumptions!$C$7) ^ INT(((YEAR(AA$2)-YEAR($F36))*12 + MONTH(AA$2)-MONTH($F36)) / 12),
  0)</f>
        <v>0</v>
      </c>
      <c r="AB36" s="266">
        <f>IF(AND($F36&lt;=AB$2, OR($G36="",$G36&gt;=AB$2)),
  $H36 * (1 + Assumptions!$C$7) ^ INT(((YEAR(AB$2)-YEAR($F36))*12 + MONTH(AB$2)-MONTH($F36)) / 12),
  0)</f>
        <v>0</v>
      </c>
      <c r="AC36" s="266">
        <f>IF(AND($F36&lt;=AC$2, OR($G36="",$G36&gt;=AC$2)),
  $H36 * (1 + Assumptions!$C$7) ^ INT(((YEAR(AC$2)-YEAR($F36))*12 + MONTH(AC$2)-MONTH($F36)) / 12),
  0)</f>
        <v>0</v>
      </c>
      <c r="AD36" s="266">
        <f>IF(AND($F36&lt;=AD$2, OR($G36="",$G36&gt;=AD$2)),
  $H36 * (1 + Assumptions!$C$7) ^ INT(((YEAR(AD$2)-YEAR($F36))*12 + MONTH(AD$2)-MONTH($F36)) / 12),
  0)</f>
        <v>0</v>
      </c>
      <c r="AE36" s="266">
        <f>IF(AND($F36&lt;=AE$2, OR($G36="",$G36&gt;=AE$2)),
  $H36 * (1 + Assumptions!$C$7) ^ INT(((YEAR(AE$2)-YEAR($F36))*12 + MONTH(AE$2)-MONTH($F36)) / 12),
  0)</f>
        <v>0</v>
      </c>
      <c r="AF36" s="266">
        <f>IF(AND($F36&lt;=AF$2, OR($G36="",$G36&gt;=AF$2)),
  $H36 * (1 + Assumptions!$C$7) ^ INT(((YEAR(AF$2)-YEAR($F36))*12 + MONTH(AF$2)-MONTH($F36)) / 12),
  0)</f>
        <v>0</v>
      </c>
      <c r="AG36" s="266">
        <f>IF(AND($F36&lt;=AG$2, OR($G36="",$G36&gt;=AG$2)),
  $H36 * (1 + Assumptions!$C$7) ^ INT(((YEAR(AG$2)-YEAR($F36))*12 + MONTH(AG$2)-MONTH($F36)) / 12),
  0)</f>
        <v>0</v>
      </c>
      <c r="AH36" s="266">
        <f>IF(AND($F36&lt;=AH$2, OR($G36="",$G36&gt;=AH$2)),
  $H36 * (1 + Assumptions!$C$7) ^ INT(((YEAR(AH$2)-YEAR($F36))*12 + MONTH(AH$2)-MONTH($F36)) / 12),
  0)</f>
        <v>0</v>
      </c>
      <c r="AI36" s="266">
        <f>IF(AND($F36&lt;=AI$2, OR($G36="",$G36&gt;=AI$2)),
  $H36 * (1 + Assumptions!$C$7) ^ INT(((YEAR(AI$2)-YEAR($F36))*12 + MONTH(AI$2)-MONTH($F36)) / 12),
  0)</f>
        <v>0</v>
      </c>
      <c r="AJ36" s="266">
        <f>IF(AND($F36&lt;=AJ$2, OR($G36="",$G36&gt;=AJ$2)),
  $H36 * (1 + Assumptions!$C$7) ^ INT(((YEAR(AJ$2)-YEAR($F36))*12 + MONTH(AJ$2)-MONTH($F36)) / 12),
  0)</f>
        <v>0</v>
      </c>
      <c r="AK36" s="266">
        <f>IF(AND($F36&lt;=AK$2, OR($G36="",$G36&gt;=AK$2)),
  $H36 * (1 + Assumptions!$C$7) ^ INT(((YEAR(AK$2)-YEAR($F36))*12 + MONTH(AK$2)-MONTH($F36)) / 12),
  0)</f>
        <v>0</v>
      </c>
      <c r="AL36" s="266">
        <f>IF(AND($F36&lt;=AL$2, OR($G36="",$G36&gt;=AL$2)),
  $H36 * (1 + Assumptions!$C$7) ^ INT(((YEAR(AL$2)-YEAR($F36))*12 + MONTH(AL$2)-MONTH($F36)) / 12),
  0)</f>
        <v>0</v>
      </c>
      <c r="AM36" s="266">
        <f>IF(AND($F36&lt;=AM$2, OR($G36="",$G36&gt;=AM$2)),
  $H36 * (1 + Assumptions!$C$7) ^ INT(((YEAR(AM$2)-YEAR($F36))*12 + MONTH(AM$2)-MONTH($F36)) / 12),
  0)</f>
        <v>0</v>
      </c>
      <c r="AN36" s="266">
        <f>IF(AND($F36&lt;=AN$2, OR($G36="",$G36&gt;=AN$2)),
  $H36 * (1 + Assumptions!$C$7) ^ INT(((YEAR(AN$2)-YEAR($F36))*12 + MONTH(AN$2)-MONTH($F36)) / 12),
  0)</f>
        <v>0</v>
      </c>
      <c r="AO36" s="266">
        <f>IF(AND($F36&lt;=AO$2, OR($G36="",$G36&gt;=AO$2)),
  $H36 * (1 + Assumptions!$C$7) ^ INT(((YEAR(AO$2)-YEAR($F36))*12 + MONTH(AO$2)-MONTH($F36)) / 12),
  0)</f>
        <v>0</v>
      </c>
      <c r="AP36" s="266">
        <f>IF(AND($F36&lt;=AP$2, OR($G36="",$G36&gt;=AP$2)),
  $H36 * (1 + Assumptions!$C$7) ^ INT(((YEAR(AP$2)-YEAR($F36))*12 + MONTH(AP$2)-MONTH($F36)) / 12),
  0)</f>
        <v>0</v>
      </c>
      <c r="AQ36" s="266">
        <f>IF(AND($F36&lt;=AQ$2, OR($G36="",$G36&gt;=AQ$2)),
  $H36 * (1 + Assumptions!$C$7) ^ INT(((YEAR(AQ$2)-YEAR($F36))*12 + MONTH(AQ$2)-MONTH($F36)) / 12),
  0)</f>
        <v>0</v>
      </c>
      <c r="AR36" s="266">
        <f>IF(AND($F36&lt;=AR$2, OR($G36="",$G36&gt;=AR$2)),
  $H36 * (1 + Assumptions!$C$7) ^ INT(((YEAR(AR$2)-YEAR($F36))*12 + MONTH(AR$2)-MONTH($F36)) / 12),
  0)</f>
        <v>0</v>
      </c>
      <c r="AS36" s="266">
        <f>IF(AND($F36&lt;=AS$2, OR($G36="",$G36&gt;=AS$2)),
  $H36 * (1 + Assumptions!$C$7) ^ INT(((YEAR(AS$2)-YEAR($F36))*12 + MONTH(AS$2)-MONTH($F36)) / 12),
  0)</f>
        <v>0</v>
      </c>
      <c r="AT36" s="266">
        <f>IF(AND($F36&lt;=AT$2, OR($G36="",$G36&gt;=AT$2)),
  $H36 * (1 + Assumptions!$C$7) ^ INT(((YEAR(AT$2)-YEAR($F36))*12 + MONTH(AT$2)-MONTH($F36)) / 12),
  0)</f>
        <v>0</v>
      </c>
      <c r="AU36" s="266">
        <f>IF(AND($F36&lt;=AU$2, OR($G36="",$G36&gt;=AU$2)),
  $H36 * (1 + Assumptions!$C$7) ^ INT(((YEAR(AU$2)-YEAR($F36))*12 + MONTH(AU$2)-MONTH($F36)) / 12),
  0)</f>
        <v>0</v>
      </c>
      <c r="AV36" s="266">
        <f>IF(AND($F36&lt;=AV$2, OR($G36="",$G36&gt;=AV$2)),
  $H36 * (1 + Assumptions!$C$7) ^ INT(((YEAR(AV$2)-YEAR($F36))*12 + MONTH(AV$2)-MONTH($F36)) / 12),
  0)</f>
        <v>0</v>
      </c>
      <c r="AW36" s="266">
        <f>IF(AND($F36&lt;=AW$2, OR($G36="",$G36&gt;=AW$2)),
  $H36 * (1 + Assumptions!$C$7) ^ INT(((YEAR(AW$2)-YEAR($F36))*12 + MONTH(AW$2)-MONTH($F36)) / 12),
  0)</f>
        <v>0</v>
      </c>
      <c r="AX36" s="266">
        <f>IF(AND($F36&lt;=AX$2, OR($G36="",$G36&gt;=AX$2)),
  $H36 * (1 + Assumptions!$C$7) ^ INT(((YEAR(AX$2)-YEAR($F36))*12 + MONTH(AX$2)-MONTH($F36)) / 12),
  0)</f>
        <v>0</v>
      </c>
      <c r="AY36" s="266">
        <f>IF(AND($F36&lt;=AY$2, OR($G36="",$G36&gt;=AY$2)),
  $H36 * (1 + Assumptions!$C$7) ^ INT(((YEAR(AY$2)-YEAR($F36))*12 + MONTH(AY$2)-MONTH($F36)) / 12),
  0)</f>
        <v>0</v>
      </c>
      <c r="AZ36" s="266">
        <f>IF(AND($F36&lt;=AZ$2, OR($G36="",$G36&gt;=AZ$2)),
  $H36 * (1 + Assumptions!$C$7) ^ INT(((YEAR(AZ$2)-YEAR($F36))*12 + MONTH(AZ$2)-MONTH($F36)) / 12),
  0)</f>
        <v>0</v>
      </c>
      <c r="BA36" s="266">
        <f>IF(AND($F36&lt;=BA$2, OR($G36="",$G36&gt;=BA$2)),
  $H36 * (1 + Assumptions!$C$7) ^ INT(((YEAR(BA$2)-YEAR($F36))*12 + MONTH(BA$2)-MONTH($F36)) / 12),
  0)</f>
        <v>0</v>
      </c>
      <c r="BB36" s="266">
        <f>IF(AND($F36&lt;=BB$2, OR($G36="",$G36&gt;=BB$2)),
  $H36 * (1 + Assumptions!$C$7) ^ INT(((YEAR(BB$2)-YEAR($F36))*12 + MONTH(BB$2)-MONTH($F36)) / 12),
  0)</f>
        <v>0</v>
      </c>
      <c r="BC36" s="266">
        <f>IF(AND($F36&lt;=BC$2, OR($G36="",$G36&gt;=BC$2)),
  $H36 * (1 + Assumptions!$C$7) ^ INT(((YEAR(BC$2)-YEAR($F36))*12 + MONTH(BC$2)-MONTH($F36)) / 12),
  0)</f>
        <v>0</v>
      </c>
      <c r="BD36" s="266">
        <f>IF(AND($F36&lt;=BD$2, OR($G36="",$G36&gt;=BD$2)),
  $H36 * (1 + Assumptions!$C$7) ^ INT(((YEAR(BD$2)-YEAR($F36))*12 + MONTH(BD$2)-MONTH($F36)) / 12),
  0)</f>
        <v>0</v>
      </c>
      <c r="BE36" s="266">
        <f>IF(AND($F36&lt;=BE$2, OR($G36="",$G36&gt;=BE$2)),
  $H36 * (1 + Assumptions!$C$7) ^ INT(((YEAR(BE$2)-YEAR($F36))*12 + MONTH(BE$2)-MONTH($F36)) / 12),
  0)</f>
        <v>0</v>
      </c>
      <c r="BF36" s="266">
        <f>IF(AND($F36&lt;=BF$2, OR($G36="",$G36&gt;=BF$2)),
  $H36 * (1 + Assumptions!$C$7) ^ INT(((YEAR(BF$2)-YEAR($F36))*12 + MONTH(BF$2)-MONTH($F36)) / 12),
  0)</f>
        <v>0</v>
      </c>
      <c r="BG36" s="266">
        <f>IF(AND($F36&lt;=BG$2, OR($G36="",$G36&gt;=BG$2)),
  $H36 * (1 + Assumptions!$C$7) ^ INT(((YEAR(BG$2)-YEAR($F36))*12 + MONTH(BG$2)-MONTH($F36)) / 12),
  0)</f>
        <v>0</v>
      </c>
      <c r="BH36" s="266">
        <f>IF(AND($F36&lt;=BH$2, OR($G36="",$G36&gt;=BH$2)),
  $H36 * (1 + Assumptions!$C$7) ^ INT(((YEAR(BH$2)-YEAR($F36))*12 + MONTH(BH$2)-MONTH($F36)) / 12),
  0)</f>
        <v>0</v>
      </c>
      <c r="BI36" s="266">
        <f>IF(AND($F36&lt;=BI$2, OR($G36="",$G36&gt;=BI$2)),
  $H36 * (1 + Assumptions!$C$7) ^ INT(((YEAR(BI$2)-YEAR($F36))*12 + MONTH(BI$2)-MONTH($F36)) / 12),
  0)</f>
        <v>0</v>
      </c>
      <c r="BJ36" s="266">
        <f>IF(AND($F36&lt;=BJ$2, OR($G36="",$G36&gt;=BJ$2)),
  $H36 * (1 + Assumptions!$C$7) ^ INT(((YEAR(BJ$2)-YEAR($F36))*12 + MONTH(BJ$2)-MONTH($F36)) / 12),
  0)</f>
        <v>7500</v>
      </c>
      <c r="BK36" s="266">
        <f>IF(AND($F36&lt;=BK$2, OR($G36="",$G36&gt;=BK$2)),
  $H36 * (1 + Assumptions!$C$7) ^ INT(((YEAR(BK$2)-YEAR($F36))*12 + MONTH(BK$2)-MONTH($F36)) / 12),
  0)</f>
        <v>7500</v>
      </c>
      <c r="BL36" s="266">
        <f>IF(AND($F36&lt;=BL$2, OR($G36="",$G36&gt;=BL$2)),
  $H36 * (1 + Assumptions!$C$7) ^ INT(((YEAR(BL$2)-YEAR($F36))*12 + MONTH(BL$2)-MONTH($F36)) / 12),
  0)</f>
        <v>7500</v>
      </c>
      <c r="BM36" s="266">
        <f>IF(AND($F36&lt;=BM$2, OR($G36="",$G36&gt;=BM$2)),
  $H36 * (1 + Assumptions!$C$7) ^ INT(((YEAR(BM$2)-YEAR($F36))*12 + MONTH(BM$2)-MONTH($F36)) / 12),
  0)</f>
        <v>7500</v>
      </c>
      <c r="BN36" s="266">
        <f>IF(AND($F36&lt;=BN$2, OR($G36="",$G36&gt;=BN$2)),
  $H36 * (1 + Assumptions!$C$7) ^ INT(((YEAR(BN$2)-YEAR($F36))*12 + MONTH(BN$2)-MONTH($F36)) / 12),
  0)</f>
        <v>7500</v>
      </c>
      <c r="BO36" s="266">
        <f>IF(AND($F36&lt;=BO$2, OR($G36="",$G36&gt;=BO$2)),
  $H36 * (1 + Assumptions!$C$7) ^ INT(((YEAR(BO$2)-YEAR($F36))*12 + MONTH(BO$2)-MONTH($F36)) / 12),
  0)</f>
        <v>7500</v>
      </c>
      <c r="BP36" s="266">
        <f>IF(AND($F36&lt;=BP$2, OR($G36="",$G36&gt;=BP$2)),
  $H36 * (1 + Assumptions!$C$7) ^ INT(((YEAR(BP$2)-YEAR($F36))*12 + MONTH(BP$2)-MONTH($F36)) / 12),
  0)</f>
        <v>7500</v>
      </c>
      <c r="BQ36" s="27"/>
    </row>
    <row r="37" ht="15.75" customHeight="1">
      <c r="A37" s="273">
        <v>33.0</v>
      </c>
      <c r="B37" s="257" t="s">
        <v>330</v>
      </c>
      <c r="C37" s="23" t="s">
        <v>146</v>
      </c>
      <c r="D37" s="273" t="s">
        <v>336</v>
      </c>
      <c r="E37" s="264" t="s">
        <v>332</v>
      </c>
      <c r="F37" s="258">
        <v>47271.0</v>
      </c>
      <c r="G37" s="275"/>
      <c r="H37" s="260">
        <v>7500.0</v>
      </c>
      <c r="I37" s="266">
        <f>IF(AND($F37&lt;=I$2, OR($G37="",$G37&gt;=I$2)),
  $H37 * (1 + Assumptions!$C$7) ^ INT(((YEAR(I$2)-YEAR($F37))*12 + MONTH(I$2)-MONTH($F37)) / 12),
  0)</f>
        <v>0</v>
      </c>
      <c r="J37" s="266">
        <f>IF(AND($F37&lt;=J$2, OR($G37="",$G37&gt;=J$2)),
  $H37 * (1 + Assumptions!$C$7) ^ INT(((YEAR(J$2)-YEAR($F37))*12 + MONTH(J$2)-MONTH($F37)) / 12),
  0)</f>
        <v>0</v>
      </c>
      <c r="K37" s="266">
        <f>IF(AND($F37&lt;=K$2, OR($G37="",$G37&gt;=K$2)),
  $H37 * (1 + Assumptions!$C$7) ^ INT(((YEAR(K$2)-YEAR($F37))*12 + MONTH(K$2)-MONTH($F37)) / 12),
  0)</f>
        <v>0</v>
      </c>
      <c r="L37" s="266">
        <f>IF(AND($F37&lt;=L$2, OR($G37="",$G37&gt;=L$2)),
  $H37 * (1 + Assumptions!$C$7) ^ INT(((YEAR(L$2)-YEAR($F37))*12 + MONTH(L$2)-MONTH($F37)) / 12),
  0)</f>
        <v>0</v>
      </c>
      <c r="M37" s="266">
        <f>IF(AND($F37&lt;=M$2, OR($G37="",$G37&gt;=M$2)),
  $H37 * (1 + Assumptions!$C$7) ^ INT(((YEAR(M$2)-YEAR($F37))*12 + MONTH(M$2)-MONTH($F37)) / 12),
  0)</f>
        <v>0</v>
      </c>
      <c r="N37" s="266">
        <f>IF(AND($F37&lt;=N$2, OR($G37="",$G37&gt;=N$2)),
  $H37 * (1 + Assumptions!$C$7) ^ INT(((YEAR(N$2)-YEAR($F37))*12 + MONTH(N$2)-MONTH($F37)) / 12),
  0)</f>
        <v>0</v>
      </c>
      <c r="O37" s="266">
        <f>IF(AND($F37&lt;=O$2, OR($G37="",$G37&gt;=O$2)),
  $H37 * (1 + Assumptions!$C$7) ^ INT(((YEAR(O$2)-YEAR($F37))*12 + MONTH(O$2)-MONTH($F37)) / 12),
  0)</f>
        <v>0</v>
      </c>
      <c r="P37" s="266">
        <f>IF(AND($F37&lt;=P$2, OR($G37="",$G37&gt;=P$2)),
  $H37 * (1 + Assumptions!$C$7) ^ INT(((YEAR(P$2)-YEAR($F37))*12 + MONTH(P$2)-MONTH($F37)) / 12),
  0)</f>
        <v>0</v>
      </c>
      <c r="Q37" s="266">
        <f>IF(AND($F37&lt;=Q$2, OR($G37="",$G37&gt;=Q$2)),
  $H37 * (1 + Assumptions!$C$7) ^ INT(((YEAR(Q$2)-YEAR($F37))*12 + MONTH(Q$2)-MONTH($F37)) / 12),
  0)</f>
        <v>0</v>
      </c>
      <c r="R37" s="266">
        <f>IF(AND($F37&lt;=R$2, OR($G37="",$G37&gt;=R$2)),
  $H37 * (1 + Assumptions!$C$7) ^ INT(((YEAR(R$2)-YEAR($F37))*12 + MONTH(R$2)-MONTH($F37)) / 12),
  0)</f>
        <v>0</v>
      </c>
      <c r="S37" s="266">
        <f>IF(AND($F37&lt;=S$2, OR($G37="",$G37&gt;=S$2)),
  $H37 * (1 + Assumptions!$C$7) ^ INT(((YEAR(S$2)-YEAR($F37))*12 + MONTH(S$2)-MONTH($F37)) / 12),
  0)</f>
        <v>0</v>
      </c>
      <c r="T37" s="266">
        <f>IF(AND($F37&lt;=T$2, OR($G37="",$G37&gt;=T$2)),
  $H37 * (1 + Assumptions!$C$7) ^ INT(((YEAR(T$2)-YEAR($F37))*12 + MONTH(T$2)-MONTH($F37)) / 12),
  0)</f>
        <v>0</v>
      </c>
      <c r="U37" s="266">
        <f>IF(AND($F37&lt;=U$2, OR($G37="",$G37&gt;=U$2)),
  $H37 * (1 + Assumptions!$C$7) ^ INT(((YEAR(U$2)-YEAR($F37))*12 + MONTH(U$2)-MONTH($F37)) / 12),
  0)</f>
        <v>0</v>
      </c>
      <c r="V37" s="266">
        <f>IF(AND($F37&lt;=V$2, OR($G37="",$G37&gt;=V$2)),
  $H37 * (1 + Assumptions!$C$7) ^ INT(((YEAR(V$2)-YEAR($F37))*12 + MONTH(V$2)-MONTH($F37)) / 12),
  0)</f>
        <v>0</v>
      </c>
      <c r="W37" s="266">
        <f>IF(AND($F37&lt;=W$2, OR($G37="",$G37&gt;=W$2)),
  $H37 * (1 + Assumptions!$C$7) ^ INT(((YEAR(W$2)-YEAR($F37))*12 + MONTH(W$2)-MONTH($F37)) / 12),
  0)</f>
        <v>0</v>
      </c>
      <c r="X37" s="266">
        <f>IF(AND($F37&lt;=X$2, OR($G37="",$G37&gt;=X$2)),
  $H37 * (1 + Assumptions!$C$7) ^ INT(((YEAR(X$2)-YEAR($F37))*12 + MONTH(X$2)-MONTH($F37)) / 12),
  0)</f>
        <v>0</v>
      </c>
      <c r="Y37" s="266">
        <f>IF(AND($F37&lt;=Y$2, OR($G37="",$G37&gt;=Y$2)),
  $H37 * (1 + Assumptions!$C$7) ^ INT(((YEAR(Y$2)-YEAR($F37))*12 + MONTH(Y$2)-MONTH($F37)) / 12),
  0)</f>
        <v>0</v>
      </c>
      <c r="Z37" s="266">
        <f>IF(AND($F37&lt;=Z$2, OR($G37="",$G37&gt;=Z$2)),
  $H37 * (1 + Assumptions!$C$7) ^ INT(((YEAR(Z$2)-YEAR($F37))*12 + MONTH(Z$2)-MONTH($F37)) / 12),
  0)</f>
        <v>0</v>
      </c>
      <c r="AA37" s="266">
        <f>IF(AND($F37&lt;=AA$2, OR($G37="",$G37&gt;=AA$2)),
  $H37 * (1 + Assumptions!$C$7) ^ INT(((YEAR(AA$2)-YEAR($F37))*12 + MONTH(AA$2)-MONTH($F37)) / 12),
  0)</f>
        <v>0</v>
      </c>
      <c r="AB37" s="266">
        <f>IF(AND($F37&lt;=AB$2, OR($G37="",$G37&gt;=AB$2)),
  $H37 * (1 + Assumptions!$C$7) ^ INT(((YEAR(AB$2)-YEAR($F37))*12 + MONTH(AB$2)-MONTH($F37)) / 12),
  0)</f>
        <v>0</v>
      </c>
      <c r="AC37" s="266">
        <f>IF(AND($F37&lt;=AC$2, OR($G37="",$G37&gt;=AC$2)),
  $H37 * (1 + Assumptions!$C$7) ^ INT(((YEAR(AC$2)-YEAR($F37))*12 + MONTH(AC$2)-MONTH($F37)) / 12),
  0)</f>
        <v>0</v>
      </c>
      <c r="AD37" s="266">
        <f>IF(AND($F37&lt;=AD$2, OR($G37="",$G37&gt;=AD$2)),
  $H37 * (1 + Assumptions!$C$7) ^ INT(((YEAR(AD$2)-YEAR($F37))*12 + MONTH(AD$2)-MONTH($F37)) / 12),
  0)</f>
        <v>0</v>
      </c>
      <c r="AE37" s="266">
        <f>IF(AND($F37&lt;=AE$2, OR($G37="",$G37&gt;=AE$2)),
  $H37 * (1 + Assumptions!$C$7) ^ INT(((YEAR(AE$2)-YEAR($F37))*12 + MONTH(AE$2)-MONTH($F37)) / 12),
  0)</f>
        <v>0</v>
      </c>
      <c r="AF37" s="266">
        <f>IF(AND($F37&lt;=AF$2, OR($G37="",$G37&gt;=AF$2)),
  $H37 * (1 + Assumptions!$C$7) ^ INT(((YEAR(AF$2)-YEAR($F37))*12 + MONTH(AF$2)-MONTH($F37)) / 12),
  0)</f>
        <v>0</v>
      </c>
      <c r="AG37" s="266">
        <f>IF(AND($F37&lt;=AG$2, OR($G37="",$G37&gt;=AG$2)),
  $H37 * (1 + Assumptions!$C$7) ^ INT(((YEAR(AG$2)-YEAR($F37))*12 + MONTH(AG$2)-MONTH($F37)) / 12),
  0)</f>
        <v>0</v>
      </c>
      <c r="AH37" s="266">
        <f>IF(AND($F37&lt;=AH$2, OR($G37="",$G37&gt;=AH$2)),
  $H37 * (1 + Assumptions!$C$7) ^ INT(((YEAR(AH$2)-YEAR($F37))*12 + MONTH(AH$2)-MONTH($F37)) / 12),
  0)</f>
        <v>0</v>
      </c>
      <c r="AI37" s="266">
        <f>IF(AND($F37&lt;=AI$2, OR($G37="",$G37&gt;=AI$2)),
  $H37 * (1 + Assumptions!$C$7) ^ INT(((YEAR(AI$2)-YEAR($F37))*12 + MONTH(AI$2)-MONTH($F37)) / 12),
  0)</f>
        <v>0</v>
      </c>
      <c r="AJ37" s="266">
        <f>IF(AND($F37&lt;=AJ$2, OR($G37="",$G37&gt;=AJ$2)),
  $H37 * (1 + Assumptions!$C$7) ^ INT(((YEAR(AJ$2)-YEAR($F37))*12 + MONTH(AJ$2)-MONTH($F37)) / 12),
  0)</f>
        <v>0</v>
      </c>
      <c r="AK37" s="266">
        <f>IF(AND($F37&lt;=AK$2, OR($G37="",$G37&gt;=AK$2)),
  $H37 * (1 + Assumptions!$C$7) ^ INT(((YEAR(AK$2)-YEAR($F37))*12 + MONTH(AK$2)-MONTH($F37)) / 12),
  0)</f>
        <v>0</v>
      </c>
      <c r="AL37" s="266">
        <f>IF(AND($F37&lt;=AL$2, OR($G37="",$G37&gt;=AL$2)),
  $H37 * (1 + Assumptions!$C$7) ^ INT(((YEAR(AL$2)-YEAR($F37))*12 + MONTH(AL$2)-MONTH($F37)) / 12),
  0)</f>
        <v>0</v>
      </c>
      <c r="AM37" s="266">
        <f>IF(AND($F37&lt;=AM$2, OR($G37="",$G37&gt;=AM$2)),
  $H37 * (1 + Assumptions!$C$7) ^ INT(((YEAR(AM$2)-YEAR($F37))*12 + MONTH(AM$2)-MONTH($F37)) / 12),
  0)</f>
        <v>0</v>
      </c>
      <c r="AN37" s="266">
        <f>IF(AND($F37&lt;=AN$2, OR($G37="",$G37&gt;=AN$2)),
  $H37 * (1 + Assumptions!$C$7) ^ INT(((YEAR(AN$2)-YEAR($F37))*12 + MONTH(AN$2)-MONTH($F37)) / 12),
  0)</f>
        <v>0</v>
      </c>
      <c r="AO37" s="266">
        <f>IF(AND($F37&lt;=AO$2, OR($G37="",$G37&gt;=AO$2)),
  $H37 * (1 + Assumptions!$C$7) ^ INT(((YEAR(AO$2)-YEAR($F37))*12 + MONTH(AO$2)-MONTH($F37)) / 12),
  0)</f>
        <v>0</v>
      </c>
      <c r="AP37" s="266">
        <f>IF(AND($F37&lt;=AP$2, OR($G37="",$G37&gt;=AP$2)),
  $H37 * (1 + Assumptions!$C$7) ^ INT(((YEAR(AP$2)-YEAR($F37))*12 + MONTH(AP$2)-MONTH($F37)) / 12),
  0)</f>
        <v>0</v>
      </c>
      <c r="AQ37" s="266">
        <f>IF(AND($F37&lt;=AQ$2, OR($G37="",$G37&gt;=AQ$2)),
  $H37 * (1 + Assumptions!$C$7) ^ INT(((YEAR(AQ$2)-YEAR($F37))*12 + MONTH(AQ$2)-MONTH($F37)) / 12),
  0)</f>
        <v>0</v>
      </c>
      <c r="AR37" s="266">
        <f>IF(AND($F37&lt;=AR$2, OR($G37="",$G37&gt;=AR$2)),
  $H37 * (1 + Assumptions!$C$7) ^ INT(((YEAR(AR$2)-YEAR($F37))*12 + MONTH(AR$2)-MONTH($F37)) / 12),
  0)</f>
        <v>0</v>
      </c>
      <c r="AS37" s="266">
        <f>IF(AND($F37&lt;=AS$2, OR($G37="",$G37&gt;=AS$2)),
  $H37 * (1 + Assumptions!$C$7) ^ INT(((YEAR(AS$2)-YEAR($F37))*12 + MONTH(AS$2)-MONTH($F37)) / 12),
  0)</f>
        <v>0</v>
      </c>
      <c r="AT37" s="266">
        <f>IF(AND($F37&lt;=AT$2, OR($G37="",$G37&gt;=AT$2)),
  $H37 * (1 + Assumptions!$C$7) ^ INT(((YEAR(AT$2)-YEAR($F37))*12 + MONTH(AT$2)-MONTH($F37)) / 12),
  0)</f>
        <v>0</v>
      </c>
      <c r="AU37" s="266">
        <f>IF(AND($F37&lt;=AU$2, OR($G37="",$G37&gt;=AU$2)),
  $H37 * (1 + Assumptions!$C$7) ^ INT(((YEAR(AU$2)-YEAR($F37))*12 + MONTH(AU$2)-MONTH($F37)) / 12),
  0)</f>
        <v>0</v>
      </c>
      <c r="AV37" s="266">
        <f>IF(AND($F37&lt;=AV$2, OR($G37="",$G37&gt;=AV$2)),
  $H37 * (1 + Assumptions!$C$7) ^ INT(((YEAR(AV$2)-YEAR($F37))*12 + MONTH(AV$2)-MONTH($F37)) / 12),
  0)</f>
        <v>0</v>
      </c>
      <c r="AW37" s="266">
        <f>IF(AND($F37&lt;=AW$2, OR($G37="",$G37&gt;=AW$2)),
  $H37 * (1 + Assumptions!$C$7) ^ INT(((YEAR(AW$2)-YEAR($F37))*12 + MONTH(AW$2)-MONTH($F37)) / 12),
  0)</f>
        <v>0</v>
      </c>
      <c r="AX37" s="266">
        <f>IF(AND($F37&lt;=AX$2, OR($G37="",$G37&gt;=AX$2)),
  $H37 * (1 + Assumptions!$C$7) ^ INT(((YEAR(AX$2)-YEAR($F37))*12 + MONTH(AX$2)-MONTH($F37)) / 12),
  0)</f>
        <v>0</v>
      </c>
      <c r="AY37" s="266">
        <f>IF(AND($F37&lt;=AY$2, OR($G37="",$G37&gt;=AY$2)),
  $H37 * (1 + Assumptions!$C$7) ^ INT(((YEAR(AY$2)-YEAR($F37))*12 + MONTH(AY$2)-MONTH($F37)) / 12),
  0)</f>
        <v>0</v>
      </c>
      <c r="AZ37" s="266">
        <f>IF(AND($F37&lt;=AZ$2, OR($G37="",$G37&gt;=AZ$2)),
  $H37 * (1 + Assumptions!$C$7) ^ INT(((YEAR(AZ$2)-YEAR($F37))*12 + MONTH(AZ$2)-MONTH($F37)) / 12),
  0)</f>
        <v>0</v>
      </c>
      <c r="BA37" s="266">
        <f>IF(AND($F37&lt;=BA$2, OR($G37="",$G37&gt;=BA$2)),
  $H37 * (1 + Assumptions!$C$7) ^ INT(((YEAR(BA$2)-YEAR($F37))*12 + MONTH(BA$2)-MONTH($F37)) / 12),
  0)</f>
        <v>0</v>
      </c>
      <c r="BB37" s="266">
        <f>IF(AND($F37&lt;=BB$2, OR($G37="",$G37&gt;=BB$2)),
  $H37 * (1 + Assumptions!$C$7) ^ INT(((YEAR(BB$2)-YEAR($F37))*12 + MONTH(BB$2)-MONTH($F37)) / 12),
  0)</f>
        <v>0</v>
      </c>
      <c r="BC37" s="266">
        <f>IF(AND($F37&lt;=BC$2, OR($G37="",$G37&gt;=BC$2)),
  $H37 * (1 + Assumptions!$C$7) ^ INT(((YEAR(BC$2)-YEAR($F37))*12 + MONTH(BC$2)-MONTH($F37)) / 12),
  0)</f>
        <v>0</v>
      </c>
      <c r="BD37" s="266">
        <f>IF(AND($F37&lt;=BD$2, OR($G37="",$G37&gt;=BD$2)),
  $H37 * (1 + Assumptions!$C$7) ^ INT(((YEAR(BD$2)-YEAR($F37))*12 + MONTH(BD$2)-MONTH($F37)) / 12),
  0)</f>
        <v>0</v>
      </c>
      <c r="BE37" s="266">
        <f>IF(AND($F37&lt;=BE$2, OR($G37="",$G37&gt;=BE$2)),
  $H37 * (1 + Assumptions!$C$7) ^ INT(((YEAR(BE$2)-YEAR($F37))*12 + MONTH(BE$2)-MONTH($F37)) / 12),
  0)</f>
        <v>0</v>
      </c>
      <c r="BF37" s="266">
        <f>IF(AND($F37&lt;=BF$2, OR($G37="",$G37&gt;=BF$2)),
  $H37 * (1 + Assumptions!$C$7) ^ INT(((YEAR(BF$2)-YEAR($F37))*12 + MONTH(BF$2)-MONTH($F37)) / 12),
  0)</f>
        <v>0</v>
      </c>
      <c r="BG37" s="266">
        <f>IF(AND($F37&lt;=BG$2, OR($G37="",$G37&gt;=BG$2)),
  $H37 * (1 + Assumptions!$C$7) ^ INT(((YEAR(BG$2)-YEAR($F37))*12 + MONTH(BG$2)-MONTH($F37)) / 12),
  0)</f>
        <v>0</v>
      </c>
      <c r="BH37" s="266">
        <f>IF(AND($F37&lt;=BH$2, OR($G37="",$G37&gt;=BH$2)),
  $H37 * (1 + Assumptions!$C$7) ^ INT(((YEAR(BH$2)-YEAR($F37))*12 + MONTH(BH$2)-MONTH($F37)) / 12),
  0)</f>
        <v>0</v>
      </c>
      <c r="BI37" s="266">
        <f>IF(AND($F37&lt;=BI$2, OR($G37="",$G37&gt;=BI$2)),
  $H37 * (1 + Assumptions!$C$7) ^ INT(((YEAR(BI$2)-YEAR($F37))*12 + MONTH(BI$2)-MONTH($F37)) / 12),
  0)</f>
        <v>0</v>
      </c>
      <c r="BJ37" s="266">
        <f>IF(AND($F37&lt;=BJ$2, OR($G37="",$G37&gt;=BJ$2)),
  $H37 * (1 + Assumptions!$C$7) ^ INT(((YEAR(BJ$2)-YEAR($F37))*12 + MONTH(BJ$2)-MONTH($F37)) / 12),
  0)</f>
        <v>0</v>
      </c>
      <c r="BK37" s="266">
        <f>IF(AND($F37&lt;=BK$2, OR($G37="",$G37&gt;=BK$2)),
  $H37 * (1 + Assumptions!$C$7) ^ INT(((YEAR(BK$2)-YEAR($F37))*12 + MONTH(BK$2)-MONTH($F37)) / 12),
  0)</f>
        <v>7500</v>
      </c>
      <c r="BL37" s="266">
        <f>IF(AND($F37&lt;=BL$2, OR($G37="",$G37&gt;=BL$2)),
  $H37 * (1 + Assumptions!$C$7) ^ INT(((YEAR(BL$2)-YEAR($F37))*12 + MONTH(BL$2)-MONTH($F37)) / 12),
  0)</f>
        <v>7500</v>
      </c>
      <c r="BM37" s="266">
        <f>IF(AND($F37&lt;=BM$2, OR($G37="",$G37&gt;=BM$2)),
  $H37 * (1 + Assumptions!$C$7) ^ INT(((YEAR(BM$2)-YEAR($F37))*12 + MONTH(BM$2)-MONTH($F37)) / 12),
  0)</f>
        <v>7500</v>
      </c>
      <c r="BN37" s="266">
        <f>IF(AND($F37&lt;=BN$2, OR($G37="",$G37&gt;=BN$2)),
  $H37 * (1 + Assumptions!$C$7) ^ INT(((YEAR(BN$2)-YEAR($F37))*12 + MONTH(BN$2)-MONTH($F37)) / 12),
  0)</f>
        <v>7500</v>
      </c>
      <c r="BO37" s="266">
        <f>IF(AND($F37&lt;=BO$2, OR($G37="",$G37&gt;=BO$2)),
  $H37 * (1 + Assumptions!$C$7) ^ INT(((YEAR(BO$2)-YEAR($F37))*12 + MONTH(BO$2)-MONTH($F37)) / 12),
  0)</f>
        <v>7500</v>
      </c>
      <c r="BP37" s="266">
        <f>IF(AND($F37&lt;=BP$2, OR($G37="",$G37&gt;=BP$2)),
  $H37 * (1 + Assumptions!$C$7) ^ INT(((YEAR(BP$2)-YEAR($F37))*12 + MONTH(BP$2)-MONTH($F37)) / 12),
  0)</f>
        <v>7500</v>
      </c>
      <c r="BQ37" s="27"/>
    </row>
    <row r="38" ht="15.75" customHeight="1">
      <c r="A38" s="273">
        <v>34.0</v>
      </c>
      <c r="B38" s="257" t="s">
        <v>330</v>
      </c>
      <c r="C38" s="257" t="s">
        <v>149</v>
      </c>
      <c r="D38" s="69" t="s">
        <v>316</v>
      </c>
      <c r="E38" s="264" t="s">
        <v>332</v>
      </c>
      <c r="F38" s="258">
        <v>47272.0</v>
      </c>
      <c r="G38" s="276"/>
      <c r="H38" s="260">
        <v>7500.0</v>
      </c>
      <c r="I38" s="266">
        <f>IF(AND($F38&lt;=I$2, OR($G38="",$G38&gt;=I$2)),
  $H38 * (1 + Assumptions!$C$7) ^ INT(((YEAR(I$2)-YEAR($F38))*12 + MONTH(I$2)-MONTH($F38)) / 12),
  0)</f>
        <v>0</v>
      </c>
      <c r="J38" s="266">
        <f>IF(AND($F38&lt;=J$2, OR($G38="",$G38&gt;=J$2)),
  $H38 * (1 + Assumptions!$C$7) ^ INT(((YEAR(J$2)-YEAR($F38))*12 + MONTH(J$2)-MONTH($F38)) / 12),
  0)</f>
        <v>0</v>
      </c>
      <c r="K38" s="266">
        <f>IF(AND($F38&lt;=K$2, OR($G38="",$G38&gt;=K$2)),
  $H38 * (1 + Assumptions!$C$7) ^ INT(((YEAR(K$2)-YEAR($F38))*12 + MONTH(K$2)-MONTH($F38)) / 12),
  0)</f>
        <v>0</v>
      </c>
      <c r="L38" s="266">
        <f>IF(AND($F38&lt;=L$2, OR($G38="",$G38&gt;=L$2)),
  $H38 * (1 + Assumptions!$C$7) ^ INT(((YEAR(L$2)-YEAR($F38))*12 + MONTH(L$2)-MONTH($F38)) / 12),
  0)</f>
        <v>0</v>
      </c>
      <c r="M38" s="266">
        <f>IF(AND($F38&lt;=M$2, OR($G38="",$G38&gt;=M$2)),
  $H38 * (1 + Assumptions!$C$7) ^ INT(((YEAR(M$2)-YEAR($F38))*12 + MONTH(M$2)-MONTH($F38)) / 12),
  0)</f>
        <v>0</v>
      </c>
      <c r="N38" s="266">
        <f>IF(AND($F38&lt;=N$2, OR($G38="",$G38&gt;=N$2)),
  $H38 * (1 + Assumptions!$C$7) ^ INT(((YEAR(N$2)-YEAR($F38))*12 + MONTH(N$2)-MONTH($F38)) / 12),
  0)</f>
        <v>0</v>
      </c>
      <c r="O38" s="266">
        <f>IF(AND($F38&lt;=O$2, OR($G38="",$G38&gt;=O$2)),
  $H38 * (1 + Assumptions!$C$7) ^ INT(((YEAR(O$2)-YEAR($F38))*12 + MONTH(O$2)-MONTH($F38)) / 12),
  0)</f>
        <v>0</v>
      </c>
      <c r="P38" s="266">
        <f>IF(AND($F38&lt;=P$2, OR($G38="",$G38&gt;=P$2)),
  $H38 * (1 + Assumptions!$C$7) ^ INT(((YEAR(P$2)-YEAR($F38))*12 + MONTH(P$2)-MONTH($F38)) / 12),
  0)</f>
        <v>0</v>
      </c>
      <c r="Q38" s="266">
        <f>IF(AND($F38&lt;=Q$2, OR($G38="",$G38&gt;=Q$2)),
  $H38 * (1 + Assumptions!$C$7) ^ INT(((YEAR(Q$2)-YEAR($F38))*12 + MONTH(Q$2)-MONTH($F38)) / 12),
  0)</f>
        <v>0</v>
      </c>
      <c r="R38" s="266">
        <f>IF(AND($F38&lt;=R$2, OR($G38="",$G38&gt;=R$2)),
  $H38 * (1 + Assumptions!$C$7) ^ INT(((YEAR(R$2)-YEAR($F38))*12 + MONTH(R$2)-MONTH($F38)) / 12),
  0)</f>
        <v>0</v>
      </c>
      <c r="S38" s="266">
        <f>IF(AND($F38&lt;=S$2, OR($G38="",$G38&gt;=S$2)),
  $H38 * (1 + Assumptions!$C$7) ^ INT(((YEAR(S$2)-YEAR($F38))*12 + MONTH(S$2)-MONTH($F38)) / 12),
  0)</f>
        <v>0</v>
      </c>
      <c r="T38" s="266">
        <f>IF(AND($F38&lt;=T$2, OR($G38="",$G38&gt;=T$2)),
  $H38 * (1 + Assumptions!$C$7) ^ INT(((YEAR(T$2)-YEAR($F38))*12 + MONTH(T$2)-MONTH($F38)) / 12),
  0)</f>
        <v>0</v>
      </c>
      <c r="U38" s="266">
        <f>IF(AND($F38&lt;=U$2, OR($G38="",$G38&gt;=U$2)),
  $H38 * (1 + Assumptions!$C$7) ^ INT(((YEAR(U$2)-YEAR($F38))*12 + MONTH(U$2)-MONTH($F38)) / 12),
  0)</f>
        <v>0</v>
      </c>
      <c r="V38" s="266">
        <f>IF(AND($F38&lt;=V$2, OR($G38="",$G38&gt;=V$2)),
  $H38 * (1 + Assumptions!$C$7) ^ INT(((YEAR(V$2)-YEAR($F38))*12 + MONTH(V$2)-MONTH($F38)) / 12),
  0)</f>
        <v>0</v>
      </c>
      <c r="W38" s="266">
        <f>IF(AND($F38&lt;=W$2, OR($G38="",$G38&gt;=W$2)),
  $H38 * (1 + Assumptions!$C$7) ^ INT(((YEAR(W$2)-YEAR($F38))*12 + MONTH(W$2)-MONTH($F38)) / 12),
  0)</f>
        <v>0</v>
      </c>
      <c r="X38" s="266">
        <f>IF(AND($F38&lt;=X$2, OR($G38="",$G38&gt;=X$2)),
  $H38 * (1 + Assumptions!$C$7) ^ INT(((YEAR(X$2)-YEAR($F38))*12 + MONTH(X$2)-MONTH($F38)) / 12),
  0)</f>
        <v>0</v>
      </c>
      <c r="Y38" s="266">
        <f>IF(AND($F38&lt;=Y$2, OR($G38="",$G38&gt;=Y$2)),
  $H38 * (1 + Assumptions!$C$7) ^ INT(((YEAR(Y$2)-YEAR($F38))*12 + MONTH(Y$2)-MONTH($F38)) / 12),
  0)</f>
        <v>0</v>
      </c>
      <c r="Z38" s="266">
        <f>IF(AND($F38&lt;=Z$2, OR($G38="",$G38&gt;=Z$2)),
  $H38 * (1 + Assumptions!$C$7) ^ INT(((YEAR(Z$2)-YEAR($F38))*12 + MONTH(Z$2)-MONTH($F38)) / 12),
  0)</f>
        <v>0</v>
      </c>
      <c r="AA38" s="266">
        <f>IF(AND($F38&lt;=AA$2, OR($G38="",$G38&gt;=AA$2)),
  $H38 * (1 + Assumptions!$C$7) ^ INT(((YEAR(AA$2)-YEAR($F38))*12 + MONTH(AA$2)-MONTH($F38)) / 12),
  0)</f>
        <v>0</v>
      </c>
      <c r="AB38" s="266">
        <f>IF(AND($F38&lt;=AB$2, OR($G38="",$G38&gt;=AB$2)),
  $H38 * (1 + Assumptions!$C$7) ^ INT(((YEAR(AB$2)-YEAR($F38))*12 + MONTH(AB$2)-MONTH($F38)) / 12),
  0)</f>
        <v>0</v>
      </c>
      <c r="AC38" s="266">
        <f>IF(AND($F38&lt;=AC$2, OR($G38="",$G38&gt;=AC$2)),
  $H38 * (1 + Assumptions!$C$7) ^ INT(((YEAR(AC$2)-YEAR($F38))*12 + MONTH(AC$2)-MONTH($F38)) / 12),
  0)</f>
        <v>0</v>
      </c>
      <c r="AD38" s="266">
        <f>IF(AND($F38&lt;=AD$2, OR($G38="",$G38&gt;=AD$2)),
  $H38 * (1 + Assumptions!$C$7) ^ INT(((YEAR(AD$2)-YEAR($F38))*12 + MONTH(AD$2)-MONTH($F38)) / 12),
  0)</f>
        <v>0</v>
      </c>
      <c r="AE38" s="266">
        <f>IF(AND($F38&lt;=AE$2, OR($G38="",$G38&gt;=AE$2)),
  $H38 * (1 + Assumptions!$C$7) ^ INT(((YEAR(AE$2)-YEAR($F38))*12 + MONTH(AE$2)-MONTH($F38)) / 12),
  0)</f>
        <v>0</v>
      </c>
      <c r="AF38" s="266">
        <f>IF(AND($F38&lt;=AF$2, OR($G38="",$G38&gt;=AF$2)),
  $H38 * (1 + Assumptions!$C$7) ^ INT(((YEAR(AF$2)-YEAR($F38))*12 + MONTH(AF$2)-MONTH($F38)) / 12),
  0)</f>
        <v>0</v>
      </c>
      <c r="AG38" s="266">
        <f>IF(AND($F38&lt;=AG$2, OR($G38="",$G38&gt;=AG$2)),
  $H38 * (1 + Assumptions!$C$7) ^ INT(((YEAR(AG$2)-YEAR($F38))*12 + MONTH(AG$2)-MONTH($F38)) / 12),
  0)</f>
        <v>0</v>
      </c>
      <c r="AH38" s="266">
        <f>IF(AND($F38&lt;=AH$2, OR($G38="",$G38&gt;=AH$2)),
  $H38 * (1 + Assumptions!$C$7) ^ INT(((YEAR(AH$2)-YEAR($F38))*12 + MONTH(AH$2)-MONTH($F38)) / 12),
  0)</f>
        <v>0</v>
      </c>
      <c r="AI38" s="266">
        <f>IF(AND($F38&lt;=AI$2, OR($G38="",$G38&gt;=AI$2)),
  $H38 * (1 + Assumptions!$C$7) ^ INT(((YEAR(AI$2)-YEAR($F38))*12 + MONTH(AI$2)-MONTH($F38)) / 12),
  0)</f>
        <v>0</v>
      </c>
      <c r="AJ38" s="266">
        <f>IF(AND($F38&lt;=AJ$2, OR($G38="",$G38&gt;=AJ$2)),
  $H38 * (1 + Assumptions!$C$7) ^ INT(((YEAR(AJ$2)-YEAR($F38))*12 + MONTH(AJ$2)-MONTH($F38)) / 12),
  0)</f>
        <v>0</v>
      </c>
      <c r="AK38" s="266">
        <f>IF(AND($F38&lt;=AK$2, OR($G38="",$G38&gt;=AK$2)),
  $H38 * (1 + Assumptions!$C$7) ^ INT(((YEAR(AK$2)-YEAR($F38))*12 + MONTH(AK$2)-MONTH($F38)) / 12),
  0)</f>
        <v>0</v>
      </c>
      <c r="AL38" s="266">
        <f>IF(AND($F38&lt;=AL$2, OR($G38="",$G38&gt;=AL$2)),
  $H38 * (1 + Assumptions!$C$7) ^ INT(((YEAR(AL$2)-YEAR($F38))*12 + MONTH(AL$2)-MONTH($F38)) / 12),
  0)</f>
        <v>0</v>
      </c>
      <c r="AM38" s="266">
        <f>IF(AND($F38&lt;=AM$2, OR($G38="",$G38&gt;=AM$2)),
  $H38 * (1 + Assumptions!$C$7) ^ INT(((YEAR(AM$2)-YEAR($F38))*12 + MONTH(AM$2)-MONTH($F38)) / 12),
  0)</f>
        <v>0</v>
      </c>
      <c r="AN38" s="266">
        <f>IF(AND($F38&lt;=AN$2, OR($G38="",$G38&gt;=AN$2)),
  $H38 * (1 + Assumptions!$C$7) ^ INT(((YEAR(AN$2)-YEAR($F38))*12 + MONTH(AN$2)-MONTH($F38)) / 12),
  0)</f>
        <v>0</v>
      </c>
      <c r="AO38" s="266">
        <f>IF(AND($F38&lt;=AO$2, OR($G38="",$G38&gt;=AO$2)),
  $H38 * (1 + Assumptions!$C$7) ^ INT(((YEAR(AO$2)-YEAR($F38))*12 + MONTH(AO$2)-MONTH($F38)) / 12),
  0)</f>
        <v>0</v>
      </c>
      <c r="AP38" s="266">
        <f>IF(AND($F38&lt;=AP$2, OR($G38="",$G38&gt;=AP$2)),
  $H38 * (1 + Assumptions!$C$7) ^ INT(((YEAR(AP$2)-YEAR($F38))*12 + MONTH(AP$2)-MONTH($F38)) / 12),
  0)</f>
        <v>0</v>
      </c>
      <c r="AQ38" s="266">
        <f>IF(AND($F38&lt;=AQ$2, OR($G38="",$G38&gt;=AQ$2)),
  $H38 * (1 + Assumptions!$C$7) ^ INT(((YEAR(AQ$2)-YEAR($F38))*12 + MONTH(AQ$2)-MONTH($F38)) / 12),
  0)</f>
        <v>0</v>
      </c>
      <c r="AR38" s="266">
        <f>IF(AND($F38&lt;=AR$2, OR($G38="",$G38&gt;=AR$2)),
  $H38 * (1 + Assumptions!$C$7) ^ INT(((YEAR(AR$2)-YEAR($F38))*12 + MONTH(AR$2)-MONTH($F38)) / 12),
  0)</f>
        <v>0</v>
      </c>
      <c r="AS38" s="266">
        <f>IF(AND($F38&lt;=AS$2, OR($G38="",$G38&gt;=AS$2)),
  $H38 * (1 + Assumptions!$C$7) ^ INT(((YEAR(AS$2)-YEAR($F38))*12 + MONTH(AS$2)-MONTH($F38)) / 12),
  0)</f>
        <v>0</v>
      </c>
      <c r="AT38" s="266">
        <f>IF(AND($F38&lt;=AT$2, OR($G38="",$G38&gt;=AT$2)),
  $H38 * (1 + Assumptions!$C$7) ^ INT(((YEAR(AT$2)-YEAR($F38))*12 + MONTH(AT$2)-MONTH($F38)) / 12),
  0)</f>
        <v>0</v>
      </c>
      <c r="AU38" s="266">
        <f>IF(AND($F38&lt;=AU$2, OR($G38="",$G38&gt;=AU$2)),
  $H38 * (1 + Assumptions!$C$7) ^ INT(((YEAR(AU$2)-YEAR($F38))*12 + MONTH(AU$2)-MONTH($F38)) / 12),
  0)</f>
        <v>0</v>
      </c>
      <c r="AV38" s="266">
        <f>IF(AND($F38&lt;=AV$2, OR($G38="",$G38&gt;=AV$2)),
  $H38 * (1 + Assumptions!$C$7) ^ INT(((YEAR(AV$2)-YEAR($F38))*12 + MONTH(AV$2)-MONTH($F38)) / 12),
  0)</f>
        <v>0</v>
      </c>
      <c r="AW38" s="266">
        <f>IF(AND($F38&lt;=AW$2, OR($G38="",$G38&gt;=AW$2)),
  $H38 * (1 + Assumptions!$C$7) ^ INT(((YEAR(AW$2)-YEAR($F38))*12 + MONTH(AW$2)-MONTH($F38)) / 12),
  0)</f>
        <v>0</v>
      </c>
      <c r="AX38" s="266">
        <f>IF(AND($F38&lt;=AX$2, OR($G38="",$G38&gt;=AX$2)),
  $H38 * (1 + Assumptions!$C$7) ^ INT(((YEAR(AX$2)-YEAR($F38))*12 + MONTH(AX$2)-MONTH($F38)) / 12),
  0)</f>
        <v>0</v>
      </c>
      <c r="AY38" s="266">
        <f>IF(AND($F38&lt;=AY$2, OR($G38="",$G38&gt;=AY$2)),
  $H38 * (1 + Assumptions!$C$7) ^ INT(((YEAR(AY$2)-YEAR($F38))*12 + MONTH(AY$2)-MONTH($F38)) / 12),
  0)</f>
        <v>0</v>
      </c>
      <c r="AZ38" s="266">
        <f>IF(AND($F38&lt;=AZ$2, OR($G38="",$G38&gt;=AZ$2)),
  $H38 * (1 + Assumptions!$C$7) ^ INT(((YEAR(AZ$2)-YEAR($F38))*12 + MONTH(AZ$2)-MONTH($F38)) / 12),
  0)</f>
        <v>0</v>
      </c>
      <c r="BA38" s="266">
        <f>IF(AND($F38&lt;=BA$2, OR($G38="",$G38&gt;=BA$2)),
  $H38 * (1 + Assumptions!$C$7) ^ INT(((YEAR(BA$2)-YEAR($F38))*12 + MONTH(BA$2)-MONTH($F38)) / 12),
  0)</f>
        <v>0</v>
      </c>
      <c r="BB38" s="266">
        <f>IF(AND($F38&lt;=BB$2, OR($G38="",$G38&gt;=BB$2)),
  $H38 * (1 + Assumptions!$C$7) ^ INT(((YEAR(BB$2)-YEAR($F38))*12 + MONTH(BB$2)-MONTH($F38)) / 12),
  0)</f>
        <v>0</v>
      </c>
      <c r="BC38" s="266">
        <f>IF(AND($F38&lt;=BC$2, OR($G38="",$G38&gt;=BC$2)),
  $H38 * (1 + Assumptions!$C$7) ^ INT(((YEAR(BC$2)-YEAR($F38))*12 + MONTH(BC$2)-MONTH($F38)) / 12),
  0)</f>
        <v>0</v>
      </c>
      <c r="BD38" s="266">
        <f>IF(AND($F38&lt;=BD$2, OR($G38="",$G38&gt;=BD$2)),
  $H38 * (1 + Assumptions!$C$7) ^ INT(((YEAR(BD$2)-YEAR($F38))*12 + MONTH(BD$2)-MONTH($F38)) / 12),
  0)</f>
        <v>0</v>
      </c>
      <c r="BE38" s="266">
        <f>IF(AND($F38&lt;=BE$2, OR($G38="",$G38&gt;=BE$2)),
  $H38 * (1 + Assumptions!$C$7) ^ INT(((YEAR(BE$2)-YEAR($F38))*12 + MONTH(BE$2)-MONTH($F38)) / 12),
  0)</f>
        <v>0</v>
      </c>
      <c r="BF38" s="266">
        <f>IF(AND($F38&lt;=BF$2, OR($G38="",$G38&gt;=BF$2)),
  $H38 * (1 + Assumptions!$C$7) ^ INT(((YEAR(BF$2)-YEAR($F38))*12 + MONTH(BF$2)-MONTH($F38)) / 12),
  0)</f>
        <v>0</v>
      </c>
      <c r="BG38" s="266">
        <f>IF(AND($F38&lt;=BG$2, OR($G38="",$G38&gt;=BG$2)),
  $H38 * (1 + Assumptions!$C$7) ^ INT(((YEAR(BG$2)-YEAR($F38))*12 + MONTH(BG$2)-MONTH($F38)) / 12),
  0)</f>
        <v>0</v>
      </c>
      <c r="BH38" s="266">
        <f>IF(AND($F38&lt;=BH$2, OR($G38="",$G38&gt;=BH$2)),
  $H38 * (1 + Assumptions!$C$7) ^ INT(((YEAR(BH$2)-YEAR($F38))*12 + MONTH(BH$2)-MONTH($F38)) / 12),
  0)</f>
        <v>0</v>
      </c>
      <c r="BI38" s="266">
        <f>IF(AND($F38&lt;=BI$2, OR($G38="",$G38&gt;=BI$2)),
  $H38 * (1 + Assumptions!$C$7) ^ INT(((YEAR(BI$2)-YEAR($F38))*12 + MONTH(BI$2)-MONTH($F38)) / 12),
  0)</f>
        <v>0</v>
      </c>
      <c r="BJ38" s="266">
        <f>IF(AND($F38&lt;=BJ$2, OR($G38="",$G38&gt;=BJ$2)),
  $H38 * (1 + Assumptions!$C$7) ^ INT(((YEAR(BJ$2)-YEAR($F38))*12 + MONTH(BJ$2)-MONTH($F38)) / 12),
  0)</f>
        <v>0</v>
      </c>
      <c r="BK38" s="266">
        <f>IF(AND($F38&lt;=BK$2, OR($G38="",$G38&gt;=BK$2)),
  $H38 * (1 + Assumptions!$C$7) ^ INT(((YEAR(BK$2)-YEAR($F38))*12 + MONTH(BK$2)-MONTH($F38)) / 12),
  0)</f>
        <v>7500</v>
      </c>
      <c r="BL38" s="266">
        <f>IF(AND($F38&lt;=BL$2, OR($G38="",$G38&gt;=BL$2)),
  $H38 * (1 + Assumptions!$C$7) ^ INT(((YEAR(BL$2)-YEAR($F38))*12 + MONTH(BL$2)-MONTH($F38)) / 12),
  0)</f>
        <v>7500</v>
      </c>
      <c r="BM38" s="266">
        <f>IF(AND($F38&lt;=BM$2, OR($G38="",$G38&gt;=BM$2)),
  $H38 * (1 + Assumptions!$C$7) ^ INT(((YEAR(BM$2)-YEAR($F38))*12 + MONTH(BM$2)-MONTH($F38)) / 12),
  0)</f>
        <v>7500</v>
      </c>
      <c r="BN38" s="266">
        <f>IF(AND($F38&lt;=BN$2, OR($G38="",$G38&gt;=BN$2)),
  $H38 * (1 + Assumptions!$C$7) ^ INT(((YEAR(BN$2)-YEAR($F38))*12 + MONTH(BN$2)-MONTH($F38)) / 12),
  0)</f>
        <v>7500</v>
      </c>
      <c r="BO38" s="266">
        <f>IF(AND($F38&lt;=BO$2, OR($G38="",$G38&gt;=BO$2)),
  $H38 * (1 + Assumptions!$C$7) ^ INT(((YEAR(BO$2)-YEAR($F38))*12 + MONTH(BO$2)-MONTH($F38)) / 12),
  0)</f>
        <v>7500</v>
      </c>
      <c r="BP38" s="266">
        <f>IF(AND($F38&lt;=BP$2, OR($G38="",$G38&gt;=BP$2)),
  $H38 * (1 + Assumptions!$C$7) ^ INT(((YEAR(BP$2)-YEAR($F38))*12 + MONTH(BP$2)-MONTH($F38)) / 12),
  0)</f>
        <v>7500</v>
      </c>
      <c r="BQ38" s="27"/>
    </row>
    <row r="39" ht="15.75" customHeight="1">
      <c r="A39" s="273">
        <v>35.0</v>
      </c>
      <c r="B39" s="257" t="s">
        <v>330</v>
      </c>
      <c r="C39" s="257" t="s">
        <v>149</v>
      </c>
      <c r="D39" s="257" t="s">
        <v>317</v>
      </c>
      <c r="E39" s="264" t="s">
        <v>332</v>
      </c>
      <c r="F39" s="258">
        <v>47273.0</v>
      </c>
      <c r="G39" s="265"/>
      <c r="H39" s="260">
        <v>6500.0</v>
      </c>
      <c r="I39" s="266">
        <f>IF(AND($F39&lt;=I$2, OR($G39="",$G39&gt;=I$2)),
  $H39 * (1 + Assumptions!$C$7) ^ INT(((YEAR(I$2)-YEAR($F39))*12 + MONTH(I$2)-MONTH($F39)) / 12),
  0)</f>
        <v>0</v>
      </c>
      <c r="J39" s="266">
        <f>IF(AND($F39&lt;=J$2, OR($G39="",$G39&gt;=J$2)),
  $H39 * (1 + Assumptions!$C$7) ^ INT(((YEAR(J$2)-YEAR($F39))*12 + MONTH(J$2)-MONTH($F39)) / 12),
  0)</f>
        <v>0</v>
      </c>
      <c r="K39" s="266">
        <f>IF(AND($F39&lt;=K$2, OR($G39="",$G39&gt;=K$2)),
  $H39 * (1 + Assumptions!$C$7) ^ INT(((YEAR(K$2)-YEAR($F39))*12 + MONTH(K$2)-MONTH($F39)) / 12),
  0)</f>
        <v>0</v>
      </c>
      <c r="L39" s="266">
        <f>IF(AND($F39&lt;=L$2, OR($G39="",$G39&gt;=L$2)),
  $H39 * (1 + Assumptions!$C$7) ^ INT(((YEAR(L$2)-YEAR($F39))*12 + MONTH(L$2)-MONTH($F39)) / 12),
  0)</f>
        <v>0</v>
      </c>
      <c r="M39" s="266">
        <f>IF(AND($F39&lt;=M$2, OR($G39="",$G39&gt;=M$2)),
  $H39 * (1 + Assumptions!$C$7) ^ INT(((YEAR(M$2)-YEAR($F39))*12 + MONTH(M$2)-MONTH($F39)) / 12),
  0)</f>
        <v>0</v>
      </c>
      <c r="N39" s="266">
        <f>IF(AND($F39&lt;=N$2, OR($G39="",$G39&gt;=N$2)),
  $H39 * (1 + Assumptions!$C$7) ^ INT(((YEAR(N$2)-YEAR($F39))*12 + MONTH(N$2)-MONTH($F39)) / 12),
  0)</f>
        <v>0</v>
      </c>
      <c r="O39" s="266">
        <f>IF(AND($F39&lt;=O$2, OR($G39="",$G39&gt;=O$2)),
  $H39 * (1 + Assumptions!$C$7) ^ INT(((YEAR(O$2)-YEAR($F39))*12 + MONTH(O$2)-MONTH($F39)) / 12),
  0)</f>
        <v>0</v>
      </c>
      <c r="P39" s="266">
        <f>IF(AND($F39&lt;=P$2, OR($G39="",$G39&gt;=P$2)),
  $H39 * (1 + Assumptions!$C$7) ^ INT(((YEAR(P$2)-YEAR($F39))*12 + MONTH(P$2)-MONTH($F39)) / 12),
  0)</f>
        <v>0</v>
      </c>
      <c r="Q39" s="266">
        <f>IF(AND($F39&lt;=Q$2, OR($G39="",$G39&gt;=Q$2)),
  $H39 * (1 + Assumptions!$C$7) ^ INT(((YEAR(Q$2)-YEAR($F39))*12 + MONTH(Q$2)-MONTH($F39)) / 12),
  0)</f>
        <v>0</v>
      </c>
      <c r="R39" s="266">
        <f>IF(AND($F39&lt;=R$2, OR($G39="",$G39&gt;=R$2)),
  $H39 * (1 + Assumptions!$C$7) ^ INT(((YEAR(R$2)-YEAR($F39))*12 + MONTH(R$2)-MONTH($F39)) / 12),
  0)</f>
        <v>0</v>
      </c>
      <c r="S39" s="266">
        <f>IF(AND($F39&lt;=S$2, OR($G39="",$G39&gt;=S$2)),
  $H39 * (1 + Assumptions!$C$7) ^ INT(((YEAR(S$2)-YEAR($F39))*12 + MONTH(S$2)-MONTH($F39)) / 12),
  0)</f>
        <v>0</v>
      </c>
      <c r="T39" s="266">
        <f>IF(AND($F39&lt;=T$2, OR($G39="",$G39&gt;=T$2)),
  $H39 * (1 + Assumptions!$C$7) ^ INT(((YEAR(T$2)-YEAR($F39))*12 + MONTH(T$2)-MONTH($F39)) / 12),
  0)</f>
        <v>0</v>
      </c>
      <c r="U39" s="266">
        <f>IF(AND($F39&lt;=U$2, OR($G39="",$G39&gt;=U$2)),
  $H39 * (1 + Assumptions!$C$7) ^ INT(((YEAR(U$2)-YEAR($F39))*12 + MONTH(U$2)-MONTH($F39)) / 12),
  0)</f>
        <v>0</v>
      </c>
      <c r="V39" s="266">
        <f>IF(AND($F39&lt;=V$2, OR($G39="",$G39&gt;=V$2)),
  $H39 * (1 + Assumptions!$C$7) ^ INT(((YEAR(V$2)-YEAR($F39))*12 + MONTH(V$2)-MONTH($F39)) / 12),
  0)</f>
        <v>0</v>
      </c>
      <c r="W39" s="266">
        <f>IF(AND($F39&lt;=W$2, OR($G39="",$G39&gt;=W$2)),
  $H39 * (1 + Assumptions!$C$7) ^ INT(((YEAR(W$2)-YEAR($F39))*12 + MONTH(W$2)-MONTH($F39)) / 12),
  0)</f>
        <v>0</v>
      </c>
      <c r="X39" s="266">
        <f>IF(AND($F39&lt;=X$2, OR($G39="",$G39&gt;=X$2)),
  $H39 * (1 + Assumptions!$C$7) ^ INT(((YEAR(X$2)-YEAR($F39))*12 + MONTH(X$2)-MONTH($F39)) / 12),
  0)</f>
        <v>0</v>
      </c>
      <c r="Y39" s="266">
        <f>IF(AND($F39&lt;=Y$2, OR($G39="",$G39&gt;=Y$2)),
  $H39 * (1 + Assumptions!$C$7) ^ INT(((YEAR(Y$2)-YEAR($F39))*12 + MONTH(Y$2)-MONTH($F39)) / 12),
  0)</f>
        <v>0</v>
      </c>
      <c r="Z39" s="266">
        <f>IF(AND($F39&lt;=Z$2, OR($G39="",$G39&gt;=Z$2)),
  $H39 * (1 + Assumptions!$C$7) ^ INT(((YEAR(Z$2)-YEAR($F39))*12 + MONTH(Z$2)-MONTH($F39)) / 12),
  0)</f>
        <v>0</v>
      </c>
      <c r="AA39" s="266">
        <f>IF(AND($F39&lt;=AA$2, OR($G39="",$G39&gt;=AA$2)),
  $H39 * (1 + Assumptions!$C$7) ^ INT(((YEAR(AA$2)-YEAR($F39))*12 + MONTH(AA$2)-MONTH($F39)) / 12),
  0)</f>
        <v>0</v>
      </c>
      <c r="AB39" s="266">
        <f>IF(AND($F39&lt;=AB$2, OR($G39="",$G39&gt;=AB$2)),
  $H39 * (1 + Assumptions!$C$7) ^ INT(((YEAR(AB$2)-YEAR($F39))*12 + MONTH(AB$2)-MONTH($F39)) / 12),
  0)</f>
        <v>0</v>
      </c>
      <c r="AC39" s="266">
        <f>IF(AND($F39&lt;=AC$2, OR($G39="",$G39&gt;=AC$2)),
  $H39 * (1 + Assumptions!$C$7) ^ INT(((YEAR(AC$2)-YEAR($F39))*12 + MONTH(AC$2)-MONTH($F39)) / 12),
  0)</f>
        <v>0</v>
      </c>
      <c r="AD39" s="266">
        <f>IF(AND($F39&lt;=AD$2, OR($G39="",$G39&gt;=AD$2)),
  $H39 * (1 + Assumptions!$C$7) ^ INT(((YEAR(AD$2)-YEAR($F39))*12 + MONTH(AD$2)-MONTH($F39)) / 12),
  0)</f>
        <v>0</v>
      </c>
      <c r="AE39" s="266">
        <f>IF(AND($F39&lt;=AE$2, OR($G39="",$G39&gt;=AE$2)),
  $H39 * (1 + Assumptions!$C$7) ^ INT(((YEAR(AE$2)-YEAR($F39))*12 + MONTH(AE$2)-MONTH($F39)) / 12),
  0)</f>
        <v>0</v>
      </c>
      <c r="AF39" s="266">
        <f>IF(AND($F39&lt;=AF$2, OR($G39="",$G39&gt;=AF$2)),
  $H39 * (1 + Assumptions!$C$7) ^ INT(((YEAR(AF$2)-YEAR($F39))*12 + MONTH(AF$2)-MONTH($F39)) / 12),
  0)</f>
        <v>0</v>
      </c>
      <c r="AG39" s="266">
        <f>IF(AND($F39&lt;=AG$2, OR($G39="",$G39&gt;=AG$2)),
  $H39 * (1 + Assumptions!$C$7) ^ INT(((YEAR(AG$2)-YEAR($F39))*12 + MONTH(AG$2)-MONTH($F39)) / 12),
  0)</f>
        <v>0</v>
      </c>
      <c r="AH39" s="266">
        <f>IF(AND($F39&lt;=AH$2, OR($G39="",$G39&gt;=AH$2)),
  $H39 * (1 + Assumptions!$C$7) ^ INT(((YEAR(AH$2)-YEAR($F39))*12 + MONTH(AH$2)-MONTH($F39)) / 12),
  0)</f>
        <v>0</v>
      </c>
      <c r="AI39" s="266">
        <f>IF(AND($F39&lt;=AI$2, OR($G39="",$G39&gt;=AI$2)),
  $H39 * (1 + Assumptions!$C$7) ^ INT(((YEAR(AI$2)-YEAR($F39))*12 + MONTH(AI$2)-MONTH($F39)) / 12),
  0)</f>
        <v>0</v>
      </c>
      <c r="AJ39" s="266">
        <f>IF(AND($F39&lt;=AJ$2, OR($G39="",$G39&gt;=AJ$2)),
  $H39 * (1 + Assumptions!$C$7) ^ INT(((YEAR(AJ$2)-YEAR($F39))*12 + MONTH(AJ$2)-MONTH($F39)) / 12),
  0)</f>
        <v>0</v>
      </c>
      <c r="AK39" s="266">
        <f>IF(AND($F39&lt;=AK$2, OR($G39="",$G39&gt;=AK$2)),
  $H39 * (1 + Assumptions!$C$7) ^ INT(((YEAR(AK$2)-YEAR($F39))*12 + MONTH(AK$2)-MONTH($F39)) / 12),
  0)</f>
        <v>0</v>
      </c>
      <c r="AL39" s="266">
        <f>IF(AND($F39&lt;=AL$2, OR($G39="",$G39&gt;=AL$2)),
  $H39 * (1 + Assumptions!$C$7) ^ INT(((YEAR(AL$2)-YEAR($F39))*12 + MONTH(AL$2)-MONTH($F39)) / 12),
  0)</f>
        <v>0</v>
      </c>
      <c r="AM39" s="266">
        <f>IF(AND($F39&lt;=AM$2, OR($G39="",$G39&gt;=AM$2)),
  $H39 * (1 + Assumptions!$C$7) ^ INT(((YEAR(AM$2)-YEAR($F39))*12 + MONTH(AM$2)-MONTH($F39)) / 12),
  0)</f>
        <v>0</v>
      </c>
      <c r="AN39" s="266">
        <f>IF(AND($F39&lt;=AN$2, OR($G39="",$G39&gt;=AN$2)),
  $H39 * (1 + Assumptions!$C$7) ^ INT(((YEAR(AN$2)-YEAR($F39))*12 + MONTH(AN$2)-MONTH($F39)) / 12),
  0)</f>
        <v>0</v>
      </c>
      <c r="AO39" s="266">
        <f>IF(AND($F39&lt;=AO$2, OR($G39="",$G39&gt;=AO$2)),
  $H39 * (1 + Assumptions!$C$7) ^ INT(((YEAR(AO$2)-YEAR($F39))*12 + MONTH(AO$2)-MONTH($F39)) / 12),
  0)</f>
        <v>0</v>
      </c>
      <c r="AP39" s="266">
        <f>IF(AND($F39&lt;=AP$2, OR($G39="",$G39&gt;=AP$2)),
  $H39 * (1 + Assumptions!$C$7) ^ INT(((YEAR(AP$2)-YEAR($F39))*12 + MONTH(AP$2)-MONTH($F39)) / 12),
  0)</f>
        <v>0</v>
      </c>
      <c r="AQ39" s="266">
        <f>IF(AND($F39&lt;=AQ$2, OR($G39="",$G39&gt;=AQ$2)),
  $H39 * (1 + Assumptions!$C$7) ^ INT(((YEAR(AQ$2)-YEAR($F39))*12 + MONTH(AQ$2)-MONTH($F39)) / 12),
  0)</f>
        <v>0</v>
      </c>
      <c r="AR39" s="266">
        <f>IF(AND($F39&lt;=AR$2, OR($G39="",$G39&gt;=AR$2)),
  $H39 * (1 + Assumptions!$C$7) ^ INT(((YEAR(AR$2)-YEAR($F39))*12 + MONTH(AR$2)-MONTH($F39)) / 12),
  0)</f>
        <v>0</v>
      </c>
      <c r="AS39" s="266">
        <f>IF(AND($F39&lt;=AS$2, OR($G39="",$G39&gt;=AS$2)),
  $H39 * (1 + Assumptions!$C$7) ^ INT(((YEAR(AS$2)-YEAR($F39))*12 + MONTH(AS$2)-MONTH($F39)) / 12),
  0)</f>
        <v>0</v>
      </c>
      <c r="AT39" s="266">
        <f>IF(AND($F39&lt;=AT$2, OR($G39="",$G39&gt;=AT$2)),
  $H39 * (1 + Assumptions!$C$7) ^ INT(((YEAR(AT$2)-YEAR($F39))*12 + MONTH(AT$2)-MONTH($F39)) / 12),
  0)</f>
        <v>0</v>
      </c>
      <c r="AU39" s="266">
        <f>IF(AND($F39&lt;=AU$2, OR($G39="",$G39&gt;=AU$2)),
  $H39 * (1 + Assumptions!$C$7) ^ INT(((YEAR(AU$2)-YEAR($F39))*12 + MONTH(AU$2)-MONTH($F39)) / 12),
  0)</f>
        <v>0</v>
      </c>
      <c r="AV39" s="266">
        <f>IF(AND($F39&lt;=AV$2, OR($G39="",$G39&gt;=AV$2)),
  $H39 * (1 + Assumptions!$C$7) ^ INT(((YEAR(AV$2)-YEAR($F39))*12 + MONTH(AV$2)-MONTH($F39)) / 12),
  0)</f>
        <v>0</v>
      </c>
      <c r="AW39" s="266">
        <f>IF(AND($F39&lt;=AW$2, OR($G39="",$G39&gt;=AW$2)),
  $H39 * (1 + Assumptions!$C$7) ^ INT(((YEAR(AW$2)-YEAR($F39))*12 + MONTH(AW$2)-MONTH($F39)) / 12),
  0)</f>
        <v>0</v>
      </c>
      <c r="AX39" s="266">
        <f>IF(AND($F39&lt;=AX$2, OR($G39="",$G39&gt;=AX$2)),
  $H39 * (1 + Assumptions!$C$7) ^ INT(((YEAR(AX$2)-YEAR($F39))*12 + MONTH(AX$2)-MONTH($F39)) / 12),
  0)</f>
        <v>0</v>
      </c>
      <c r="AY39" s="266">
        <f>IF(AND($F39&lt;=AY$2, OR($G39="",$G39&gt;=AY$2)),
  $H39 * (1 + Assumptions!$C$7) ^ INT(((YEAR(AY$2)-YEAR($F39))*12 + MONTH(AY$2)-MONTH($F39)) / 12),
  0)</f>
        <v>0</v>
      </c>
      <c r="AZ39" s="266">
        <f>IF(AND($F39&lt;=AZ$2, OR($G39="",$G39&gt;=AZ$2)),
  $H39 * (1 + Assumptions!$C$7) ^ INT(((YEAR(AZ$2)-YEAR($F39))*12 + MONTH(AZ$2)-MONTH($F39)) / 12),
  0)</f>
        <v>0</v>
      </c>
      <c r="BA39" s="266">
        <f>IF(AND($F39&lt;=BA$2, OR($G39="",$G39&gt;=BA$2)),
  $H39 * (1 + Assumptions!$C$7) ^ INT(((YEAR(BA$2)-YEAR($F39))*12 + MONTH(BA$2)-MONTH($F39)) / 12),
  0)</f>
        <v>0</v>
      </c>
      <c r="BB39" s="266">
        <f>IF(AND($F39&lt;=BB$2, OR($G39="",$G39&gt;=BB$2)),
  $H39 * (1 + Assumptions!$C$7) ^ INT(((YEAR(BB$2)-YEAR($F39))*12 + MONTH(BB$2)-MONTH($F39)) / 12),
  0)</f>
        <v>0</v>
      </c>
      <c r="BC39" s="266">
        <f>IF(AND($F39&lt;=BC$2, OR($G39="",$G39&gt;=BC$2)),
  $H39 * (1 + Assumptions!$C$7) ^ INT(((YEAR(BC$2)-YEAR($F39))*12 + MONTH(BC$2)-MONTH($F39)) / 12),
  0)</f>
        <v>0</v>
      </c>
      <c r="BD39" s="266">
        <f>IF(AND($F39&lt;=BD$2, OR($G39="",$G39&gt;=BD$2)),
  $H39 * (1 + Assumptions!$C$7) ^ INT(((YEAR(BD$2)-YEAR($F39))*12 + MONTH(BD$2)-MONTH($F39)) / 12),
  0)</f>
        <v>0</v>
      </c>
      <c r="BE39" s="266">
        <f>IF(AND($F39&lt;=BE$2, OR($G39="",$G39&gt;=BE$2)),
  $H39 * (1 + Assumptions!$C$7) ^ INT(((YEAR(BE$2)-YEAR($F39))*12 + MONTH(BE$2)-MONTH($F39)) / 12),
  0)</f>
        <v>0</v>
      </c>
      <c r="BF39" s="266">
        <f>IF(AND($F39&lt;=BF$2, OR($G39="",$G39&gt;=BF$2)),
  $H39 * (1 + Assumptions!$C$7) ^ INT(((YEAR(BF$2)-YEAR($F39))*12 + MONTH(BF$2)-MONTH($F39)) / 12),
  0)</f>
        <v>0</v>
      </c>
      <c r="BG39" s="266">
        <f>IF(AND($F39&lt;=BG$2, OR($G39="",$G39&gt;=BG$2)),
  $H39 * (1 + Assumptions!$C$7) ^ INT(((YEAR(BG$2)-YEAR($F39))*12 + MONTH(BG$2)-MONTH($F39)) / 12),
  0)</f>
        <v>0</v>
      </c>
      <c r="BH39" s="266">
        <f>IF(AND($F39&lt;=BH$2, OR($G39="",$G39&gt;=BH$2)),
  $H39 * (1 + Assumptions!$C$7) ^ INT(((YEAR(BH$2)-YEAR($F39))*12 + MONTH(BH$2)-MONTH($F39)) / 12),
  0)</f>
        <v>0</v>
      </c>
      <c r="BI39" s="266">
        <f>IF(AND($F39&lt;=BI$2, OR($G39="",$G39&gt;=BI$2)),
  $H39 * (1 + Assumptions!$C$7) ^ INT(((YEAR(BI$2)-YEAR($F39))*12 + MONTH(BI$2)-MONTH($F39)) / 12),
  0)</f>
        <v>0</v>
      </c>
      <c r="BJ39" s="266">
        <f>IF(AND($F39&lt;=BJ$2, OR($G39="",$G39&gt;=BJ$2)),
  $H39 * (1 + Assumptions!$C$7) ^ INT(((YEAR(BJ$2)-YEAR($F39))*12 + MONTH(BJ$2)-MONTH($F39)) / 12),
  0)</f>
        <v>0</v>
      </c>
      <c r="BK39" s="266">
        <f>IF(AND($F39&lt;=BK$2, OR($G39="",$G39&gt;=BK$2)),
  $H39 * (1 + Assumptions!$C$7) ^ INT(((YEAR(BK$2)-YEAR($F39))*12 + MONTH(BK$2)-MONTH($F39)) / 12),
  0)</f>
        <v>6500</v>
      </c>
      <c r="BL39" s="266">
        <f>IF(AND($F39&lt;=BL$2, OR($G39="",$G39&gt;=BL$2)),
  $H39 * (1 + Assumptions!$C$7) ^ INT(((YEAR(BL$2)-YEAR($F39))*12 + MONTH(BL$2)-MONTH($F39)) / 12),
  0)</f>
        <v>6500</v>
      </c>
      <c r="BM39" s="266">
        <f>IF(AND($F39&lt;=BM$2, OR($G39="",$G39&gt;=BM$2)),
  $H39 * (1 + Assumptions!$C$7) ^ INT(((YEAR(BM$2)-YEAR($F39))*12 + MONTH(BM$2)-MONTH($F39)) / 12),
  0)</f>
        <v>6500</v>
      </c>
      <c r="BN39" s="266">
        <f>IF(AND($F39&lt;=BN$2, OR($G39="",$G39&gt;=BN$2)),
  $H39 * (1 + Assumptions!$C$7) ^ INT(((YEAR(BN$2)-YEAR($F39))*12 + MONTH(BN$2)-MONTH($F39)) / 12),
  0)</f>
        <v>6500</v>
      </c>
      <c r="BO39" s="266">
        <f>IF(AND($F39&lt;=BO$2, OR($G39="",$G39&gt;=BO$2)),
  $H39 * (1 + Assumptions!$C$7) ^ INT(((YEAR(BO$2)-YEAR($F39))*12 + MONTH(BO$2)-MONTH($F39)) / 12),
  0)</f>
        <v>6500</v>
      </c>
      <c r="BP39" s="266">
        <f>IF(AND($F39&lt;=BP$2, OR($G39="",$G39&gt;=BP$2)),
  $H39 * (1 + Assumptions!$C$7) ^ INT(((YEAR(BP$2)-YEAR($F39))*12 + MONTH(BP$2)-MONTH($F39)) / 12),
  0)</f>
        <v>6500</v>
      </c>
      <c r="BQ39" s="27"/>
    </row>
    <row r="40" ht="15.75" customHeight="1">
      <c r="A40" s="273">
        <v>36.0</v>
      </c>
      <c r="B40" s="257" t="s">
        <v>330</v>
      </c>
      <c r="C40" s="23" t="s">
        <v>146</v>
      </c>
      <c r="D40" s="273" t="s">
        <v>336</v>
      </c>
      <c r="E40" s="264" t="s">
        <v>332</v>
      </c>
      <c r="F40" s="258">
        <v>47274.0</v>
      </c>
      <c r="G40" s="275"/>
      <c r="H40" s="260">
        <v>6500.0</v>
      </c>
      <c r="I40" s="266">
        <f>IF(AND($F40&lt;=I$2, OR($G40="",$G40&gt;=I$2)),
  $H40 * (1 + Assumptions!$C$7) ^ INT(((YEAR(I$2)-YEAR($F40))*12 + MONTH(I$2)-MONTH($F40)) / 12),
  0)</f>
        <v>0</v>
      </c>
      <c r="J40" s="266">
        <f>IF(AND($F40&lt;=J$2, OR($G40="",$G40&gt;=J$2)),
  $H40 * (1 + Assumptions!$C$7) ^ INT(((YEAR(J$2)-YEAR($F40))*12 + MONTH(J$2)-MONTH($F40)) / 12),
  0)</f>
        <v>0</v>
      </c>
      <c r="K40" s="266">
        <f>IF(AND($F40&lt;=K$2, OR($G40="",$G40&gt;=K$2)),
  $H40 * (1 + Assumptions!$C$7) ^ INT(((YEAR(K$2)-YEAR($F40))*12 + MONTH(K$2)-MONTH($F40)) / 12),
  0)</f>
        <v>0</v>
      </c>
      <c r="L40" s="266">
        <f>IF(AND($F40&lt;=L$2, OR($G40="",$G40&gt;=L$2)),
  $H40 * (1 + Assumptions!$C$7) ^ INT(((YEAR(L$2)-YEAR($F40))*12 + MONTH(L$2)-MONTH($F40)) / 12),
  0)</f>
        <v>0</v>
      </c>
      <c r="M40" s="266">
        <f>IF(AND($F40&lt;=M$2, OR($G40="",$G40&gt;=M$2)),
  $H40 * (1 + Assumptions!$C$7) ^ INT(((YEAR(M$2)-YEAR($F40))*12 + MONTH(M$2)-MONTH($F40)) / 12),
  0)</f>
        <v>0</v>
      </c>
      <c r="N40" s="266">
        <f>IF(AND($F40&lt;=N$2, OR($G40="",$G40&gt;=N$2)),
  $H40 * (1 + Assumptions!$C$7) ^ INT(((YEAR(N$2)-YEAR($F40))*12 + MONTH(N$2)-MONTH($F40)) / 12),
  0)</f>
        <v>0</v>
      </c>
      <c r="O40" s="266">
        <f>IF(AND($F40&lt;=O$2, OR($G40="",$G40&gt;=O$2)),
  $H40 * (1 + Assumptions!$C$7) ^ INT(((YEAR(O$2)-YEAR($F40))*12 + MONTH(O$2)-MONTH($F40)) / 12),
  0)</f>
        <v>0</v>
      </c>
      <c r="P40" s="266">
        <f>IF(AND($F40&lt;=P$2, OR($G40="",$G40&gt;=P$2)),
  $H40 * (1 + Assumptions!$C$7) ^ INT(((YEAR(P$2)-YEAR($F40))*12 + MONTH(P$2)-MONTH($F40)) / 12),
  0)</f>
        <v>0</v>
      </c>
      <c r="Q40" s="266">
        <f>IF(AND($F40&lt;=Q$2, OR($G40="",$G40&gt;=Q$2)),
  $H40 * (1 + Assumptions!$C$7) ^ INT(((YEAR(Q$2)-YEAR($F40))*12 + MONTH(Q$2)-MONTH($F40)) / 12),
  0)</f>
        <v>0</v>
      </c>
      <c r="R40" s="266">
        <f>IF(AND($F40&lt;=R$2, OR($G40="",$G40&gt;=R$2)),
  $H40 * (1 + Assumptions!$C$7) ^ INT(((YEAR(R$2)-YEAR($F40))*12 + MONTH(R$2)-MONTH($F40)) / 12),
  0)</f>
        <v>0</v>
      </c>
      <c r="S40" s="266">
        <f>IF(AND($F40&lt;=S$2, OR($G40="",$G40&gt;=S$2)),
  $H40 * (1 + Assumptions!$C$7) ^ INT(((YEAR(S$2)-YEAR($F40))*12 + MONTH(S$2)-MONTH($F40)) / 12),
  0)</f>
        <v>0</v>
      </c>
      <c r="T40" s="266">
        <f>IF(AND($F40&lt;=T$2, OR($G40="",$G40&gt;=T$2)),
  $H40 * (1 + Assumptions!$C$7) ^ INT(((YEAR(T$2)-YEAR($F40))*12 + MONTH(T$2)-MONTH($F40)) / 12),
  0)</f>
        <v>0</v>
      </c>
      <c r="U40" s="266">
        <f>IF(AND($F40&lt;=U$2, OR($G40="",$G40&gt;=U$2)),
  $H40 * (1 + Assumptions!$C$7) ^ INT(((YEAR(U$2)-YEAR($F40))*12 + MONTH(U$2)-MONTH($F40)) / 12),
  0)</f>
        <v>0</v>
      </c>
      <c r="V40" s="266">
        <f>IF(AND($F40&lt;=V$2, OR($G40="",$G40&gt;=V$2)),
  $H40 * (1 + Assumptions!$C$7) ^ INT(((YEAR(V$2)-YEAR($F40))*12 + MONTH(V$2)-MONTH($F40)) / 12),
  0)</f>
        <v>0</v>
      </c>
      <c r="W40" s="266">
        <f>IF(AND($F40&lt;=W$2, OR($G40="",$G40&gt;=W$2)),
  $H40 * (1 + Assumptions!$C$7) ^ INT(((YEAR(W$2)-YEAR($F40))*12 + MONTH(W$2)-MONTH($F40)) / 12),
  0)</f>
        <v>0</v>
      </c>
      <c r="X40" s="266">
        <f>IF(AND($F40&lt;=X$2, OR($G40="",$G40&gt;=X$2)),
  $H40 * (1 + Assumptions!$C$7) ^ INT(((YEAR(X$2)-YEAR($F40))*12 + MONTH(X$2)-MONTH($F40)) / 12),
  0)</f>
        <v>0</v>
      </c>
      <c r="Y40" s="266">
        <f>IF(AND($F40&lt;=Y$2, OR($G40="",$G40&gt;=Y$2)),
  $H40 * (1 + Assumptions!$C$7) ^ INT(((YEAR(Y$2)-YEAR($F40))*12 + MONTH(Y$2)-MONTH($F40)) / 12),
  0)</f>
        <v>0</v>
      </c>
      <c r="Z40" s="266">
        <f>IF(AND($F40&lt;=Z$2, OR($G40="",$G40&gt;=Z$2)),
  $H40 * (1 + Assumptions!$C$7) ^ INT(((YEAR(Z$2)-YEAR($F40))*12 + MONTH(Z$2)-MONTH($F40)) / 12),
  0)</f>
        <v>0</v>
      </c>
      <c r="AA40" s="266">
        <f>IF(AND($F40&lt;=AA$2, OR($G40="",$G40&gt;=AA$2)),
  $H40 * (1 + Assumptions!$C$7) ^ INT(((YEAR(AA$2)-YEAR($F40))*12 + MONTH(AA$2)-MONTH($F40)) / 12),
  0)</f>
        <v>0</v>
      </c>
      <c r="AB40" s="266">
        <f>IF(AND($F40&lt;=AB$2, OR($G40="",$G40&gt;=AB$2)),
  $H40 * (1 + Assumptions!$C$7) ^ INT(((YEAR(AB$2)-YEAR($F40))*12 + MONTH(AB$2)-MONTH($F40)) / 12),
  0)</f>
        <v>0</v>
      </c>
      <c r="AC40" s="266">
        <f>IF(AND($F40&lt;=AC$2, OR($G40="",$G40&gt;=AC$2)),
  $H40 * (1 + Assumptions!$C$7) ^ INT(((YEAR(AC$2)-YEAR($F40))*12 + MONTH(AC$2)-MONTH($F40)) / 12),
  0)</f>
        <v>0</v>
      </c>
      <c r="AD40" s="266">
        <f>IF(AND($F40&lt;=AD$2, OR($G40="",$G40&gt;=AD$2)),
  $H40 * (1 + Assumptions!$C$7) ^ INT(((YEAR(AD$2)-YEAR($F40))*12 + MONTH(AD$2)-MONTH($F40)) / 12),
  0)</f>
        <v>0</v>
      </c>
      <c r="AE40" s="266">
        <f>IF(AND($F40&lt;=AE$2, OR($G40="",$G40&gt;=AE$2)),
  $H40 * (1 + Assumptions!$C$7) ^ INT(((YEAR(AE$2)-YEAR($F40))*12 + MONTH(AE$2)-MONTH($F40)) / 12),
  0)</f>
        <v>0</v>
      </c>
      <c r="AF40" s="266">
        <f>IF(AND($F40&lt;=AF$2, OR($G40="",$G40&gt;=AF$2)),
  $H40 * (1 + Assumptions!$C$7) ^ INT(((YEAR(AF$2)-YEAR($F40))*12 + MONTH(AF$2)-MONTH($F40)) / 12),
  0)</f>
        <v>0</v>
      </c>
      <c r="AG40" s="266">
        <f>IF(AND($F40&lt;=AG$2, OR($G40="",$G40&gt;=AG$2)),
  $H40 * (1 + Assumptions!$C$7) ^ INT(((YEAR(AG$2)-YEAR($F40))*12 + MONTH(AG$2)-MONTH($F40)) / 12),
  0)</f>
        <v>0</v>
      </c>
      <c r="AH40" s="266">
        <f>IF(AND($F40&lt;=AH$2, OR($G40="",$G40&gt;=AH$2)),
  $H40 * (1 + Assumptions!$C$7) ^ INT(((YEAR(AH$2)-YEAR($F40))*12 + MONTH(AH$2)-MONTH($F40)) / 12),
  0)</f>
        <v>0</v>
      </c>
      <c r="AI40" s="266">
        <f>IF(AND($F40&lt;=AI$2, OR($G40="",$G40&gt;=AI$2)),
  $H40 * (1 + Assumptions!$C$7) ^ INT(((YEAR(AI$2)-YEAR($F40))*12 + MONTH(AI$2)-MONTH($F40)) / 12),
  0)</f>
        <v>0</v>
      </c>
      <c r="AJ40" s="266">
        <f>IF(AND($F40&lt;=AJ$2, OR($G40="",$G40&gt;=AJ$2)),
  $H40 * (1 + Assumptions!$C$7) ^ INT(((YEAR(AJ$2)-YEAR($F40))*12 + MONTH(AJ$2)-MONTH($F40)) / 12),
  0)</f>
        <v>0</v>
      </c>
      <c r="AK40" s="266">
        <f>IF(AND($F40&lt;=AK$2, OR($G40="",$G40&gt;=AK$2)),
  $H40 * (1 + Assumptions!$C$7) ^ INT(((YEAR(AK$2)-YEAR($F40))*12 + MONTH(AK$2)-MONTH($F40)) / 12),
  0)</f>
        <v>0</v>
      </c>
      <c r="AL40" s="266">
        <f>IF(AND($F40&lt;=AL$2, OR($G40="",$G40&gt;=AL$2)),
  $H40 * (1 + Assumptions!$C$7) ^ INT(((YEAR(AL$2)-YEAR($F40))*12 + MONTH(AL$2)-MONTH($F40)) / 12),
  0)</f>
        <v>0</v>
      </c>
      <c r="AM40" s="266">
        <f>IF(AND($F40&lt;=AM$2, OR($G40="",$G40&gt;=AM$2)),
  $H40 * (1 + Assumptions!$C$7) ^ INT(((YEAR(AM$2)-YEAR($F40))*12 + MONTH(AM$2)-MONTH($F40)) / 12),
  0)</f>
        <v>0</v>
      </c>
      <c r="AN40" s="266">
        <f>IF(AND($F40&lt;=AN$2, OR($G40="",$G40&gt;=AN$2)),
  $H40 * (1 + Assumptions!$C$7) ^ INT(((YEAR(AN$2)-YEAR($F40))*12 + MONTH(AN$2)-MONTH($F40)) / 12),
  0)</f>
        <v>0</v>
      </c>
      <c r="AO40" s="266">
        <f>IF(AND($F40&lt;=AO$2, OR($G40="",$G40&gt;=AO$2)),
  $H40 * (1 + Assumptions!$C$7) ^ INT(((YEAR(AO$2)-YEAR($F40))*12 + MONTH(AO$2)-MONTH($F40)) / 12),
  0)</f>
        <v>0</v>
      </c>
      <c r="AP40" s="266">
        <f>IF(AND($F40&lt;=AP$2, OR($G40="",$G40&gt;=AP$2)),
  $H40 * (1 + Assumptions!$C$7) ^ INT(((YEAR(AP$2)-YEAR($F40))*12 + MONTH(AP$2)-MONTH($F40)) / 12),
  0)</f>
        <v>0</v>
      </c>
      <c r="AQ40" s="266">
        <f>IF(AND($F40&lt;=AQ$2, OR($G40="",$G40&gt;=AQ$2)),
  $H40 * (1 + Assumptions!$C$7) ^ INT(((YEAR(AQ$2)-YEAR($F40))*12 + MONTH(AQ$2)-MONTH($F40)) / 12),
  0)</f>
        <v>0</v>
      </c>
      <c r="AR40" s="266">
        <f>IF(AND($F40&lt;=AR$2, OR($G40="",$G40&gt;=AR$2)),
  $H40 * (1 + Assumptions!$C$7) ^ INT(((YEAR(AR$2)-YEAR($F40))*12 + MONTH(AR$2)-MONTH($F40)) / 12),
  0)</f>
        <v>0</v>
      </c>
      <c r="AS40" s="266">
        <f>IF(AND($F40&lt;=AS$2, OR($G40="",$G40&gt;=AS$2)),
  $H40 * (1 + Assumptions!$C$7) ^ INT(((YEAR(AS$2)-YEAR($F40))*12 + MONTH(AS$2)-MONTH($F40)) / 12),
  0)</f>
        <v>0</v>
      </c>
      <c r="AT40" s="266">
        <f>IF(AND($F40&lt;=AT$2, OR($G40="",$G40&gt;=AT$2)),
  $H40 * (1 + Assumptions!$C$7) ^ INT(((YEAR(AT$2)-YEAR($F40))*12 + MONTH(AT$2)-MONTH($F40)) / 12),
  0)</f>
        <v>0</v>
      </c>
      <c r="AU40" s="266">
        <f>IF(AND($F40&lt;=AU$2, OR($G40="",$G40&gt;=AU$2)),
  $H40 * (1 + Assumptions!$C$7) ^ INT(((YEAR(AU$2)-YEAR($F40))*12 + MONTH(AU$2)-MONTH($F40)) / 12),
  0)</f>
        <v>0</v>
      </c>
      <c r="AV40" s="266">
        <f>IF(AND($F40&lt;=AV$2, OR($G40="",$G40&gt;=AV$2)),
  $H40 * (1 + Assumptions!$C$7) ^ INT(((YEAR(AV$2)-YEAR($F40))*12 + MONTH(AV$2)-MONTH($F40)) / 12),
  0)</f>
        <v>0</v>
      </c>
      <c r="AW40" s="266">
        <f>IF(AND($F40&lt;=AW$2, OR($G40="",$G40&gt;=AW$2)),
  $H40 * (1 + Assumptions!$C$7) ^ INT(((YEAR(AW$2)-YEAR($F40))*12 + MONTH(AW$2)-MONTH($F40)) / 12),
  0)</f>
        <v>0</v>
      </c>
      <c r="AX40" s="266">
        <f>IF(AND($F40&lt;=AX$2, OR($G40="",$G40&gt;=AX$2)),
  $H40 * (1 + Assumptions!$C$7) ^ INT(((YEAR(AX$2)-YEAR($F40))*12 + MONTH(AX$2)-MONTH($F40)) / 12),
  0)</f>
        <v>0</v>
      </c>
      <c r="AY40" s="266">
        <f>IF(AND($F40&lt;=AY$2, OR($G40="",$G40&gt;=AY$2)),
  $H40 * (1 + Assumptions!$C$7) ^ INT(((YEAR(AY$2)-YEAR($F40))*12 + MONTH(AY$2)-MONTH($F40)) / 12),
  0)</f>
        <v>0</v>
      </c>
      <c r="AZ40" s="266">
        <f>IF(AND($F40&lt;=AZ$2, OR($G40="",$G40&gt;=AZ$2)),
  $H40 * (1 + Assumptions!$C$7) ^ INT(((YEAR(AZ$2)-YEAR($F40))*12 + MONTH(AZ$2)-MONTH($F40)) / 12),
  0)</f>
        <v>0</v>
      </c>
      <c r="BA40" s="266">
        <f>IF(AND($F40&lt;=BA$2, OR($G40="",$G40&gt;=BA$2)),
  $H40 * (1 + Assumptions!$C$7) ^ INT(((YEAR(BA$2)-YEAR($F40))*12 + MONTH(BA$2)-MONTH($F40)) / 12),
  0)</f>
        <v>0</v>
      </c>
      <c r="BB40" s="266">
        <f>IF(AND($F40&lt;=BB$2, OR($G40="",$G40&gt;=BB$2)),
  $H40 * (1 + Assumptions!$C$7) ^ INT(((YEAR(BB$2)-YEAR($F40))*12 + MONTH(BB$2)-MONTH($F40)) / 12),
  0)</f>
        <v>0</v>
      </c>
      <c r="BC40" s="266">
        <f>IF(AND($F40&lt;=BC$2, OR($G40="",$G40&gt;=BC$2)),
  $H40 * (1 + Assumptions!$C$7) ^ INT(((YEAR(BC$2)-YEAR($F40))*12 + MONTH(BC$2)-MONTH($F40)) / 12),
  0)</f>
        <v>0</v>
      </c>
      <c r="BD40" s="266">
        <f>IF(AND($F40&lt;=BD$2, OR($G40="",$G40&gt;=BD$2)),
  $H40 * (1 + Assumptions!$C$7) ^ INT(((YEAR(BD$2)-YEAR($F40))*12 + MONTH(BD$2)-MONTH($F40)) / 12),
  0)</f>
        <v>0</v>
      </c>
      <c r="BE40" s="266">
        <f>IF(AND($F40&lt;=BE$2, OR($G40="",$G40&gt;=BE$2)),
  $H40 * (1 + Assumptions!$C$7) ^ INT(((YEAR(BE$2)-YEAR($F40))*12 + MONTH(BE$2)-MONTH($F40)) / 12),
  0)</f>
        <v>0</v>
      </c>
      <c r="BF40" s="266">
        <f>IF(AND($F40&lt;=BF$2, OR($G40="",$G40&gt;=BF$2)),
  $H40 * (1 + Assumptions!$C$7) ^ INT(((YEAR(BF$2)-YEAR($F40))*12 + MONTH(BF$2)-MONTH($F40)) / 12),
  0)</f>
        <v>0</v>
      </c>
      <c r="BG40" s="266">
        <f>IF(AND($F40&lt;=BG$2, OR($G40="",$G40&gt;=BG$2)),
  $H40 * (1 + Assumptions!$C$7) ^ INT(((YEAR(BG$2)-YEAR($F40))*12 + MONTH(BG$2)-MONTH($F40)) / 12),
  0)</f>
        <v>0</v>
      </c>
      <c r="BH40" s="266">
        <f>IF(AND($F40&lt;=BH$2, OR($G40="",$G40&gt;=BH$2)),
  $H40 * (1 + Assumptions!$C$7) ^ INT(((YEAR(BH$2)-YEAR($F40))*12 + MONTH(BH$2)-MONTH($F40)) / 12),
  0)</f>
        <v>0</v>
      </c>
      <c r="BI40" s="266">
        <f>IF(AND($F40&lt;=BI$2, OR($G40="",$G40&gt;=BI$2)),
  $H40 * (1 + Assumptions!$C$7) ^ INT(((YEAR(BI$2)-YEAR($F40))*12 + MONTH(BI$2)-MONTH($F40)) / 12),
  0)</f>
        <v>0</v>
      </c>
      <c r="BJ40" s="266">
        <f>IF(AND($F40&lt;=BJ$2, OR($G40="",$G40&gt;=BJ$2)),
  $H40 * (1 + Assumptions!$C$7) ^ INT(((YEAR(BJ$2)-YEAR($F40))*12 + MONTH(BJ$2)-MONTH($F40)) / 12),
  0)</f>
        <v>0</v>
      </c>
      <c r="BK40" s="266">
        <f>IF(AND($F40&lt;=BK$2, OR($G40="",$G40&gt;=BK$2)),
  $H40 * (1 + Assumptions!$C$7) ^ INT(((YEAR(BK$2)-YEAR($F40))*12 + MONTH(BK$2)-MONTH($F40)) / 12),
  0)</f>
        <v>6500</v>
      </c>
      <c r="BL40" s="266">
        <f>IF(AND($F40&lt;=BL$2, OR($G40="",$G40&gt;=BL$2)),
  $H40 * (1 + Assumptions!$C$7) ^ INT(((YEAR(BL$2)-YEAR($F40))*12 + MONTH(BL$2)-MONTH($F40)) / 12),
  0)</f>
        <v>6500</v>
      </c>
      <c r="BM40" s="266">
        <f>IF(AND($F40&lt;=BM$2, OR($G40="",$G40&gt;=BM$2)),
  $H40 * (1 + Assumptions!$C$7) ^ INT(((YEAR(BM$2)-YEAR($F40))*12 + MONTH(BM$2)-MONTH($F40)) / 12),
  0)</f>
        <v>6500</v>
      </c>
      <c r="BN40" s="266">
        <f>IF(AND($F40&lt;=BN$2, OR($G40="",$G40&gt;=BN$2)),
  $H40 * (1 + Assumptions!$C$7) ^ INT(((YEAR(BN$2)-YEAR($F40))*12 + MONTH(BN$2)-MONTH($F40)) / 12),
  0)</f>
        <v>6500</v>
      </c>
      <c r="BO40" s="266">
        <f>IF(AND($F40&lt;=BO$2, OR($G40="",$G40&gt;=BO$2)),
  $H40 * (1 + Assumptions!$C$7) ^ INT(((YEAR(BO$2)-YEAR($F40))*12 + MONTH(BO$2)-MONTH($F40)) / 12),
  0)</f>
        <v>6500</v>
      </c>
      <c r="BP40" s="266">
        <f>IF(AND($F40&lt;=BP$2, OR($G40="",$G40&gt;=BP$2)),
  $H40 * (1 + Assumptions!$C$7) ^ INT(((YEAR(BP$2)-YEAR($F40))*12 + MONTH(BP$2)-MONTH($F40)) / 12),
  0)</f>
        <v>6500</v>
      </c>
      <c r="BQ40" s="27"/>
    </row>
    <row r="41" ht="15.75" customHeight="1">
      <c r="A41" s="273">
        <v>37.0</v>
      </c>
      <c r="B41" s="257" t="s">
        <v>330</v>
      </c>
      <c r="C41" s="23" t="s">
        <v>146</v>
      </c>
      <c r="D41" s="273" t="s">
        <v>341</v>
      </c>
      <c r="E41" s="264" t="s">
        <v>332</v>
      </c>
      <c r="F41" s="258">
        <v>47392.0</v>
      </c>
      <c r="G41" s="275"/>
      <c r="H41" s="260">
        <v>8000.0</v>
      </c>
      <c r="I41" s="266">
        <f>IF(AND($F41&lt;=I$2, OR($G41="",$G41&gt;=I$2)),
  $H41 * (1 + Assumptions!$C$7) ^ INT(((YEAR(I$2)-YEAR($F41))*12 + MONTH(I$2)-MONTH($F41)) / 12),
  0)</f>
        <v>0</v>
      </c>
      <c r="J41" s="266">
        <f>IF(AND($F41&lt;=J$2, OR($G41="",$G41&gt;=J$2)),
  $H41 * (1 + Assumptions!$C$7) ^ INT(((YEAR(J$2)-YEAR($F41))*12 + MONTH(J$2)-MONTH($F41)) / 12),
  0)</f>
        <v>0</v>
      </c>
      <c r="K41" s="266">
        <f>IF(AND($F41&lt;=K$2, OR($G41="",$G41&gt;=K$2)),
  $H41 * (1 + Assumptions!$C$7) ^ INT(((YEAR(K$2)-YEAR($F41))*12 + MONTH(K$2)-MONTH($F41)) / 12),
  0)</f>
        <v>0</v>
      </c>
      <c r="L41" s="266">
        <f>IF(AND($F41&lt;=L$2, OR($G41="",$G41&gt;=L$2)),
  $H41 * (1 + Assumptions!$C$7) ^ INT(((YEAR(L$2)-YEAR($F41))*12 + MONTH(L$2)-MONTH($F41)) / 12),
  0)</f>
        <v>0</v>
      </c>
      <c r="M41" s="266">
        <f>IF(AND($F41&lt;=M$2, OR($G41="",$G41&gt;=M$2)),
  $H41 * (1 + Assumptions!$C$7) ^ INT(((YEAR(M$2)-YEAR($F41))*12 + MONTH(M$2)-MONTH($F41)) / 12),
  0)</f>
        <v>0</v>
      </c>
      <c r="N41" s="266">
        <f>IF(AND($F41&lt;=N$2, OR($G41="",$G41&gt;=N$2)),
  $H41 * (1 + Assumptions!$C$7) ^ INT(((YEAR(N$2)-YEAR($F41))*12 + MONTH(N$2)-MONTH($F41)) / 12),
  0)</f>
        <v>0</v>
      </c>
      <c r="O41" s="266">
        <f>IF(AND($F41&lt;=O$2, OR($G41="",$G41&gt;=O$2)),
  $H41 * (1 + Assumptions!$C$7) ^ INT(((YEAR(O$2)-YEAR($F41))*12 + MONTH(O$2)-MONTH($F41)) / 12),
  0)</f>
        <v>0</v>
      </c>
      <c r="P41" s="266">
        <f>IF(AND($F41&lt;=P$2, OR($G41="",$G41&gt;=P$2)),
  $H41 * (1 + Assumptions!$C$7) ^ INT(((YEAR(P$2)-YEAR($F41))*12 + MONTH(P$2)-MONTH($F41)) / 12),
  0)</f>
        <v>0</v>
      </c>
      <c r="Q41" s="266">
        <f>IF(AND($F41&lt;=Q$2, OR($G41="",$G41&gt;=Q$2)),
  $H41 * (1 + Assumptions!$C$7) ^ INT(((YEAR(Q$2)-YEAR($F41))*12 + MONTH(Q$2)-MONTH($F41)) / 12),
  0)</f>
        <v>0</v>
      </c>
      <c r="R41" s="266">
        <f>IF(AND($F41&lt;=R$2, OR($G41="",$G41&gt;=R$2)),
  $H41 * (1 + Assumptions!$C$7) ^ INT(((YEAR(R$2)-YEAR($F41))*12 + MONTH(R$2)-MONTH($F41)) / 12),
  0)</f>
        <v>0</v>
      </c>
      <c r="S41" s="266">
        <f>IF(AND($F41&lt;=S$2, OR($G41="",$G41&gt;=S$2)),
  $H41 * (1 + Assumptions!$C$7) ^ INT(((YEAR(S$2)-YEAR($F41))*12 + MONTH(S$2)-MONTH($F41)) / 12),
  0)</f>
        <v>0</v>
      </c>
      <c r="T41" s="266">
        <f>IF(AND($F41&lt;=T$2, OR($G41="",$G41&gt;=T$2)),
  $H41 * (1 + Assumptions!$C$7) ^ INT(((YEAR(T$2)-YEAR($F41))*12 + MONTH(T$2)-MONTH($F41)) / 12),
  0)</f>
        <v>0</v>
      </c>
      <c r="U41" s="266">
        <f>IF(AND($F41&lt;=U$2, OR($G41="",$G41&gt;=U$2)),
  $H41 * (1 + Assumptions!$C$7) ^ INT(((YEAR(U$2)-YEAR($F41))*12 + MONTH(U$2)-MONTH($F41)) / 12),
  0)</f>
        <v>0</v>
      </c>
      <c r="V41" s="266">
        <f>IF(AND($F41&lt;=V$2, OR($G41="",$G41&gt;=V$2)),
  $H41 * (1 + Assumptions!$C$7) ^ INT(((YEAR(V$2)-YEAR($F41))*12 + MONTH(V$2)-MONTH($F41)) / 12),
  0)</f>
        <v>0</v>
      </c>
      <c r="W41" s="266">
        <f>IF(AND($F41&lt;=W$2, OR($G41="",$G41&gt;=W$2)),
  $H41 * (1 + Assumptions!$C$7) ^ INT(((YEAR(W$2)-YEAR($F41))*12 + MONTH(W$2)-MONTH($F41)) / 12),
  0)</f>
        <v>0</v>
      </c>
      <c r="X41" s="266">
        <f>IF(AND($F41&lt;=X$2, OR($G41="",$G41&gt;=X$2)),
  $H41 * (1 + Assumptions!$C$7) ^ INT(((YEAR(X$2)-YEAR($F41))*12 + MONTH(X$2)-MONTH($F41)) / 12),
  0)</f>
        <v>0</v>
      </c>
      <c r="Y41" s="266">
        <f>IF(AND($F41&lt;=Y$2, OR($G41="",$G41&gt;=Y$2)),
  $H41 * (1 + Assumptions!$C$7) ^ INT(((YEAR(Y$2)-YEAR($F41))*12 + MONTH(Y$2)-MONTH($F41)) / 12),
  0)</f>
        <v>0</v>
      </c>
      <c r="Z41" s="266">
        <f>IF(AND($F41&lt;=Z$2, OR($G41="",$G41&gt;=Z$2)),
  $H41 * (1 + Assumptions!$C$7) ^ INT(((YEAR(Z$2)-YEAR($F41))*12 + MONTH(Z$2)-MONTH($F41)) / 12),
  0)</f>
        <v>0</v>
      </c>
      <c r="AA41" s="266">
        <f>IF(AND($F41&lt;=AA$2, OR($G41="",$G41&gt;=AA$2)),
  $H41 * (1 + Assumptions!$C$7) ^ INT(((YEAR(AA$2)-YEAR($F41))*12 + MONTH(AA$2)-MONTH($F41)) / 12),
  0)</f>
        <v>0</v>
      </c>
      <c r="AB41" s="266">
        <f>IF(AND($F41&lt;=AB$2, OR($G41="",$G41&gt;=AB$2)),
  $H41 * (1 + Assumptions!$C$7) ^ INT(((YEAR(AB$2)-YEAR($F41))*12 + MONTH(AB$2)-MONTH($F41)) / 12),
  0)</f>
        <v>0</v>
      </c>
      <c r="AC41" s="266">
        <f>IF(AND($F41&lt;=AC$2, OR($G41="",$G41&gt;=AC$2)),
  $H41 * (1 + Assumptions!$C$7) ^ INT(((YEAR(AC$2)-YEAR($F41))*12 + MONTH(AC$2)-MONTH($F41)) / 12),
  0)</f>
        <v>0</v>
      </c>
      <c r="AD41" s="266">
        <f>IF(AND($F41&lt;=AD$2, OR($G41="",$G41&gt;=AD$2)),
  $H41 * (1 + Assumptions!$C$7) ^ INT(((YEAR(AD$2)-YEAR($F41))*12 + MONTH(AD$2)-MONTH($F41)) / 12),
  0)</f>
        <v>0</v>
      </c>
      <c r="AE41" s="266">
        <f>IF(AND($F41&lt;=AE$2, OR($G41="",$G41&gt;=AE$2)),
  $H41 * (1 + Assumptions!$C$7) ^ INT(((YEAR(AE$2)-YEAR($F41))*12 + MONTH(AE$2)-MONTH($F41)) / 12),
  0)</f>
        <v>0</v>
      </c>
      <c r="AF41" s="266">
        <f>IF(AND($F41&lt;=AF$2, OR($G41="",$G41&gt;=AF$2)),
  $H41 * (1 + Assumptions!$C$7) ^ INT(((YEAR(AF$2)-YEAR($F41))*12 + MONTH(AF$2)-MONTH($F41)) / 12),
  0)</f>
        <v>0</v>
      </c>
      <c r="AG41" s="266">
        <f>IF(AND($F41&lt;=AG$2, OR($G41="",$G41&gt;=AG$2)),
  $H41 * (1 + Assumptions!$C$7) ^ INT(((YEAR(AG$2)-YEAR($F41))*12 + MONTH(AG$2)-MONTH($F41)) / 12),
  0)</f>
        <v>0</v>
      </c>
      <c r="AH41" s="266">
        <f>IF(AND($F41&lt;=AH$2, OR($G41="",$G41&gt;=AH$2)),
  $H41 * (1 + Assumptions!$C$7) ^ INT(((YEAR(AH$2)-YEAR($F41))*12 + MONTH(AH$2)-MONTH($F41)) / 12),
  0)</f>
        <v>0</v>
      </c>
      <c r="AI41" s="266">
        <f>IF(AND($F41&lt;=AI$2, OR($G41="",$G41&gt;=AI$2)),
  $H41 * (1 + Assumptions!$C$7) ^ INT(((YEAR(AI$2)-YEAR($F41))*12 + MONTH(AI$2)-MONTH($F41)) / 12),
  0)</f>
        <v>0</v>
      </c>
      <c r="AJ41" s="266">
        <f>IF(AND($F41&lt;=AJ$2, OR($G41="",$G41&gt;=AJ$2)),
  $H41 * (1 + Assumptions!$C$7) ^ INT(((YEAR(AJ$2)-YEAR($F41))*12 + MONTH(AJ$2)-MONTH($F41)) / 12),
  0)</f>
        <v>0</v>
      </c>
      <c r="AK41" s="266">
        <f>IF(AND($F41&lt;=AK$2, OR($G41="",$G41&gt;=AK$2)),
  $H41 * (1 + Assumptions!$C$7) ^ INT(((YEAR(AK$2)-YEAR($F41))*12 + MONTH(AK$2)-MONTH($F41)) / 12),
  0)</f>
        <v>0</v>
      </c>
      <c r="AL41" s="266">
        <f>IF(AND($F41&lt;=AL$2, OR($G41="",$G41&gt;=AL$2)),
  $H41 * (1 + Assumptions!$C$7) ^ INT(((YEAR(AL$2)-YEAR($F41))*12 + MONTH(AL$2)-MONTH($F41)) / 12),
  0)</f>
        <v>0</v>
      </c>
      <c r="AM41" s="266">
        <f>IF(AND($F41&lt;=AM$2, OR($G41="",$G41&gt;=AM$2)),
  $H41 * (1 + Assumptions!$C$7) ^ INT(((YEAR(AM$2)-YEAR($F41))*12 + MONTH(AM$2)-MONTH($F41)) / 12),
  0)</f>
        <v>0</v>
      </c>
      <c r="AN41" s="266">
        <f>IF(AND($F41&lt;=AN$2, OR($G41="",$G41&gt;=AN$2)),
  $H41 * (1 + Assumptions!$C$7) ^ INT(((YEAR(AN$2)-YEAR($F41))*12 + MONTH(AN$2)-MONTH($F41)) / 12),
  0)</f>
        <v>0</v>
      </c>
      <c r="AO41" s="266">
        <f>IF(AND($F41&lt;=AO$2, OR($G41="",$G41&gt;=AO$2)),
  $H41 * (1 + Assumptions!$C$7) ^ INT(((YEAR(AO$2)-YEAR($F41))*12 + MONTH(AO$2)-MONTH($F41)) / 12),
  0)</f>
        <v>0</v>
      </c>
      <c r="AP41" s="266">
        <f>IF(AND($F41&lt;=AP$2, OR($G41="",$G41&gt;=AP$2)),
  $H41 * (1 + Assumptions!$C$7) ^ INT(((YEAR(AP$2)-YEAR($F41))*12 + MONTH(AP$2)-MONTH($F41)) / 12),
  0)</f>
        <v>0</v>
      </c>
      <c r="AQ41" s="266">
        <f>IF(AND($F41&lt;=AQ$2, OR($G41="",$G41&gt;=AQ$2)),
  $H41 * (1 + Assumptions!$C$7) ^ INT(((YEAR(AQ$2)-YEAR($F41))*12 + MONTH(AQ$2)-MONTH($F41)) / 12),
  0)</f>
        <v>0</v>
      </c>
      <c r="AR41" s="266">
        <f>IF(AND($F41&lt;=AR$2, OR($G41="",$G41&gt;=AR$2)),
  $H41 * (1 + Assumptions!$C$7) ^ INT(((YEAR(AR$2)-YEAR($F41))*12 + MONTH(AR$2)-MONTH($F41)) / 12),
  0)</f>
        <v>0</v>
      </c>
      <c r="AS41" s="266">
        <f>IF(AND($F41&lt;=AS$2, OR($G41="",$G41&gt;=AS$2)),
  $H41 * (1 + Assumptions!$C$7) ^ INT(((YEAR(AS$2)-YEAR($F41))*12 + MONTH(AS$2)-MONTH($F41)) / 12),
  0)</f>
        <v>0</v>
      </c>
      <c r="AT41" s="266">
        <f>IF(AND($F41&lt;=AT$2, OR($G41="",$G41&gt;=AT$2)),
  $H41 * (1 + Assumptions!$C$7) ^ INT(((YEAR(AT$2)-YEAR($F41))*12 + MONTH(AT$2)-MONTH($F41)) / 12),
  0)</f>
        <v>0</v>
      </c>
      <c r="AU41" s="266">
        <f>IF(AND($F41&lt;=AU$2, OR($G41="",$G41&gt;=AU$2)),
  $H41 * (1 + Assumptions!$C$7) ^ INT(((YEAR(AU$2)-YEAR($F41))*12 + MONTH(AU$2)-MONTH($F41)) / 12),
  0)</f>
        <v>0</v>
      </c>
      <c r="AV41" s="266">
        <f>IF(AND($F41&lt;=AV$2, OR($G41="",$G41&gt;=AV$2)),
  $H41 * (1 + Assumptions!$C$7) ^ INT(((YEAR(AV$2)-YEAR($F41))*12 + MONTH(AV$2)-MONTH($F41)) / 12),
  0)</f>
        <v>0</v>
      </c>
      <c r="AW41" s="266">
        <f>IF(AND($F41&lt;=AW$2, OR($G41="",$G41&gt;=AW$2)),
  $H41 * (1 + Assumptions!$C$7) ^ INT(((YEAR(AW$2)-YEAR($F41))*12 + MONTH(AW$2)-MONTH($F41)) / 12),
  0)</f>
        <v>0</v>
      </c>
      <c r="AX41" s="266">
        <f>IF(AND($F41&lt;=AX$2, OR($G41="",$G41&gt;=AX$2)),
  $H41 * (1 + Assumptions!$C$7) ^ INT(((YEAR(AX$2)-YEAR($F41))*12 + MONTH(AX$2)-MONTH($F41)) / 12),
  0)</f>
        <v>0</v>
      </c>
      <c r="AY41" s="266">
        <f>IF(AND($F41&lt;=AY$2, OR($G41="",$G41&gt;=AY$2)),
  $H41 * (1 + Assumptions!$C$7) ^ INT(((YEAR(AY$2)-YEAR($F41))*12 + MONTH(AY$2)-MONTH($F41)) / 12),
  0)</f>
        <v>0</v>
      </c>
      <c r="AZ41" s="266">
        <f>IF(AND($F41&lt;=AZ$2, OR($G41="",$G41&gt;=AZ$2)),
  $H41 * (1 + Assumptions!$C$7) ^ INT(((YEAR(AZ$2)-YEAR($F41))*12 + MONTH(AZ$2)-MONTH($F41)) / 12),
  0)</f>
        <v>0</v>
      </c>
      <c r="BA41" s="266">
        <f>IF(AND($F41&lt;=BA$2, OR($G41="",$G41&gt;=BA$2)),
  $H41 * (1 + Assumptions!$C$7) ^ INT(((YEAR(BA$2)-YEAR($F41))*12 + MONTH(BA$2)-MONTH($F41)) / 12),
  0)</f>
        <v>0</v>
      </c>
      <c r="BB41" s="266">
        <f>IF(AND($F41&lt;=BB$2, OR($G41="",$G41&gt;=BB$2)),
  $H41 * (1 + Assumptions!$C$7) ^ INT(((YEAR(BB$2)-YEAR($F41))*12 + MONTH(BB$2)-MONTH($F41)) / 12),
  0)</f>
        <v>0</v>
      </c>
      <c r="BC41" s="266">
        <f>IF(AND($F41&lt;=BC$2, OR($G41="",$G41&gt;=BC$2)),
  $H41 * (1 + Assumptions!$C$7) ^ INT(((YEAR(BC$2)-YEAR($F41))*12 + MONTH(BC$2)-MONTH($F41)) / 12),
  0)</f>
        <v>0</v>
      </c>
      <c r="BD41" s="266">
        <f>IF(AND($F41&lt;=BD$2, OR($G41="",$G41&gt;=BD$2)),
  $H41 * (1 + Assumptions!$C$7) ^ INT(((YEAR(BD$2)-YEAR($F41))*12 + MONTH(BD$2)-MONTH($F41)) / 12),
  0)</f>
        <v>0</v>
      </c>
      <c r="BE41" s="266">
        <f>IF(AND($F41&lt;=BE$2, OR($G41="",$G41&gt;=BE$2)),
  $H41 * (1 + Assumptions!$C$7) ^ INT(((YEAR(BE$2)-YEAR($F41))*12 + MONTH(BE$2)-MONTH($F41)) / 12),
  0)</f>
        <v>0</v>
      </c>
      <c r="BF41" s="266">
        <f>IF(AND($F41&lt;=BF$2, OR($G41="",$G41&gt;=BF$2)),
  $H41 * (1 + Assumptions!$C$7) ^ INT(((YEAR(BF$2)-YEAR($F41))*12 + MONTH(BF$2)-MONTH($F41)) / 12),
  0)</f>
        <v>0</v>
      </c>
      <c r="BG41" s="266">
        <f>IF(AND($F41&lt;=BG$2, OR($G41="",$G41&gt;=BG$2)),
  $H41 * (1 + Assumptions!$C$7) ^ INT(((YEAR(BG$2)-YEAR($F41))*12 + MONTH(BG$2)-MONTH($F41)) / 12),
  0)</f>
        <v>0</v>
      </c>
      <c r="BH41" s="266">
        <f>IF(AND($F41&lt;=BH$2, OR($G41="",$G41&gt;=BH$2)),
  $H41 * (1 + Assumptions!$C$7) ^ INT(((YEAR(BH$2)-YEAR($F41))*12 + MONTH(BH$2)-MONTH($F41)) / 12),
  0)</f>
        <v>0</v>
      </c>
      <c r="BI41" s="266">
        <f>IF(AND($F41&lt;=BI$2, OR($G41="",$G41&gt;=BI$2)),
  $H41 * (1 + Assumptions!$C$7) ^ INT(((YEAR(BI$2)-YEAR($F41))*12 + MONTH(BI$2)-MONTH($F41)) / 12),
  0)</f>
        <v>0</v>
      </c>
      <c r="BJ41" s="266">
        <f>IF(AND($F41&lt;=BJ$2, OR($G41="",$G41&gt;=BJ$2)),
  $H41 * (1 + Assumptions!$C$7) ^ INT(((YEAR(BJ$2)-YEAR($F41))*12 + MONTH(BJ$2)-MONTH($F41)) / 12),
  0)</f>
        <v>0</v>
      </c>
      <c r="BK41" s="266">
        <f>IF(AND($F41&lt;=BK$2, OR($G41="",$G41&gt;=BK$2)),
  $H41 * (1 + Assumptions!$C$7) ^ INT(((YEAR(BK$2)-YEAR($F41))*12 + MONTH(BK$2)-MONTH($F41)) / 12),
  0)</f>
        <v>0</v>
      </c>
      <c r="BL41" s="266">
        <f>IF(AND($F41&lt;=BL$2, OR($G41="",$G41&gt;=BL$2)),
  $H41 * (1 + Assumptions!$C$7) ^ INT(((YEAR(BL$2)-YEAR($F41))*12 + MONTH(BL$2)-MONTH($F41)) / 12),
  0)</f>
        <v>0</v>
      </c>
      <c r="BM41" s="266">
        <f>IF(AND($F41&lt;=BM$2, OR($G41="",$G41&gt;=BM$2)),
  $H41 * (1 + Assumptions!$C$7) ^ INT(((YEAR(BM$2)-YEAR($F41))*12 + MONTH(BM$2)-MONTH($F41)) / 12),
  0)</f>
        <v>0</v>
      </c>
      <c r="BN41" s="266">
        <f>IF(AND($F41&lt;=BN$2, OR($G41="",$G41&gt;=BN$2)),
  $H41 * (1 + Assumptions!$C$7) ^ INT(((YEAR(BN$2)-YEAR($F41))*12 + MONTH(BN$2)-MONTH($F41)) / 12),
  0)</f>
        <v>8000</v>
      </c>
      <c r="BO41" s="266">
        <f>IF(AND($F41&lt;=BO$2, OR($G41="",$G41&gt;=BO$2)),
  $H41 * (1 + Assumptions!$C$7) ^ INT(((YEAR(BO$2)-YEAR($F41))*12 + MONTH(BO$2)-MONTH($F41)) / 12),
  0)</f>
        <v>8000</v>
      </c>
      <c r="BP41" s="266">
        <f>IF(AND($F41&lt;=BP$2, OR($G41="",$G41&gt;=BP$2)),
  $H41 * (1 + Assumptions!$C$7) ^ INT(((YEAR(BP$2)-YEAR($F41))*12 + MONTH(BP$2)-MONTH($F41)) / 12),
  0)</f>
        <v>8000</v>
      </c>
      <c r="BQ41" s="27"/>
    </row>
    <row r="42" ht="15.75" customHeight="1">
      <c r="A42" s="273">
        <v>38.0</v>
      </c>
      <c r="B42" s="257" t="s">
        <v>330</v>
      </c>
      <c r="C42" s="23" t="s">
        <v>142</v>
      </c>
      <c r="D42" s="273" t="s">
        <v>342</v>
      </c>
      <c r="E42" s="264" t="s">
        <v>332</v>
      </c>
      <c r="F42" s="258">
        <v>47393.0</v>
      </c>
      <c r="G42" s="275"/>
      <c r="H42" s="260">
        <v>6500.0</v>
      </c>
      <c r="I42" s="266">
        <f>IF(AND($F42&lt;=I$2, OR($G42="",$G42&gt;=I$2)),
  $H42 * (1 + Assumptions!$C$7) ^ INT(((YEAR(I$2)-YEAR($F42))*12 + MONTH(I$2)-MONTH($F42)) / 12),
  0)</f>
        <v>0</v>
      </c>
      <c r="J42" s="266">
        <f>IF(AND($F42&lt;=J$2, OR($G42="",$G42&gt;=J$2)),
  $H42 * (1 + Assumptions!$C$7) ^ INT(((YEAR(J$2)-YEAR($F42))*12 + MONTH(J$2)-MONTH($F42)) / 12),
  0)</f>
        <v>0</v>
      </c>
      <c r="K42" s="266">
        <f>IF(AND($F42&lt;=K$2, OR($G42="",$G42&gt;=K$2)),
  $H42 * (1 + Assumptions!$C$7) ^ INT(((YEAR(K$2)-YEAR($F42))*12 + MONTH(K$2)-MONTH($F42)) / 12),
  0)</f>
        <v>0</v>
      </c>
      <c r="L42" s="266">
        <f>IF(AND($F42&lt;=L$2, OR($G42="",$G42&gt;=L$2)),
  $H42 * (1 + Assumptions!$C$7) ^ INT(((YEAR(L$2)-YEAR($F42))*12 + MONTH(L$2)-MONTH($F42)) / 12),
  0)</f>
        <v>0</v>
      </c>
      <c r="M42" s="266">
        <f>IF(AND($F42&lt;=M$2, OR($G42="",$G42&gt;=M$2)),
  $H42 * (1 + Assumptions!$C$7) ^ INT(((YEAR(M$2)-YEAR($F42))*12 + MONTH(M$2)-MONTH($F42)) / 12),
  0)</f>
        <v>0</v>
      </c>
      <c r="N42" s="266">
        <f>IF(AND($F42&lt;=N$2, OR($G42="",$G42&gt;=N$2)),
  $H42 * (1 + Assumptions!$C$7) ^ INT(((YEAR(N$2)-YEAR($F42))*12 + MONTH(N$2)-MONTH($F42)) / 12),
  0)</f>
        <v>0</v>
      </c>
      <c r="O42" s="266">
        <f>IF(AND($F42&lt;=O$2, OR($G42="",$G42&gt;=O$2)),
  $H42 * (1 + Assumptions!$C$7) ^ INT(((YEAR(O$2)-YEAR($F42))*12 + MONTH(O$2)-MONTH($F42)) / 12),
  0)</f>
        <v>0</v>
      </c>
      <c r="P42" s="266">
        <f>IF(AND($F42&lt;=P$2, OR($G42="",$G42&gt;=P$2)),
  $H42 * (1 + Assumptions!$C$7) ^ INT(((YEAR(P$2)-YEAR($F42))*12 + MONTH(P$2)-MONTH($F42)) / 12),
  0)</f>
        <v>0</v>
      </c>
      <c r="Q42" s="266">
        <f>IF(AND($F42&lt;=Q$2, OR($G42="",$G42&gt;=Q$2)),
  $H42 * (1 + Assumptions!$C$7) ^ INT(((YEAR(Q$2)-YEAR($F42))*12 + MONTH(Q$2)-MONTH($F42)) / 12),
  0)</f>
        <v>0</v>
      </c>
      <c r="R42" s="266">
        <f>IF(AND($F42&lt;=R$2, OR($G42="",$G42&gt;=R$2)),
  $H42 * (1 + Assumptions!$C$7) ^ INT(((YEAR(R$2)-YEAR($F42))*12 + MONTH(R$2)-MONTH($F42)) / 12),
  0)</f>
        <v>0</v>
      </c>
      <c r="S42" s="266">
        <f>IF(AND($F42&lt;=S$2, OR($G42="",$G42&gt;=S$2)),
  $H42 * (1 + Assumptions!$C$7) ^ INT(((YEAR(S$2)-YEAR($F42))*12 + MONTH(S$2)-MONTH($F42)) / 12),
  0)</f>
        <v>0</v>
      </c>
      <c r="T42" s="266">
        <f>IF(AND($F42&lt;=T$2, OR($G42="",$G42&gt;=T$2)),
  $H42 * (1 + Assumptions!$C$7) ^ INT(((YEAR(T$2)-YEAR($F42))*12 + MONTH(T$2)-MONTH($F42)) / 12),
  0)</f>
        <v>0</v>
      </c>
      <c r="U42" s="266">
        <f>IF(AND($F42&lt;=U$2, OR($G42="",$G42&gt;=U$2)),
  $H42 * (1 + Assumptions!$C$7) ^ INT(((YEAR(U$2)-YEAR($F42))*12 + MONTH(U$2)-MONTH($F42)) / 12),
  0)</f>
        <v>0</v>
      </c>
      <c r="V42" s="266">
        <f>IF(AND($F42&lt;=V$2, OR($G42="",$G42&gt;=V$2)),
  $H42 * (1 + Assumptions!$C$7) ^ INT(((YEAR(V$2)-YEAR($F42))*12 + MONTH(V$2)-MONTH($F42)) / 12),
  0)</f>
        <v>0</v>
      </c>
      <c r="W42" s="266">
        <f>IF(AND($F42&lt;=W$2, OR($G42="",$G42&gt;=W$2)),
  $H42 * (1 + Assumptions!$C$7) ^ INT(((YEAR(W$2)-YEAR($F42))*12 + MONTH(W$2)-MONTH($F42)) / 12),
  0)</f>
        <v>0</v>
      </c>
      <c r="X42" s="266">
        <f>IF(AND($F42&lt;=X$2, OR($G42="",$G42&gt;=X$2)),
  $H42 * (1 + Assumptions!$C$7) ^ INT(((YEAR(X$2)-YEAR($F42))*12 + MONTH(X$2)-MONTH($F42)) / 12),
  0)</f>
        <v>0</v>
      </c>
      <c r="Y42" s="266">
        <f>IF(AND($F42&lt;=Y$2, OR($G42="",$G42&gt;=Y$2)),
  $H42 * (1 + Assumptions!$C$7) ^ INT(((YEAR(Y$2)-YEAR($F42))*12 + MONTH(Y$2)-MONTH($F42)) / 12),
  0)</f>
        <v>0</v>
      </c>
      <c r="Z42" s="266">
        <f>IF(AND($F42&lt;=Z$2, OR($G42="",$G42&gt;=Z$2)),
  $H42 * (1 + Assumptions!$C$7) ^ INT(((YEAR(Z$2)-YEAR($F42))*12 + MONTH(Z$2)-MONTH($F42)) / 12),
  0)</f>
        <v>0</v>
      </c>
      <c r="AA42" s="266">
        <f>IF(AND($F42&lt;=AA$2, OR($G42="",$G42&gt;=AA$2)),
  $H42 * (1 + Assumptions!$C$7) ^ INT(((YEAR(AA$2)-YEAR($F42))*12 + MONTH(AA$2)-MONTH($F42)) / 12),
  0)</f>
        <v>0</v>
      </c>
      <c r="AB42" s="266">
        <f>IF(AND($F42&lt;=AB$2, OR($G42="",$G42&gt;=AB$2)),
  $H42 * (1 + Assumptions!$C$7) ^ INT(((YEAR(AB$2)-YEAR($F42))*12 + MONTH(AB$2)-MONTH($F42)) / 12),
  0)</f>
        <v>0</v>
      </c>
      <c r="AC42" s="266">
        <f>IF(AND($F42&lt;=AC$2, OR($G42="",$G42&gt;=AC$2)),
  $H42 * (1 + Assumptions!$C$7) ^ INT(((YEAR(AC$2)-YEAR($F42))*12 + MONTH(AC$2)-MONTH($F42)) / 12),
  0)</f>
        <v>0</v>
      </c>
      <c r="AD42" s="266">
        <f>IF(AND($F42&lt;=AD$2, OR($G42="",$G42&gt;=AD$2)),
  $H42 * (1 + Assumptions!$C$7) ^ INT(((YEAR(AD$2)-YEAR($F42))*12 + MONTH(AD$2)-MONTH($F42)) / 12),
  0)</f>
        <v>0</v>
      </c>
      <c r="AE42" s="266">
        <f>IF(AND($F42&lt;=AE$2, OR($G42="",$G42&gt;=AE$2)),
  $H42 * (1 + Assumptions!$C$7) ^ INT(((YEAR(AE$2)-YEAR($F42))*12 + MONTH(AE$2)-MONTH($F42)) / 12),
  0)</f>
        <v>0</v>
      </c>
      <c r="AF42" s="266">
        <f>IF(AND($F42&lt;=AF$2, OR($G42="",$G42&gt;=AF$2)),
  $H42 * (1 + Assumptions!$C$7) ^ INT(((YEAR(AF$2)-YEAR($F42))*12 + MONTH(AF$2)-MONTH($F42)) / 12),
  0)</f>
        <v>0</v>
      </c>
      <c r="AG42" s="266">
        <f>IF(AND($F42&lt;=AG$2, OR($G42="",$G42&gt;=AG$2)),
  $H42 * (1 + Assumptions!$C$7) ^ INT(((YEAR(AG$2)-YEAR($F42))*12 + MONTH(AG$2)-MONTH($F42)) / 12),
  0)</f>
        <v>0</v>
      </c>
      <c r="AH42" s="266">
        <f>IF(AND($F42&lt;=AH$2, OR($G42="",$G42&gt;=AH$2)),
  $H42 * (1 + Assumptions!$C$7) ^ INT(((YEAR(AH$2)-YEAR($F42))*12 + MONTH(AH$2)-MONTH($F42)) / 12),
  0)</f>
        <v>0</v>
      </c>
      <c r="AI42" s="266">
        <f>IF(AND($F42&lt;=AI$2, OR($G42="",$G42&gt;=AI$2)),
  $H42 * (1 + Assumptions!$C$7) ^ INT(((YEAR(AI$2)-YEAR($F42))*12 + MONTH(AI$2)-MONTH($F42)) / 12),
  0)</f>
        <v>0</v>
      </c>
      <c r="AJ42" s="266">
        <f>IF(AND($F42&lt;=AJ$2, OR($G42="",$G42&gt;=AJ$2)),
  $H42 * (1 + Assumptions!$C$7) ^ INT(((YEAR(AJ$2)-YEAR($F42))*12 + MONTH(AJ$2)-MONTH($F42)) / 12),
  0)</f>
        <v>0</v>
      </c>
      <c r="AK42" s="266">
        <f>IF(AND($F42&lt;=AK$2, OR($G42="",$G42&gt;=AK$2)),
  $H42 * (1 + Assumptions!$C$7) ^ INT(((YEAR(AK$2)-YEAR($F42))*12 + MONTH(AK$2)-MONTH($F42)) / 12),
  0)</f>
        <v>0</v>
      </c>
      <c r="AL42" s="266">
        <f>IF(AND($F42&lt;=AL$2, OR($G42="",$G42&gt;=AL$2)),
  $H42 * (1 + Assumptions!$C$7) ^ INT(((YEAR(AL$2)-YEAR($F42))*12 + MONTH(AL$2)-MONTH($F42)) / 12),
  0)</f>
        <v>0</v>
      </c>
      <c r="AM42" s="266">
        <f>IF(AND($F42&lt;=AM$2, OR($G42="",$G42&gt;=AM$2)),
  $H42 * (1 + Assumptions!$C$7) ^ INT(((YEAR(AM$2)-YEAR($F42))*12 + MONTH(AM$2)-MONTH($F42)) / 12),
  0)</f>
        <v>0</v>
      </c>
      <c r="AN42" s="266">
        <f>IF(AND($F42&lt;=AN$2, OR($G42="",$G42&gt;=AN$2)),
  $H42 * (1 + Assumptions!$C$7) ^ INT(((YEAR(AN$2)-YEAR($F42))*12 + MONTH(AN$2)-MONTH($F42)) / 12),
  0)</f>
        <v>0</v>
      </c>
      <c r="AO42" s="266">
        <f>IF(AND($F42&lt;=AO$2, OR($G42="",$G42&gt;=AO$2)),
  $H42 * (1 + Assumptions!$C$7) ^ INT(((YEAR(AO$2)-YEAR($F42))*12 + MONTH(AO$2)-MONTH($F42)) / 12),
  0)</f>
        <v>0</v>
      </c>
      <c r="AP42" s="266">
        <f>IF(AND($F42&lt;=AP$2, OR($G42="",$G42&gt;=AP$2)),
  $H42 * (1 + Assumptions!$C$7) ^ INT(((YEAR(AP$2)-YEAR($F42))*12 + MONTH(AP$2)-MONTH($F42)) / 12),
  0)</f>
        <v>0</v>
      </c>
      <c r="AQ42" s="266">
        <f>IF(AND($F42&lt;=AQ$2, OR($G42="",$G42&gt;=AQ$2)),
  $H42 * (1 + Assumptions!$C$7) ^ INT(((YEAR(AQ$2)-YEAR($F42))*12 + MONTH(AQ$2)-MONTH($F42)) / 12),
  0)</f>
        <v>0</v>
      </c>
      <c r="AR42" s="266">
        <f>IF(AND($F42&lt;=AR$2, OR($G42="",$G42&gt;=AR$2)),
  $H42 * (1 + Assumptions!$C$7) ^ INT(((YEAR(AR$2)-YEAR($F42))*12 + MONTH(AR$2)-MONTH($F42)) / 12),
  0)</f>
        <v>0</v>
      </c>
      <c r="AS42" s="266">
        <f>IF(AND($F42&lt;=AS$2, OR($G42="",$G42&gt;=AS$2)),
  $H42 * (1 + Assumptions!$C$7) ^ INT(((YEAR(AS$2)-YEAR($F42))*12 + MONTH(AS$2)-MONTH($F42)) / 12),
  0)</f>
        <v>0</v>
      </c>
      <c r="AT42" s="266">
        <f>IF(AND($F42&lt;=AT$2, OR($G42="",$G42&gt;=AT$2)),
  $H42 * (1 + Assumptions!$C$7) ^ INT(((YEAR(AT$2)-YEAR($F42))*12 + MONTH(AT$2)-MONTH($F42)) / 12),
  0)</f>
        <v>0</v>
      </c>
      <c r="AU42" s="266">
        <f>IF(AND($F42&lt;=AU$2, OR($G42="",$G42&gt;=AU$2)),
  $H42 * (1 + Assumptions!$C$7) ^ INT(((YEAR(AU$2)-YEAR($F42))*12 + MONTH(AU$2)-MONTH($F42)) / 12),
  0)</f>
        <v>0</v>
      </c>
      <c r="AV42" s="266">
        <f>IF(AND($F42&lt;=AV$2, OR($G42="",$G42&gt;=AV$2)),
  $H42 * (1 + Assumptions!$C$7) ^ INT(((YEAR(AV$2)-YEAR($F42))*12 + MONTH(AV$2)-MONTH($F42)) / 12),
  0)</f>
        <v>0</v>
      </c>
      <c r="AW42" s="266">
        <f>IF(AND($F42&lt;=AW$2, OR($G42="",$G42&gt;=AW$2)),
  $H42 * (1 + Assumptions!$C$7) ^ INT(((YEAR(AW$2)-YEAR($F42))*12 + MONTH(AW$2)-MONTH($F42)) / 12),
  0)</f>
        <v>0</v>
      </c>
      <c r="AX42" s="266">
        <f>IF(AND($F42&lt;=AX$2, OR($G42="",$G42&gt;=AX$2)),
  $H42 * (1 + Assumptions!$C$7) ^ INT(((YEAR(AX$2)-YEAR($F42))*12 + MONTH(AX$2)-MONTH($F42)) / 12),
  0)</f>
        <v>0</v>
      </c>
      <c r="AY42" s="266">
        <f>IF(AND($F42&lt;=AY$2, OR($G42="",$G42&gt;=AY$2)),
  $H42 * (1 + Assumptions!$C$7) ^ INT(((YEAR(AY$2)-YEAR($F42))*12 + MONTH(AY$2)-MONTH($F42)) / 12),
  0)</f>
        <v>0</v>
      </c>
      <c r="AZ42" s="266">
        <f>IF(AND($F42&lt;=AZ$2, OR($G42="",$G42&gt;=AZ$2)),
  $H42 * (1 + Assumptions!$C$7) ^ INT(((YEAR(AZ$2)-YEAR($F42))*12 + MONTH(AZ$2)-MONTH($F42)) / 12),
  0)</f>
        <v>0</v>
      </c>
      <c r="BA42" s="266">
        <f>IF(AND($F42&lt;=BA$2, OR($G42="",$G42&gt;=BA$2)),
  $H42 * (1 + Assumptions!$C$7) ^ INT(((YEAR(BA$2)-YEAR($F42))*12 + MONTH(BA$2)-MONTH($F42)) / 12),
  0)</f>
        <v>0</v>
      </c>
      <c r="BB42" s="266">
        <f>IF(AND($F42&lt;=BB$2, OR($G42="",$G42&gt;=BB$2)),
  $H42 * (1 + Assumptions!$C$7) ^ INT(((YEAR(BB$2)-YEAR($F42))*12 + MONTH(BB$2)-MONTH($F42)) / 12),
  0)</f>
        <v>0</v>
      </c>
      <c r="BC42" s="266">
        <f>IF(AND($F42&lt;=BC$2, OR($G42="",$G42&gt;=BC$2)),
  $H42 * (1 + Assumptions!$C$7) ^ INT(((YEAR(BC$2)-YEAR($F42))*12 + MONTH(BC$2)-MONTH($F42)) / 12),
  0)</f>
        <v>0</v>
      </c>
      <c r="BD42" s="266">
        <f>IF(AND($F42&lt;=BD$2, OR($G42="",$G42&gt;=BD$2)),
  $H42 * (1 + Assumptions!$C$7) ^ INT(((YEAR(BD$2)-YEAR($F42))*12 + MONTH(BD$2)-MONTH($F42)) / 12),
  0)</f>
        <v>0</v>
      </c>
      <c r="BE42" s="266">
        <f>IF(AND($F42&lt;=BE$2, OR($G42="",$G42&gt;=BE$2)),
  $H42 * (1 + Assumptions!$C$7) ^ INT(((YEAR(BE$2)-YEAR($F42))*12 + MONTH(BE$2)-MONTH($F42)) / 12),
  0)</f>
        <v>0</v>
      </c>
      <c r="BF42" s="266">
        <f>IF(AND($F42&lt;=BF$2, OR($G42="",$G42&gt;=BF$2)),
  $H42 * (1 + Assumptions!$C$7) ^ INT(((YEAR(BF$2)-YEAR($F42))*12 + MONTH(BF$2)-MONTH($F42)) / 12),
  0)</f>
        <v>0</v>
      </c>
      <c r="BG42" s="266">
        <f>IF(AND($F42&lt;=BG$2, OR($G42="",$G42&gt;=BG$2)),
  $H42 * (1 + Assumptions!$C$7) ^ INT(((YEAR(BG$2)-YEAR($F42))*12 + MONTH(BG$2)-MONTH($F42)) / 12),
  0)</f>
        <v>0</v>
      </c>
      <c r="BH42" s="266">
        <f>IF(AND($F42&lt;=BH$2, OR($G42="",$G42&gt;=BH$2)),
  $H42 * (1 + Assumptions!$C$7) ^ INT(((YEAR(BH$2)-YEAR($F42))*12 + MONTH(BH$2)-MONTH($F42)) / 12),
  0)</f>
        <v>0</v>
      </c>
      <c r="BI42" s="266">
        <f>IF(AND($F42&lt;=BI$2, OR($G42="",$G42&gt;=BI$2)),
  $H42 * (1 + Assumptions!$C$7) ^ INT(((YEAR(BI$2)-YEAR($F42))*12 + MONTH(BI$2)-MONTH($F42)) / 12),
  0)</f>
        <v>0</v>
      </c>
      <c r="BJ42" s="266">
        <f>IF(AND($F42&lt;=BJ$2, OR($G42="",$G42&gt;=BJ$2)),
  $H42 * (1 + Assumptions!$C$7) ^ INT(((YEAR(BJ$2)-YEAR($F42))*12 + MONTH(BJ$2)-MONTH($F42)) / 12),
  0)</f>
        <v>0</v>
      </c>
      <c r="BK42" s="266">
        <f>IF(AND($F42&lt;=BK$2, OR($G42="",$G42&gt;=BK$2)),
  $H42 * (1 + Assumptions!$C$7) ^ INT(((YEAR(BK$2)-YEAR($F42))*12 + MONTH(BK$2)-MONTH($F42)) / 12),
  0)</f>
        <v>0</v>
      </c>
      <c r="BL42" s="266">
        <f>IF(AND($F42&lt;=BL$2, OR($G42="",$G42&gt;=BL$2)),
  $H42 * (1 + Assumptions!$C$7) ^ INT(((YEAR(BL$2)-YEAR($F42))*12 + MONTH(BL$2)-MONTH($F42)) / 12),
  0)</f>
        <v>0</v>
      </c>
      <c r="BM42" s="266">
        <f>IF(AND($F42&lt;=BM$2, OR($G42="",$G42&gt;=BM$2)),
  $H42 * (1 + Assumptions!$C$7) ^ INT(((YEAR(BM$2)-YEAR($F42))*12 + MONTH(BM$2)-MONTH($F42)) / 12),
  0)</f>
        <v>0</v>
      </c>
      <c r="BN42" s="266">
        <f>IF(AND($F42&lt;=BN$2, OR($G42="",$G42&gt;=BN$2)),
  $H42 * (1 + Assumptions!$C$7) ^ INT(((YEAR(BN$2)-YEAR($F42))*12 + MONTH(BN$2)-MONTH($F42)) / 12),
  0)</f>
        <v>0</v>
      </c>
      <c r="BO42" s="266">
        <f>IF(AND($F42&lt;=BO$2, OR($G42="",$G42&gt;=BO$2)),
  $H42 * (1 + Assumptions!$C$7) ^ INT(((YEAR(BO$2)-YEAR($F42))*12 + MONTH(BO$2)-MONTH($F42)) / 12),
  0)</f>
        <v>6500</v>
      </c>
      <c r="BP42" s="266">
        <f>IF(AND($F42&lt;=BP$2, OR($G42="",$G42&gt;=BP$2)),
  $H42 * (1 + Assumptions!$C$7) ^ INT(((YEAR(BP$2)-YEAR($F42))*12 + MONTH(BP$2)-MONTH($F42)) / 12),
  0)</f>
        <v>6500</v>
      </c>
      <c r="BQ42" s="27"/>
    </row>
    <row r="43" ht="15.75" customHeight="1">
      <c r="A43" s="273">
        <v>39.0</v>
      </c>
      <c r="B43" s="257" t="s">
        <v>330</v>
      </c>
      <c r="C43" s="23" t="s">
        <v>142</v>
      </c>
      <c r="D43" s="273" t="s">
        <v>340</v>
      </c>
      <c r="E43" s="264" t="s">
        <v>332</v>
      </c>
      <c r="F43" s="258">
        <v>47394.0</v>
      </c>
      <c r="G43" s="275"/>
      <c r="H43" s="260">
        <v>7500.0</v>
      </c>
      <c r="I43" s="266">
        <f>IF(AND($F43&lt;=I$2, OR($G43="",$G43&gt;=I$2)),
  $H43 * (1 + Assumptions!$C$7) ^ INT(((YEAR(I$2)-YEAR($F43))*12 + MONTH(I$2)-MONTH($F43)) / 12),
  0)</f>
        <v>0</v>
      </c>
      <c r="J43" s="266">
        <f>IF(AND($F43&lt;=J$2, OR($G43="",$G43&gt;=J$2)),
  $H43 * (1 + Assumptions!$C$7) ^ INT(((YEAR(J$2)-YEAR($F43))*12 + MONTH(J$2)-MONTH($F43)) / 12),
  0)</f>
        <v>0</v>
      </c>
      <c r="K43" s="266">
        <f>IF(AND($F43&lt;=K$2, OR($G43="",$G43&gt;=K$2)),
  $H43 * (1 + Assumptions!$C$7) ^ INT(((YEAR(K$2)-YEAR($F43))*12 + MONTH(K$2)-MONTH($F43)) / 12),
  0)</f>
        <v>0</v>
      </c>
      <c r="L43" s="266">
        <f>IF(AND($F43&lt;=L$2, OR($G43="",$G43&gt;=L$2)),
  $H43 * (1 + Assumptions!$C$7) ^ INT(((YEAR(L$2)-YEAR($F43))*12 + MONTH(L$2)-MONTH($F43)) / 12),
  0)</f>
        <v>0</v>
      </c>
      <c r="M43" s="266">
        <f>IF(AND($F43&lt;=M$2, OR($G43="",$G43&gt;=M$2)),
  $H43 * (1 + Assumptions!$C$7) ^ INT(((YEAR(M$2)-YEAR($F43))*12 + MONTH(M$2)-MONTH($F43)) / 12),
  0)</f>
        <v>0</v>
      </c>
      <c r="N43" s="266">
        <f>IF(AND($F43&lt;=N$2, OR($G43="",$G43&gt;=N$2)),
  $H43 * (1 + Assumptions!$C$7) ^ INT(((YEAR(N$2)-YEAR($F43))*12 + MONTH(N$2)-MONTH($F43)) / 12),
  0)</f>
        <v>0</v>
      </c>
      <c r="O43" s="266">
        <f>IF(AND($F43&lt;=O$2, OR($G43="",$G43&gt;=O$2)),
  $H43 * (1 + Assumptions!$C$7) ^ INT(((YEAR(O$2)-YEAR($F43))*12 + MONTH(O$2)-MONTH($F43)) / 12),
  0)</f>
        <v>0</v>
      </c>
      <c r="P43" s="266">
        <f>IF(AND($F43&lt;=P$2, OR($G43="",$G43&gt;=P$2)),
  $H43 * (1 + Assumptions!$C$7) ^ INT(((YEAR(P$2)-YEAR($F43))*12 + MONTH(P$2)-MONTH($F43)) / 12),
  0)</f>
        <v>0</v>
      </c>
      <c r="Q43" s="266">
        <f>IF(AND($F43&lt;=Q$2, OR($G43="",$G43&gt;=Q$2)),
  $H43 * (1 + Assumptions!$C$7) ^ INT(((YEAR(Q$2)-YEAR($F43))*12 + MONTH(Q$2)-MONTH($F43)) / 12),
  0)</f>
        <v>0</v>
      </c>
      <c r="R43" s="266">
        <f>IF(AND($F43&lt;=R$2, OR($G43="",$G43&gt;=R$2)),
  $H43 * (1 + Assumptions!$C$7) ^ INT(((YEAR(R$2)-YEAR($F43))*12 + MONTH(R$2)-MONTH($F43)) / 12),
  0)</f>
        <v>0</v>
      </c>
      <c r="S43" s="266">
        <f>IF(AND($F43&lt;=S$2, OR($G43="",$G43&gt;=S$2)),
  $H43 * (1 + Assumptions!$C$7) ^ INT(((YEAR(S$2)-YEAR($F43))*12 + MONTH(S$2)-MONTH($F43)) / 12),
  0)</f>
        <v>0</v>
      </c>
      <c r="T43" s="266">
        <f>IF(AND($F43&lt;=T$2, OR($G43="",$G43&gt;=T$2)),
  $H43 * (1 + Assumptions!$C$7) ^ INT(((YEAR(T$2)-YEAR($F43))*12 + MONTH(T$2)-MONTH($F43)) / 12),
  0)</f>
        <v>0</v>
      </c>
      <c r="U43" s="266">
        <f>IF(AND($F43&lt;=U$2, OR($G43="",$G43&gt;=U$2)),
  $H43 * (1 + Assumptions!$C$7) ^ INT(((YEAR(U$2)-YEAR($F43))*12 + MONTH(U$2)-MONTH($F43)) / 12),
  0)</f>
        <v>0</v>
      </c>
      <c r="V43" s="266">
        <f>IF(AND($F43&lt;=V$2, OR($G43="",$G43&gt;=V$2)),
  $H43 * (1 + Assumptions!$C$7) ^ INT(((YEAR(V$2)-YEAR($F43))*12 + MONTH(V$2)-MONTH($F43)) / 12),
  0)</f>
        <v>0</v>
      </c>
      <c r="W43" s="266">
        <f>IF(AND($F43&lt;=W$2, OR($G43="",$G43&gt;=W$2)),
  $H43 * (1 + Assumptions!$C$7) ^ INT(((YEAR(W$2)-YEAR($F43))*12 + MONTH(W$2)-MONTH($F43)) / 12),
  0)</f>
        <v>0</v>
      </c>
      <c r="X43" s="266">
        <f>IF(AND($F43&lt;=X$2, OR($G43="",$G43&gt;=X$2)),
  $H43 * (1 + Assumptions!$C$7) ^ INT(((YEAR(X$2)-YEAR($F43))*12 + MONTH(X$2)-MONTH($F43)) / 12),
  0)</f>
        <v>0</v>
      </c>
      <c r="Y43" s="266">
        <f>IF(AND($F43&lt;=Y$2, OR($G43="",$G43&gt;=Y$2)),
  $H43 * (1 + Assumptions!$C$7) ^ INT(((YEAR(Y$2)-YEAR($F43))*12 + MONTH(Y$2)-MONTH($F43)) / 12),
  0)</f>
        <v>0</v>
      </c>
      <c r="Z43" s="266">
        <f>IF(AND($F43&lt;=Z$2, OR($G43="",$G43&gt;=Z$2)),
  $H43 * (1 + Assumptions!$C$7) ^ INT(((YEAR(Z$2)-YEAR($F43))*12 + MONTH(Z$2)-MONTH($F43)) / 12),
  0)</f>
        <v>0</v>
      </c>
      <c r="AA43" s="266">
        <f>IF(AND($F43&lt;=AA$2, OR($G43="",$G43&gt;=AA$2)),
  $H43 * (1 + Assumptions!$C$7) ^ INT(((YEAR(AA$2)-YEAR($F43))*12 + MONTH(AA$2)-MONTH($F43)) / 12),
  0)</f>
        <v>0</v>
      </c>
      <c r="AB43" s="266">
        <f>IF(AND($F43&lt;=AB$2, OR($G43="",$G43&gt;=AB$2)),
  $H43 * (1 + Assumptions!$C$7) ^ INT(((YEAR(AB$2)-YEAR($F43))*12 + MONTH(AB$2)-MONTH($F43)) / 12),
  0)</f>
        <v>0</v>
      </c>
      <c r="AC43" s="266">
        <f>IF(AND($F43&lt;=AC$2, OR($G43="",$G43&gt;=AC$2)),
  $H43 * (1 + Assumptions!$C$7) ^ INT(((YEAR(AC$2)-YEAR($F43))*12 + MONTH(AC$2)-MONTH($F43)) / 12),
  0)</f>
        <v>0</v>
      </c>
      <c r="AD43" s="266">
        <f>IF(AND($F43&lt;=AD$2, OR($G43="",$G43&gt;=AD$2)),
  $H43 * (1 + Assumptions!$C$7) ^ INT(((YEAR(AD$2)-YEAR($F43))*12 + MONTH(AD$2)-MONTH($F43)) / 12),
  0)</f>
        <v>0</v>
      </c>
      <c r="AE43" s="266">
        <f>IF(AND($F43&lt;=AE$2, OR($G43="",$G43&gt;=AE$2)),
  $H43 * (1 + Assumptions!$C$7) ^ INT(((YEAR(AE$2)-YEAR($F43))*12 + MONTH(AE$2)-MONTH($F43)) / 12),
  0)</f>
        <v>0</v>
      </c>
      <c r="AF43" s="266">
        <f>IF(AND($F43&lt;=AF$2, OR($G43="",$G43&gt;=AF$2)),
  $H43 * (1 + Assumptions!$C$7) ^ INT(((YEAR(AF$2)-YEAR($F43))*12 + MONTH(AF$2)-MONTH($F43)) / 12),
  0)</f>
        <v>0</v>
      </c>
      <c r="AG43" s="266">
        <f>IF(AND($F43&lt;=AG$2, OR($G43="",$G43&gt;=AG$2)),
  $H43 * (1 + Assumptions!$C$7) ^ INT(((YEAR(AG$2)-YEAR($F43))*12 + MONTH(AG$2)-MONTH($F43)) / 12),
  0)</f>
        <v>0</v>
      </c>
      <c r="AH43" s="266">
        <f>IF(AND($F43&lt;=AH$2, OR($G43="",$G43&gt;=AH$2)),
  $H43 * (1 + Assumptions!$C$7) ^ INT(((YEAR(AH$2)-YEAR($F43))*12 + MONTH(AH$2)-MONTH($F43)) / 12),
  0)</f>
        <v>0</v>
      </c>
      <c r="AI43" s="266">
        <f>IF(AND($F43&lt;=AI$2, OR($G43="",$G43&gt;=AI$2)),
  $H43 * (1 + Assumptions!$C$7) ^ INT(((YEAR(AI$2)-YEAR($F43))*12 + MONTH(AI$2)-MONTH($F43)) / 12),
  0)</f>
        <v>0</v>
      </c>
      <c r="AJ43" s="266">
        <f>IF(AND($F43&lt;=AJ$2, OR($G43="",$G43&gt;=AJ$2)),
  $H43 * (1 + Assumptions!$C$7) ^ INT(((YEAR(AJ$2)-YEAR($F43))*12 + MONTH(AJ$2)-MONTH($F43)) / 12),
  0)</f>
        <v>0</v>
      </c>
      <c r="AK43" s="266">
        <f>IF(AND($F43&lt;=AK$2, OR($G43="",$G43&gt;=AK$2)),
  $H43 * (1 + Assumptions!$C$7) ^ INT(((YEAR(AK$2)-YEAR($F43))*12 + MONTH(AK$2)-MONTH($F43)) / 12),
  0)</f>
        <v>0</v>
      </c>
      <c r="AL43" s="266">
        <f>IF(AND($F43&lt;=AL$2, OR($G43="",$G43&gt;=AL$2)),
  $H43 * (1 + Assumptions!$C$7) ^ INT(((YEAR(AL$2)-YEAR($F43))*12 + MONTH(AL$2)-MONTH($F43)) / 12),
  0)</f>
        <v>0</v>
      </c>
      <c r="AM43" s="266">
        <f>IF(AND($F43&lt;=AM$2, OR($G43="",$G43&gt;=AM$2)),
  $H43 * (1 + Assumptions!$C$7) ^ INT(((YEAR(AM$2)-YEAR($F43))*12 + MONTH(AM$2)-MONTH($F43)) / 12),
  0)</f>
        <v>0</v>
      </c>
      <c r="AN43" s="266">
        <f>IF(AND($F43&lt;=AN$2, OR($G43="",$G43&gt;=AN$2)),
  $H43 * (1 + Assumptions!$C$7) ^ INT(((YEAR(AN$2)-YEAR($F43))*12 + MONTH(AN$2)-MONTH($F43)) / 12),
  0)</f>
        <v>0</v>
      </c>
      <c r="AO43" s="266">
        <f>IF(AND($F43&lt;=AO$2, OR($G43="",$G43&gt;=AO$2)),
  $H43 * (1 + Assumptions!$C$7) ^ INT(((YEAR(AO$2)-YEAR($F43))*12 + MONTH(AO$2)-MONTH($F43)) / 12),
  0)</f>
        <v>0</v>
      </c>
      <c r="AP43" s="266">
        <f>IF(AND($F43&lt;=AP$2, OR($G43="",$G43&gt;=AP$2)),
  $H43 * (1 + Assumptions!$C$7) ^ INT(((YEAR(AP$2)-YEAR($F43))*12 + MONTH(AP$2)-MONTH($F43)) / 12),
  0)</f>
        <v>0</v>
      </c>
      <c r="AQ43" s="266">
        <f>IF(AND($F43&lt;=AQ$2, OR($G43="",$G43&gt;=AQ$2)),
  $H43 * (1 + Assumptions!$C$7) ^ INT(((YEAR(AQ$2)-YEAR($F43))*12 + MONTH(AQ$2)-MONTH($F43)) / 12),
  0)</f>
        <v>0</v>
      </c>
      <c r="AR43" s="266">
        <f>IF(AND($F43&lt;=AR$2, OR($G43="",$G43&gt;=AR$2)),
  $H43 * (1 + Assumptions!$C$7) ^ INT(((YEAR(AR$2)-YEAR($F43))*12 + MONTH(AR$2)-MONTH($F43)) / 12),
  0)</f>
        <v>0</v>
      </c>
      <c r="AS43" s="266">
        <f>IF(AND($F43&lt;=AS$2, OR($G43="",$G43&gt;=AS$2)),
  $H43 * (1 + Assumptions!$C$7) ^ INT(((YEAR(AS$2)-YEAR($F43))*12 + MONTH(AS$2)-MONTH($F43)) / 12),
  0)</f>
        <v>0</v>
      </c>
      <c r="AT43" s="266">
        <f>IF(AND($F43&lt;=AT$2, OR($G43="",$G43&gt;=AT$2)),
  $H43 * (1 + Assumptions!$C$7) ^ INT(((YEAR(AT$2)-YEAR($F43))*12 + MONTH(AT$2)-MONTH($F43)) / 12),
  0)</f>
        <v>0</v>
      </c>
      <c r="AU43" s="266">
        <f>IF(AND($F43&lt;=AU$2, OR($G43="",$G43&gt;=AU$2)),
  $H43 * (1 + Assumptions!$C$7) ^ INT(((YEAR(AU$2)-YEAR($F43))*12 + MONTH(AU$2)-MONTH($F43)) / 12),
  0)</f>
        <v>0</v>
      </c>
      <c r="AV43" s="266">
        <f>IF(AND($F43&lt;=AV$2, OR($G43="",$G43&gt;=AV$2)),
  $H43 * (1 + Assumptions!$C$7) ^ INT(((YEAR(AV$2)-YEAR($F43))*12 + MONTH(AV$2)-MONTH($F43)) / 12),
  0)</f>
        <v>0</v>
      </c>
      <c r="AW43" s="266">
        <f>IF(AND($F43&lt;=AW$2, OR($G43="",$G43&gt;=AW$2)),
  $H43 * (1 + Assumptions!$C$7) ^ INT(((YEAR(AW$2)-YEAR($F43))*12 + MONTH(AW$2)-MONTH($F43)) / 12),
  0)</f>
        <v>0</v>
      </c>
      <c r="AX43" s="266">
        <f>IF(AND($F43&lt;=AX$2, OR($G43="",$G43&gt;=AX$2)),
  $H43 * (1 + Assumptions!$C$7) ^ INT(((YEAR(AX$2)-YEAR($F43))*12 + MONTH(AX$2)-MONTH($F43)) / 12),
  0)</f>
        <v>0</v>
      </c>
      <c r="AY43" s="266">
        <f>IF(AND($F43&lt;=AY$2, OR($G43="",$G43&gt;=AY$2)),
  $H43 * (1 + Assumptions!$C$7) ^ INT(((YEAR(AY$2)-YEAR($F43))*12 + MONTH(AY$2)-MONTH($F43)) / 12),
  0)</f>
        <v>0</v>
      </c>
      <c r="AZ43" s="266">
        <f>IF(AND($F43&lt;=AZ$2, OR($G43="",$G43&gt;=AZ$2)),
  $H43 * (1 + Assumptions!$C$7) ^ INT(((YEAR(AZ$2)-YEAR($F43))*12 + MONTH(AZ$2)-MONTH($F43)) / 12),
  0)</f>
        <v>0</v>
      </c>
      <c r="BA43" s="266">
        <f>IF(AND($F43&lt;=BA$2, OR($G43="",$G43&gt;=BA$2)),
  $H43 * (1 + Assumptions!$C$7) ^ INT(((YEAR(BA$2)-YEAR($F43))*12 + MONTH(BA$2)-MONTH($F43)) / 12),
  0)</f>
        <v>0</v>
      </c>
      <c r="BB43" s="266">
        <f>IF(AND($F43&lt;=BB$2, OR($G43="",$G43&gt;=BB$2)),
  $H43 * (1 + Assumptions!$C$7) ^ INT(((YEAR(BB$2)-YEAR($F43))*12 + MONTH(BB$2)-MONTH($F43)) / 12),
  0)</f>
        <v>0</v>
      </c>
      <c r="BC43" s="266">
        <f>IF(AND($F43&lt;=BC$2, OR($G43="",$G43&gt;=BC$2)),
  $H43 * (1 + Assumptions!$C$7) ^ INT(((YEAR(BC$2)-YEAR($F43))*12 + MONTH(BC$2)-MONTH($F43)) / 12),
  0)</f>
        <v>0</v>
      </c>
      <c r="BD43" s="266">
        <f>IF(AND($F43&lt;=BD$2, OR($G43="",$G43&gt;=BD$2)),
  $H43 * (1 + Assumptions!$C$7) ^ INT(((YEAR(BD$2)-YEAR($F43))*12 + MONTH(BD$2)-MONTH($F43)) / 12),
  0)</f>
        <v>0</v>
      </c>
      <c r="BE43" s="266">
        <f>IF(AND($F43&lt;=BE$2, OR($G43="",$G43&gt;=BE$2)),
  $H43 * (1 + Assumptions!$C$7) ^ INT(((YEAR(BE$2)-YEAR($F43))*12 + MONTH(BE$2)-MONTH($F43)) / 12),
  0)</f>
        <v>0</v>
      </c>
      <c r="BF43" s="266">
        <f>IF(AND($F43&lt;=BF$2, OR($G43="",$G43&gt;=BF$2)),
  $H43 * (1 + Assumptions!$C$7) ^ INT(((YEAR(BF$2)-YEAR($F43))*12 + MONTH(BF$2)-MONTH($F43)) / 12),
  0)</f>
        <v>0</v>
      </c>
      <c r="BG43" s="266">
        <f>IF(AND($F43&lt;=BG$2, OR($G43="",$G43&gt;=BG$2)),
  $H43 * (1 + Assumptions!$C$7) ^ INT(((YEAR(BG$2)-YEAR($F43))*12 + MONTH(BG$2)-MONTH($F43)) / 12),
  0)</f>
        <v>0</v>
      </c>
      <c r="BH43" s="266">
        <f>IF(AND($F43&lt;=BH$2, OR($G43="",$G43&gt;=BH$2)),
  $H43 * (1 + Assumptions!$C$7) ^ INT(((YEAR(BH$2)-YEAR($F43))*12 + MONTH(BH$2)-MONTH($F43)) / 12),
  0)</f>
        <v>0</v>
      </c>
      <c r="BI43" s="266">
        <f>IF(AND($F43&lt;=BI$2, OR($G43="",$G43&gt;=BI$2)),
  $H43 * (1 + Assumptions!$C$7) ^ INT(((YEAR(BI$2)-YEAR($F43))*12 + MONTH(BI$2)-MONTH($F43)) / 12),
  0)</f>
        <v>0</v>
      </c>
      <c r="BJ43" s="266">
        <f>IF(AND($F43&lt;=BJ$2, OR($G43="",$G43&gt;=BJ$2)),
  $H43 * (1 + Assumptions!$C$7) ^ INT(((YEAR(BJ$2)-YEAR($F43))*12 + MONTH(BJ$2)-MONTH($F43)) / 12),
  0)</f>
        <v>0</v>
      </c>
      <c r="BK43" s="266">
        <f>IF(AND($F43&lt;=BK$2, OR($G43="",$G43&gt;=BK$2)),
  $H43 * (1 + Assumptions!$C$7) ^ INT(((YEAR(BK$2)-YEAR($F43))*12 + MONTH(BK$2)-MONTH($F43)) / 12),
  0)</f>
        <v>0</v>
      </c>
      <c r="BL43" s="266">
        <f>IF(AND($F43&lt;=BL$2, OR($G43="",$G43&gt;=BL$2)),
  $H43 * (1 + Assumptions!$C$7) ^ INT(((YEAR(BL$2)-YEAR($F43))*12 + MONTH(BL$2)-MONTH($F43)) / 12),
  0)</f>
        <v>0</v>
      </c>
      <c r="BM43" s="266">
        <f>IF(AND($F43&lt;=BM$2, OR($G43="",$G43&gt;=BM$2)),
  $H43 * (1 + Assumptions!$C$7) ^ INT(((YEAR(BM$2)-YEAR($F43))*12 + MONTH(BM$2)-MONTH($F43)) / 12),
  0)</f>
        <v>0</v>
      </c>
      <c r="BN43" s="266">
        <f>IF(AND($F43&lt;=BN$2, OR($G43="",$G43&gt;=BN$2)),
  $H43 * (1 + Assumptions!$C$7) ^ INT(((YEAR(BN$2)-YEAR($F43))*12 + MONTH(BN$2)-MONTH($F43)) / 12),
  0)</f>
        <v>0</v>
      </c>
      <c r="BO43" s="266">
        <f>IF(AND($F43&lt;=BO$2, OR($G43="",$G43&gt;=BO$2)),
  $H43 * (1 + Assumptions!$C$7) ^ INT(((YEAR(BO$2)-YEAR($F43))*12 + MONTH(BO$2)-MONTH($F43)) / 12),
  0)</f>
        <v>7500</v>
      </c>
      <c r="BP43" s="266">
        <f>IF(AND($F43&lt;=BP$2, OR($G43="",$G43&gt;=BP$2)),
  $H43 * (1 + Assumptions!$C$7) ^ INT(((YEAR(BP$2)-YEAR($F43))*12 + MONTH(BP$2)-MONTH($F43)) / 12),
  0)</f>
        <v>7500</v>
      </c>
      <c r="BQ43" s="27"/>
    </row>
    <row r="44" ht="15.75" customHeight="1">
      <c r="A44" s="23"/>
      <c r="B44" s="23"/>
      <c r="C44" s="23"/>
      <c r="D44" s="23"/>
      <c r="E44" s="277"/>
      <c r="F44" s="278"/>
      <c r="G44" s="279"/>
      <c r="H44" s="280"/>
      <c r="I44" s="266"/>
      <c r="J44" s="261"/>
      <c r="K44" s="261"/>
      <c r="L44" s="261"/>
      <c r="M44" s="261"/>
      <c r="N44" s="261"/>
      <c r="O44" s="261"/>
      <c r="P44" s="261"/>
      <c r="Q44" s="261"/>
      <c r="R44" s="261"/>
      <c r="S44" s="261"/>
      <c r="T44" s="261"/>
      <c r="U44" s="261"/>
      <c r="V44" s="261"/>
      <c r="W44" s="261"/>
      <c r="X44" s="261"/>
      <c r="Y44" s="261"/>
      <c r="Z44" s="261"/>
      <c r="AA44" s="261"/>
      <c r="AB44" s="261"/>
      <c r="AC44" s="261"/>
      <c r="AD44" s="261"/>
      <c r="AE44" s="261"/>
      <c r="AF44" s="261"/>
      <c r="AG44" s="261"/>
      <c r="AH44" s="261"/>
      <c r="AI44" s="261"/>
      <c r="AJ44" s="261"/>
      <c r="AK44" s="261"/>
      <c r="AL44" s="261"/>
      <c r="AM44" s="261"/>
      <c r="AN44" s="261"/>
      <c r="AO44" s="261"/>
      <c r="AP44" s="261"/>
      <c r="AQ44" s="261"/>
      <c r="AR44" s="261"/>
      <c r="AS44" s="261"/>
      <c r="AT44" s="261"/>
      <c r="AU44" s="261"/>
      <c r="AV44" s="261"/>
      <c r="AW44" s="261"/>
      <c r="AX44" s="261"/>
      <c r="AY44" s="261"/>
      <c r="AZ44" s="261"/>
      <c r="BA44" s="261"/>
      <c r="BB44" s="261"/>
      <c r="BC44" s="261"/>
      <c r="BD44" s="261"/>
      <c r="BE44" s="261"/>
      <c r="BF44" s="261"/>
      <c r="BG44" s="261"/>
      <c r="BH44" s="261"/>
      <c r="BI44" s="261"/>
      <c r="BJ44" s="261"/>
      <c r="BK44" s="261"/>
      <c r="BL44" s="261"/>
      <c r="BM44" s="261"/>
      <c r="BN44" s="261"/>
      <c r="BO44" s="261"/>
      <c r="BP44" s="261"/>
      <c r="BQ44" s="34"/>
    </row>
    <row r="45" ht="15.75" customHeight="1">
      <c r="A45" s="281"/>
      <c r="B45" s="282" t="s">
        <v>343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34"/>
    </row>
    <row r="46" ht="15.75" customHeight="1">
      <c r="A46" s="22"/>
      <c r="B46" s="283" t="s">
        <v>344</v>
      </c>
      <c r="C46" s="284"/>
      <c r="D46" s="284"/>
      <c r="E46" s="284"/>
      <c r="F46" s="284"/>
      <c r="G46" s="284"/>
      <c r="H46" s="285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86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34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86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34"/>
    </row>
    <row r="48" ht="15.75" customHeight="1">
      <c r="A48" s="19"/>
      <c r="B48" s="24" t="s">
        <v>345</v>
      </c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87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41"/>
    </row>
    <row r="49" ht="15.75" customHeight="1">
      <c r="A49" s="288"/>
      <c r="B49" s="289" t="s">
        <v>149</v>
      </c>
      <c r="C49" s="288"/>
      <c r="D49" s="288"/>
      <c r="E49" s="288"/>
      <c r="F49" s="288"/>
      <c r="G49" s="288"/>
      <c r="H49" s="288"/>
      <c r="I49" s="290">
        <f t="shared" ref="I49:BD49" si="1">SUMIF($C$2:$C$37,"R&amp;D",I2:I37)</f>
        <v>0</v>
      </c>
      <c r="J49" s="290">
        <f t="shared" si="1"/>
        <v>0</v>
      </c>
      <c r="K49" s="290">
        <f t="shared" si="1"/>
        <v>0</v>
      </c>
      <c r="L49" s="290">
        <f t="shared" si="1"/>
        <v>0</v>
      </c>
      <c r="M49" s="290">
        <f t="shared" si="1"/>
        <v>0</v>
      </c>
      <c r="N49" s="290">
        <f t="shared" si="1"/>
        <v>0</v>
      </c>
      <c r="O49" s="290">
        <f t="shared" si="1"/>
        <v>0</v>
      </c>
      <c r="P49" s="290">
        <f t="shared" si="1"/>
        <v>0</v>
      </c>
      <c r="Q49" s="290">
        <f t="shared" si="1"/>
        <v>47500</v>
      </c>
      <c r="R49" s="290">
        <f t="shared" si="1"/>
        <v>47500</v>
      </c>
      <c r="S49" s="290">
        <f t="shared" si="1"/>
        <v>47500</v>
      </c>
      <c r="T49" s="290">
        <f t="shared" si="1"/>
        <v>47500</v>
      </c>
      <c r="U49" s="290">
        <f t="shared" si="1"/>
        <v>50700</v>
      </c>
      <c r="V49" s="290">
        <f t="shared" si="1"/>
        <v>50700</v>
      </c>
      <c r="W49" s="290">
        <f t="shared" si="1"/>
        <v>50700</v>
      </c>
      <c r="X49" s="290">
        <f t="shared" si="1"/>
        <v>50700</v>
      </c>
      <c r="Y49" s="290">
        <f t="shared" si="1"/>
        <v>50700</v>
      </c>
      <c r="Z49" s="290">
        <f t="shared" si="1"/>
        <v>50700</v>
      </c>
      <c r="AA49" s="290">
        <f t="shared" si="1"/>
        <v>58700</v>
      </c>
      <c r="AB49" s="290">
        <f t="shared" si="1"/>
        <v>64700</v>
      </c>
      <c r="AC49" s="290">
        <f t="shared" si="1"/>
        <v>68700</v>
      </c>
      <c r="AD49" s="290">
        <f t="shared" si="1"/>
        <v>69620</v>
      </c>
      <c r="AE49" s="290">
        <f t="shared" si="1"/>
        <v>69620</v>
      </c>
      <c r="AF49" s="290">
        <f t="shared" si="1"/>
        <v>69620</v>
      </c>
      <c r="AG49" s="290">
        <f t="shared" si="1"/>
        <v>94569.6</v>
      </c>
      <c r="AH49" s="290">
        <f t="shared" si="1"/>
        <v>94569.6</v>
      </c>
      <c r="AI49" s="290">
        <f t="shared" si="1"/>
        <v>94569.6</v>
      </c>
      <c r="AJ49" s="290">
        <f t="shared" si="1"/>
        <v>94569.6</v>
      </c>
      <c r="AK49" s="290">
        <f t="shared" si="1"/>
        <v>94569.6</v>
      </c>
      <c r="AL49" s="290">
        <f t="shared" si="1"/>
        <v>101069.6</v>
      </c>
      <c r="AM49" s="290">
        <f t="shared" si="1"/>
        <v>101709.6</v>
      </c>
      <c r="AN49" s="290">
        <f t="shared" si="1"/>
        <v>102189.6</v>
      </c>
      <c r="AO49" s="290">
        <f t="shared" si="1"/>
        <v>102189.6</v>
      </c>
      <c r="AP49" s="290">
        <f t="shared" si="1"/>
        <v>102189.6</v>
      </c>
      <c r="AQ49" s="290">
        <f t="shared" si="1"/>
        <v>102189.6</v>
      </c>
      <c r="AR49" s="290">
        <f t="shared" si="1"/>
        <v>102189.6</v>
      </c>
      <c r="AS49" s="290">
        <f t="shared" si="1"/>
        <v>108635.168</v>
      </c>
      <c r="AT49" s="290">
        <f t="shared" si="1"/>
        <v>108635.168</v>
      </c>
      <c r="AU49" s="290">
        <f t="shared" si="1"/>
        <v>108635.168</v>
      </c>
      <c r="AV49" s="290">
        <f t="shared" si="1"/>
        <v>108635.168</v>
      </c>
      <c r="AW49" s="290">
        <f t="shared" si="1"/>
        <v>108635.168</v>
      </c>
      <c r="AX49" s="290">
        <f t="shared" si="1"/>
        <v>109155.168</v>
      </c>
      <c r="AY49" s="290">
        <f t="shared" si="1"/>
        <v>109846.368</v>
      </c>
      <c r="AZ49" s="290">
        <f t="shared" si="1"/>
        <v>110364.768</v>
      </c>
      <c r="BA49" s="290">
        <f t="shared" si="1"/>
        <v>110364.768</v>
      </c>
      <c r="BB49" s="290">
        <f t="shared" si="1"/>
        <v>110364.768</v>
      </c>
      <c r="BC49" s="290">
        <f t="shared" si="1"/>
        <v>110364.768</v>
      </c>
      <c r="BD49" s="290">
        <f t="shared" si="1"/>
        <v>110364.768</v>
      </c>
      <c r="BE49" s="291"/>
      <c r="BF49" s="292"/>
      <c r="BG49" s="292"/>
      <c r="BH49" s="292"/>
      <c r="BI49" s="292"/>
      <c r="BJ49" s="292"/>
      <c r="BK49" s="292"/>
      <c r="BL49" s="292"/>
      <c r="BM49" s="292"/>
      <c r="BN49" s="292"/>
      <c r="BO49" s="292"/>
      <c r="BP49" s="292"/>
      <c r="BQ49" s="293"/>
    </row>
    <row r="50" ht="15.75" customHeight="1">
      <c r="A50" s="288"/>
      <c r="B50" s="289" t="s">
        <v>146</v>
      </c>
      <c r="C50" s="288"/>
      <c r="D50" s="288"/>
      <c r="E50" s="288"/>
      <c r="F50" s="288"/>
      <c r="G50" s="288"/>
      <c r="H50" s="288"/>
      <c r="I50" s="290">
        <f t="shared" ref="I50:BD50" si="2">SUMIF($C$3:$C$37,"S&amp;M",I3:I37)</f>
        <v>0</v>
      </c>
      <c r="J50" s="290">
        <f t="shared" si="2"/>
        <v>0</v>
      </c>
      <c r="K50" s="290">
        <f t="shared" si="2"/>
        <v>0</v>
      </c>
      <c r="L50" s="290">
        <f t="shared" si="2"/>
        <v>0</v>
      </c>
      <c r="M50" s="290">
        <f t="shared" si="2"/>
        <v>0</v>
      </c>
      <c r="N50" s="290">
        <f t="shared" si="2"/>
        <v>0</v>
      </c>
      <c r="O50" s="290">
        <f t="shared" si="2"/>
        <v>0</v>
      </c>
      <c r="P50" s="290">
        <f t="shared" si="2"/>
        <v>0</v>
      </c>
      <c r="Q50" s="290">
        <f t="shared" si="2"/>
        <v>0</v>
      </c>
      <c r="R50" s="290">
        <f t="shared" si="2"/>
        <v>0</v>
      </c>
      <c r="S50" s="290">
        <f t="shared" si="2"/>
        <v>0</v>
      </c>
      <c r="T50" s="290">
        <f t="shared" si="2"/>
        <v>0</v>
      </c>
      <c r="U50" s="290">
        <f t="shared" si="2"/>
        <v>0</v>
      </c>
      <c r="V50" s="290">
        <f t="shared" si="2"/>
        <v>10800</v>
      </c>
      <c r="W50" s="290">
        <f t="shared" si="2"/>
        <v>10800</v>
      </c>
      <c r="X50" s="290">
        <f t="shared" si="2"/>
        <v>10800</v>
      </c>
      <c r="Y50" s="290">
        <f t="shared" si="2"/>
        <v>10800</v>
      </c>
      <c r="Z50" s="290">
        <f t="shared" si="2"/>
        <v>10800</v>
      </c>
      <c r="AA50" s="290">
        <f t="shared" si="2"/>
        <v>10800</v>
      </c>
      <c r="AB50" s="290">
        <f t="shared" si="2"/>
        <v>19800</v>
      </c>
      <c r="AC50" s="290">
        <f t="shared" si="2"/>
        <v>19800</v>
      </c>
      <c r="AD50" s="290">
        <f t="shared" si="2"/>
        <v>26300</v>
      </c>
      <c r="AE50" s="290">
        <f t="shared" si="2"/>
        <v>26300</v>
      </c>
      <c r="AF50" s="290">
        <f t="shared" si="2"/>
        <v>26300</v>
      </c>
      <c r="AG50" s="290">
        <f t="shared" si="2"/>
        <v>27164</v>
      </c>
      <c r="AH50" s="290">
        <f t="shared" si="2"/>
        <v>27164</v>
      </c>
      <c r="AI50" s="290">
        <f t="shared" si="2"/>
        <v>27164</v>
      </c>
      <c r="AJ50" s="290">
        <f t="shared" si="2"/>
        <v>27164</v>
      </c>
      <c r="AK50" s="290">
        <f t="shared" si="2"/>
        <v>27164</v>
      </c>
      <c r="AL50" s="290">
        <f t="shared" si="2"/>
        <v>27164</v>
      </c>
      <c r="AM50" s="290">
        <f t="shared" si="2"/>
        <v>27164</v>
      </c>
      <c r="AN50" s="290">
        <f t="shared" si="2"/>
        <v>27884</v>
      </c>
      <c r="AO50" s="290">
        <f t="shared" si="2"/>
        <v>27884</v>
      </c>
      <c r="AP50" s="290">
        <f t="shared" si="2"/>
        <v>28404</v>
      </c>
      <c r="AQ50" s="290">
        <f t="shared" si="2"/>
        <v>28404</v>
      </c>
      <c r="AR50" s="290">
        <f t="shared" si="2"/>
        <v>28404</v>
      </c>
      <c r="AS50" s="290">
        <f t="shared" si="2"/>
        <v>44337.12</v>
      </c>
      <c r="AT50" s="290">
        <f t="shared" si="2"/>
        <v>51837.12</v>
      </c>
      <c r="AU50" s="290">
        <f t="shared" si="2"/>
        <v>51837.12</v>
      </c>
      <c r="AV50" s="290">
        <f t="shared" si="2"/>
        <v>51837.12</v>
      </c>
      <c r="AW50" s="290">
        <f t="shared" si="2"/>
        <v>51837.12</v>
      </c>
      <c r="AX50" s="290">
        <f t="shared" si="2"/>
        <v>51837.12</v>
      </c>
      <c r="AY50" s="290">
        <f t="shared" si="2"/>
        <v>51837.12</v>
      </c>
      <c r="AZ50" s="290">
        <f t="shared" si="2"/>
        <v>52614.72</v>
      </c>
      <c r="BA50" s="290">
        <f t="shared" si="2"/>
        <v>52614.72</v>
      </c>
      <c r="BB50" s="290">
        <f t="shared" si="2"/>
        <v>53176.32</v>
      </c>
      <c r="BC50" s="290">
        <f t="shared" si="2"/>
        <v>53176.32</v>
      </c>
      <c r="BD50" s="290">
        <f t="shared" si="2"/>
        <v>53176.32</v>
      </c>
      <c r="BE50" s="291"/>
      <c r="BF50" s="292"/>
      <c r="BG50" s="292"/>
      <c r="BH50" s="292"/>
      <c r="BI50" s="292"/>
      <c r="BJ50" s="292"/>
      <c r="BK50" s="292"/>
      <c r="BL50" s="292"/>
      <c r="BM50" s="292"/>
      <c r="BN50" s="292"/>
      <c r="BO50" s="292"/>
      <c r="BP50" s="292"/>
      <c r="BQ50" s="293"/>
    </row>
    <row r="51" ht="15.75" customHeight="1">
      <c r="A51" s="288"/>
      <c r="B51" s="294" t="s">
        <v>142</v>
      </c>
      <c r="C51" s="288"/>
      <c r="D51" s="288"/>
      <c r="E51" s="288"/>
      <c r="F51" s="288"/>
      <c r="G51" s="288"/>
      <c r="H51" s="288"/>
      <c r="I51" s="295">
        <f t="shared" ref="I51:BD51" si="3">SUMIF($C$3:$C$37,"G&amp;A",I3:I37)</f>
        <v>0</v>
      </c>
      <c r="J51" s="295">
        <f t="shared" si="3"/>
        <v>0</v>
      </c>
      <c r="K51" s="295">
        <f t="shared" si="3"/>
        <v>0</v>
      </c>
      <c r="L51" s="295">
        <f t="shared" si="3"/>
        <v>0</v>
      </c>
      <c r="M51" s="295">
        <f t="shared" si="3"/>
        <v>0</v>
      </c>
      <c r="N51" s="295">
        <f t="shared" si="3"/>
        <v>0</v>
      </c>
      <c r="O51" s="295">
        <f t="shared" si="3"/>
        <v>0</v>
      </c>
      <c r="P51" s="295">
        <f t="shared" si="3"/>
        <v>0</v>
      </c>
      <c r="Q51" s="295">
        <f t="shared" si="3"/>
        <v>11500</v>
      </c>
      <c r="R51" s="295">
        <f t="shared" si="3"/>
        <v>11500</v>
      </c>
      <c r="S51" s="295">
        <f t="shared" si="3"/>
        <v>11500</v>
      </c>
      <c r="T51" s="295">
        <f t="shared" si="3"/>
        <v>11500</v>
      </c>
      <c r="U51" s="295">
        <f t="shared" si="3"/>
        <v>11820</v>
      </c>
      <c r="V51" s="295">
        <f t="shared" si="3"/>
        <v>11820</v>
      </c>
      <c r="W51" s="295">
        <f t="shared" si="3"/>
        <v>11820</v>
      </c>
      <c r="X51" s="295">
        <f t="shared" si="3"/>
        <v>11820</v>
      </c>
      <c r="Y51" s="295">
        <f t="shared" si="3"/>
        <v>11820</v>
      </c>
      <c r="Z51" s="295">
        <f t="shared" si="3"/>
        <v>11820</v>
      </c>
      <c r="AA51" s="295">
        <f t="shared" si="3"/>
        <v>11820</v>
      </c>
      <c r="AB51" s="295">
        <f t="shared" si="3"/>
        <v>20820</v>
      </c>
      <c r="AC51" s="295">
        <f t="shared" si="3"/>
        <v>25740</v>
      </c>
      <c r="AD51" s="295">
        <f t="shared" si="3"/>
        <v>30920</v>
      </c>
      <c r="AE51" s="295">
        <f t="shared" si="3"/>
        <v>30920</v>
      </c>
      <c r="AF51" s="295">
        <f t="shared" si="3"/>
        <v>30920</v>
      </c>
      <c r="AG51" s="295">
        <f t="shared" si="3"/>
        <v>42913.6</v>
      </c>
      <c r="AH51" s="295">
        <f t="shared" si="3"/>
        <v>42913.6</v>
      </c>
      <c r="AI51" s="295">
        <f t="shared" si="3"/>
        <v>42913.6</v>
      </c>
      <c r="AJ51" s="295">
        <f t="shared" si="3"/>
        <v>42913.6</v>
      </c>
      <c r="AK51" s="295">
        <f t="shared" si="3"/>
        <v>42913.6</v>
      </c>
      <c r="AL51" s="295">
        <f t="shared" si="3"/>
        <v>42913.6</v>
      </c>
      <c r="AM51" s="295">
        <f t="shared" si="3"/>
        <v>42913.6</v>
      </c>
      <c r="AN51" s="295">
        <f t="shared" si="3"/>
        <v>43633.6</v>
      </c>
      <c r="AO51" s="295">
        <f t="shared" si="3"/>
        <v>43633.6</v>
      </c>
      <c r="AP51" s="295">
        <f t="shared" si="3"/>
        <v>44393.6</v>
      </c>
      <c r="AQ51" s="295">
        <f t="shared" si="3"/>
        <v>44393.6</v>
      </c>
      <c r="AR51" s="295">
        <f t="shared" si="3"/>
        <v>44393.6</v>
      </c>
      <c r="AS51" s="295">
        <f t="shared" si="3"/>
        <v>46346.688</v>
      </c>
      <c r="AT51" s="295">
        <f t="shared" si="3"/>
        <v>53846.688</v>
      </c>
      <c r="AU51" s="295">
        <f t="shared" si="3"/>
        <v>53846.688</v>
      </c>
      <c r="AV51" s="295">
        <f t="shared" si="3"/>
        <v>53846.688</v>
      </c>
      <c r="AW51" s="295">
        <f t="shared" si="3"/>
        <v>53846.688</v>
      </c>
      <c r="AX51" s="295">
        <f t="shared" si="3"/>
        <v>53846.688</v>
      </c>
      <c r="AY51" s="295">
        <f t="shared" si="3"/>
        <v>53846.688</v>
      </c>
      <c r="AZ51" s="295">
        <f t="shared" si="3"/>
        <v>54624.288</v>
      </c>
      <c r="BA51" s="295">
        <f t="shared" si="3"/>
        <v>54624.288</v>
      </c>
      <c r="BB51" s="295">
        <f t="shared" si="3"/>
        <v>55445.088</v>
      </c>
      <c r="BC51" s="295">
        <f t="shared" si="3"/>
        <v>55445.088</v>
      </c>
      <c r="BD51" s="295">
        <f t="shared" si="3"/>
        <v>55445.088</v>
      </c>
      <c r="BE51" s="291"/>
      <c r="BF51" s="292"/>
      <c r="BG51" s="292"/>
      <c r="BH51" s="292"/>
      <c r="BI51" s="292"/>
      <c r="BJ51" s="292"/>
      <c r="BK51" s="292"/>
      <c r="BL51" s="292"/>
      <c r="BM51" s="292"/>
      <c r="BN51" s="292"/>
      <c r="BO51" s="292"/>
      <c r="BP51" s="292"/>
      <c r="BQ51" s="293"/>
    </row>
    <row r="52" ht="15.75" customHeight="1">
      <c r="A52" s="296"/>
      <c r="B52" s="297" t="s">
        <v>346</v>
      </c>
      <c r="C52" s="297"/>
      <c r="D52" s="297"/>
      <c r="E52" s="297"/>
      <c r="F52" s="297"/>
      <c r="G52" s="297"/>
      <c r="H52" s="297"/>
      <c r="I52" s="298">
        <f t="shared" ref="I52:BD52" si="4">SUM(I49:I51)</f>
        <v>0</v>
      </c>
      <c r="J52" s="298">
        <f t="shared" si="4"/>
        <v>0</v>
      </c>
      <c r="K52" s="298">
        <f t="shared" si="4"/>
        <v>0</v>
      </c>
      <c r="L52" s="298">
        <f t="shared" si="4"/>
        <v>0</v>
      </c>
      <c r="M52" s="298">
        <f t="shared" si="4"/>
        <v>0</v>
      </c>
      <c r="N52" s="298">
        <f t="shared" si="4"/>
        <v>0</v>
      </c>
      <c r="O52" s="298">
        <f t="shared" si="4"/>
        <v>0</v>
      </c>
      <c r="P52" s="298">
        <f t="shared" si="4"/>
        <v>0</v>
      </c>
      <c r="Q52" s="298">
        <f t="shared" si="4"/>
        <v>59000</v>
      </c>
      <c r="R52" s="298">
        <f t="shared" si="4"/>
        <v>59000</v>
      </c>
      <c r="S52" s="298">
        <f t="shared" si="4"/>
        <v>59000</v>
      </c>
      <c r="T52" s="298">
        <f t="shared" si="4"/>
        <v>59000</v>
      </c>
      <c r="U52" s="298">
        <f t="shared" si="4"/>
        <v>62520</v>
      </c>
      <c r="V52" s="298">
        <f t="shared" si="4"/>
        <v>73320</v>
      </c>
      <c r="W52" s="298">
        <f t="shared" si="4"/>
        <v>73320</v>
      </c>
      <c r="X52" s="298">
        <f t="shared" si="4"/>
        <v>73320</v>
      </c>
      <c r="Y52" s="298">
        <f t="shared" si="4"/>
        <v>73320</v>
      </c>
      <c r="Z52" s="298">
        <f t="shared" si="4"/>
        <v>73320</v>
      </c>
      <c r="AA52" s="298">
        <f t="shared" si="4"/>
        <v>81320</v>
      </c>
      <c r="AB52" s="298">
        <f t="shared" si="4"/>
        <v>105320</v>
      </c>
      <c r="AC52" s="298">
        <f t="shared" si="4"/>
        <v>114240</v>
      </c>
      <c r="AD52" s="298">
        <f t="shared" si="4"/>
        <v>126840</v>
      </c>
      <c r="AE52" s="298">
        <f t="shared" si="4"/>
        <v>126840</v>
      </c>
      <c r="AF52" s="298">
        <f t="shared" si="4"/>
        <v>126840</v>
      </c>
      <c r="AG52" s="298">
        <f t="shared" si="4"/>
        <v>164647.2</v>
      </c>
      <c r="AH52" s="298">
        <f t="shared" si="4"/>
        <v>164647.2</v>
      </c>
      <c r="AI52" s="298">
        <f t="shared" si="4"/>
        <v>164647.2</v>
      </c>
      <c r="AJ52" s="298">
        <f t="shared" si="4"/>
        <v>164647.2</v>
      </c>
      <c r="AK52" s="298">
        <f t="shared" si="4"/>
        <v>164647.2</v>
      </c>
      <c r="AL52" s="298">
        <f t="shared" si="4"/>
        <v>171147.2</v>
      </c>
      <c r="AM52" s="298">
        <f t="shared" si="4"/>
        <v>171787.2</v>
      </c>
      <c r="AN52" s="298">
        <f t="shared" si="4"/>
        <v>173707.2</v>
      </c>
      <c r="AO52" s="298">
        <f t="shared" si="4"/>
        <v>173707.2</v>
      </c>
      <c r="AP52" s="298">
        <f t="shared" si="4"/>
        <v>174987.2</v>
      </c>
      <c r="AQ52" s="298">
        <f t="shared" si="4"/>
        <v>174987.2</v>
      </c>
      <c r="AR52" s="298">
        <f t="shared" si="4"/>
        <v>174987.2</v>
      </c>
      <c r="AS52" s="298">
        <f t="shared" si="4"/>
        <v>199318.976</v>
      </c>
      <c r="AT52" s="298">
        <f t="shared" si="4"/>
        <v>214318.976</v>
      </c>
      <c r="AU52" s="298">
        <f t="shared" si="4"/>
        <v>214318.976</v>
      </c>
      <c r="AV52" s="298">
        <f t="shared" si="4"/>
        <v>214318.976</v>
      </c>
      <c r="AW52" s="298">
        <f t="shared" si="4"/>
        <v>214318.976</v>
      </c>
      <c r="AX52" s="298">
        <f t="shared" si="4"/>
        <v>214838.976</v>
      </c>
      <c r="AY52" s="298">
        <f t="shared" si="4"/>
        <v>215530.176</v>
      </c>
      <c r="AZ52" s="298">
        <f t="shared" si="4"/>
        <v>217603.776</v>
      </c>
      <c r="BA52" s="298">
        <f t="shared" si="4"/>
        <v>217603.776</v>
      </c>
      <c r="BB52" s="298">
        <f t="shared" si="4"/>
        <v>218986.176</v>
      </c>
      <c r="BC52" s="298">
        <f t="shared" si="4"/>
        <v>218986.176</v>
      </c>
      <c r="BD52" s="298">
        <f t="shared" si="4"/>
        <v>218986.176</v>
      </c>
      <c r="BE52" s="299"/>
      <c r="BF52" s="298"/>
      <c r="BG52" s="298"/>
      <c r="BH52" s="298"/>
      <c r="BI52" s="298"/>
      <c r="BJ52" s="298"/>
      <c r="BK52" s="298"/>
      <c r="BL52" s="298"/>
      <c r="BM52" s="298"/>
      <c r="BN52" s="298"/>
      <c r="BO52" s="298"/>
      <c r="BP52" s="298"/>
      <c r="BQ52" s="300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86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34"/>
    </row>
    <row r="54" ht="15.75" customHeight="1">
      <c r="A54" s="19"/>
      <c r="B54" s="24" t="s">
        <v>347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87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41"/>
    </row>
    <row r="55" ht="15.75" customHeight="1">
      <c r="A55" s="301"/>
      <c r="B55" s="302" t="s">
        <v>149</v>
      </c>
      <c r="C55" s="301"/>
      <c r="D55" s="301"/>
      <c r="E55" s="301"/>
      <c r="F55" s="301"/>
      <c r="G55" s="301"/>
      <c r="H55" s="301"/>
      <c r="I55" s="303">
        <f t="shared" ref="I55:BD55" si="5">COUNTIFS($C$3:$C$37,"R&amp;D",I3:I37,"&gt;0")</f>
        <v>0</v>
      </c>
      <c r="J55" s="303">
        <f t="shared" si="5"/>
        <v>0</v>
      </c>
      <c r="K55" s="303">
        <f t="shared" si="5"/>
        <v>0</v>
      </c>
      <c r="L55" s="303">
        <f t="shared" si="5"/>
        <v>0</v>
      </c>
      <c r="M55" s="303">
        <f t="shared" si="5"/>
        <v>0</v>
      </c>
      <c r="N55" s="303">
        <f t="shared" si="5"/>
        <v>0</v>
      </c>
      <c r="O55" s="303">
        <f t="shared" si="5"/>
        <v>0</v>
      </c>
      <c r="P55" s="303">
        <f t="shared" si="5"/>
        <v>0</v>
      </c>
      <c r="Q55" s="303">
        <f t="shared" si="5"/>
        <v>8</v>
      </c>
      <c r="R55" s="303">
        <f t="shared" si="5"/>
        <v>8</v>
      </c>
      <c r="S55" s="303">
        <f t="shared" si="5"/>
        <v>8</v>
      </c>
      <c r="T55" s="303">
        <f t="shared" si="5"/>
        <v>8</v>
      </c>
      <c r="U55" s="303">
        <f t="shared" si="5"/>
        <v>8</v>
      </c>
      <c r="V55" s="303">
        <f t="shared" si="5"/>
        <v>8</v>
      </c>
      <c r="W55" s="303">
        <f t="shared" si="5"/>
        <v>8</v>
      </c>
      <c r="X55" s="303">
        <f t="shared" si="5"/>
        <v>8</v>
      </c>
      <c r="Y55" s="303">
        <f t="shared" si="5"/>
        <v>8</v>
      </c>
      <c r="Z55" s="303">
        <f t="shared" si="5"/>
        <v>8</v>
      </c>
      <c r="AA55" s="303">
        <f t="shared" si="5"/>
        <v>9</v>
      </c>
      <c r="AB55" s="303">
        <f t="shared" si="5"/>
        <v>10</v>
      </c>
      <c r="AC55" s="303">
        <f t="shared" si="5"/>
        <v>10</v>
      </c>
      <c r="AD55" s="303">
        <f t="shared" si="5"/>
        <v>10</v>
      </c>
      <c r="AE55" s="303">
        <f t="shared" si="5"/>
        <v>10</v>
      </c>
      <c r="AF55" s="303">
        <f t="shared" si="5"/>
        <v>10</v>
      </c>
      <c r="AG55" s="303">
        <f t="shared" si="5"/>
        <v>13</v>
      </c>
      <c r="AH55" s="303">
        <f t="shared" si="5"/>
        <v>13</v>
      </c>
      <c r="AI55" s="303">
        <f t="shared" si="5"/>
        <v>13</v>
      </c>
      <c r="AJ55" s="303">
        <f t="shared" si="5"/>
        <v>13</v>
      </c>
      <c r="AK55" s="303">
        <f t="shared" si="5"/>
        <v>13</v>
      </c>
      <c r="AL55" s="303">
        <f t="shared" si="5"/>
        <v>14</v>
      </c>
      <c r="AM55" s="303">
        <f t="shared" si="5"/>
        <v>14</v>
      </c>
      <c r="AN55" s="303">
        <f t="shared" si="5"/>
        <v>14</v>
      </c>
      <c r="AO55" s="303">
        <f t="shared" si="5"/>
        <v>14</v>
      </c>
      <c r="AP55" s="303">
        <f t="shared" si="5"/>
        <v>14</v>
      </c>
      <c r="AQ55" s="303">
        <f t="shared" si="5"/>
        <v>14</v>
      </c>
      <c r="AR55" s="303">
        <f t="shared" si="5"/>
        <v>14</v>
      </c>
      <c r="AS55" s="303">
        <f t="shared" si="5"/>
        <v>14</v>
      </c>
      <c r="AT55" s="303">
        <f t="shared" si="5"/>
        <v>14</v>
      </c>
      <c r="AU55" s="303">
        <f t="shared" si="5"/>
        <v>14</v>
      </c>
      <c r="AV55" s="303">
        <f t="shared" si="5"/>
        <v>14</v>
      </c>
      <c r="AW55" s="303">
        <f t="shared" si="5"/>
        <v>14</v>
      </c>
      <c r="AX55" s="303">
        <f t="shared" si="5"/>
        <v>14</v>
      </c>
      <c r="AY55" s="303">
        <f t="shared" si="5"/>
        <v>14</v>
      </c>
      <c r="AZ55" s="303">
        <f t="shared" si="5"/>
        <v>14</v>
      </c>
      <c r="BA55" s="303">
        <f t="shared" si="5"/>
        <v>14</v>
      </c>
      <c r="BB55" s="303">
        <f t="shared" si="5"/>
        <v>14</v>
      </c>
      <c r="BC55" s="303">
        <f t="shared" si="5"/>
        <v>14</v>
      </c>
      <c r="BD55" s="303">
        <f t="shared" si="5"/>
        <v>14</v>
      </c>
      <c r="BE55" s="304"/>
      <c r="BF55" s="305"/>
      <c r="BG55" s="305"/>
      <c r="BH55" s="305"/>
      <c r="BI55" s="305"/>
      <c r="BJ55" s="305"/>
      <c r="BK55" s="305"/>
      <c r="BL55" s="305"/>
      <c r="BM55" s="305"/>
      <c r="BN55" s="305"/>
      <c r="BO55" s="305"/>
      <c r="BP55" s="305"/>
      <c r="BQ55" s="306"/>
    </row>
    <row r="56" ht="15.75" customHeight="1">
      <c r="A56" s="301"/>
      <c r="B56" s="302" t="s">
        <v>146</v>
      </c>
      <c r="C56" s="301"/>
      <c r="D56" s="301"/>
      <c r="E56" s="301"/>
      <c r="F56" s="301"/>
      <c r="G56" s="301"/>
      <c r="H56" s="301"/>
      <c r="I56" s="303">
        <f t="shared" ref="I56:BD56" si="6">COUNTIFS($C$3:$C$37,"S&amp;M",I3:I37,"&gt;0")</f>
        <v>0</v>
      </c>
      <c r="J56" s="303">
        <f t="shared" si="6"/>
        <v>0</v>
      </c>
      <c r="K56" s="303">
        <f t="shared" si="6"/>
        <v>0</v>
      </c>
      <c r="L56" s="303">
        <f t="shared" si="6"/>
        <v>0</v>
      </c>
      <c r="M56" s="303">
        <f t="shared" si="6"/>
        <v>0</v>
      </c>
      <c r="N56" s="303">
        <f t="shared" si="6"/>
        <v>0</v>
      </c>
      <c r="O56" s="303">
        <f t="shared" si="6"/>
        <v>0</v>
      </c>
      <c r="P56" s="303">
        <f t="shared" si="6"/>
        <v>0</v>
      </c>
      <c r="Q56" s="303">
        <f t="shared" si="6"/>
        <v>0</v>
      </c>
      <c r="R56" s="303">
        <f t="shared" si="6"/>
        <v>0</v>
      </c>
      <c r="S56" s="303">
        <f t="shared" si="6"/>
        <v>0</v>
      </c>
      <c r="T56" s="303">
        <f t="shared" si="6"/>
        <v>0</v>
      </c>
      <c r="U56" s="303">
        <f t="shared" si="6"/>
        <v>0</v>
      </c>
      <c r="V56" s="303">
        <f t="shared" si="6"/>
        <v>1</v>
      </c>
      <c r="W56" s="303">
        <f t="shared" si="6"/>
        <v>1</v>
      </c>
      <c r="X56" s="303">
        <f t="shared" si="6"/>
        <v>1</v>
      </c>
      <c r="Y56" s="303">
        <f t="shared" si="6"/>
        <v>1</v>
      </c>
      <c r="Z56" s="303">
        <f t="shared" si="6"/>
        <v>1</v>
      </c>
      <c r="AA56" s="303">
        <f t="shared" si="6"/>
        <v>1</v>
      </c>
      <c r="AB56" s="303">
        <f t="shared" si="6"/>
        <v>2</v>
      </c>
      <c r="AC56" s="303">
        <f t="shared" si="6"/>
        <v>2</v>
      </c>
      <c r="AD56" s="303">
        <f t="shared" si="6"/>
        <v>3</v>
      </c>
      <c r="AE56" s="303">
        <f t="shared" si="6"/>
        <v>3</v>
      </c>
      <c r="AF56" s="303">
        <f t="shared" si="6"/>
        <v>3</v>
      </c>
      <c r="AG56" s="303">
        <f t="shared" si="6"/>
        <v>3</v>
      </c>
      <c r="AH56" s="303">
        <f t="shared" si="6"/>
        <v>3</v>
      </c>
      <c r="AI56" s="303">
        <f t="shared" si="6"/>
        <v>3</v>
      </c>
      <c r="AJ56" s="303">
        <f t="shared" si="6"/>
        <v>3</v>
      </c>
      <c r="AK56" s="303">
        <f t="shared" si="6"/>
        <v>3</v>
      </c>
      <c r="AL56" s="303">
        <f t="shared" si="6"/>
        <v>3</v>
      </c>
      <c r="AM56" s="303">
        <f t="shared" si="6"/>
        <v>3</v>
      </c>
      <c r="AN56" s="303">
        <f t="shared" si="6"/>
        <v>3</v>
      </c>
      <c r="AO56" s="303">
        <f t="shared" si="6"/>
        <v>3</v>
      </c>
      <c r="AP56" s="303">
        <f t="shared" si="6"/>
        <v>3</v>
      </c>
      <c r="AQ56" s="303">
        <f t="shared" si="6"/>
        <v>3</v>
      </c>
      <c r="AR56" s="303">
        <f t="shared" si="6"/>
        <v>3</v>
      </c>
      <c r="AS56" s="303">
        <f t="shared" si="6"/>
        <v>5</v>
      </c>
      <c r="AT56" s="303">
        <f t="shared" si="6"/>
        <v>6</v>
      </c>
      <c r="AU56" s="303">
        <f t="shared" si="6"/>
        <v>6</v>
      </c>
      <c r="AV56" s="303">
        <f t="shared" si="6"/>
        <v>6</v>
      </c>
      <c r="AW56" s="303">
        <f t="shared" si="6"/>
        <v>6</v>
      </c>
      <c r="AX56" s="303">
        <f t="shared" si="6"/>
        <v>6</v>
      </c>
      <c r="AY56" s="303">
        <f t="shared" si="6"/>
        <v>6</v>
      </c>
      <c r="AZ56" s="303">
        <f t="shared" si="6"/>
        <v>6</v>
      </c>
      <c r="BA56" s="303">
        <f t="shared" si="6"/>
        <v>6</v>
      </c>
      <c r="BB56" s="303">
        <f t="shared" si="6"/>
        <v>6</v>
      </c>
      <c r="BC56" s="303">
        <f t="shared" si="6"/>
        <v>6</v>
      </c>
      <c r="BD56" s="303">
        <f t="shared" si="6"/>
        <v>6</v>
      </c>
      <c r="BE56" s="304"/>
      <c r="BF56" s="305"/>
      <c r="BG56" s="305"/>
      <c r="BH56" s="305"/>
      <c r="BI56" s="305"/>
      <c r="BJ56" s="305"/>
      <c r="BK56" s="305"/>
      <c r="BL56" s="305"/>
      <c r="BM56" s="305"/>
      <c r="BN56" s="305"/>
      <c r="BO56" s="305"/>
      <c r="BP56" s="305"/>
      <c r="BQ56" s="306"/>
    </row>
    <row r="57" ht="15.75" customHeight="1">
      <c r="A57" s="301"/>
      <c r="B57" s="302" t="s">
        <v>142</v>
      </c>
      <c r="C57" s="301"/>
      <c r="D57" s="301"/>
      <c r="E57" s="301"/>
      <c r="F57" s="301"/>
      <c r="G57" s="301"/>
      <c r="H57" s="301"/>
      <c r="I57" s="303">
        <f t="shared" ref="I57:BD57" si="7">COUNTIFS($C$3:$C$37,"G&amp;A",I3:I37,"&gt;0")</f>
        <v>0</v>
      </c>
      <c r="J57" s="303">
        <f t="shared" si="7"/>
        <v>0</v>
      </c>
      <c r="K57" s="303">
        <f t="shared" si="7"/>
        <v>0</v>
      </c>
      <c r="L57" s="303">
        <f t="shared" si="7"/>
        <v>0</v>
      </c>
      <c r="M57" s="303">
        <f t="shared" si="7"/>
        <v>0</v>
      </c>
      <c r="N57" s="303">
        <f t="shared" si="7"/>
        <v>0</v>
      </c>
      <c r="O57" s="303">
        <f t="shared" si="7"/>
        <v>0</v>
      </c>
      <c r="P57" s="303">
        <f t="shared" si="7"/>
        <v>0</v>
      </c>
      <c r="Q57" s="303">
        <f t="shared" si="7"/>
        <v>2</v>
      </c>
      <c r="R57" s="303">
        <f t="shared" si="7"/>
        <v>2</v>
      </c>
      <c r="S57" s="303">
        <f t="shared" si="7"/>
        <v>2</v>
      </c>
      <c r="T57" s="303">
        <f t="shared" si="7"/>
        <v>2</v>
      </c>
      <c r="U57" s="303">
        <f t="shared" si="7"/>
        <v>2</v>
      </c>
      <c r="V57" s="303">
        <f t="shared" si="7"/>
        <v>2</v>
      </c>
      <c r="W57" s="303">
        <f t="shared" si="7"/>
        <v>2</v>
      </c>
      <c r="X57" s="303">
        <f t="shared" si="7"/>
        <v>2</v>
      </c>
      <c r="Y57" s="303">
        <f t="shared" si="7"/>
        <v>2</v>
      </c>
      <c r="Z57" s="303">
        <f t="shared" si="7"/>
        <v>2</v>
      </c>
      <c r="AA57" s="303">
        <f t="shared" si="7"/>
        <v>2</v>
      </c>
      <c r="AB57" s="303">
        <f t="shared" si="7"/>
        <v>3</v>
      </c>
      <c r="AC57" s="303">
        <f t="shared" si="7"/>
        <v>3</v>
      </c>
      <c r="AD57" s="303">
        <f t="shared" si="7"/>
        <v>3</v>
      </c>
      <c r="AE57" s="303">
        <f t="shared" si="7"/>
        <v>3</v>
      </c>
      <c r="AF57" s="303">
        <f t="shared" si="7"/>
        <v>3</v>
      </c>
      <c r="AG57" s="303">
        <f t="shared" si="7"/>
        <v>5</v>
      </c>
      <c r="AH57" s="303">
        <f t="shared" si="7"/>
        <v>5</v>
      </c>
      <c r="AI57" s="303">
        <f t="shared" si="7"/>
        <v>5</v>
      </c>
      <c r="AJ57" s="303">
        <f t="shared" si="7"/>
        <v>5</v>
      </c>
      <c r="AK57" s="303">
        <f t="shared" si="7"/>
        <v>5</v>
      </c>
      <c r="AL57" s="303">
        <f t="shared" si="7"/>
        <v>5</v>
      </c>
      <c r="AM57" s="303">
        <f t="shared" si="7"/>
        <v>5</v>
      </c>
      <c r="AN57" s="303">
        <f t="shared" si="7"/>
        <v>5</v>
      </c>
      <c r="AO57" s="303">
        <f t="shared" si="7"/>
        <v>5</v>
      </c>
      <c r="AP57" s="303">
        <f t="shared" si="7"/>
        <v>5</v>
      </c>
      <c r="AQ57" s="303">
        <f t="shared" si="7"/>
        <v>5</v>
      </c>
      <c r="AR57" s="303">
        <f t="shared" si="7"/>
        <v>5</v>
      </c>
      <c r="AS57" s="303">
        <f t="shared" si="7"/>
        <v>5</v>
      </c>
      <c r="AT57" s="303">
        <f t="shared" si="7"/>
        <v>6</v>
      </c>
      <c r="AU57" s="303">
        <f t="shared" si="7"/>
        <v>6</v>
      </c>
      <c r="AV57" s="303">
        <f t="shared" si="7"/>
        <v>6</v>
      </c>
      <c r="AW57" s="303">
        <f t="shared" si="7"/>
        <v>6</v>
      </c>
      <c r="AX57" s="303">
        <f t="shared" si="7"/>
        <v>6</v>
      </c>
      <c r="AY57" s="303">
        <f t="shared" si="7"/>
        <v>6</v>
      </c>
      <c r="AZ57" s="303">
        <f t="shared" si="7"/>
        <v>6</v>
      </c>
      <c r="BA57" s="303">
        <f t="shared" si="7"/>
        <v>6</v>
      </c>
      <c r="BB57" s="303">
        <f t="shared" si="7"/>
        <v>6</v>
      </c>
      <c r="BC57" s="303">
        <f t="shared" si="7"/>
        <v>6</v>
      </c>
      <c r="BD57" s="303">
        <f t="shared" si="7"/>
        <v>6</v>
      </c>
      <c r="BE57" s="304"/>
      <c r="BF57" s="305"/>
      <c r="BG57" s="305"/>
      <c r="BH57" s="305"/>
      <c r="BI57" s="305"/>
      <c r="BJ57" s="305"/>
      <c r="BK57" s="305"/>
      <c r="BL57" s="305"/>
      <c r="BM57" s="305"/>
      <c r="BN57" s="305"/>
      <c r="BO57" s="305"/>
      <c r="BP57" s="305"/>
      <c r="BQ57" s="306"/>
    </row>
    <row r="58" ht="15.75" customHeight="1">
      <c r="A58" s="296"/>
      <c r="B58" s="307" t="s">
        <v>348</v>
      </c>
      <c r="C58" s="307"/>
      <c r="D58" s="307"/>
      <c r="E58" s="307"/>
      <c r="F58" s="307"/>
      <c r="G58" s="307"/>
      <c r="H58" s="307"/>
      <c r="I58" s="308">
        <f t="shared" ref="I58:BD58" si="8">SUM(I55:I57)</f>
        <v>0</v>
      </c>
      <c r="J58" s="308">
        <f t="shared" si="8"/>
        <v>0</v>
      </c>
      <c r="K58" s="308">
        <f t="shared" si="8"/>
        <v>0</v>
      </c>
      <c r="L58" s="308">
        <f t="shared" si="8"/>
        <v>0</v>
      </c>
      <c r="M58" s="308">
        <f t="shared" si="8"/>
        <v>0</v>
      </c>
      <c r="N58" s="308">
        <f t="shared" si="8"/>
        <v>0</v>
      </c>
      <c r="O58" s="308">
        <f t="shared" si="8"/>
        <v>0</v>
      </c>
      <c r="P58" s="308">
        <f t="shared" si="8"/>
        <v>0</v>
      </c>
      <c r="Q58" s="308">
        <f t="shared" si="8"/>
        <v>10</v>
      </c>
      <c r="R58" s="308">
        <f t="shared" si="8"/>
        <v>10</v>
      </c>
      <c r="S58" s="308">
        <f t="shared" si="8"/>
        <v>10</v>
      </c>
      <c r="T58" s="308">
        <f t="shared" si="8"/>
        <v>10</v>
      </c>
      <c r="U58" s="308">
        <f t="shared" si="8"/>
        <v>10</v>
      </c>
      <c r="V58" s="308">
        <f t="shared" si="8"/>
        <v>11</v>
      </c>
      <c r="W58" s="308">
        <f t="shared" si="8"/>
        <v>11</v>
      </c>
      <c r="X58" s="308">
        <f t="shared" si="8"/>
        <v>11</v>
      </c>
      <c r="Y58" s="308">
        <f t="shared" si="8"/>
        <v>11</v>
      </c>
      <c r="Z58" s="308">
        <f t="shared" si="8"/>
        <v>11</v>
      </c>
      <c r="AA58" s="308">
        <f t="shared" si="8"/>
        <v>12</v>
      </c>
      <c r="AB58" s="308">
        <f t="shared" si="8"/>
        <v>15</v>
      </c>
      <c r="AC58" s="308">
        <f t="shared" si="8"/>
        <v>15</v>
      </c>
      <c r="AD58" s="308">
        <f t="shared" si="8"/>
        <v>16</v>
      </c>
      <c r="AE58" s="308">
        <f t="shared" si="8"/>
        <v>16</v>
      </c>
      <c r="AF58" s="308">
        <f t="shared" si="8"/>
        <v>16</v>
      </c>
      <c r="AG58" s="308">
        <f t="shared" si="8"/>
        <v>21</v>
      </c>
      <c r="AH58" s="308">
        <f t="shared" si="8"/>
        <v>21</v>
      </c>
      <c r="AI58" s="308">
        <f t="shared" si="8"/>
        <v>21</v>
      </c>
      <c r="AJ58" s="308">
        <f t="shared" si="8"/>
        <v>21</v>
      </c>
      <c r="AK58" s="308">
        <f t="shared" si="8"/>
        <v>21</v>
      </c>
      <c r="AL58" s="308">
        <f t="shared" si="8"/>
        <v>22</v>
      </c>
      <c r="AM58" s="308">
        <f t="shared" si="8"/>
        <v>22</v>
      </c>
      <c r="AN58" s="308">
        <f t="shared" si="8"/>
        <v>22</v>
      </c>
      <c r="AO58" s="308">
        <f t="shared" si="8"/>
        <v>22</v>
      </c>
      <c r="AP58" s="308">
        <f t="shared" si="8"/>
        <v>22</v>
      </c>
      <c r="AQ58" s="308">
        <f t="shared" si="8"/>
        <v>22</v>
      </c>
      <c r="AR58" s="308">
        <f t="shared" si="8"/>
        <v>22</v>
      </c>
      <c r="AS58" s="308">
        <f t="shared" si="8"/>
        <v>24</v>
      </c>
      <c r="AT58" s="308">
        <f t="shared" si="8"/>
        <v>26</v>
      </c>
      <c r="AU58" s="308">
        <f t="shared" si="8"/>
        <v>26</v>
      </c>
      <c r="AV58" s="308">
        <f t="shared" si="8"/>
        <v>26</v>
      </c>
      <c r="AW58" s="308">
        <f t="shared" si="8"/>
        <v>26</v>
      </c>
      <c r="AX58" s="308">
        <f t="shared" si="8"/>
        <v>26</v>
      </c>
      <c r="AY58" s="308">
        <f t="shared" si="8"/>
        <v>26</v>
      </c>
      <c r="AZ58" s="308">
        <f t="shared" si="8"/>
        <v>26</v>
      </c>
      <c r="BA58" s="308">
        <f t="shared" si="8"/>
        <v>26</v>
      </c>
      <c r="BB58" s="308">
        <f t="shared" si="8"/>
        <v>26</v>
      </c>
      <c r="BC58" s="308">
        <f t="shared" si="8"/>
        <v>26</v>
      </c>
      <c r="BD58" s="308">
        <f t="shared" si="8"/>
        <v>26</v>
      </c>
      <c r="BE58" s="309"/>
      <c r="BF58" s="310"/>
      <c r="BG58" s="310"/>
      <c r="BH58" s="310"/>
      <c r="BI58" s="310"/>
      <c r="BJ58" s="310"/>
      <c r="BK58" s="310"/>
      <c r="BL58" s="310"/>
      <c r="BM58" s="310"/>
      <c r="BN58" s="310"/>
      <c r="BO58" s="310"/>
      <c r="BP58" s="310"/>
      <c r="BQ58" s="300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86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34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86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34"/>
    </row>
    <row r="61" ht="15.75" customHeight="1">
      <c r="A61" s="22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34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34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34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34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34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34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34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34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34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34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34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34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34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34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34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34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34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34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34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34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34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34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34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34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34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34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34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34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34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34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34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34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34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34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34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34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34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34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34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34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34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34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34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34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34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34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34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34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34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34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34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34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34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34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34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34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34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34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34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34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34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34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34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34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34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34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34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34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34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34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34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34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34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34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34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34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34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34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34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34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34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34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34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34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34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34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34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34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34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34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34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34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34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34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34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34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34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34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34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34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34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34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34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34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34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34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34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34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34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34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34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34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34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34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34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34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34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34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34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34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34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34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34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34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34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34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34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34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34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34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34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34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34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34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34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34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34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34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34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34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34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34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34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34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34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34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34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34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34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34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34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34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34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34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34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34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34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34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34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34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34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34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34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34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34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34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34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34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34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34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34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34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34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34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34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34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34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34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34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34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34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34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34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34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34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34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34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34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34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34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34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34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34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34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34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34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34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34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BD1"/>
    <mergeCell ref="B46:H46"/>
    <mergeCell ref="B48:BD48"/>
    <mergeCell ref="B54:BD5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4" width="8.0"/>
    <col customWidth="1" min="5" max="5" width="9.57"/>
    <col customWidth="1" min="6" max="8" width="10.71"/>
    <col customWidth="1" min="9" max="12" width="9.0"/>
    <col customWidth="1" min="13" max="13" width="15.71"/>
    <col customWidth="1" min="14" max="16" width="12.86"/>
    <col customWidth="1" min="17" max="18" width="9.0"/>
    <col customWidth="1" min="19" max="19" width="13.29"/>
    <col customWidth="1" min="20" max="20" width="14.14"/>
    <col customWidth="1" min="21" max="22" width="10.71"/>
    <col customWidth="1" min="23" max="23" width="12.14"/>
    <col customWidth="1" min="24" max="24" width="16.57"/>
    <col customWidth="1" min="25" max="31" width="9.0"/>
    <col customWidth="1" min="32" max="40" width="8.0"/>
  </cols>
  <sheetData>
    <row r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</row>
    <row r="2" ht="13.5" customHeight="1">
      <c r="A2" s="311"/>
      <c r="B2" s="312" t="s">
        <v>349</v>
      </c>
      <c r="C2" s="313">
        <v>2025.0</v>
      </c>
      <c r="D2" s="313">
        <v>2026.0</v>
      </c>
      <c r="E2" s="313">
        <v>2027.0</v>
      </c>
      <c r="F2" s="313">
        <v>2028.0</v>
      </c>
      <c r="G2" s="313">
        <v>2029.0</v>
      </c>
      <c r="H2" s="313">
        <v>2030.0</v>
      </c>
      <c r="I2" s="313"/>
      <c r="J2" s="313"/>
      <c r="K2" s="313"/>
      <c r="L2" s="313"/>
      <c r="M2" s="312" t="s">
        <v>350</v>
      </c>
      <c r="N2" s="313">
        <v>2027.0</v>
      </c>
      <c r="O2" s="313">
        <v>2028.0</v>
      </c>
      <c r="P2" s="313">
        <v>2029.0</v>
      </c>
      <c r="Q2" s="313"/>
      <c r="R2" s="313"/>
      <c r="S2" s="313"/>
      <c r="T2" s="313">
        <v>2027.0</v>
      </c>
      <c r="U2" s="313">
        <v>2028.0</v>
      </c>
      <c r="V2" s="313">
        <v>2029.0</v>
      </c>
      <c r="W2" s="313"/>
      <c r="X2" s="313"/>
      <c r="Y2" s="313"/>
      <c r="Z2" s="313"/>
      <c r="AA2" s="313"/>
      <c r="AB2" s="313"/>
      <c r="AC2" s="314"/>
      <c r="AD2" s="314"/>
      <c r="AE2" s="314"/>
      <c r="AF2" s="314"/>
      <c r="AG2" s="314"/>
      <c r="AH2" s="314"/>
      <c r="AI2" s="314"/>
      <c r="AJ2" s="314"/>
      <c r="AK2" s="314"/>
      <c r="AL2" s="314"/>
      <c r="AM2" s="314"/>
      <c r="AN2" s="314"/>
      <c r="AO2" s="314"/>
      <c r="AP2" s="314"/>
      <c r="AQ2" s="315"/>
      <c r="AR2" s="311"/>
    </row>
    <row r="3" ht="15.75" customHeight="1">
      <c r="A3" s="27"/>
      <c r="B3" s="27" t="s">
        <v>351</v>
      </c>
      <c r="C3" s="156">
        <f>'Financial Statements'!BB11</f>
        <v>97480</v>
      </c>
      <c r="D3" s="156">
        <f>'Financial Statements'!BC11</f>
        <v>106782</v>
      </c>
      <c r="E3" s="156">
        <f>'Financial Statements'!BD11</f>
        <v>16512760.29</v>
      </c>
      <c r="F3" s="156">
        <f>'Financial Statements'!BE11</f>
        <v>52529043.35</v>
      </c>
      <c r="G3" s="156">
        <f>'Financial Statements'!BF11</f>
        <v>105506931.7</v>
      </c>
      <c r="H3" s="27" t="str">
        <f>#REF!</f>
        <v>#REF!</v>
      </c>
      <c r="I3" s="27"/>
      <c r="J3" s="27"/>
      <c r="K3" s="27"/>
      <c r="L3" s="27"/>
      <c r="M3" s="27" t="s">
        <v>260</v>
      </c>
      <c r="N3" s="156">
        <f>'Revenue Forecast'!BD6</f>
        <v>1005</v>
      </c>
      <c r="O3" s="156">
        <f>'Revenue Forecast'!BE6</f>
        <v>3000</v>
      </c>
      <c r="P3" s="156">
        <f>'Revenue Forecast'!BF6</f>
        <v>6000</v>
      </c>
      <c r="Q3" s="27"/>
      <c r="R3" s="27"/>
      <c r="S3" s="27" t="s">
        <v>352</v>
      </c>
      <c r="T3" s="156">
        <v>3035867.7685950417</v>
      </c>
      <c r="U3" s="156">
        <v>1.1993553719008267E7</v>
      </c>
      <c r="V3" s="156">
        <v>2.3987107438016534E7</v>
      </c>
      <c r="W3" s="156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</row>
    <row r="4" ht="15.75" customHeight="1">
      <c r="A4" s="27"/>
      <c r="B4" s="27" t="s">
        <v>353</v>
      </c>
      <c r="C4" s="27"/>
      <c r="D4" s="27"/>
      <c r="E4" s="156">
        <f>COGS!BD7</f>
        <v>10048914.6</v>
      </c>
      <c r="F4" s="156">
        <f>COGS!BE7</f>
        <v>21238332</v>
      </c>
      <c r="G4" s="27"/>
      <c r="H4" s="27"/>
      <c r="I4" s="27"/>
      <c r="J4" s="27"/>
      <c r="K4" s="27"/>
      <c r="L4" s="27"/>
      <c r="M4" s="27" t="s">
        <v>354</v>
      </c>
      <c r="N4" s="156">
        <f>'Revenue Forecast'!BD12</f>
        <v>500</v>
      </c>
      <c r="O4" s="156">
        <f>'Revenue Forecast'!BE12</f>
        <v>2000</v>
      </c>
      <c r="P4" s="156">
        <f>'Revenue Forecast'!BF12</f>
        <v>4000</v>
      </c>
      <c r="Q4" s="27"/>
      <c r="R4" s="27"/>
      <c r="S4" s="27" t="s">
        <v>355</v>
      </c>
      <c r="T4" s="156">
        <v>332231.4049586777</v>
      </c>
      <c r="U4" s="156">
        <v>2751983.4710743804</v>
      </c>
      <c r="V4" s="156">
        <v>5503966.942148761</v>
      </c>
      <c r="W4" s="156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</row>
    <row r="5" ht="15.75" customHeight="1">
      <c r="A5" s="27"/>
      <c r="B5" s="27" t="s">
        <v>356</v>
      </c>
      <c r="C5" s="27"/>
      <c r="D5" s="156">
        <f>OPEX!BE36</f>
        <v>2076520</v>
      </c>
      <c r="E5" s="156">
        <f>OPEX!BF36</f>
        <v>3776866.4</v>
      </c>
      <c r="F5" s="156">
        <f>OPEX!BG36</f>
        <v>5376546.112</v>
      </c>
      <c r="G5" s="27"/>
      <c r="H5" s="27"/>
      <c r="I5" s="27"/>
      <c r="J5" s="27"/>
      <c r="K5" s="27"/>
      <c r="L5" s="27"/>
      <c r="M5" s="27" t="s">
        <v>357</v>
      </c>
      <c r="N5" s="156">
        <f>'Revenue Forecast'!BD9</f>
        <v>10140117.77</v>
      </c>
      <c r="O5" s="156">
        <f>'Revenue Forecast'!BE9</f>
        <v>30269008.26</v>
      </c>
      <c r="P5" s="156">
        <f>'Revenue Forecast'!BF9</f>
        <v>60538016.53</v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</row>
    <row r="6" ht="15.7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 t="s">
        <v>358</v>
      </c>
      <c r="N6" s="156">
        <f>'Revenue Forecast'!BD15</f>
        <v>1452797.521</v>
      </c>
      <c r="O6" s="156">
        <f>'Revenue Forecast'!BE15</f>
        <v>5811190.083</v>
      </c>
      <c r="P6" s="156">
        <f>'Revenue Forecast'!BF15</f>
        <v>11622380.17</v>
      </c>
      <c r="Q6" s="27"/>
      <c r="R6" s="27"/>
      <c r="S6" s="27" t="s">
        <v>359</v>
      </c>
      <c r="T6" s="27"/>
      <c r="U6" s="27"/>
      <c r="V6" s="27" t="s">
        <v>360</v>
      </c>
      <c r="W6" s="27" t="s">
        <v>361</v>
      </c>
      <c r="X6" s="27" t="s">
        <v>362</v>
      </c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</row>
    <row r="7" ht="15.7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177">
        <v>0.6</v>
      </c>
      <c r="W7" s="177">
        <v>0.15</v>
      </c>
      <c r="X7" s="177">
        <v>0.25</v>
      </c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</row>
    <row r="8" ht="15.7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</row>
    <row r="9" ht="15.7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</row>
    <row r="10" ht="15.7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</row>
    <row r="11" ht="15.7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</row>
    <row r="12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</row>
    <row r="13" ht="15.7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</row>
    <row r="14" ht="15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</row>
    <row r="15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</row>
    <row r="16" ht="15.7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</row>
    <row r="17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</row>
    <row r="18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</row>
    <row r="19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</row>
    <row r="20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3" width="7.0"/>
    <col customWidth="1" min="4" max="4" width="10.0"/>
    <col customWidth="1" min="5" max="5" width="10.43"/>
    <col customWidth="1" min="6" max="6" width="11.29"/>
    <col customWidth="1" min="7" max="7" width="12.14"/>
    <col customWidth="1" min="8" max="8" width="10.71"/>
    <col customWidth="1" min="9" max="9" width="9.0"/>
    <col customWidth="1" min="10" max="10" width="15.71"/>
    <col customWidth="1" min="11" max="12" width="5.0"/>
    <col customWidth="1" min="13" max="13" width="9.57"/>
    <col customWidth="1" min="14" max="16" width="10.71"/>
    <col customWidth="1" min="17" max="18" width="9.0"/>
    <col customWidth="1" min="19" max="19" width="13.29"/>
    <col customWidth="1" min="20" max="22" width="9.57"/>
    <col customWidth="1" min="23" max="23" width="10.71"/>
    <col customWidth="1" min="24" max="24" width="19.57"/>
    <col customWidth="1" min="25" max="25" width="19.71"/>
    <col customWidth="1" min="26" max="26" width="16.57"/>
    <col customWidth="1" min="27" max="33" width="9.0"/>
    <col customWidth="1" min="34" max="42" width="8.0"/>
  </cols>
  <sheetData>
    <row r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</row>
    <row r="2" ht="13.5" customHeight="1">
      <c r="A2" s="311"/>
      <c r="B2" s="312" t="s">
        <v>349</v>
      </c>
      <c r="C2" s="313">
        <v>2025.0</v>
      </c>
      <c r="D2" s="313">
        <v>2026.0</v>
      </c>
      <c r="E2" s="313">
        <v>2027.0</v>
      </c>
      <c r="F2" s="313">
        <v>2028.0</v>
      </c>
      <c r="G2" s="313">
        <v>2029.0</v>
      </c>
      <c r="H2" s="313"/>
      <c r="I2" s="313"/>
      <c r="J2" s="312" t="s">
        <v>350</v>
      </c>
      <c r="K2" s="313"/>
      <c r="L2" s="313">
        <v>2026.0</v>
      </c>
      <c r="M2" s="313">
        <v>2027.0</v>
      </c>
      <c r="N2" s="313">
        <v>2028.0</v>
      </c>
      <c r="O2" s="313">
        <v>2029.0</v>
      </c>
      <c r="P2" s="313"/>
      <c r="Q2" s="313"/>
      <c r="R2" s="313"/>
      <c r="S2" s="313"/>
      <c r="T2" s="313"/>
      <c r="U2" s="313">
        <v>2026.0</v>
      </c>
      <c r="V2" s="313">
        <v>2027.0</v>
      </c>
      <c r="W2" s="313">
        <v>2028.0</v>
      </c>
      <c r="X2" s="313">
        <v>2029.0</v>
      </c>
      <c r="Y2" s="313"/>
      <c r="Z2" s="313"/>
      <c r="AA2" s="313"/>
      <c r="AB2" s="313"/>
      <c r="AC2" s="313"/>
      <c r="AD2" s="313"/>
      <c r="AE2" s="314"/>
      <c r="AF2" s="314"/>
      <c r="AG2" s="314"/>
      <c r="AH2" s="314"/>
      <c r="AI2" s="314"/>
      <c r="AJ2" s="314"/>
      <c r="AK2" s="314"/>
      <c r="AL2" s="314"/>
      <c r="AM2" s="314"/>
      <c r="AN2" s="314"/>
      <c r="AO2" s="314"/>
      <c r="AP2" s="314"/>
      <c r="AQ2" s="314"/>
      <c r="AR2" s="314"/>
      <c r="AS2" s="315"/>
      <c r="AT2" s="311"/>
    </row>
    <row r="3" ht="15.75" customHeight="1">
      <c r="A3" s="27"/>
      <c r="B3" s="27" t="s">
        <v>363</v>
      </c>
      <c r="C3" s="156">
        <f>'Financial Statements'!BB11</f>
        <v>97480</v>
      </c>
      <c r="D3" s="156">
        <f>'Financial Statements'!BC11</f>
        <v>106782</v>
      </c>
      <c r="E3" s="156">
        <f>'Financial Statements'!BD11</f>
        <v>16512760.29</v>
      </c>
      <c r="F3" s="156">
        <f>'Financial Statements'!BE11</f>
        <v>52529043.35</v>
      </c>
      <c r="G3" s="156">
        <f>'Financial Statements'!BF11</f>
        <v>105506931.7</v>
      </c>
      <c r="H3" s="27"/>
      <c r="I3" s="27"/>
      <c r="J3" s="27" t="s">
        <v>260</v>
      </c>
      <c r="K3" s="156"/>
      <c r="L3" s="156">
        <f>'Revenue Forecast'!BC6</f>
        <v>0</v>
      </c>
      <c r="M3" s="156">
        <f>'Revenue Forecast'!BD6</f>
        <v>1005</v>
      </c>
      <c r="N3" s="156">
        <f>'Revenue Forecast'!BE6</f>
        <v>3000</v>
      </c>
      <c r="O3" s="156">
        <f>'Revenue Forecast'!BF6</f>
        <v>6000</v>
      </c>
      <c r="P3" s="27"/>
      <c r="Q3" s="27"/>
      <c r="R3" s="27"/>
      <c r="S3" s="27" t="s">
        <v>364</v>
      </c>
      <c r="T3" s="156"/>
      <c r="U3" s="156">
        <f>count(Personnel!F3:F21)</f>
        <v>17</v>
      </c>
      <c r="V3" s="156">
        <f>count(Personnel!F3:F27)</f>
        <v>23</v>
      </c>
      <c r="W3" s="156">
        <f>COUNT(Personnel!F3:F31)</f>
        <v>27</v>
      </c>
      <c r="X3" s="156">
        <f>COUNT(Personnel!F3:F33)</f>
        <v>29</v>
      </c>
      <c r="Y3" s="156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</row>
    <row r="4" ht="15.75" customHeight="1">
      <c r="A4" s="27"/>
      <c r="B4" s="27" t="s">
        <v>353</v>
      </c>
      <c r="C4" s="27"/>
      <c r="D4" s="156">
        <f>'Financial Statements'!BC17</f>
        <v>0</v>
      </c>
      <c r="E4" s="156">
        <f>'Financial Statements'!BD17</f>
        <v>16565412.6</v>
      </c>
      <c r="F4" s="156">
        <f>'Financial Statements'!BE17</f>
        <v>43068591</v>
      </c>
      <c r="G4" s="156">
        <f>'Financial Statements'!BF17</f>
        <v>72000200</v>
      </c>
      <c r="H4" s="27"/>
      <c r="I4" s="27"/>
      <c r="J4" s="27" t="s">
        <v>354</v>
      </c>
      <c r="K4" s="156"/>
      <c r="L4" s="156">
        <f>'Revenue Forecast'!BC12</f>
        <v>0</v>
      </c>
      <c r="M4" s="156">
        <f>'Revenue Forecast'!BD12</f>
        <v>500</v>
      </c>
      <c r="N4" s="156">
        <f>'Revenue Forecast'!BE12</f>
        <v>2000</v>
      </c>
      <c r="O4" s="156">
        <f>'Revenue Forecast'!BF12</f>
        <v>4000</v>
      </c>
      <c r="P4" s="27"/>
      <c r="Q4" s="27"/>
      <c r="R4" s="27"/>
      <c r="S4" s="27" t="s">
        <v>365</v>
      </c>
      <c r="T4" s="156"/>
      <c r="U4" s="156">
        <f t="shared" ref="U4:X4" si="1">D3/U3</f>
        <v>6281.294118</v>
      </c>
      <c r="V4" s="156">
        <f t="shared" si="1"/>
        <v>717946.0995</v>
      </c>
      <c r="W4" s="156">
        <f t="shared" si="1"/>
        <v>1945520.124</v>
      </c>
      <c r="X4" s="156">
        <f t="shared" si="1"/>
        <v>3638170.058</v>
      </c>
      <c r="Y4" s="156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</row>
    <row r="5" ht="15.75" customHeight="1">
      <c r="A5" s="27"/>
      <c r="B5" s="27" t="s">
        <v>356</v>
      </c>
      <c r="C5" s="27"/>
      <c r="D5" s="156">
        <f>'Financial Statements'!BC26</f>
        <v>2076520</v>
      </c>
      <c r="E5" s="156">
        <f>'Financial Statements'!BD26</f>
        <v>3776866.4</v>
      </c>
      <c r="F5" s="156">
        <f>'Financial Statements'!BE26</f>
        <v>5376546.112</v>
      </c>
      <c r="G5" s="156">
        <f>'Financial Statements'!BF26</f>
        <v>8382479.459</v>
      </c>
      <c r="H5" s="27"/>
      <c r="I5" s="27"/>
      <c r="J5" s="27" t="s">
        <v>352</v>
      </c>
      <c r="K5" s="156"/>
      <c r="L5" s="156">
        <f>'Revenue Forecast'!BC9</f>
        <v>0</v>
      </c>
      <c r="M5" s="156">
        <f>'Revenue Forecast'!BD9</f>
        <v>10140117.77</v>
      </c>
      <c r="N5" s="156">
        <f>'Revenue Forecast'!BE9</f>
        <v>30269008.26</v>
      </c>
      <c r="O5" s="156">
        <f>'Revenue Forecast'!BF9</f>
        <v>60538016.53</v>
      </c>
      <c r="P5" s="27"/>
      <c r="Q5" s="27"/>
      <c r="R5" s="27"/>
      <c r="S5" s="27" t="s">
        <v>366</v>
      </c>
      <c r="T5" s="27"/>
      <c r="U5" s="156">
        <f t="shared" ref="U5:X5" si="2">D6/U3</f>
        <v>-115866.9412</v>
      </c>
      <c r="V5" s="156">
        <f t="shared" si="2"/>
        <v>-166500.8135</v>
      </c>
      <c r="W5" s="156">
        <f t="shared" si="2"/>
        <v>151255.7865</v>
      </c>
      <c r="X5" s="156">
        <f t="shared" si="2"/>
        <v>866353.5254</v>
      </c>
      <c r="Y5" s="156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</row>
    <row r="6" ht="15.75" customHeight="1">
      <c r="A6" s="27"/>
      <c r="B6" s="27" t="s">
        <v>367</v>
      </c>
      <c r="C6" s="27"/>
      <c r="D6" s="156">
        <f>'Financial Statements'!BC28</f>
        <v>-1969738</v>
      </c>
      <c r="E6" s="156">
        <f>'Financial Statements'!BD28</f>
        <v>-3829518.711</v>
      </c>
      <c r="F6" s="156">
        <f>'Financial Statements'!BE28</f>
        <v>4083906.235</v>
      </c>
      <c r="G6" s="156">
        <f>'Financial Statements'!BF28</f>
        <v>25124252.24</v>
      </c>
      <c r="H6" s="27"/>
      <c r="I6" s="27"/>
      <c r="J6" s="27" t="s">
        <v>355</v>
      </c>
      <c r="K6" s="156"/>
      <c r="L6" s="156">
        <f>'Revenue Forecast'!BC15</f>
        <v>0</v>
      </c>
      <c r="M6" s="156">
        <f>'Revenue Forecast'!BD15</f>
        <v>1452797.521</v>
      </c>
      <c r="N6" s="156">
        <f>'Revenue Forecast'!BE15</f>
        <v>5811190.083</v>
      </c>
      <c r="O6" s="156">
        <f>'Revenue Forecast'!BF15</f>
        <v>11622380.17</v>
      </c>
      <c r="P6" s="27"/>
      <c r="Q6" s="27"/>
      <c r="R6" s="27"/>
      <c r="S6" s="27" t="s">
        <v>368</v>
      </c>
      <c r="T6" s="27"/>
      <c r="U6" s="27"/>
      <c r="V6" s="27"/>
      <c r="W6" s="27"/>
      <c r="X6" s="27" t="s">
        <v>360</v>
      </c>
      <c r="Y6" s="27" t="s">
        <v>361</v>
      </c>
      <c r="Z6" s="27" t="s">
        <v>362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</row>
    <row r="7" ht="15.75" customHeight="1">
      <c r="A7" s="27"/>
      <c r="B7" s="27" t="s">
        <v>369</v>
      </c>
      <c r="C7" s="27"/>
      <c r="D7" s="156">
        <f>'Financial Statements'!BC33</f>
        <v>-1969738</v>
      </c>
      <c r="E7" s="156">
        <f>'Financial Statements'!BD33</f>
        <v>-3829518.711</v>
      </c>
      <c r="F7" s="156">
        <f>'Financial Statements'!BE33</f>
        <v>4083906.235</v>
      </c>
      <c r="G7" s="156">
        <f>'Financial Statements'!BF33</f>
        <v>25124252.24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177">
        <v>0.6</v>
      </c>
      <c r="Y7" s="177">
        <v>0.15</v>
      </c>
      <c r="Z7" s="177">
        <v>0.25</v>
      </c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</row>
    <row r="8" ht="15.75" customHeight="1">
      <c r="A8" s="27"/>
      <c r="B8" s="27" t="s">
        <v>370</v>
      </c>
      <c r="C8" s="27"/>
      <c r="D8" s="156">
        <f>'Financial Statements'!BC37</f>
        <v>-1969738</v>
      </c>
      <c r="E8" s="156">
        <f>'Financial Statements'!BD37</f>
        <v>-3829518.711</v>
      </c>
      <c r="F8" s="156">
        <f>'Financial Statements'!BE37</f>
        <v>4083906.235</v>
      </c>
      <c r="G8" s="156">
        <f>'Financial Statements'!BF37</f>
        <v>18802170.72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</row>
    <row r="9" ht="15.7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</row>
    <row r="10" ht="15.7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</row>
    <row r="11" ht="15.7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</row>
    <row r="12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</row>
    <row r="13" ht="15.7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</row>
    <row r="14" ht="15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</row>
    <row r="15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</row>
    <row r="16" ht="15.75" customHeight="1">
      <c r="A16" s="27"/>
      <c r="B16" s="156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</row>
    <row r="17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</row>
    <row r="18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</row>
    <row r="19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</row>
    <row r="20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156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45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55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