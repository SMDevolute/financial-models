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Financial Statements" sheetId="4" r:id="rId8"/>
    <sheet state="visible" name="Revenue Forecast" sheetId="5" r:id="rId9"/>
    <sheet state="visible" name="COGS" sheetId="6" r:id="rId10"/>
    <sheet state="visible" name="OPEX" sheetId="7" r:id="rId11"/>
    <sheet state="visible" name="Personnel" sheetId="8" r:id="rId12"/>
    <sheet state="hidden" name="Dasboard (FOR PITCHDECK)" sheetId="9" r:id="rId13"/>
    <sheet state="visible" name="Dashboard" sheetId="10" r:id="rId14"/>
  </sheets>
  <definedNames/>
  <calcPr/>
</workbook>
</file>

<file path=xl/sharedStrings.xml><?xml version="1.0" encoding="utf-8"?>
<sst xmlns="http://schemas.openxmlformats.org/spreadsheetml/2006/main" count="825" uniqueCount="384">
  <si>
    <t xml:space="preserve">Financial Model </t>
  </si>
  <si>
    <t xml:space="preserve">Currency: EUR (€) </t>
  </si>
  <si>
    <t>STRICTLY CONFIDENTIAL</t>
  </si>
  <si>
    <t>Tarnoc — How to Read This Model</t>
  </si>
  <si>
    <t>COLOR CODING</t>
  </si>
  <si>
    <t>Sample</t>
  </si>
  <si>
    <t>Assumptions are hardcoded inputs (sourced from documents)</t>
  </si>
  <si>
    <t>Hardcoded historicalsis actual data from source documents</t>
  </si>
  <si>
    <t>Formula cells are calculated, not hardcoded</t>
  </si>
  <si>
    <t>Subtotal / total rows</t>
  </si>
  <si>
    <t>Section headers / grand totals</t>
  </si>
  <si>
    <t>Subsection headers</t>
  </si>
  <si>
    <t>Margin / ratio rows (grey)</t>
  </si>
  <si>
    <t>Balance sheet check rows (must = 0)</t>
  </si>
  <si>
    <t>FORMULA ARCHITECTURE</t>
  </si>
  <si>
    <t>Assumptions  →  Revenue Forecast, COGS, OPEX, CAPEX, Personnel (all drivers sourced here)</t>
  </si>
  <si>
    <t>Revenue Forecast  →  Financial Statements (revenue lines via cross-sheet links)</t>
  </si>
  <si>
    <t>COGS  →  Financial Statements (cost lines via cross-sheet links)</t>
  </si>
  <si>
    <t>OPEX  →  Financial Statements (opex lines via cross-sheet links)</t>
  </si>
  <si>
    <t>To change a number: ONLY edit cells in the Assumptions tab (yellow/orange).</t>
  </si>
  <si>
    <t>All other tabs will recalculate automatically.</t>
  </si>
  <si>
    <t>FURTHER EXPLANATIONS</t>
  </si>
  <si>
    <t xml:space="preserve">Subsidies: Tarnoc is and has been eligible for a number of subsidies. We will consider application for large projects, however this model excludes the forecast of any subsidy financing foing forward. </t>
  </si>
  <si>
    <t xml:space="preserve">Installation revenues: This is modelled fully as pass through revenue for now, as we plan to charge a customer exactly what we pay the installation partner for these services. This is subject to change in the future. </t>
  </si>
  <si>
    <t>Tarnoc's main products are the TTK (turbineketel), the Combi and Combi+ (turbineketel + outdoor unit), and the Twincycle (in development for 2027). Every unit contains a turbineketel; the Combi and Combi+ differ only by their outdoor unit and installation. We also plan to sell various add-ons such as performance booster units, boilers for hybrid setups, and sound reduction units.</t>
  </si>
  <si>
    <t>Service Revenues: Service revenues are calculated relative to installed base. We assume a certain percentage (see assumptions) of customers will purchase our Service package, and are charged annually.</t>
  </si>
  <si>
    <t xml:space="preserve">COGS is driven by the Bill of Materials and volume sales. As our volumes increase, our BOM reduces. We assume 2 year volume sales will determine our BOM, and is modedled as such. </t>
  </si>
  <si>
    <t>Sales and Marketing costs are largely driven by permfomance marketing, and are calcualted on a volume and CPL basis. ]</t>
  </si>
  <si>
    <t>Drivers &amp; Assumptions</t>
  </si>
  <si>
    <t>ASSUMPTIONS</t>
  </si>
  <si>
    <t>General Assumptions</t>
  </si>
  <si>
    <t>Opening Cash Balance (Jan 2024)</t>
  </si>
  <si>
    <t>Annual salary increase (%)</t>
  </si>
  <si>
    <t>Employer cost basis</t>
  </si>
  <si>
    <t>Werkgeverlasten (incl. taxes)</t>
  </si>
  <si>
    <t>Holiday pay (%)</t>
  </si>
  <si>
    <t>Income tax rate</t>
  </si>
  <si>
    <t>Working Capital</t>
  </si>
  <si>
    <t xml:space="preserve"> </t>
  </si>
  <si>
    <t>Days Sales Outstanding (DSO)</t>
  </si>
  <si>
    <t>days</t>
  </si>
  <si>
    <t>Days Payable Outstanding (DPO)</t>
  </si>
  <si>
    <t>Days Inventory Outstanding (DIO)</t>
  </si>
  <si>
    <t>Pre-payment</t>
  </si>
  <si>
    <t>%</t>
  </si>
  <si>
    <t>Revenue Build</t>
  </si>
  <si>
    <t>Units sold</t>
  </si>
  <si>
    <t>TTK</t>
  </si>
  <si>
    <t>Combi</t>
  </si>
  <si>
    <t>Combi+</t>
  </si>
  <si>
    <t>Discounter</t>
  </si>
  <si>
    <t>Pricing</t>
  </si>
  <si>
    <t>PRICING — build-up (turbineketel + outdoor unit), ex VAT</t>
  </si>
  <si>
    <t>Turbineketel base price (all products)</t>
  </si>
  <si>
    <t>Mgmt input — gross €10,800 incl VAT</t>
  </si>
  <si>
    <t>Outdoor unit — Combi</t>
  </si>
  <si>
    <t>gross €2,725 incl VAT</t>
  </si>
  <si>
    <t>Outdoor unit — Combi+</t>
  </si>
  <si>
    <t>gross €6,425 incl VAT</t>
  </si>
  <si>
    <t>Combi price (ketel + ODU)</t>
  </si>
  <si>
    <t>computed, ex VAT</t>
  </si>
  <si>
    <t>Combi+ price (ketel + ODU)</t>
  </si>
  <si>
    <t>INSTALLATION (PASS-THROUGH; REV=COST)</t>
  </si>
  <si>
    <t>Installation — TTK</t>
  </si>
  <si>
    <t>gross €2,800 incl VAT</t>
  </si>
  <si>
    <t>Installation — Combi</t>
  </si>
  <si>
    <t>gross €3,800 incl VAT</t>
  </si>
  <si>
    <t>Installation — Combi+</t>
  </si>
  <si>
    <t>COGS</t>
  </si>
  <si>
    <t>Bill of Materials TTK supplier 1</t>
  </si>
  <si>
    <t>#</t>
  </si>
  <si>
    <t>Category</t>
  </si>
  <si>
    <t>Component</t>
  </si>
  <si>
    <t>1,000 units</t>
  </si>
  <si>
    <t>5,000 units</t>
  </si>
  <si>
    <t>10,000 units</t>
  </si>
  <si>
    <t>Unit</t>
  </si>
  <si>
    <t>Source</t>
  </si>
  <si>
    <t>B1</t>
  </si>
  <si>
    <t>Supplier 1</t>
  </si>
  <si>
    <t>Compressor + VFD</t>
  </si>
  <si>
    <t>€/unit</t>
  </si>
  <si>
    <t>Source: BOM data provided</t>
  </si>
  <si>
    <t>B2</t>
  </si>
  <si>
    <t>Heat exchangers (set)</t>
  </si>
  <si>
    <t>B3</t>
  </si>
  <si>
    <t>Electronics &amp; Power Electronics</t>
  </si>
  <si>
    <t>B4</t>
  </si>
  <si>
    <t>Hydraulic Components (Pumps, Valves, etc.)</t>
  </si>
  <si>
    <t>B5</t>
  </si>
  <si>
    <t>Silencer &amp; Insulation</t>
  </si>
  <si>
    <t>B6</t>
  </si>
  <si>
    <t>Enclosure (Sheet Metal &amp; Coating)</t>
  </si>
  <si>
    <t>B7</t>
  </si>
  <si>
    <t>Other Components</t>
  </si>
  <si>
    <t>B8</t>
  </si>
  <si>
    <t>Assembly &amp; Final Testing</t>
  </si>
  <si>
    <t>B9</t>
  </si>
  <si>
    <t>Packaging &amp; Inbound Logistics</t>
  </si>
  <si>
    <t>B10</t>
  </si>
  <si>
    <t>Yield Loss &amp; Warranty Provision (~3%)</t>
  </si>
  <si>
    <t>B11</t>
  </si>
  <si>
    <t>Contingency/risk</t>
  </si>
  <si>
    <t>Contingency &amp; Risk Reserve</t>
  </si>
  <si>
    <t xml:space="preserve">Source: No source, added for risk purposes </t>
  </si>
  <si>
    <t>B-T</t>
  </si>
  <si>
    <t>Supplier 1 total</t>
  </si>
  <si>
    <t>Total COGS / unit (BOM)</t>
  </si>
  <si>
    <t>Bill of Materials TTK supplier 2</t>
  </si>
  <si>
    <t>D1</t>
  </si>
  <si>
    <t>Supplier 2</t>
  </si>
  <si>
    <t>D2</t>
  </si>
  <si>
    <t>D3</t>
  </si>
  <si>
    <t>Elektronica &amp; vermogenselektronica</t>
  </si>
  <si>
    <t>D4</t>
  </si>
  <si>
    <t>Hydraulisch (pompen/kleppen/etc.)</t>
  </si>
  <si>
    <t>D5</t>
  </si>
  <si>
    <t>Silencer + isolatie</t>
  </si>
  <si>
    <t>D6</t>
  </si>
  <si>
    <t>Enclosure (plaatwerk, coating)</t>
  </si>
  <si>
    <t>D7</t>
  </si>
  <si>
    <t>Everything Else</t>
  </si>
  <si>
    <t>D8</t>
  </si>
  <si>
    <t>Assemblage &amp; eindtest</t>
  </si>
  <si>
    <t>D9</t>
  </si>
  <si>
    <t>Verpakking &amp; logistiek inkomend</t>
  </si>
  <si>
    <t>D10</t>
  </si>
  <si>
    <t>Yield / garantie-reserve (~3%)</t>
  </si>
  <si>
    <t>Supplier 2 total</t>
  </si>
  <si>
    <t>TTK Volume tier breakpoints</t>
  </si>
  <si>
    <t>Min Units (≥)</t>
  </si>
  <si>
    <t>Cost / unit</t>
  </si>
  <si>
    <t>Note</t>
  </si>
  <si>
    <t>Linked from BOM Total row above</t>
  </si>
  <si>
    <t>OUTDOOR UNIT COGS (Combi / Combi+) — volume tiers</t>
  </si>
  <si>
    <t>Source: BOM data</t>
  </si>
  <si>
    <t>Shipping (Combi &amp; Combi+)</t>
  </si>
  <si>
    <t>Outdoor Unit tier breakpoints (for COGS VLOOKUP)</t>
  </si>
  <si>
    <t>Other operating expenditures</t>
  </si>
  <si>
    <t>Yearly increase:</t>
  </si>
  <si>
    <t>Office rent (part of General)</t>
  </si>
  <si>
    <t>G&amp;A</t>
  </si>
  <si>
    <t>ongoing</t>
  </si>
  <si>
    <t>Other General</t>
  </si>
  <si>
    <t>Baseline Sales &amp; Marketing</t>
  </si>
  <si>
    <t>S&amp;M</t>
  </si>
  <si>
    <t>Finance &amp; Legal etc.</t>
  </si>
  <si>
    <t>Ongoing Development costs</t>
  </si>
  <si>
    <t>R&amp;D</t>
  </si>
  <si>
    <t xml:space="preserve">Third party cost product development </t>
  </si>
  <si>
    <t>Kicker Development Cost</t>
  </si>
  <si>
    <t>one-off</t>
  </si>
  <si>
    <t>Customer journey (third party)</t>
  </si>
  <si>
    <t>Branding + Website (third party cost)</t>
  </si>
  <si>
    <t>Assembly partner</t>
  </si>
  <si>
    <t>Tooling Fisher (result: 2%-3%)</t>
  </si>
  <si>
    <t>Assumptions for costs per unit sold (3rd parties or expenses (NO personell)</t>
  </si>
  <si>
    <t>S&amp;M cost per unit</t>
  </si>
  <si>
    <t>Decrease</t>
  </si>
  <si>
    <t>Yearly costs</t>
  </si>
  <si>
    <t>Marketing spend per Customer</t>
  </si>
  <si>
    <t>€80/lead with 20% closing rate</t>
  </si>
  <si>
    <t>third party</t>
  </si>
  <si>
    <t>Closing costs per customer</t>
  </si>
  <si>
    <t>(Calls, viewing location, etc)</t>
  </si>
  <si>
    <t>Aftersales and support</t>
  </si>
  <si>
    <t>Cost per unit sold (cost down driven by volume)</t>
  </si>
  <si>
    <t>costdown: S(n)=S(1)*n^-b, where b=0,2</t>
  </si>
  <si>
    <t>S(1)</t>
  </si>
  <si>
    <t>Product</t>
  </si>
  <si>
    <t>Upsell item</t>
  </si>
  <si>
    <t>Type</t>
  </si>
  <si>
    <t>Attach %</t>
  </si>
  <si>
    <t>Unit rev. (EX VAT)</t>
  </si>
  <si>
    <t>Unit COGS</t>
  </si>
  <si>
    <t>Gross profit</t>
  </si>
  <si>
    <t>avg. Value</t>
  </si>
  <si>
    <t>avg. profit</t>
  </si>
  <si>
    <t>TTK / Combi / Combi+</t>
  </si>
  <si>
    <t>Boiler variant 50</t>
  </si>
  <si>
    <t>One-time</t>
  </si>
  <si>
    <t>Boiler variant 100</t>
  </si>
  <si>
    <t>Sound reduction</t>
  </si>
  <si>
    <t>Upsell basket subtotal (per unit) — applies to TTK, Combi, Combi+</t>
  </si>
  <si>
    <t>Turbine Heat Pump</t>
  </si>
  <si>
    <t>Basic service contract</t>
  </si>
  <si>
    <t>Service contract (yearly)</t>
  </si>
  <si>
    <t>Premium service contract</t>
  </si>
  <si>
    <t>(Combi / Combi+ now use the shared upsell basket above — line below retired)</t>
  </si>
  <si>
    <t>Boiler variant 250 (retired — not used)</t>
  </si>
  <si>
    <t>Boiler variant 250</t>
  </si>
  <si>
    <t>Combi / Combi+ subtotal</t>
  </si>
  <si>
    <t>Combi / Combi+</t>
  </si>
  <si>
    <t/>
  </si>
  <si>
    <t>Tarnoc B.V. — Financial Statements (€)</t>
  </si>
  <si>
    <t>2025</t>
  </si>
  <si>
    <t>2026</t>
  </si>
  <si>
    <t>2027</t>
  </si>
  <si>
    <t>2028</t>
  </si>
  <si>
    <t>PROFIT &amp; LOSS STATEMENT</t>
  </si>
  <si>
    <t>Revenues</t>
  </si>
  <si>
    <t xml:space="preserve">TTK </t>
  </si>
  <si>
    <t>€</t>
  </si>
  <si>
    <t>Other</t>
  </si>
  <si>
    <t>Subsidies &amp; grants</t>
  </si>
  <si>
    <t>pm</t>
  </si>
  <si>
    <t>Total Revenue</t>
  </si>
  <si>
    <t>Cost of goods sold</t>
  </si>
  <si>
    <t xml:space="preserve">Other </t>
  </si>
  <si>
    <t>Total COGS</t>
  </si>
  <si>
    <t>Gross Profit</t>
  </si>
  <si>
    <t>Gross margin %</t>
  </si>
  <si>
    <t>Operational expenses</t>
  </si>
  <si>
    <t>Total OPEX</t>
  </si>
  <si>
    <t>EBITDA</t>
  </si>
  <si>
    <t>EBITDA margin %</t>
  </si>
  <si>
    <t>Depreciation &amp; Amortisation</t>
  </si>
  <si>
    <t>Interst payments</t>
  </si>
  <si>
    <t>EBT</t>
  </si>
  <si>
    <t>Income tax</t>
  </si>
  <si>
    <t>NET INCOME</t>
  </si>
  <si>
    <t>Profit margin %</t>
  </si>
  <si>
    <t xml:space="preserve">Tax carry over to be applied </t>
  </si>
  <si>
    <t>CASH FLOW STATEMENT</t>
  </si>
  <si>
    <t>Net income</t>
  </si>
  <si>
    <t>Depreciation &amp; amortisation</t>
  </si>
  <si>
    <t>Increase in accounts receivable (delta DSO)</t>
  </si>
  <si>
    <t>Increase in accounts payable (delta DPO)</t>
  </si>
  <si>
    <t>Change in inventory (delta DIO)</t>
  </si>
  <si>
    <t>Cash from Operations</t>
  </si>
  <si>
    <t>CAPEX</t>
  </si>
  <si>
    <t>Cash from Investing</t>
  </si>
  <si>
    <t>Equity injection</t>
  </si>
  <si>
    <t>Loan (CLA)</t>
  </si>
  <si>
    <t>Compressor WC loan (draw / repay)</t>
  </si>
  <si>
    <t>Cash from Financing</t>
  </si>
  <si>
    <t>Total Change in Cash</t>
  </si>
  <si>
    <t>Beginning cash balance</t>
  </si>
  <si>
    <t>Ending Cash Balance</t>
  </si>
  <si>
    <t>BALANCE SHEET</t>
  </si>
  <si>
    <t>ASSETS</t>
  </si>
  <si>
    <t>Cash and cash equivalents</t>
  </si>
  <si>
    <t>Deferred tax assest ("carry forward")</t>
  </si>
  <si>
    <t>Accounts receivable (DSO-based)</t>
  </si>
  <si>
    <t>Inventory (DIO-based)</t>
  </si>
  <si>
    <t>Total Current Assets</t>
  </si>
  <si>
    <t xml:space="preserve">Net PP&amp;E </t>
  </si>
  <si>
    <t>Total Fixed Assets</t>
  </si>
  <si>
    <t>TOTAL ASSETS</t>
  </si>
  <si>
    <t>EQUITY &amp; LIABILITIES</t>
  </si>
  <si>
    <t>Accounts payable (DPO-based)</t>
  </si>
  <si>
    <t>Total Current Liabilities</t>
  </si>
  <si>
    <t>Innovation loan outstanding</t>
  </si>
  <si>
    <t>Compressor WC loan (supplier financing)</t>
  </si>
  <si>
    <t>Total Long-Term Liabilities</t>
  </si>
  <si>
    <t>Share capital + premium</t>
  </si>
  <si>
    <t>Cumulative equity injections</t>
  </si>
  <si>
    <t>Retained earnings (cumulative net income)</t>
  </si>
  <si>
    <t>Total Equity</t>
  </si>
  <si>
    <t>TOTAL EQUITY &amp; LIABILITIES</t>
  </si>
  <si>
    <t>CHECK  (Total Assets − Total E&amp;L  =  0)</t>
  </si>
  <si>
    <t>Cumulative turbineketels (helper)</t>
  </si>
  <si>
    <t>Tarnoc B.V. — Revenue Forecast (€, ex VAT unless noted)</t>
  </si>
  <si>
    <t>TURBINEKETEL (TTK)</t>
  </si>
  <si>
    <t>TTK units sold</t>
  </si>
  <si>
    <t>TTK Revenue</t>
  </si>
  <si>
    <t>TTK upsell</t>
  </si>
  <si>
    <t>Total TTK Revenue</t>
  </si>
  <si>
    <t>COMBI</t>
  </si>
  <si>
    <t>Combi units sold</t>
  </si>
  <si>
    <t>Combi Revenue</t>
  </si>
  <si>
    <t>Combi upsell</t>
  </si>
  <si>
    <t>Total Combi Revenue</t>
  </si>
  <si>
    <t>COMBI+</t>
  </si>
  <si>
    <t>Combi+ units sold</t>
  </si>
  <si>
    <t>Combi+ Revenue</t>
  </si>
  <si>
    <t>Combi+ upsell</t>
  </si>
  <si>
    <t>Total Combi+ Revenue</t>
  </si>
  <si>
    <t>INSTALLATION REVENUES</t>
  </si>
  <si>
    <t>Units installed</t>
  </si>
  <si>
    <t>Total Installation Revenue</t>
  </si>
  <si>
    <t>SERVICE REVENUES</t>
  </si>
  <si>
    <t>Installed base (TTK)</t>
  </si>
  <si>
    <t>Installed base (Combi)</t>
  </si>
  <si>
    <t>Installed base (Combi+)</t>
  </si>
  <si>
    <t>Total Service Revenue</t>
  </si>
  <si>
    <t>SUBSIDIES &amp; GRANTS</t>
  </si>
  <si>
    <t>All other</t>
  </si>
  <si>
    <t>Total Subsidies &amp; Grants</t>
  </si>
  <si>
    <t>TOTAL REVENUE</t>
  </si>
  <si>
    <t>Installed Base</t>
  </si>
  <si>
    <t>Tarnoc B.V. — COGS Schedule (€)</t>
  </si>
  <si>
    <t>Upsell</t>
  </si>
  <si>
    <t>Total TTK COGS</t>
  </si>
  <si>
    <t>Total COGS Combi</t>
  </si>
  <si>
    <t>Total Combi COGS</t>
  </si>
  <si>
    <t>Total COGS Combi+</t>
  </si>
  <si>
    <t>Total Combi+ COGS</t>
  </si>
  <si>
    <t>INSTALLATION</t>
  </si>
  <si>
    <t>Installation COGS (pass-through, = installation revenue)</t>
  </si>
  <si>
    <t>TOTAL COGS</t>
  </si>
  <si>
    <t>Tarnoc B.V. — OPEX Forecast (€, negative = cost)</t>
  </si>
  <si>
    <t>Actual</t>
  </si>
  <si>
    <t>Projected</t>
  </si>
  <si>
    <t>PERSONNEL</t>
  </si>
  <si>
    <t>Total Personnel</t>
  </si>
  <si>
    <t>NON-PERSONNEL</t>
  </si>
  <si>
    <t>R&amp;D COSTS</t>
  </si>
  <si>
    <t>Third party cost product development</t>
  </si>
  <si>
    <t>Total R&amp;D</t>
  </si>
  <si>
    <t>SALES &amp; MARKETING</t>
  </si>
  <si>
    <t>Baseline Sales &amp; Marketting</t>
  </si>
  <si>
    <t>Sales &amp; Marketing (3rd party)</t>
  </si>
  <si>
    <t>Total S&amp;M</t>
  </si>
  <si>
    <t>G&amp;A (NON-LABOUR)</t>
  </si>
  <si>
    <t>Total G&amp;A</t>
  </si>
  <si>
    <t>Total non-personnell</t>
  </si>
  <si>
    <t>TOTAL OPEX</t>
  </si>
  <si>
    <t>R&amp;D % of Total OPEX</t>
  </si>
  <si>
    <t>S&amp;M % of Total OPEX</t>
  </si>
  <si>
    <t>G&amp;A % of Total OPEX</t>
  </si>
  <si>
    <t>PERSONNEL — Monthly Employer Cost (€)</t>
  </si>
  <si>
    <t>Name</t>
  </si>
  <si>
    <t>Dept</t>
  </si>
  <si>
    <t>Role</t>
  </si>
  <si>
    <t>Start</t>
  </si>
  <si>
    <t>End</t>
  </si>
  <si>
    <t>Monthly Cost (€)</t>
  </si>
  <si>
    <t>R&amp;D Engineer</t>
  </si>
  <si>
    <t>Field Engineer</t>
  </si>
  <si>
    <t>Current</t>
  </si>
  <si>
    <t>Project manager</t>
  </si>
  <si>
    <t>Firmware Engineer</t>
  </si>
  <si>
    <t>Mechanical Engineer</t>
  </si>
  <si>
    <t>Electrical Engineer</t>
  </si>
  <si>
    <t>CFO (part time)</t>
  </si>
  <si>
    <t>CFO</t>
  </si>
  <si>
    <t>CTO</t>
  </si>
  <si>
    <t>Head of Growth</t>
  </si>
  <si>
    <t>Growth</t>
  </si>
  <si>
    <t>CEO</t>
  </si>
  <si>
    <t>PLANNED HIRES</t>
  </si>
  <si>
    <t>New hire</t>
  </si>
  <si>
    <t>Software Engineer</t>
  </si>
  <si>
    <t>Planned</t>
  </si>
  <si>
    <t>COO</t>
  </si>
  <si>
    <t>Maintenance Engineer</t>
  </si>
  <si>
    <t>Marketing</t>
  </si>
  <si>
    <t>Sales</t>
  </si>
  <si>
    <t>Office Support</t>
  </si>
  <si>
    <t>Logistics</t>
  </si>
  <si>
    <t>Partner Manager</t>
  </si>
  <si>
    <t>Finance</t>
  </si>
  <si>
    <t>Account Manager</t>
  </si>
  <si>
    <t>Operations</t>
  </si>
  <si>
    <t xml:space="preserve">How to use this section: </t>
  </si>
  <si>
    <t xml:space="preserve">When adding an employee, follow the structure above, filling in columns A through H. Then drag the formula from the row above in column H down, and accross. Additionally, add a new employee above row 38, as the formulas below will not capture the new employee. </t>
  </si>
  <si>
    <t>SUMMARY BY DEPARTMENT</t>
  </si>
  <si>
    <t>TOTAL</t>
  </si>
  <si>
    <t>HEADCOUNT BY DEPARTMENT</t>
  </si>
  <si>
    <t>TOTAL HEADCOUNT</t>
  </si>
  <si>
    <t>Financials</t>
  </si>
  <si>
    <t>Units &amp; Revenues</t>
  </si>
  <si>
    <t>Revenues (€)</t>
  </si>
  <si>
    <t>TTK revenues</t>
  </si>
  <si>
    <t>COGS (€)</t>
  </si>
  <si>
    <t>Combi revenues</t>
  </si>
  <si>
    <t>OPEX (€)</t>
  </si>
  <si>
    <t>TTK revenues (€)</t>
  </si>
  <si>
    <t>Combi revenues (€)</t>
  </si>
  <si>
    <t>Distribution of funds</t>
  </si>
  <si>
    <t>Production/Aasembly</t>
  </si>
  <si>
    <t>Product development</t>
  </si>
  <si>
    <t>Sales &amp; Marketing</t>
  </si>
  <si>
    <t>Combi+ revenues (€)</t>
  </si>
  <si>
    <t>REVENUES (€)</t>
  </si>
  <si>
    <t>Headcount</t>
  </si>
  <si>
    <t>Revenue/FTE</t>
  </si>
  <si>
    <t>EBITDA/FTE</t>
  </si>
  <si>
    <t>EBITDA (€)</t>
  </si>
  <si>
    <t>Seed Distribution of funds</t>
  </si>
  <si>
    <t>EBT (€)</t>
  </si>
  <si>
    <t>NET INCOME (€)</t>
  </si>
  <si>
    <t>Combi+ revenues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</si>
</sst>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%;\(0%\);\-"/>
    <numFmt numFmtId="165" formatCode="0.0%"/>
    <numFmt numFmtId="166" formatCode="#,##0;\(#,##0\);\-"/>
    <numFmt numFmtId="167" formatCode="0.00\x"/>
    <numFmt numFmtId="168" formatCode="&quot;€&quot;#,##0"/>
    <numFmt numFmtId="169" formatCode="\€#,##0.00;&quot;(€&quot;#,##0.00\);\-"/>
    <numFmt numFmtId="170" formatCode="&quot;€&quot;#,##0.00"/>
    <numFmt numFmtId="171" formatCode="\€#,##0;&quot;(€&quot;#,##0\);\-"/>
    <numFmt numFmtId="172" formatCode="[$€]#,##0.00"/>
    <numFmt numFmtId="173" formatCode="[$€]#,##0"/>
    <numFmt numFmtId="174" formatCode="mmm&quot; &quot;yyyy"/>
    <numFmt numFmtId="175" formatCode="mmm&quot;-&quot;yy"/>
    <numFmt numFmtId="176" formatCode="mmm\-yy"/>
    <numFmt numFmtId="177" formatCode="mm/dd/yyyy"/>
    <numFmt numFmtId="178" formatCode="0;0;\-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20.0"/>
      <color rgb="FFFFFFFF"/>
      <name val="Arial"/>
    </font>
    <font>
      <sz val="12.0"/>
      <color rgb="FFFFFFFF"/>
      <name val="Arial"/>
    </font>
    <font>
      <sz val="9.0"/>
      <color rgb="FFFFFFFF"/>
      <name val="Arial"/>
    </font>
    <font>
      <b/>
      <sz val="10.0"/>
      <color rgb="FFFF0000"/>
      <name val="Arial"/>
    </font>
    <font>
      <sz val="11.0"/>
      <color theme="1"/>
      <name val="Geist"/>
    </font>
    <font>
      <b/>
      <sz val="11.0"/>
      <color rgb="FFFFFFFF"/>
      <name val="Geist"/>
    </font>
    <font>
      <b/>
      <sz val="11.0"/>
      <color rgb="FF000000"/>
      <name val="Geist"/>
    </font>
    <font>
      <sz val="11.0"/>
      <color rgb="FF000000"/>
      <name val="Geist"/>
    </font>
    <font>
      <b/>
      <sz val="11.0"/>
      <color rgb="FF0000FF"/>
      <name val="Geist"/>
    </font>
    <font>
      <b/>
      <sz val="11.0"/>
      <color rgb="FF999999"/>
      <name val="Geist"/>
    </font>
    <font>
      <b/>
      <sz val="11.0"/>
      <color rgb="FFCCCCCC"/>
      <name val="Geist"/>
    </font>
    <font>
      <sz val="11.0"/>
      <color rgb="FF999999"/>
      <name val="Geist"/>
    </font>
    <font>
      <sz val="10.0"/>
      <color theme="1"/>
      <name val="Geist"/>
    </font>
    <font>
      <b/>
      <sz val="10.0"/>
      <color rgb="FF000000"/>
      <name val="Geist"/>
    </font>
    <font>
      <b/>
      <sz val="10.0"/>
      <color rgb="FFFFFFFF"/>
      <name val="Geist"/>
    </font>
    <font/>
    <font>
      <sz val="10.0"/>
      <color rgb="FF0000FF"/>
      <name val="Geist"/>
    </font>
    <font>
      <sz val="10.0"/>
      <color rgb="FF000000"/>
      <name val="Geist"/>
    </font>
    <font>
      <sz val="10.0"/>
      <color rgb="FF595959"/>
      <name val="Geist"/>
    </font>
    <font>
      <b/>
      <sz val="10.0"/>
      <color rgb="FF0000FF"/>
      <name val="Geist"/>
    </font>
    <font>
      <b/>
      <sz val="10.0"/>
      <color theme="1"/>
      <name val="Geist"/>
    </font>
    <font>
      <b/>
      <color theme="1"/>
      <name val="Calibri"/>
    </font>
    <font>
      <sz val="10.0"/>
      <color rgb="FFCCCCCC"/>
      <name val="Geist"/>
    </font>
    <font>
      <i/>
      <sz val="10.0"/>
      <color rgb="FFFFFFFF"/>
      <name val="Geist"/>
    </font>
    <font>
      <sz val="10.0"/>
      <color rgb="FFFFFFFF"/>
      <name val="Geist"/>
    </font>
    <font>
      <sz val="10.0"/>
      <color rgb="FF999999"/>
      <name val="Geist"/>
    </font>
    <font>
      <i/>
      <sz val="10.0"/>
      <color rgb="FFCCCCCC"/>
      <name val="Geist"/>
    </font>
    <font>
      <i/>
      <sz val="10.0"/>
      <color rgb="FF000000"/>
      <name val="Geist"/>
    </font>
    <font>
      <i/>
      <sz val="10.0"/>
      <color theme="1"/>
      <name val="Geist"/>
    </font>
    <font>
      <i/>
      <sz val="10.0"/>
      <color rgb="FF0000FF"/>
      <name val="Geist"/>
    </font>
    <font>
      <sz val="10.0"/>
      <color rgb="FF008000"/>
      <name val="Geist"/>
    </font>
    <font>
      <i/>
      <sz val="10.0"/>
      <color rgb="FF999999"/>
      <name val="Geist"/>
    </font>
    <font>
      <b/>
      <sz val="10.0"/>
      <color rgb="FF999999"/>
      <name val="Geist"/>
    </font>
    <font>
      <i/>
      <sz val="10.0"/>
      <color rgb="FF2E75B6"/>
      <name val="Geist"/>
    </font>
    <font>
      <b/>
      <i/>
      <sz val="10.0"/>
      <color theme="1"/>
      <name val="Geist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33145"/>
        <bgColor rgb="FF233145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A5068"/>
        <bgColor rgb="FF3A5068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Border="1" applyFont="1"/>
    <xf borderId="1" fillId="3" fontId="7" numFmtId="0" xfId="0" applyBorder="1" applyFill="1" applyFont="1"/>
    <xf borderId="1" fillId="3" fontId="8" numFmtId="0" xfId="0" applyBorder="1" applyFont="1"/>
    <xf borderId="0" fillId="0" fontId="7" numFmtId="0" xfId="0" applyFont="1"/>
    <xf borderId="0" fillId="0" fontId="9" numFmtId="0" xfId="0" applyFont="1"/>
    <xf borderId="1" fillId="4" fontId="9" numFmtId="0" xfId="0" applyBorder="1" applyFill="1" applyFont="1"/>
    <xf borderId="0" fillId="0" fontId="10" numFmtId="0" xfId="0" applyFont="1"/>
    <xf borderId="0" fillId="0" fontId="11" numFmtId="0" xfId="0" applyFont="1"/>
    <xf borderId="1" fillId="5" fontId="9" numFmtId="0" xfId="0" applyBorder="1" applyFill="1" applyFont="1"/>
    <xf borderId="1" fillId="6" fontId="9" numFmtId="0" xfId="0" applyBorder="1" applyFill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7" numFmtId="0" xfId="0" applyAlignment="1" applyFont="1">
      <alignment readingOrder="0"/>
    </xf>
    <xf borderId="0" fillId="2" fontId="15" numFmtId="0" xfId="0" applyAlignment="1" applyFont="1">
      <alignment vertical="bottom"/>
    </xf>
    <xf borderId="0" fillId="2" fontId="16" numFmtId="0" xfId="0" applyFont="1"/>
    <xf borderId="0" fillId="2" fontId="17" numFmtId="0" xfId="0" applyFont="1"/>
    <xf borderId="0" fillId="0" fontId="15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2" fillId="2" fontId="17" numFmtId="0" xfId="0" applyBorder="1" applyFont="1"/>
    <xf borderId="3" fillId="0" fontId="18" numFmtId="0" xfId="0" applyBorder="1" applyFont="1"/>
    <xf borderId="2" fillId="7" fontId="17" numFmtId="0" xfId="0" applyBorder="1" applyFont="1"/>
    <xf borderId="0" fillId="0" fontId="15" numFmtId="0" xfId="0" applyFont="1"/>
    <xf borderId="0" fillId="0" fontId="19" numFmtId="3" xfId="0" applyAlignment="1" applyFont="1" applyNumberFormat="1">
      <alignment horizontal="right" vertical="bottom"/>
    </xf>
    <xf borderId="0" fillId="4" fontId="20" numFmtId="9" xfId="0" applyAlignment="1" applyFont="1" applyNumberFormat="1">
      <alignment horizontal="right" vertical="bottom"/>
    </xf>
    <xf borderId="0" fillId="4" fontId="20" numFmtId="0" xfId="0" applyAlignment="1" applyFont="1">
      <alignment vertical="bottom"/>
    </xf>
    <xf borderId="0" fillId="4" fontId="20" numFmtId="164" xfId="0" applyAlignment="1" applyFont="1" applyNumberFormat="1">
      <alignment horizontal="right" vertical="bottom"/>
    </xf>
    <xf borderId="0" fillId="4" fontId="20" numFmtId="165" xfId="0" applyAlignment="1" applyFont="1" applyNumberFormat="1">
      <alignment horizontal="right" vertical="bottom"/>
    </xf>
    <xf borderId="0" fillId="0" fontId="17" numFmtId="0" xfId="0" applyAlignment="1" applyFont="1">
      <alignment horizontal="left" vertical="center"/>
    </xf>
    <xf borderId="0" fillId="7" fontId="15" numFmtId="0" xfId="0" applyFont="1"/>
    <xf borderId="0" fillId="7" fontId="17" numFmtId="0" xfId="0" applyFont="1"/>
    <xf borderId="1" fillId="7" fontId="20" numFmtId="3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0" fillId="4" fontId="20" numFmtId="166" xfId="0" applyFont="1" applyNumberFormat="1"/>
    <xf borderId="0" fillId="7" fontId="20" numFmtId="3" xfId="0" applyFont="1" applyNumberFormat="1"/>
    <xf borderId="0" fillId="4" fontId="20" numFmtId="9" xfId="0" applyFont="1" applyNumberFormat="1"/>
    <xf borderId="0" fillId="2" fontId="15" numFmtId="0" xfId="0" applyFont="1"/>
    <xf borderId="0" fillId="5" fontId="16" numFmtId="0" xfId="0" applyAlignment="1" applyFont="1">
      <alignment horizontal="left" vertical="center"/>
    </xf>
    <xf borderId="0" fillId="4" fontId="20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4" fontId="20" numFmtId="3" xfId="0" applyFont="1" applyNumberFormat="1"/>
    <xf borderId="0" fillId="4" fontId="20" numFmtId="0" xfId="0" applyFont="1"/>
    <xf borderId="0" fillId="0" fontId="20" numFmtId="0" xfId="0" applyFont="1"/>
    <xf borderId="0" fillId="7" fontId="21" numFmtId="0" xfId="0" applyFont="1"/>
    <xf borderId="0" fillId="7" fontId="22" numFmtId="167" xfId="0" applyAlignment="1" applyFont="1" applyNumberFormat="1">
      <alignment horizontal="center"/>
    </xf>
    <xf borderId="0" fillId="7" fontId="20" numFmtId="0" xfId="0" applyFont="1"/>
    <xf borderId="0" fillId="0" fontId="16" numFmtId="0" xfId="0" applyAlignment="1" applyFont="1">
      <alignment horizontal="left" readingOrder="0" vertical="bottom"/>
    </xf>
    <xf borderId="0" fillId="0" fontId="20" numFmtId="0" xfId="0" applyAlignment="1" applyFont="1">
      <alignment readingOrder="0"/>
    </xf>
    <xf borderId="0" fillId="4" fontId="20" numFmtId="168" xfId="0" applyFont="1" applyNumberFormat="1"/>
    <xf borderId="0" fillId="0" fontId="16" numFmtId="168" xfId="0" applyFont="1" applyNumberFormat="1"/>
    <xf borderId="0" fillId="0" fontId="20" numFmtId="168" xfId="0" applyFont="1" applyNumberFormat="1"/>
    <xf borderId="0" fillId="0" fontId="16" numFmtId="0" xfId="0" applyAlignment="1" applyFont="1">
      <alignment horizontal="left" readingOrder="0" vertical="center"/>
    </xf>
    <xf borderId="2" fillId="3" fontId="17" numFmtId="0" xfId="0" applyBorder="1" applyFont="1"/>
    <xf borderId="0" fillId="0" fontId="16" numFmtId="0" xfId="0" applyAlignment="1" applyFont="1">
      <alignment horizontal="left" vertical="center"/>
    </xf>
    <xf borderId="0" fillId="7" fontId="20" numFmtId="169" xfId="0" applyAlignment="1" applyFont="1" applyNumberFormat="1">
      <alignment horizontal="center" vertical="bottom"/>
    </xf>
    <xf borderId="0" fillId="0" fontId="23" numFmtId="0" xfId="0" applyFont="1"/>
    <xf borderId="0" fillId="7" fontId="16" numFmtId="0" xfId="0" applyFont="1"/>
    <xf borderId="0" fillId="7" fontId="16" numFmtId="0" xfId="0" applyAlignment="1" applyFont="1">
      <alignment horizontal="left" vertical="bottom"/>
    </xf>
    <xf borderId="0" fillId="7" fontId="16" numFmtId="169" xfId="0" applyAlignment="1" applyFont="1" applyNumberFormat="1">
      <alignment horizontal="left" vertical="bottom"/>
    </xf>
    <xf borderId="0" fillId="7" fontId="16" numFmtId="169" xfId="0" applyAlignment="1" applyFont="1" applyNumberFormat="1">
      <alignment horizontal="center" vertical="bottom"/>
    </xf>
    <xf borderId="0" fillId="7" fontId="20" numFmtId="0" xfId="0" applyAlignment="1" applyFont="1">
      <alignment horizontal="left" vertical="bottom"/>
    </xf>
    <xf borderId="0" fillId="7" fontId="20" numFmtId="169" xfId="0" applyAlignment="1" applyFont="1" applyNumberFormat="1">
      <alignment horizontal="left" vertical="bottom"/>
    </xf>
    <xf borderId="0" fillId="7" fontId="20" numFmtId="168" xfId="0" applyAlignment="1" applyFont="1" applyNumberFormat="1">
      <alignment horizontal="right" vertical="bottom"/>
    </xf>
    <xf borderId="0" fillId="7" fontId="16" numFmtId="0" xfId="0" applyAlignment="1" applyFont="1">
      <alignment horizontal="left" vertical="center"/>
    </xf>
    <xf borderId="0" fillId="7" fontId="16" numFmtId="0" xfId="0" applyAlignment="1" applyFont="1">
      <alignment horizontal="left"/>
    </xf>
    <xf borderId="0" fillId="7" fontId="16" numFmtId="168" xfId="0" applyFont="1" applyNumberFormat="1"/>
    <xf borderId="0" fillId="7" fontId="20" numFmtId="0" xfId="0" applyAlignment="1" applyFont="1">
      <alignment horizontal="center" vertical="bottom"/>
    </xf>
    <xf borderId="0" fillId="4" fontId="20" numFmtId="170" xfId="0" applyFont="1" applyNumberFormat="1"/>
    <xf borderId="0" fillId="7" fontId="20" numFmtId="170" xfId="0" applyAlignment="1" applyFont="1" applyNumberFormat="1">
      <alignment vertical="bottom"/>
    </xf>
    <xf borderId="0" fillId="7" fontId="20" numFmtId="0" xfId="0" applyAlignment="1" applyFont="1">
      <alignment vertical="bottom"/>
    </xf>
    <xf borderId="0" fillId="7" fontId="20" numFmtId="169" xfId="0" applyAlignment="1" applyFont="1" applyNumberFormat="1">
      <alignment horizontal="right" vertical="bottom"/>
    </xf>
    <xf borderId="0" fillId="0" fontId="16" numFmtId="169" xfId="0" applyAlignment="1" applyFont="1" applyNumberFormat="1">
      <alignment horizontal="right"/>
    </xf>
    <xf borderId="0" fillId="7" fontId="16" numFmtId="169" xfId="0" applyAlignment="1" applyFont="1" applyNumberFormat="1">
      <alignment horizontal="right"/>
    </xf>
    <xf borderId="0" fillId="7" fontId="20" numFmtId="0" xfId="0" applyAlignment="1" applyFont="1">
      <alignment horizontal="right" vertical="bottom"/>
    </xf>
    <xf borderId="0" fillId="0" fontId="20" numFmtId="0" xfId="0" applyAlignment="1" applyFont="1">
      <alignment horizontal="center"/>
    </xf>
    <xf borderId="0" fillId="7" fontId="20" numFmtId="166" xfId="0" applyAlignment="1" applyFont="1" applyNumberFormat="1">
      <alignment horizontal="center"/>
    </xf>
    <xf borderId="0" fillId="7" fontId="20" numFmtId="171" xfId="0" applyAlignment="1" applyFont="1" applyNumberFormat="1">
      <alignment horizontal="right" vertical="bottom"/>
    </xf>
    <xf borderId="0" fillId="5" fontId="16" numFmtId="0" xfId="0" applyAlignment="1" applyFont="1">
      <alignment horizontal="left" readingOrder="0" vertical="center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7" fontId="15" numFmtId="0" xfId="0" applyAlignment="1" applyFont="1">
      <alignment horizontal="center" readingOrder="0"/>
    </xf>
    <xf borderId="0" fillId="7" fontId="15" numFmtId="0" xfId="0" applyAlignment="1" applyFont="1">
      <alignment horizontal="center"/>
    </xf>
    <xf borderId="0" fillId="4" fontId="15" numFmtId="171" xfId="0" applyAlignment="1" applyFont="1" applyNumberFormat="1">
      <alignment horizontal="center" readingOrder="0"/>
    </xf>
    <xf borderId="0" fillId="7" fontId="15" numFmtId="171" xfId="0" applyAlignment="1" applyFont="1" applyNumberFormat="1">
      <alignment horizontal="center" readingOrder="0"/>
    </xf>
    <xf borderId="0" fillId="4" fontId="15" numFmtId="171" xfId="0" applyAlignment="1" applyFont="1" applyNumberFormat="1">
      <alignment horizontal="center"/>
    </xf>
    <xf borderId="0" fillId="7" fontId="15" numFmtId="171" xfId="0" applyAlignment="1" applyFont="1" applyNumberFormat="1">
      <alignment horizontal="center"/>
    </xf>
    <xf borderId="0" fillId="0" fontId="16" numFmtId="0" xfId="0" applyFont="1"/>
    <xf borderId="0" fillId="0" fontId="23" numFmtId="0" xfId="0" applyAlignment="1" applyFont="1">
      <alignment horizontal="center" readingOrder="0"/>
    </xf>
    <xf borderId="0" fillId="7" fontId="23" numFmtId="171" xfId="0" applyAlignment="1" applyFont="1" applyNumberFormat="1">
      <alignment horizontal="center"/>
    </xf>
    <xf borderId="0" fillId="7" fontId="23" numFmtId="0" xfId="0" applyAlignment="1" applyFont="1">
      <alignment horizontal="center"/>
    </xf>
    <xf borderId="0" fillId="7" fontId="23" numFmtId="0" xfId="0" applyFont="1"/>
    <xf borderId="0" fillId="0" fontId="24" numFmtId="0" xfId="0" applyFont="1"/>
    <xf borderId="0" fillId="0" fontId="17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20" numFmtId="171" xfId="0" applyAlignment="1" applyFont="1" applyNumberFormat="1">
      <alignment horizontal="center"/>
    </xf>
    <xf borderId="0" fillId="0" fontId="15" numFmtId="171" xfId="0" applyFont="1" applyNumberFormat="1"/>
    <xf borderId="0" fillId="7" fontId="20" numFmtId="0" xfId="0" applyAlignment="1" applyFont="1">
      <alignment horizontal="center"/>
    </xf>
    <xf borderId="0" fillId="7" fontId="20" numFmtId="166" xfId="0" applyAlignment="1" applyFont="1" applyNumberFormat="1">
      <alignment horizontal="center" readingOrder="0"/>
    </xf>
    <xf borderId="0" fillId="7" fontId="15" numFmtId="0" xfId="0" applyAlignment="1" applyFont="1">
      <alignment readingOrder="0"/>
    </xf>
    <xf borderId="3" fillId="2" fontId="17" numFmtId="9" xfId="0" applyBorder="1" applyFont="1" applyNumberFormat="1"/>
    <xf borderId="4" fillId="2" fontId="17" numFmtId="0" xfId="0" applyBorder="1" applyFont="1"/>
    <xf borderId="4" fillId="7" fontId="17" numFmtId="0" xfId="0" applyBorder="1" applyFont="1"/>
    <xf borderId="0" fillId="0" fontId="16" numFmtId="0" xfId="0" applyAlignment="1" applyFont="1">
      <alignment horizontal="right"/>
    </xf>
    <xf borderId="0" fillId="7" fontId="15" numFmtId="172" xfId="0" applyAlignment="1" applyFont="1" applyNumberFormat="1">
      <alignment horizontal="left" vertical="center"/>
    </xf>
    <xf borderId="0" fillId="7" fontId="20" numFmtId="0" xfId="0" applyAlignment="1" applyFont="1">
      <alignment horizontal="left" vertical="center"/>
    </xf>
    <xf borderId="0" fillId="7" fontId="15" numFmtId="172" xfId="0" applyFont="1" applyNumberFormat="1"/>
    <xf borderId="0" fillId="7" fontId="20" numFmtId="172" xfId="0" applyAlignment="1" applyFont="1" applyNumberFormat="1">
      <alignment horizontal="left" vertical="center"/>
    </xf>
    <xf borderId="0" fillId="0" fontId="16" numFmtId="172" xfId="0" applyAlignment="1" applyFont="1" applyNumberFormat="1">
      <alignment horizontal="left" vertical="center"/>
    </xf>
    <xf borderId="0" fillId="0" fontId="20" numFmtId="3" xfId="0" applyAlignment="1" applyFont="1" applyNumberFormat="1">
      <alignment horizontal="right"/>
    </xf>
    <xf borderId="5" fillId="7" fontId="23" numFmtId="0" xfId="0" applyAlignment="1" applyBorder="1" applyFont="1">
      <alignment horizontal="right"/>
    </xf>
    <xf borderId="6" fillId="7" fontId="23" numFmtId="0" xfId="0" applyBorder="1" applyFont="1"/>
    <xf borderId="7" fillId="7" fontId="23" numFmtId="0" xfId="0" applyAlignment="1" applyBorder="1" applyFont="1">
      <alignment horizontal="right"/>
    </xf>
    <xf borderId="0" fillId="4" fontId="20" numFmtId="3" xfId="0" applyAlignment="1" applyFont="1" applyNumberFormat="1">
      <alignment horizontal="right"/>
    </xf>
    <xf borderId="8" fillId="4" fontId="15" numFmtId="0" xfId="0" applyBorder="1" applyFont="1"/>
    <xf borderId="9" fillId="7" fontId="15" numFmtId="0" xfId="0" applyBorder="1" applyFont="1"/>
    <xf borderId="0" fillId="7" fontId="15" numFmtId="3" xfId="0" applyFont="1" applyNumberFormat="1"/>
    <xf borderId="0" fillId="7" fontId="20" numFmtId="173" xfId="0" applyAlignment="1" applyFont="1" applyNumberFormat="1">
      <alignment horizontal="right" shrinkToFit="0" wrapText="0"/>
    </xf>
    <xf borderId="8" fillId="7" fontId="15" numFmtId="0" xfId="0" applyBorder="1" applyFont="1"/>
    <xf borderId="0" fillId="7" fontId="15" numFmtId="1" xfId="0" applyFont="1" applyNumberFormat="1"/>
    <xf borderId="9" fillId="4" fontId="15" numFmtId="9" xfId="0" applyBorder="1" applyFont="1" applyNumberFormat="1"/>
    <xf borderId="0" fillId="7" fontId="20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/>
    </xf>
    <xf borderId="0" fillId="0" fontId="25" numFmtId="0" xfId="0" applyAlignment="1" applyFont="1">
      <alignment horizontal="right"/>
    </xf>
    <xf borderId="10" fillId="7" fontId="15" numFmtId="0" xfId="0" applyBorder="1" applyFont="1"/>
    <xf borderId="11" fillId="7" fontId="15" numFmtId="1" xfId="0" applyBorder="1" applyFont="1" applyNumberFormat="1"/>
    <xf borderId="12" fillId="4" fontId="15" numFmtId="9" xfId="0" applyBorder="1" applyFont="1" applyNumberFormat="1"/>
    <xf borderId="13" fillId="2" fontId="17" numFmtId="0" xfId="0" applyAlignment="1" applyBorder="1" applyFont="1">
      <alignment horizontal="left"/>
    </xf>
    <xf borderId="13" fillId="2" fontId="17" numFmtId="0" xfId="0" applyAlignment="1" applyBorder="1" applyFont="1">
      <alignment horizontal="right"/>
    </xf>
    <xf borderId="14" fillId="2" fontId="17" numFmtId="0" xfId="0" applyAlignment="1" applyBorder="1" applyFont="1">
      <alignment horizontal="right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shrinkToFit="0" wrapText="0"/>
    </xf>
    <xf borderId="0" fillId="4" fontId="20" numFmtId="9" xfId="0" applyAlignment="1" applyFont="1" applyNumberFormat="1">
      <alignment horizontal="right" shrinkToFit="0" wrapText="0"/>
    </xf>
    <xf borderId="0" fillId="4" fontId="20" numFmtId="173" xfId="0" applyAlignment="1" applyFont="1" applyNumberFormat="1">
      <alignment horizontal="right" shrinkToFit="0" wrapText="0"/>
    </xf>
    <xf borderId="0" fillId="0" fontId="16" numFmtId="173" xfId="0" applyAlignment="1" applyFont="1" applyNumberFormat="1">
      <alignment horizontal="right" shrinkToFit="0" wrapText="0"/>
    </xf>
    <xf borderId="0" fillId="0" fontId="15" numFmtId="173" xfId="0" applyFont="1" applyNumberFormat="1"/>
    <xf borderId="0" fillId="7" fontId="15" numFmtId="173" xfId="0" applyFont="1" applyNumberFormat="1"/>
    <xf borderId="0" fillId="0" fontId="23" numFmtId="0" xfId="0" applyAlignment="1" applyFont="1">
      <alignment readingOrder="0" shrinkToFit="0" wrapText="0"/>
    </xf>
    <xf borderId="0" fillId="0" fontId="20" numFmtId="0" xfId="0" applyAlignment="1" applyFont="1">
      <alignment shrinkToFit="0" vertical="bottom" wrapText="0"/>
    </xf>
    <xf borderId="0" fillId="7" fontId="20" numFmtId="9" xfId="0" applyAlignment="1" applyFont="1" applyNumberFormat="1">
      <alignment horizontal="right" shrinkToFit="0" wrapText="0"/>
    </xf>
    <xf borderId="0" fillId="0" fontId="16" numFmtId="173" xfId="0" applyAlignment="1" applyFont="1" applyNumberFormat="1">
      <alignment shrinkToFit="0" vertical="bottom" wrapText="0"/>
    </xf>
    <xf borderId="0" fillId="0" fontId="23" numFmtId="0" xfId="0" applyAlignment="1" applyFont="1">
      <alignment shrinkToFit="0" wrapText="0"/>
    </xf>
    <xf borderId="0" fillId="7" fontId="20" numFmtId="0" xfId="0" applyAlignment="1" applyFont="1">
      <alignment shrinkToFit="0" wrapText="0"/>
    </xf>
    <xf borderId="0" fillId="7" fontId="16" numFmtId="173" xfId="0" applyAlignment="1" applyFont="1" applyNumberFormat="1">
      <alignment horizontal="right" shrinkToFit="0" wrapText="0"/>
    </xf>
    <xf borderId="0" fillId="0" fontId="20" numFmtId="0" xfId="0" applyAlignment="1" applyFont="1">
      <alignment readingOrder="0" shrinkToFit="0" vertical="bottom" wrapText="0"/>
    </xf>
    <xf borderId="0" fillId="0" fontId="20" numFmtId="173" xfId="0" applyAlignment="1" applyFont="1" applyNumberFormat="1">
      <alignment shrinkToFit="0" vertical="bottom" wrapText="0"/>
    </xf>
    <xf borderId="0" fillId="0" fontId="20" numFmtId="172" xfId="0" applyAlignment="1" applyFont="1" applyNumberFormat="1">
      <alignment shrinkToFit="0" vertical="bottom" wrapText="0"/>
    </xf>
    <xf quotePrefix="1" borderId="1" fillId="7" fontId="15" numFmtId="0" xfId="0" applyBorder="1" applyFont="1"/>
    <xf borderId="1" fillId="2" fontId="17" numFmtId="0" xfId="0" applyAlignment="1" applyBorder="1" applyFont="1">
      <alignment horizontal="left" vertical="center"/>
    </xf>
    <xf borderId="1" fillId="2" fontId="15" numFmtId="0" xfId="0" applyBorder="1" applyFont="1"/>
    <xf borderId="1" fillId="2" fontId="26" numFmtId="0" xfId="0" applyBorder="1" applyFont="1"/>
    <xf borderId="1" fillId="2" fontId="27" numFmtId="0" xfId="0" applyBorder="1" applyFont="1"/>
    <xf borderId="2" fillId="2" fontId="27" numFmtId="0" xfId="0" applyBorder="1" applyFont="1"/>
    <xf borderId="0" fillId="2" fontId="27" numFmtId="0" xfId="0" applyFont="1"/>
    <xf borderId="4" fillId="2" fontId="27" numFmtId="0" xfId="0" applyBorder="1" applyFont="1"/>
    <xf borderId="0" fillId="7" fontId="27" numFmtId="0" xfId="0" applyFont="1"/>
    <xf borderId="1" fillId="7" fontId="15" numFmtId="0" xfId="0" applyAlignment="1" applyBorder="1" applyFont="1">
      <alignment horizontal="right"/>
    </xf>
    <xf borderId="1" fillId="2" fontId="15" numFmtId="0" xfId="0" applyAlignment="1" applyBorder="1" applyFont="1">
      <alignment horizontal="right"/>
    </xf>
    <xf borderId="1" fillId="2" fontId="17" numFmtId="0" xfId="0" applyAlignment="1" applyBorder="1" applyFont="1">
      <alignment horizontal="right" vertical="center"/>
    </xf>
    <xf borderId="2" fillId="2" fontId="17" numFmtId="0" xfId="0" applyAlignment="1" applyBorder="1" applyFont="1">
      <alignment horizontal="right" vertical="center"/>
    </xf>
    <xf borderId="0" fillId="2" fontId="17" numFmtId="0" xfId="0" applyAlignment="1" applyFont="1">
      <alignment horizontal="right" vertical="center"/>
    </xf>
    <xf borderId="4" fillId="2" fontId="17" numFmtId="0" xfId="0" applyAlignment="1" applyBorder="1" applyFont="1">
      <alignment horizontal="right" vertical="center"/>
    </xf>
    <xf borderId="1" fillId="2" fontId="27" numFmtId="0" xfId="0" applyAlignment="1" applyBorder="1" applyFont="1">
      <alignment horizontal="right" vertical="center"/>
    </xf>
    <xf borderId="2" fillId="2" fontId="27" numFmtId="0" xfId="0" applyAlignment="1" applyBorder="1" applyFont="1">
      <alignment horizontal="right" vertical="center"/>
    </xf>
    <xf borderId="0" fillId="7" fontId="15" numFmtId="0" xfId="0" applyAlignment="1" applyFont="1">
      <alignment horizontal="right" vertical="center"/>
    </xf>
    <xf borderId="0" fillId="7" fontId="27" numFmtId="0" xfId="0" applyAlignment="1" applyFont="1">
      <alignment horizontal="right" vertical="center"/>
    </xf>
    <xf borderId="1" fillId="2" fontId="27" numFmtId="174" xfId="0" applyAlignment="1" applyBorder="1" applyFont="1" applyNumberFormat="1">
      <alignment horizontal="right" vertical="center"/>
    </xf>
    <xf borderId="1" fillId="2" fontId="17" numFmtId="0" xfId="0" applyAlignment="1" applyBorder="1" applyFont="1">
      <alignment horizontal="right"/>
    </xf>
    <xf borderId="0" fillId="7" fontId="17" numFmtId="0" xfId="0" applyAlignment="1" applyFont="1">
      <alignment horizontal="right"/>
    </xf>
    <xf borderId="0" fillId="0" fontId="15" numFmtId="3" xfId="0" applyFont="1" applyNumberFormat="1"/>
    <xf borderId="0" fillId="0" fontId="20" numFmtId="3" xfId="0" applyFont="1" applyNumberFormat="1"/>
    <xf borderId="0" fillId="0" fontId="16" numFmtId="3" xfId="0" applyAlignment="1" applyFont="1" applyNumberFormat="1">
      <alignment horizontal="left" vertical="center"/>
    </xf>
    <xf borderId="1" fillId="7" fontId="15" numFmtId="3" xfId="0" applyBorder="1" applyFont="1" applyNumberFormat="1"/>
    <xf borderId="1" fillId="6" fontId="16" numFmtId="3" xfId="0" applyBorder="1" applyFont="1" applyNumberFormat="1"/>
    <xf borderId="1" fillId="6" fontId="15" numFmtId="3" xfId="0" applyBorder="1" applyFont="1" applyNumberFormat="1"/>
    <xf borderId="2" fillId="6" fontId="15" numFmtId="3" xfId="0" applyBorder="1" applyFont="1" applyNumberFormat="1"/>
    <xf borderId="0" fillId="6" fontId="15" numFmtId="3" xfId="0" applyFont="1" applyNumberFormat="1"/>
    <xf borderId="4" fillId="6" fontId="15" numFmtId="3" xfId="0" applyBorder="1" applyFont="1" applyNumberFormat="1"/>
    <xf borderId="0" fillId="0" fontId="15" numFmtId="3" xfId="0" applyAlignment="1" applyFont="1" applyNumberFormat="1">
      <alignment readingOrder="0"/>
    </xf>
    <xf borderId="0" fillId="0" fontId="28" numFmtId="3" xfId="0" applyFont="1" applyNumberFormat="1"/>
    <xf borderId="0" fillId="0" fontId="20" numFmtId="3" xfId="0" applyAlignment="1" applyFont="1" applyNumberFormat="1">
      <alignment horizontal="center"/>
    </xf>
    <xf borderId="1" fillId="7" fontId="27" numFmtId="3" xfId="0" applyBorder="1" applyFont="1" applyNumberFormat="1"/>
    <xf borderId="1" fillId="2" fontId="17" numFmtId="3" xfId="0" applyBorder="1" applyFont="1" applyNumberFormat="1"/>
    <xf borderId="1" fillId="2" fontId="27" numFmtId="3" xfId="0" applyBorder="1" applyFont="1" applyNumberFormat="1"/>
    <xf borderId="0" fillId="7" fontId="27" numFmtId="3" xfId="0" applyFont="1" applyNumberFormat="1"/>
    <xf borderId="2" fillId="2" fontId="17" numFmtId="3" xfId="0" applyBorder="1" applyFont="1" applyNumberFormat="1"/>
    <xf borderId="0" fillId="7" fontId="17" numFmtId="3" xfId="0" applyFont="1" applyNumberFormat="1"/>
    <xf borderId="0" fillId="0" fontId="20" numFmtId="3" xfId="0" applyAlignment="1" applyFont="1" applyNumberFormat="1">
      <alignment readingOrder="0"/>
    </xf>
    <xf borderId="0" fillId="0" fontId="16" numFmtId="3" xfId="0" applyFont="1" applyNumberFormat="1"/>
    <xf borderId="0" fillId="7" fontId="16" numFmtId="3" xfId="0" applyFont="1" applyNumberFormat="1"/>
    <xf borderId="0" fillId="7" fontId="15" numFmtId="9" xfId="0" applyFont="1" applyNumberFormat="1"/>
    <xf borderId="0" fillId="0" fontId="28" numFmtId="9" xfId="0" applyFont="1" applyNumberFormat="1"/>
    <xf borderId="0" fillId="0" fontId="15" numFmtId="9" xfId="0" applyFont="1" applyNumberFormat="1"/>
    <xf borderId="0" fillId="7" fontId="28" numFmtId="9" xfId="0" applyFont="1" applyNumberFormat="1"/>
    <xf borderId="1" fillId="5" fontId="16" numFmtId="3" xfId="0" applyBorder="1" applyFont="1" applyNumberFormat="1"/>
    <xf borderId="1" fillId="5" fontId="15" numFmtId="3" xfId="0" applyBorder="1" applyFont="1" applyNumberFormat="1"/>
    <xf borderId="1" fillId="5" fontId="23" numFmtId="3" xfId="0" applyBorder="1" applyFont="1" applyNumberFormat="1"/>
    <xf borderId="2" fillId="5" fontId="16" numFmtId="3" xfId="0" applyBorder="1" applyFont="1" applyNumberFormat="1"/>
    <xf borderId="0" fillId="5" fontId="16" numFmtId="3" xfId="0" applyFont="1" applyNumberFormat="1"/>
    <xf borderId="4" fillId="5" fontId="16" numFmtId="3" xfId="0" applyBorder="1" applyFont="1" applyNumberFormat="1"/>
    <xf borderId="0" fillId="7" fontId="15" numFmtId="10" xfId="0" applyFont="1" applyNumberFormat="1"/>
    <xf borderId="0" fillId="0" fontId="28" numFmtId="10" xfId="0" applyFont="1" applyNumberFormat="1"/>
    <xf borderId="0" fillId="0" fontId="15" numFmtId="10" xfId="0" applyFont="1" applyNumberFormat="1"/>
    <xf borderId="0" fillId="7" fontId="28" numFmtId="10" xfId="0" applyFont="1" applyNumberFormat="1"/>
    <xf borderId="0" fillId="0" fontId="28" numFmtId="0" xfId="0" applyFont="1"/>
    <xf borderId="0" fillId="0" fontId="29" numFmtId="0" xfId="0" applyFont="1"/>
    <xf borderId="0" fillId="0" fontId="29" numFmtId="3" xfId="0" applyFont="1" applyNumberFormat="1"/>
    <xf borderId="0" fillId="0" fontId="19" numFmtId="3" xfId="0" applyFont="1" applyNumberFormat="1"/>
    <xf borderId="0" fillId="8" fontId="20" numFmtId="3" xfId="0" applyFill="1" applyFont="1" applyNumberFormat="1"/>
    <xf borderId="1" fillId="8" fontId="20" numFmtId="3" xfId="0" applyBorder="1" applyFont="1" applyNumberFormat="1"/>
    <xf borderId="0" fillId="0" fontId="25" numFmtId="3" xfId="0" applyFont="1" applyNumberFormat="1"/>
    <xf borderId="0" fillId="7" fontId="25" numFmtId="3" xfId="0" applyFont="1" applyNumberFormat="1"/>
    <xf borderId="1" fillId="2" fontId="27" numFmtId="0" xfId="0" applyAlignment="1" applyBorder="1" applyFont="1">
      <alignment horizontal="right"/>
    </xf>
    <xf borderId="0" fillId="0" fontId="15" numFmtId="0" xfId="0" applyAlignment="1" applyFont="1">
      <alignment horizontal="right" vertical="center"/>
    </xf>
    <xf borderId="0" fillId="7" fontId="17" numFmtId="0" xfId="0" applyAlignment="1" applyFont="1">
      <alignment horizontal="right" vertical="center"/>
    </xf>
    <xf borderId="0" fillId="0" fontId="27" numFmtId="3" xfId="0" applyFont="1" applyNumberFormat="1"/>
    <xf borderId="1" fillId="6" fontId="15" numFmtId="0" xfId="0" applyBorder="1" applyFont="1"/>
    <xf borderId="1" fillId="6" fontId="23" numFmtId="0" xfId="0" applyBorder="1" applyFont="1"/>
    <xf borderId="0" fillId="0" fontId="30" numFmtId="3" xfId="0" applyFont="1" applyNumberFormat="1"/>
    <xf borderId="1" fillId="6" fontId="16" numFmtId="0" xfId="0" applyBorder="1" applyFont="1"/>
    <xf borderId="0" fillId="0" fontId="23" numFmtId="3" xfId="0" applyFont="1" applyNumberFormat="1"/>
    <xf borderId="0" fillId="6" fontId="23" numFmtId="3" xfId="0" applyFont="1" applyNumberFormat="1"/>
    <xf borderId="0" fillId="7" fontId="23" numFmtId="3" xfId="0" applyFont="1" applyNumberFormat="1"/>
    <xf borderId="0" fillId="0" fontId="2" numFmtId="3" xfId="0" applyFont="1" applyNumberFormat="1"/>
    <xf borderId="1" fillId="6" fontId="23" numFmtId="0" xfId="0" applyAlignment="1" applyBorder="1" applyFont="1">
      <alignment readingOrder="0"/>
    </xf>
    <xf borderId="0" fillId="0" fontId="30" numFmtId="3" xfId="0" applyAlignment="1" applyFont="1" applyNumberFormat="1">
      <alignment readingOrder="0"/>
    </xf>
    <xf borderId="1" fillId="6" fontId="16" numFmtId="0" xfId="0" applyAlignment="1" applyBorder="1" applyFont="1">
      <alignment readingOrder="0"/>
    </xf>
    <xf borderId="0" fillId="6" fontId="16" numFmtId="0" xfId="0" applyAlignment="1" applyFont="1">
      <alignment readingOrder="0"/>
    </xf>
    <xf borderId="0" fillId="6" fontId="23" numFmtId="0" xfId="0" applyFont="1"/>
    <xf borderId="0" fillId="6" fontId="16" numFmtId="0" xfId="0" applyFont="1"/>
    <xf borderId="0" fillId="6" fontId="16" numFmtId="3" xfId="0" applyFont="1" applyNumberFormat="1"/>
    <xf borderId="0" fillId="0" fontId="31" numFmtId="0" xfId="0" applyFont="1"/>
    <xf borderId="0" fillId="0" fontId="30" numFmtId="0" xfId="0" applyFont="1"/>
    <xf borderId="0" fillId="0" fontId="32" numFmtId="3" xfId="0" applyFont="1" applyNumberFormat="1"/>
    <xf borderId="0" fillId="0" fontId="31" numFmtId="3" xfId="0" applyFont="1" applyNumberFormat="1"/>
    <xf borderId="0" fillId="7" fontId="31" numFmtId="3" xfId="0" applyFont="1" applyNumberFormat="1"/>
    <xf borderId="0" fillId="0" fontId="30" numFmtId="0" xfId="0" applyAlignment="1" applyFont="1">
      <alignment readingOrder="0"/>
    </xf>
    <xf borderId="1" fillId="5" fontId="16" numFmtId="0" xfId="0" applyBorder="1" applyFont="1"/>
    <xf borderId="1" fillId="5" fontId="23" numFmtId="0" xfId="0" applyBorder="1" applyFont="1"/>
    <xf borderId="0" fillId="5" fontId="23" numFmtId="3" xfId="0" applyFont="1" applyNumberFormat="1"/>
    <xf borderId="1" fillId="9" fontId="15" numFmtId="0" xfId="0" applyBorder="1" applyFill="1" applyFont="1"/>
    <xf borderId="1" fillId="9" fontId="17" numFmtId="0" xfId="0" applyAlignment="1" applyBorder="1" applyFont="1">
      <alignment horizontal="left" vertical="center"/>
    </xf>
    <xf borderId="1" fillId="9" fontId="17" numFmtId="3" xfId="0" applyBorder="1" applyFont="1" applyNumberFormat="1"/>
    <xf borderId="1" fillId="2" fontId="17" numFmtId="0" xfId="0" applyAlignment="1" applyBorder="1" applyFont="1">
      <alignment horizontal="center" vertical="center"/>
    </xf>
    <xf borderId="1" fillId="2" fontId="17" numFmtId="0" xfId="0" applyBorder="1" applyFont="1"/>
    <xf borderId="0" fillId="0" fontId="20" numFmtId="171" xfId="0" applyFont="1" applyNumberFormat="1"/>
    <xf borderId="0" fillId="2" fontId="17" numFmtId="3" xfId="0" applyFont="1" applyNumberFormat="1"/>
    <xf borderId="0" fillId="10" fontId="15" numFmtId="3" xfId="0" applyFill="1" applyFont="1" applyNumberFormat="1"/>
    <xf borderId="1" fillId="7" fontId="15" numFmtId="0" xfId="0" applyBorder="1" applyFont="1"/>
    <xf borderId="1" fillId="2" fontId="15" numFmtId="0" xfId="0" applyAlignment="1" applyBorder="1" applyFont="1">
      <alignment horizontal="center"/>
    </xf>
    <xf borderId="1" fillId="2" fontId="15" numFmtId="3" xfId="0" applyBorder="1" applyFont="1" applyNumberFormat="1"/>
    <xf borderId="1" fillId="2" fontId="17" numFmtId="3" xfId="0" applyAlignment="1" applyBorder="1" applyFont="1" applyNumberFormat="1">
      <alignment horizontal="right" vertical="center"/>
    </xf>
    <xf borderId="1" fillId="2" fontId="27" numFmtId="3" xfId="0" applyAlignment="1" applyBorder="1" applyFont="1" applyNumberFormat="1">
      <alignment horizontal="right"/>
    </xf>
    <xf borderId="1" fillId="6" fontId="16" numFmtId="0" xfId="0" applyAlignment="1" applyBorder="1" applyFont="1">
      <alignment horizontal="left" vertical="center"/>
    </xf>
    <xf borderId="1" fillId="6" fontId="16" numFmtId="3" xfId="0" applyAlignment="1" applyBorder="1" applyFont="1" applyNumberFormat="1">
      <alignment horizontal="left" vertical="center"/>
    </xf>
    <xf borderId="0" fillId="0" fontId="28" numFmtId="0" xfId="0" applyAlignment="1" applyFont="1">
      <alignment horizontal="center" vertical="center"/>
    </xf>
    <xf borderId="0" fillId="0" fontId="33" numFmtId="3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right" vertical="center"/>
    </xf>
    <xf borderId="0" fillId="0" fontId="33" numFmtId="166" xfId="0" applyAlignment="1" applyFont="1" applyNumberFormat="1">
      <alignment horizontal="right" vertical="center"/>
    </xf>
    <xf borderId="1" fillId="2" fontId="17" numFmtId="166" xfId="0" applyAlignment="1" applyBorder="1" applyFont="1" applyNumberFormat="1">
      <alignment horizontal="right" vertical="center"/>
    </xf>
    <xf borderId="0" fillId="6" fontId="15" numFmtId="0" xfId="0" applyFont="1"/>
    <xf borderId="1" fillId="6" fontId="15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20" numFmtId="172" xfId="0" applyFont="1" applyNumberFormat="1"/>
    <xf borderId="1" fillId="5" fontId="15" numFmtId="0" xfId="0" applyBorder="1" applyFont="1"/>
    <xf borderId="1" fillId="5" fontId="15" numFmtId="0" xfId="0" applyAlignment="1" applyBorder="1" applyFont="1">
      <alignment horizontal="center"/>
    </xf>
    <xf borderId="1" fillId="5" fontId="16" numFmtId="171" xfId="0" applyBorder="1" applyFont="1" applyNumberFormat="1"/>
    <xf borderId="1" fillId="7" fontId="17" numFmtId="0" xfId="0" applyBorder="1" applyFont="1"/>
    <xf borderId="1" fillId="2" fontId="17" numFmtId="0" xfId="0" applyAlignment="1" applyBorder="1" applyFont="1">
      <alignment horizontal="center"/>
    </xf>
    <xf borderId="0" fillId="7" fontId="17" numFmtId="0" xfId="0" applyAlignment="1" applyFont="1">
      <alignment horizontal="left" vertical="center"/>
    </xf>
    <xf borderId="0" fillId="7" fontId="17" numFmtId="0" xfId="0" applyAlignment="1" applyFont="1">
      <alignment horizontal="center"/>
    </xf>
    <xf borderId="0" fillId="7" fontId="17" numFmtId="166" xfId="0" applyAlignment="1" applyFont="1" applyNumberFormat="1">
      <alignment horizontal="right" vertical="center"/>
    </xf>
    <xf borderId="0" fillId="7" fontId="17" numFmtId="3" xfId="0" applyAlignment="1" applyFont="1" applyNumberFormat="1">
      <alignment horizontal="right" vertical="center"/>
    </xf>
    <xf borderId="0" fillId="0" fontId="23" numFmtId="0" xfId="0" applyAlignment="1" applyFont="1">
      <alignment horizontal="center"/>
    </xf>
    <xf borderId="0" fillId="0" fontId="34" numFmtId="0" xfId="0" applyFont="1"/>
    <xf borderId="0" fillId="0" fontId="34" numFmtId="9" xfId="0" applyFont="1" applyNumberFormat="1"/>
    <xf borderId="0" fillId="0" fontId="35" numFmtId="0" xfId="0" applyFont="1"/>
    <xf borderId="0" fillId="2" fontId="27" numFmtId="0" xfId="0" applyAlignment="1" applyFont="1">
      <alignment vertical="bottom"/>
    </xf>
    <xf borderId="0" fillId="7" fontId="15" numFmtId="49" xfId="0" applyAlignment="1" applyFont="1" applyNumberFormat="1">
      <alignment horizontal="right" vertical="bottom"/>
    </xf>
    <xf borderId="1" fillId="7" fontId="23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8" fontId="20" numFmtId="175" xfId="0" applyAlignment="1" applyBorder="1" applyFont="1" applyNumberFormat="1">
      <alignment horizontal="right" vertical="bottom"/>
    </xf>
    <xf borderId="0" fillId="8" fontId="19" numFmtId="176" xfId="0" applyAlignment="1" applyFont="1" applyNumberFormat="1">
      <alignment vertical="bottom"/>
    </xf>
    <xf borderId="1" fillId="8" fontId="20" numFmtId="166" xfId="0" applyAlignment="1" applyBorder="1" applyFont="1" applyNumberFormat="1">
      <alignment horizontal="right" vertical="bottom"/>
    </xf>
    <xf borderId="0" fillId="7" fontId="15" numFmtId="3" xfId="0" applyAlignment="1" applyFont="1" applyNumberFormat="1">
      <alignment horizontal="right" vertical="bottom"/>
    </xf>
    <xf borderId="0" fillId="7" fontId="15" numFmtId="3" xfId="0" applyAlignment="1" applyFont="1" applyNumberFormat="1">
      <alignment vertical="bottom"/>
    </xf>
    <xf borderId="1" fillId="7" fontId="15" numFmtId="0" xfId="0" applyAlignment="1" applyBorder="1" applyFont="1">
      <alignment horizontal="right" vertical="bottom"/>
    </xf>
    <xf borderId="1" fillId="7" fontId="15" numFmtId="177" xfId="0" applyAlignment="1" applyBorder="1" applyFont="1" applyNumberFormat="1">
      <alignment vertical="bottom"/>
    </xf>
    <xf borderId="1" fillId="8" fontId="15" numFmtId="176" xfId="0" applyAlignment="1" applyBorder="1" applyFont="1" applyNumberFormat="1">
      <alignment vertical="bottom"/>
    </xf>
    <xf borderId="1" fillId="7" fontId="15" numFmtId="3" xfId="0" applyAlignment="1" applyBorder="1" applyFont="1" applyNumberFormat="1">
      <alignment horizontal="right" vertical="bottom"/>
    </xf>
    <xf borderId="0" fillId="7" fontId="15" numFmtId="0" xfId="0" applyAlignment="1" applyFont="1">
      <alignment horizontal="right" vertical="bottom"/>
    </xf>
    <xf borderId="0" fillId="7" fontId="15" numFmtId="177" xfId="0" applyAlignment="1" applyFont="1" applyNumberFormat="1">
      <alignment vertical="bottom"/>
    </xf>
    <xf borderId="0" fillId="8" fontId="15" numFmtId="176" xfId="0" applyAlignment="1" applyFont="1" applyNumberFormat="1">
      <alignment vertical="bottom"/>
    </xf>
    <xf borderId="0" fillId="7" fontId="23" numFmtId="0" xfId="0" applyAlignment="1" applyFont="1">
      <alignment vertical="bottom"/>
    </xf>
    <xf borderId="0" fillId="8" fontId="19" numFmtId="176" xfId="0" applyAlignment="1" applyFont="1" applyNumberFormat="1">
      <alignment horizontal="right" vertical="bottom"/>
    </xf>
    <xf borderId="3" fillId="2" fontId="17" numFmtId="0" xfId="0" applyBorder="1" applyFont="1"/>
    <xf borderId="0" fillId="0" fontId="2" numFmtId="0" xfId="0" applyFont="1"/>
    <xf borderId="1" fillId="7" fontId="20" numFmtId="0" xfId="0" applyAlignment="1" applyBorder="1" applyFont="1">
      <alignment vertical="bottom"/>
    </xf>
    <xf borderId="1" fillId="8" fontId="20" numFmtId="176" xfId="0" applyAlignment="1" applyBorder="1" applyFont="1" applyNumberFormat="1">
      <alignment vertical="bottom"/>
    </xf>
    <xf borderId="0" fillId="8" fontId="20" numFmtId="176" xfId="0" applyAlignment="1" applyFont="1" applyNumberFormat="1">
      <alignment vertical="bottom"/>
    </xf>
    <xf borderId="0" fillId="7" fontId="36" numFmtId="0" xfId="0" applyAlignment="1" applyFont="1">
      <alignment vertical="bottom"/>
    </xf>
    <xf borderId="0" fillId="7" fontId="33" numFmtId="176" xfId="0" applyAlignment="1" applyFont="1" applyNumberFormat="1">
      <alignment horizontal="right" vertical="bottom"/>
    </xf>
    <xf borderId="0" fillId="7" fontId="15" numFmtId="176" xfId="0" applyAlignment="1" applyFont="1" applyNumberFormat="1">
      <alignment vertical="bottom"/>
    </xf>
    <xf borderId="0" fillId="7" fontId="33" numFmtId="166" xfId="0" applyAlignment="1" applyFont="1" applyNumberFormat="1">
      <alignment horizontal="right" vertical="bottom"/>
    </xf>
    <xf borderId="0" fillId="0" fontId="31" numFmtId="0" xfId="0" applyAlignment="1" applyFont="1">
      <alignment vertical="bottom"/>
    </xf>
    <xf borderId="0" fillId="0" fontId="37" numFmtId="0" xfId="0" applyAlignment="1" applyFont="1">
      <alignment vertical="bottom"/>
    </xf>
    <xf borderId="15" fillId="0" fontId="31" numFmtId="0" xfId="0" applyAlignment="1" applyBorder="1" applyFont="1">
      <alignment shrinkToFit="0" vertical="bottom" wrapText="1"/>
    </xf>
    <xf borderId="16" fillId="0" fontId="18" numFmtId="0" xfId="0" applyBorder="1" applyFont="1"/>
    <xf borderId="17" fillId="0" fontId="18" numFmtId="0" xfId="0" applyBorder="1" applyFont="1"/>
    <xf borderId="0" fillId="11" fontId="15" numFmtId="0" xfId="0" applyAlignment="1" applyFill="1" applyFont="1">
      <alignment vertical="bottom"/>
    </xf>
    <xf borderId="0" fillId="11" fontId="17" numFmtId="0" xfId="0" applyFont="1"/>
    <xf borderId="0" fillId="5" fontId="15" numFmtId="3" xfId="0" applyAlignment="1" applyFont="1" applyNumberFormat="1">
      <alignment vertical="bottom"/>
    </xf>
    <xf borderId="1" fillId="5" fontId="23" numFmtId="3" xfId="0" applyAlignment="1" applyBorder="1" applyFont="1" applyNumberFormat="1">
      <alignment vertical="bottom"/>
    </xf>
    <xf borderId="1" fillId="5" fontId="15" numFmtId="3" xfId="0" applyAlignment="1" applyBorder="1" applyFont="1" applyNumberFormat="1">
      <alignment horizontal="right" vertical="bottom"/>
    </xf>
    <xf borderId="0" fillId="11" fontId="15" numFmtId="3" xfId="0" applyAlignment="1" applyFont="1" applyNumberFormat="1">
      <alignment horizontal="right" vertical="bottom"/>
    </xf>
    <xf borderId="0" fillId="5" fontId="15" numFmtId="3" xfId="0" applyAlignment="1" applyFont="1" applyNumberFormat="1">
      <alignment horizontal="right" vertical="bottom"/>
    </xf>
    <xf borderId="0" fillId="5" fontId="15" numFmtId="3" xfId="0" applyFont="1" applyNumberFormat="1"/>
    <xf borderId="18" fillId="5" fontId="23" numFmtId="3" xfId="0" applyAlignment="1" applyBorder="1" applyFont="1" applyNumberFormat="1">
      <alignment vertical="bottom"/>
    </xf>
    <xf borderId="18" fillId="5" fontId="15" numFmtId="3" xfId="0" applyAlignment="1" applyBorder="1" applyFont="1" applyNumberFormat="1">
      <alignment horizontal="right" vertical="bottom"/>
    </xf>
    <xf borderId="11" fillId="2" fontId="15" numFmtId="0" xfId="0" applyAlignment="1" applyBorder="1" applyFont="1">
      <alignment vertical="bottom"/>
    </xf>
    <xf borderId="11" fillId="2" fontId="17" numFmtId="0" xfId="0" applyAlignment="1" applyBorder="1" applyFont="1">
      <alignment vertical="bottom"/>
    </xf>
    <xf borderId="11" fillId="2" fontId="17" numFmtId="166" xfId="0" applyAlignment="1" applyBorder="1" applyFont="1" applyNumberFormat="1">
      <alignment horizontal="right" vertical="bottom"/>
    </xf>
    <xf borderId="11" fillId="11" fontId="17" numFmtId="166" xfId="0" applyAlignment="1" applyBorder="1" applyFont="1" applyNumberFormat="1">
      <alignment horizontal="right" vertical="bottom"/>
    </xf>
    <xf borderId="11" fillId="2" fontId="15" numFmtId="0" xfId="0" applyBorder="1" applyFont="1"/>
    <xf borderId="0" fillId="5" fontId="15" numFmtId="178" xfId="0" applyAlignment="1" applyFont="1" applyNumberFormat="1">
      <alignment vertical="bottom"/>
    </xf>
    <xf borderId="1" fillId="5" fontId="23" numFmtId="178" xfId="0" applyAlignment="1" applyBorder="1" applyFont="1" applyNumberFormat="1">
      <alignment vertical="bottom"/>
    </xf>
    <xf borderId="1" fillId="5" fontId="15" numFmtId="178" xfId="0" applyAlignment="1" applyBorder="1" applyFont="1" applyNumberFormat="1">
      <alignment horizontal="right" vertical="bottom"/>
    </xf>
    <xf borderId="0" fillId="11" fontId="15" numFmtId="178" xfId="0" applyAlignment="1" applyFont="1" applyNumberFormat="1">
      <alignment horizontal="right" vertical="bottom"/>
    </xf>
    <xf borderId="0" fillId="5" fontId="15" numFmtId="178" xfId="0" applyAlignment="1" applyFont="1" applyNumberFormat="1">
      <alignment horizontal="right" vertical="bottom"/>
    </xf>
    <xf borderId="0" fillId="5" fontId="15" numFmtId="178" xfId="0" applyFont="1" applyNumberFormat="1"/>
    <xf borderId="19" fillId="2" fontId="17" numFmtId="0" xfId="0" applyAlignment="1" applyBorder="1" applyFont="1">
      <alignment vertical="bottom"/>
    </xf>
    <xf borderId="19" fillId="2" fontId="17" numFmtId="178" xfId="0" applyAlignment="1" applyBorder="1" applyFont="1" applyNumberFormat="1">
      <alignment horizontal="right" vertical="bottom"/>
    </xf>
    <xf borderId="11" fillId="11" fontId="17" numFmtId="178" xfId="0" applyAlignment="1" applyBorder="1" applyFont="1" applyNumberFormat="1">
      <alignment horizontal="right" vertical="bottom"/>
    </xf>
    <xf borderId="11" fillId="2" fontId="17" numFmtId="178" xfId="0" applyAlignment="1" applyBorder="1" applyFont="1" applyNumberFormat="1">
      <alignment horizontal="right" vertical="bottom"/>
    </xf>
    <xf borderId="1" fillId="3" fontId="27" numFmtId="0" xfId="0" applyBorder="1" applyFont="1"/>
    <xf borderId="1" fillId="3" fontId="17" numFmtId="0" xfId="0" applyAlignment="1" applyBorder="1" applyFont="1">
      <alignment horizontal="left" vertical="center"/>
    </xf>
    <xf borderId="1" fillId="3" fontId="17" numFmtId="0" xfId="0" applyAlignment="1" applyBorder="1" applyFont="1">
      <alignment horizontal="center" vertical="center"/>
    </xf>
    <xf borderId="1" fillId="12" fontId="17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'Dasboard (FOR PITCHDECK)'!$S$3</c:f>
            </c:strRef>
          </c:tx>
          <c:spPr>
            <a:solidFill>
              <a:schemeClr val="lt1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PITCHDECK)'!$T$3:$W$3</c:f>
              <c:numCache/>
            </c:numRef>
          </c:val>
        </c:ser>
        <c:ser>
          <c:idx val="1"/>
          <c:order val="1"/>
          <c:tx>
            <c:strRef>
              <c:f>'Dasboard (FOR PITCHDECK)'!$S$4</c:f>
            </c:strRef>
          </c:tx>
          <c:spPr>
            <a:solidFill>
              <a:srgbClr val="DF5B0E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PITCHDECK)'!$T$4:$W$4</c:f>
              <c:numCache/>
            </c:numRef>
          </c:val>
        </c:ser>
        <c:overlap val="100"/>
        <c:axId val="112566610"/>
        <c:axId val="1261440869"/>
      </c:barChart>
      <c:catAx>
        <c:axId val="112566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1440869"/>
      </c:catAx>
      <c:valAx>
        <c:axId val="1261440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566610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'Dasboard (FOR PITCHDECK)'!$S$2:$V$2</c:f>
              <c:numCache/>
            </c:numRef>
          </c:val>
        </c:ser>
        <c:ser>
          <c:idx val="1"/>
          <c:order val="1"/>
          <c:spPr>
            <a:solidFill>
              <a:srgbClr val="E6321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PITCHDECK)'!$S$3:$V$3</c:f>
              <c:numCache/>
            </c:numRef>
          </c:val>
        </c:ser>
        <c:ser>
          <c:idx val="2"/>
          <c:order val="2"/>
          <c:spPr>
            <a:solidFill>
              <a:srgbClr val="F68F6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PITCHDECK)'!$S$4:$V$4</c:f>
              <c:numCache/>
            </c:numRef>
          </c:val>
        </c:ser>
        <c:overlap val="100"/>
        <c:axId val="399655715"/>
        <c:axId val="1337623301"/>
      </c:barChart>
      <c:catAx>
        <c:axId val="399655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7623301"/>
      </c:catAx>
      <c:valAx>
        <c:axId val="1337623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9655715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650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'Dasboard (FOR PITCHDECK)'!$V$7:$X$7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PITCHDECK)'!$M$4:$P$4</c:f>
              <c:numCache/>
            </c:numRef>
          </c:val>
          <c:smooth val="0"/>
        </c:ser>
        <c:axId val="733936619"/>
        <c:axId val="247502697"/>
      </c:lineChart>
      <c:catAx>
        <c:axId val="733936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7502697"/>
      </c:catAx>
      <c:valAx>
        <c:axId val="247502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393661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Units sold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Dashboard!$J$4:$P$4</c:f>
              <c:numCache/>
            </c:numRef>
          </c:val>
          <c:smooth val="0"/>
        </c:ser>
        <c:axId val="1351980368"/>
        <c:axId val="850619332"/>
      </c:lineChart>
      <c:catAx>
        <c:axId val="135198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0619332"/>
      </c:catAx>
      <c:valAx>
        <c:axId val="850619332"/>
        <c:scaling>
          <c:orientation val="minMax"/>
          <c:max val="6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19803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Dashboard!$J$5</c:f>
            </c:strRef>
          </c:tx>
          <c:spPr>
            <a:solidFill>
              <a:srgbClr val="E5351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Dashboard!$K$5:$O$5</c:f>
              <c:numCache/>
            </c:numRef>
          </c:val>
        </c:ser>
        <c:ser>
          <c:idx val="1"/>
          <c:order val="1"/>
          <c:tx>
            <c:strRef>
              <c:f>Dashboard!$J$6</c:f>
            </c:strRef>
          </c:tx>
          <c:spPr>
            <a:solidFill>
              <a:srgbClr val="FF650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Dashboard!$K$6:$O$6</c:f>
              <c:numCache/>
            </c:numRef>
          </c:val>
        </c:ser>
        <c:overlap val="100"/>
        <c:axId val="673393541"/>
        <c:axId val="1037535235"/>
      </c:barChart>
      <c:catAx>
        <c:axId val="67339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37535235"/>
      </c:catAx>
      <c:valAx>
        <c:axId val="1037535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3393541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Seed Capital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5351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Dashboard!$X$6:$Z$6</c:f>
            </c:strRef>
          </c:cat>
          <c:val>
            <c:numRef>
              <c:f>Dashboard!$X$7:$Z$7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Headcount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Dashboard!$S$3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Dashboard!$T$3:$X$3</c:f>
              <c:numCache/>
            </c:numRef>
          </c:val>
          <c:smooth val="0"/>
        </c:ser>
        <c:axId val="2134192662"/>
        <c:axId val="786278371"/>
      </c:lineChart>
      <c:catAx>
        <c:axId val="213419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6278371"/>
      </c:catAx>
      <c:valAx>
        <c:axId val="786278371"/>
        <c:scaling>
          <c:orientation val="minMax"/>
          <c:max val="3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41926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Revenue/FTE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Dashboard!$S$4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Dashboard!$T$4:$X$4</c:f>
              <c:numCache/>
            </c:numRef>
          </c:val>
          <c:smooth val="0"/>
        </c:ser>
        <c:axId val="520746188"/>
        <c:axId val="237019279"/>
      </c:lineChart>
      <c:catAx>
        <c:axId val="520746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7019279"/>
      </c:catAx>
      <c:valAx>
        <c:axId val="237019279"/>
        <c:scaling>
          <c:orientation val="minMax"/>
          <c:max val="4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07461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</xdr:row>
      <xdr:rowOff>171450</xdr:rowOff>
    </xdr:from>
    <xdr:ext cx="4524375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11</xdr:row>
      <xdr:rowOff>0</xdr:rowOff>
    </xdr:from>
    <xdr:ext cx="7105650" cy="4400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10</xdr:row>
      <xdr:rowOff>123825</xdr:rowOff>
    </xdr:from>
    <xdr:ext cx="7105650" cy="4400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32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133350</xdr:rowOff>
    </xdr:from>
    <xdr:ext cx="7105650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10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1171575</xdr:colOff>
      <xdr:row>10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1219200</xdr:colOff>
      <xdr:row>29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200025</xdr:colOff>
      <xdr:row>29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257175</xdr:colOff>
      <xdr:row>10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60.0"/>
    <col customWidth="1" min="3" max="19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5.5" customHeight="1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5.0" customHeight="1">
      <c r="A15" s="1"/>
      <c r="B15" s="4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5.0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5.0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5.0" customHeight="1">
      <c r="A19" s="1"/>
      <c r="B19" s="5" t="s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6" t="s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60.0"/>
    <col customWidth="1" min="4" max="7" width="8.86"/>
  </cols>
  <sheetData>
    <row r="1" ht="15.0" customHeight="1">
      <c r="A1" s="7"/>
      <c r="B1" s="8" t="s">
        <v>3</v>
      </c>
      <c r="C1" s="7"/>
      <c r="D1" s="7"/>
      <c r="E1" s="7"/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9"/>
      <c r="B3" s="10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9"/>
      <c r="B4" s="11" t="s">
        <v>5</v>
      </c>
      <c r="C4" s="12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9"/>
      <c r="B5" s="13" t="s">
        <v>5</v>
      </c>
      <c r="C5" s="12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9"/>
      <c r="B6" s="10" t="s">
        <v>5</v>
      </c>
      <c r="C6" s="12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9"/>
      <c r="B7" s="14" t="s">
        <v>5</v>
      </c>
      <c r="C7" s="12" t="s">
        <v>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9"/>
      <c r="B8" s="8" t="s">
        <v>5</v>
      </c>
      <c r="C8" s="12" t="s">
        <v>10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9"/>
      <c r="B9" s="15" t="s">
        <v>5</v>
      </c>
      <c r="C9" s="12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9"/>
      <c r="B10" s="16" t="s">
        <v>5</v>
      </c>
      <c r="C10" s="12" t="s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9"/>
      <c r="B11" s="17" t="s">
        <v>5</v>
      </c>
      <c r="C11" s="12" t="s">
        <v>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9"/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9"/>
      <c r="B15" s="12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9"/>
      <c r="B16" s="12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9"/>
      <c r="B17" s="12" t="s">
        <v>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9"/>
      <c r="B18" s="12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2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2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0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 t="s">
        <v>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9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 t="s">
        <v>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 t="s">
        <v>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 t="s">
        <v>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44.0"/>
    <col customWidth="1" min="3" max="3" width="25.43"/>
    <col customWidth="1" min="4" max="4" width="46.86"/>
    <col customWidth="1" min="5" max="5" width="13.43"/>
    <col customWidth="1" min="6" max="6" width="17.57"/>
    <col customWidth="1" min="7" max="7" width="17.86"/>
    <col customWidth="1" min="8" max="8" width="17.71"/>
    <col customWidth="1" min="9" max="30" width="13.43"/>
  </cols>
  <sheetData>
    <row r="1" ht="21.75" customHeight="1">
      <c r="A1" s="20"/>
      <c r="B1" s="21"/>
      <c r="C1" s="21"/>
      <c r="D1" s="21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ht="21.75" customHeight="1">
      <c r="A2" s="20"/>
      <c r="B2" s="22" t="s">
        <v>28</v>
      </c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ht="21.75" customHeight="1">
      <c r="A3" s="20"/>
      <c r="B3" s="21" t="s">
        <v>29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21.75" customHeight="1">
      <c r="A4" s="23"/>
      <c r="B4" s="23"/>
      <c r="C4" s="23"/>
      <c r="D4" s="23"/>
      <c r="E4" s="23"/>
      <c r="F4" s="23"/>
      <c r="G4" s="23"/>
      <c r="H4" s="24"/>
      <c r="I4" s="24"/>
      <c r="J4" s="24"/>
      <c r="K4" s="24"/>
      <c r="L4" s="24"/>
      <c r="M4" s="24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21.75" customHeight="1">
      <c r="A5" s="23"/>
      <c r="B5" s="25" t="s">
        <v>30</v>
      </c>
      <c r="C5" s="26"/>
      <c r="D5" s="26"/>
      <c r="E5" s="25"/>
      <c r="F5" s="26"/>
      <c r="G5" s="26"/>
      <c r="H5" s="27"/>
      <c r="I5" s="26"/>
      <c r="J5" s="26"/>
      <c r="K5" s="27"/>
      <c r="L5" s="26"/>
      <c r="M5" s="26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21.75" hidden="1" customHeight="1">
      <c r="A6" s="23"/>
      <c r="B6" s="28" t="s">
        <v>31</v>
      </c>
      <c r="C6" s="29">
        <v>29538.9</v>
      </c>
      <c r="D6" s="23"/>
      <c r="E6" s="23"/>
      <c r="F6" s="23"/>
      <c r="G6" s="23"/>
      <c r="H6" s="24"/>
      <c r="I6" s="24"/>
      <c r="J6" s="24"/>
      <c r="K6" s="24"/>
      <c r="L6" s="24"/>
      <c r="M6" s="24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ht="21.75" customHeight="1">
      <c r="A7" s="23"/>
      <c r="B7" s="28" t="s">
        <v>32</v>
      </c>
      <c r="C7" s="30">
        <v>0.08</v>
      </c>
      <c r="D7" s="23"/>
      <c r="E7" s="23"/>
      <c r="F7" s="23"/>
      <c r="G7" s="23"/>
      <c r="H7" s="24"/>
      <c r="I7" s="24"/>
      <c r="J7" s="24"/>
      <c r="K7" s="24"/>
      <c r="L7" s="24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ht="21.75" customHeight="1">
      <c r="A8" s="23"/>
      <c r="B8" s="28" t="s">
        <v>33</v>
      </c>
      <c r="C8" s="31" t="s">
        <v>34</v>
      </c>
      <c r="D8" s="23"/>
      <c r="E8" s="23"/>
      <c r="F8" s="23"/>
      <c r="G8" s="23"/>
      <c r="H8" s="24"/>
      <c r="I8" s="24"/>
      <c r="J8" s="24"/>
      <c r="K8" s="24"/>
      <c r="L8" s="24"/>
      <c r="M8" s="24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ht="21.75" customHeight="1">
      <c r="A9" s="23"/>
      <c r="B9" s="28" t="s">
        <v>35</v>
      </c>
      <c r="C9" s="32">
        <v>0.08</v>
      </c>
      <c r="D9" s="23"/>
      <c r="E9" s="23"/>
      <c r="F9" s="23"/>
      <c r="G9" s="23"/>
      <c r="H9" s="24"/>
      <c r="I9" s="24"/>
      <c r="J9" s="24"/>
      <c r="K9" s="24"/>
      <c r="L9" s="24"/>
      <c r="M9" s="2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ht="21.75" customHeight="1">
      <c r="A10" s="23"/>
      <c r="B10" s="23" t="s">
        <v>36</v>
      </c>
      <c r="C10" s="33">
        <v>0.258</v>
      </c>
      <c r="D10" s="23"/>
      <c r="E10" s="23"/>
      <c r="F10" s="23"/>
      <c r="G10" s="23"/>
      <c r="H10" s="24"/>
      <c r="I10" s="24"/>
      <c r="J10" s="24"/>
      <c r="K10" s="24"/>
      <c r="L10" s="24"/>
      <c r="M10" s="24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ht="21.75" customHeight="1">
      <c r="A11" s="28"/>
      <c r="B11" s="34"/>
      <c r="C11" s="28"/>
      <c r="D11" s="28"/>
      <c r="E11" s="28"/>
      <c r="F11" s="28"/>
      <c r="G11" s="28"/>
      <c r="H11" s="35"/>
      <c r="I11" s="35"/>
      <c r="J11" s="35"/>
      <c r="K11" s="35"/>
      <c r="L11" s="35"/>
      <c r="M11" s="35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21.75" customHeight="1">
      <c r="A12" s="28"/>
      <c r="B12" s="25" t="s">
        <v>37</v>
      </c>
      <c r="C12" s="26"/>
      <c r="D12" s="26"/>
      <c r="E12" s="28"/>
      <c r="F12" s="28"/>
      <c r="G12" s="28"/>
      <c r="H12" s="36">
        <v>20.0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ht="21.75" customHeight="1">
      <c r="A13" s="28"/>
      <c r="B13" s="28"/>
      <c r="C13" s="28"/>
      <c r="D13" s="28"/>
      <c r="E13" s="28"/>
      <c r="F13" s="28"/>
      <c r="G13" s="28"/>
      <c r="H13" s="35" t="s">
        <v>38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ht="21.75" customHeight="1">
      <c r="A14" s="28"/>
      <c r="B14" s="38" t="s">
        <v>39</v>
      </c>
      <c r="C14" s="28" t="s">
        <v>40</v>
      </c>
      <c r="D14" s="39">
        <v>20.0</v>
      </c>
      <c r="E14" s="28"/>
      <c r="F14" s="28"/>
      <c r="G14" s="28"/>
      <c r="H14" s="35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ht="21.75" customHeight="1">
      <c r="A15" s="28"/>
      <c r="B15" s="38" t="s">
        <v>41</v>
      </c>
      <c r="C15" s="28" t="s">
        <v>40</v>
      </c>
      <c r="D15" s="39">
        <v>45.0</v>
      </c>
      <c r="E15" s="28"/>
      <c r="F15" s="28"/>
      <c r="G15" s="28"/>
      <c r="H15" s="35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ht="21.75" customHeight="1">
      <c r="A16" s="28"/>
      <c r="B16" s="38" t="s">
        <v>42</v>
      </c>
      <c r="C16" s="28" t="s">
        <v>40</v>
      </c>
      <c r="D16" s="39">
        <v>0.0</v>
      </c>
      <c r="E16" s="28"/>
      <c r="F16" s="28"/>
      <c r="G16" s="28"/>
      <c r="H16" s="28"/>
      <c r="I16" s="28"/>
      <c r="J16" s="28"/>
      <c r="K16" s="35"/>
      <c r="L16" s="35"/>
      <c r="M16" s="35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ht="21.75" customHeight="1">
      <c r="A17" s="28"/>
      <c r="B17" s="38" t="s">
        <v>43</v>
      </c>
      <c r="C17" s="28" t="s">
        <v>44</v>
      </c>
      <c r="D17" s="41"/>
      <c r="E17" s="28"/>
      <c r="F17" s="28"/>
      <c r="G17" s="28"/>
      <c r="H17" s="28"/>
      <c r="I17" s="28"/>
      <c r="J17" s="28"/>
      <c r="K17" s="35"/>
      <c r="L17" s="35"/>
      <c r="M17" s="35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ht="21.75" customHeight="1">
      <c r="A18" s="28"/>
      <c r="B18" s="34"/>
      <c r="C18" s="28"/>
      <c r="D18" s="28"/>
      <c r="E18" s="28"/>
      <c r="F18" s="28"/>
      <c r="G18" s="28"/>
      <c r="M18" s="35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ht="21.75" customHeight="1">
      <c r="A19" s="28"/>
      <c r="B19" s="22" t="s">
        <v>45</v>
      </c>
      <c r="C19" s="42"/>
      <c r="D19" s="42"/>
      <c r="E19" s="42"/>
      <c r="F19" s="42"/>
      <c r="G19" s="42"/>
      <c r="M19" s="35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ht="21.75" customHeight="1">
      <c r="A20" s="28"/>
      <c r="B20" s="43" t="s">
        <v>46</v>
      </c>
      <c r="C20" s="43"/>
      <c r="D20" s="43"/>
      <c r="E20" s="43"/>
      <c r="F20" s="43"/>
      <c r="G20" s="43"/>
      <c r="M20" s="3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21.75" customHeight="1">
      <c r="A21" s="28"/>
      <c r="B21" s="35"/>
      <c r="C21" s="28">
        <v>2026.0</v>
      </c>
      <c r="D21" s="28">
        <v>2027.0</v>
      </c>
      <c r="E21" s="28">
        <v>2028.0</v>
      </c>
      <c r="F21" s="28">
        <v>2029.0</v>
      </c>
      <c r="G21" s="28">
        <v>2030.0</v>
      </c>
      <c r="M21" s="3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ht="21.75" customHeight="1">
      <c r="A22" s="28"/>
      <c r="B22" s="35" t="s">
        <v>47</v>
      </c>
      <c r="C22" s="44">
        <v>0.0</v>
      </c>
      <c r="D22" s="44">
        <v>600.0</v>
      </c>
      <c r="E22" s="44">
        <v>2000.0</v>
      </c>
      <c r="F22" s="44">
        <v>4000.0</v>
      </c>
      <c r="G22" s="44">
        <v>8000.0</v>
      </c>
      <c r="M22" s="3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ht="21.75" customHeight="1">
      <c r="A23" s="28"/>
      <c r="B23" s="45" t="s">
        <v>48</v>
      </c>
      <c r="C23" s="44">
        <v>0.0</v>
      </c>
      <c r="D23" s="44">
        <v>450.0</v>
      </c>
      <c r="E23" s="44">
        <v>1500.0</v>
      </c>
      <c r="F23" s="44">
        <v>3000.0</v>
      </c>
      <c r="G23" s="44">
        <v>6000.0</v>
      </c>
      <c r="M23" s="3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21.75" customHeight="1">
      <c r="A24" s="28"/>
      <c r="B24" s="45" t="s">
        <v>49</v>
      </c>
      <c r="C24" s="44">
        <v>0.0</v>
      </c>
      <c r="D24" s="44">
        <v>450.0</v>
      </c>
      <c r="E24" s="44">
        <v>1500.0</v>
      </c>
      <c r="F24" s="44">
        <v>3000.0</v>
      </c>
      <c r="G24" s="44">
        <v>6000.0</v>
      </c>
      <c r="M24" s="3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ht="21.75" customHeight="1">
      <c r="A25" s="28"/>
      <c r="B25" s="28" t="s">
        <v>50</v>
      </c>
      <c r="C25" s="46">
        <v>1.0</v>
      </c>
      <c r="D25" s="47">
        <v>1.0</v>
      </c>
      <c r="E25" s="41">
        <v>0.6</v>
      </c>
      <c r="F25" s="28"/>
      <c r="G25" s="28"/>
      <c r="M25" s="35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ht="21.75" customHeight="1">
      <c r="A26" s="48"/>
      <c r="B26" s="49"/>
      <c r="C26" s="35"/>
      <c r="D26" s="50"/>
      <c r="E26" s="50"/>
      <c r="F26" s="50"/>
      <c r="G26" s="50"/>
      <c r="M26" s="51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21.75" customHeight="1">
      <c r="A27" s="48"/>
      <c r="B27" s="43" t="s">
        <v>51</v>
      </c>
      <c r="C27" s="43"/>
      <c r="D27" s="43"/>
      <c r="E27" s="43"/>
      <c r="F27" s="43"/>
      <c r="G27" s="43"/>
      <c r="H27" s="51"/>
      <c r="I27" s="51"/>
      <c r="J27" s="51"/>
      <c r="K27" s="51"/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ht="21.75" customHeight="1">
      <c r="A28" s="48"/>
      <c r="B28" s="52" t="s">
        <v>52</v>
      </c>
      <c r="C28" s="35"/>
      <c r="D28" s="50"/>
      <c r="E28" s="50"/>
      <c r="F28" s="50"/>
      <c r="G28" s="50"/>
      <c r="H28" s="51"/>
      <c r="I28" s="51"/>
      <c r="J28" s="51"/>
      <c r="K28" s="51"/>
      <c r="L28" s="51"/>
      <c r="M28" s="51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21.75" customHeight="1">
      <c r="A29" s="48"/>
      <c r="B29" s="53" t="s">
        <v>53</v>
      </c>
      <c r="C29" s="54">
        <f>10800/1.21</f>
        <v>8925.619835</v>
      </c>
      <c r="D29" s="53" t="s">
        <v>54</v>
      </c>
      <c r="E29" s="50"/>
      <c r="F29" s="50"/>
      <c r="G29" s="50"/>
      <c r="H29" s="51"/>
      <c r="I29" s="51"/>
      <c r="J29" s="51"/>
      <c r="K29" s="35"/>
      <c r="L29" s="51"/>
      <c r="M29" s="51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ht="21.75" customHeight="1">
      <c r="A30" s="48"/>
      <c r="B30" s="52" t="s">
        <v>55</v>
      </c>
      <c r="C30" s="55">
        <f>2725/1.21</f>
        <v>2252.066116</v>
      </c>
      <c r="D30" s="53" t="s">
        <v>56</v>
      </c>
      <c r="E30" s="28"/>
      <c r="F30" s="48"/>
      <c r="G30" s="48"/>
      <c r="H30" s="51"/>
      <c r="I30" s="51"/>
      <c r="J30" s="51"/>
      <c r="K30" s="35"/>
      <c r="L30" s="51"/>
      <c r="M30" s="51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21.75" customHeight="1">
      <c r="A31" s="48"/>
      <c r="B31" s="52" t="s">
        <v>57</v>
      </c>
      <c r="C31" s="55">
        <f>6425/1.21</f>
        <v>5309.917355</v>
      </c>
      <c r="D31" s="53" t="s">
        <v>58</v>
      </c>
      <c r="E31" s="28"/>
      <c r="F31" s="48"/>
      <c r="G31" s="48"/>
      <c r="H31" s="51"/>
      <c r="I31" s="51"/>
      <c r="J31" s="51"/>
      <c r="K31" s="35"/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ht="21.75" customHeight="1">
      <c r="A32" s="48"/>
      <c r="B32" s="53" t="s">
        <v>59</v>
      </c>
      <c r="C32" s="54">
        <f>C29+C30</f>
        <v>11177.68595</v>
      </c>
      <c r="D32" s="53" t="s">
        <v>60</v>
      </c>
      <c r="E32" s="28"/>
      <c r="F32" s="28"/>
      <c r="G32" s="48"/>
      <c r="H32" s="51"/>
      <c r="I32" s="51"/>
      <c r="J32" s="51"/>
      <c r="K32" s="35"/>
      <c r="L32" s="51"/>
      <c r="M32" s="51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21.75" customHeight="1">
      <c r="A33" s="48"/>
      <c r="B33" s="53" t="s">
        <v>61</v>
      </c>
      <c r="C33" s="56">
        <f>C29+C31</f>
        <v>14235.53719</v>
      </c>
      <c r="D33" s="53" t="s">
        <v>60</v>
      </c>
      <c r="E33" s="48"/>
      <c r="F33" s="48"/>
      <c r="G33" s="48"/>
      <c r="H33" s="51"/>
      <c r="I33" s="51"/>
      <c r="J33" s="51"/>
      <c r="K33" s="51"/>
      <c r="L33" s="51"/>
      <c r="M33" s="51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ht="21.75" customHeight="1">
      <c r="A34" s="48"/>
      <c r="B34" s="52" t="s">
        <v>62</v>
      </c>
      <c r="C34" s="54"/>
      <c r="D34" s="48"/>
      <c r="E34" s="48"/>
      <c r="F34" s="48"/>
      <c r="G34" s="48"/>
      <c r="H34" s="51"/>
      <c r="I34" s="51"/>
      <c r="J34" s="51"/>
      <c r="K34" s="51"/>
      <c r="L34" s="51"/>
      <c r="M34" s="51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21.75" customHeight="1">
      <c r="A35" s="48"/>
      <c r="B35" s="57" t="s">
        <v>63</v>
      </c>
      <c r="C35" s="48">
        <f>2800/1.21</f>
        <v>2314.049587</v>
      </c>
      <c r="D35" s="53" t="s">
        <v>64</v>
      </c>
      <c r="E35" s="48"/>
      <c r="F35" s="48"/>
      <c r="G35" s="48"/>
      <c r="H35" s="51"/>
      <c r="I35" s="51"/>
      <c r="J35" s="51"/>
      <c r="K35" s="51"/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ht="21.75" customHeight="1">
      <c r="A36" s="48"/>
      <c r="B36" s="57" t="s">
        <v>65</v>
      </c>
      <c r="C36" s="48">
        <f t="shared" ref="C36:C37" si="1">3800/1.21</f>
        <v>3140.495868</v>
      </c>
      <c r="D36" s="53" t="s">
        <v>66</v>
      </c>
      <c r="E36" s="48"/>
      <c r="F36" s="48"/>
      <c r="G36" s="48"/>
      <c r="H36" s="51"/>
      <c r="I36" s="51"/>
      <c r="J36" s="51"/>
      <c r="K36" s="51"/>
      <c r="L36" s="51"/>
      <c r="M36" s="51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21.75" customHeight="1">
      <c r="A37" s="48"/>
      <c r="B37" s="57" t="s">
        <v>67</v>
      </c>
      <c r="C37" s="48">
        <f t="shared" si="1"/>
        <v>3140.495868</v>
      </c>
      <c r="D37" s="53" t="s">
        <v>66</v>
      </c>
      <c r="E37" s="48"/>
      <c r="F37" s="48"/>
      <c r="G37" s="48"/>
      <c r="H37" s="51"/>
      <c r="I37" s="51"/>
      <c r="J37" s="51"/>
      <c r="K37" s="51"/>
      <c r="L37" s="51"/>
      <c r="M37" s="51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ht="23.25" customHeight="1">
      <c r="A38" s="48"/>
      <c r="B38" s="58" t="s">
        <v>68</v>
      </c>
      <c r="C38" s="26"/>
      <c r="D38" s="26"/>
      <c r="E38" s="58"/>
      <c r="F38" s="26"/>
      <c r="G38" s="26"/>
      <c r="H38" s="27"/>
      <c r="I38" s="26"/>
      <c r="J38" s="26"/>
      <c r="K38" s="27"/>
      <c r="L38" s="26"/>
      <c r="M38" s="26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21.75" customHeight="1">
      <c r="A39" s="48"/>
      <c r="B39" s="59" t="s">
        <v>47</v>
      </c>
      <c r="C39" s="48"/>
      <c r="D39" s="48"/>
      <c r="E39" s="48"/>
      <c r="F39" s="48"/>
      <c r="G39" s="48"/>
      <c r="H39" s="51"/>
      <c r="I39" s="60"/>
      <c r="J39" s="51"/>
      <c r="K39" s="51"/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ht="21.75" customHeight="1">
      <c r="A40" s="48"/>
      <c r="B40" s="61" t="s">
        <v>69</v>
      </c>
      <c r="C40" s="28"/>
      <c r="D40" s="28"/>
      <c r="E40" s="28"/>
      <c r="H40" s="35"/>
      <c r="I40" s="35"/>
      <c r="J40" s="51"/>
      <c r="M40" s="51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ht="21.75" customHeight="1">
      <c r="A41" s="48"/>
      <c r="B41" s="62" t="s">
        <v>70</v>
      </c>
      <c r="C41" s="63" t="s">
        <v>71</v>
      </c>
      <c r="D41" s="64" t="s">
        <v>72</v>
      </c>
      <c r="E41" s="65" t="s">
        <v>73</v>
      </c>
      <c r="F41" s="65" t="s">
        <v>74</v>
      </c>
      <c r="G41" s="62" t="s">
        <v>75</v>
      </c>
      <c r="H41" s="62" t="s">
        <v>76</v>
      </c>
      <c r="I41" s="62" t="s">
        <v>77</v>
      </c>
      <c r="J41" s="51"/>
      <c r="M41" s="51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ht="21.75" customHeight="1">
      <c r="A42" s="48"/>
      <c r="B42" s="51" t="s">
        <v>78</v>
      </c>
      <c r="C42" s="66" t="s">
        <v>79</v>
      </c>
      <c r="D42" s="67" t="s">
        <v>80</v>
      </c>
      <c r="E42" s="54">
        <v>6314.0</v>
      </c>
      <c r="F42" s="54">
        <v>4500.0</v>
      </c>
      <c r="G42" s="54">
        <v>2692.44</v>
      </c>
      <c r="H42" s="51" t="s">
        <v>81</v>
      </c>
      <c r="I42" s="51" t="s">
        <v>82</v>
      </c>
      <c r="J42" s="51"/>
      <c r="M42" s="51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ht="21.75" customHeight="1">
      <c r="A43" s="48"/>
      <c r="B43" s="51" t="s">
        <v>83</v>
      </c>
      <c r="C43" s="66" t="s">
        <v>79</v>
      </c>
      <c r="D43" s="67" t="s">
        <v>84</v>
      </c>
      <c r="E43" s="54">
        <v>805.5</v>
      </c>
      <c r="F43" s="68">
        <f t="shared" ref="F43:F51" si="2">E43*0.7</f>
        <v>563.85</v>
      </c>
      <c r="G43" s="68">
        <f t="shared" ref="G43:G47" si="3">0.6*F43</f>
        <v>338.31</v>
      </c>
      <c r="H43" s="51" t="s">
        <v>81</v>
      </c>
      <c r="I43" s="51" t="s">
        <v>82</v>
      </c>
      <c r="J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ht="21.75" customHeight="1">
      <c r="A44" s="48"/>
      <c r="B44" s="51" t="s">
        <v>85</v>
      </c>
      <c r="C44" s="66" t="s">
        <v>79</v>
      </c>
      <c r="D44" s="67" t="s">
        <v>86</v>
      </c>
      <c r="E44" s="54">
        <v>632.92</v>
      </c>
      <c r="F44" s="68">
        <f t="shared" si="2"/>
        <v>443.044</v>
      </c>
      <c r="G44" s="68">
        <f t="shared" si="3"/>
        <v>265.8264</v>
      </c>
      <c r="H44" s="51" t="s">
        <v>81</v>
      </c>
      <c r="I44" s="51" t="s">
        <v>82</v>
      </c>
      <c r="J44" s="51"/>
      <c r="M44" s="51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21.75" customHeight="1">
      <c r="A45" s="48"/>
      <c r="B45" s="51" t="s">
        <v>87</v>
      </c>
      <c r="C45" s="66" t="s">
        <v>79</v>
      </c>
      <c r="D45" s="67" t="s">
        <v>88</v>
      </c>
      <c r="E45" s="54">
        <v>283.76</v>
      </c>
      <c r="F45" s="68">
        <f t="shared" si="2"/>
        <v>198.632</v>
      </c>
      <c r="G45" s="68">
        <f t="shared" si="3"/>
        <v>119.1792</v>
      </c>
      <c r="H45" s="51" t="s">
        <v>81</v>
      </c>
      <c r="I45" s="51" t="s">
        <v>82</v>
      </c>
      <c r="J45" s="51"/>
      <c r="M45" s="51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ht="21.75" customHeight="1">
      <c r="A46" s="48"/>
      <c r="B46" s="51" t="s">
        <v>89</v>
      </c>
      <c r="C46" s="66" t="s">
        <v>79</v>
      </c>
      <c r="D46" s="67" t="s">
        <v>90</v>
      </c>
      <c r="E46" s="54">
        <v>118.48</v>
      </c>
      <c r="F46" s="68">
        <f t="shared" si="2"/>
        <v>82.936</v>
      </c>
      <c r="G46" s="68">
        <f t="shared" si="3"/>
        <v>49.7616</v>
      </c>
      <c r="H46" s="51" t="s">
        <v>81</v>
      </c>
      <c r="I46" s="51" t="s">
        <v>82</v>
      </c>
      <c r="J46" s="51"/>
      <c r="M46" s="51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ht="21.75" customHeight="1">
      <c r="A47" s="48"/>
      <c r="B47" s="51" t="s">
        <v>91</v>
      </c>
      <c r="C47" s="66" t="s">
        <v>79</v>
      </c>
      <c r="D47" s="67" t="s">
        <v>92</v>
      </c>
      <c r="E47" s="54">
        <v>653.03</v>
      </c>
      <c r="F47" s="68">
        <f t="shared" si="2"/>
        <v>457.121</v>
      </c>
      <c r="G47" s="68">
        <f t="shared" si="3"/>
        <v>274.2726</v>
      </c>
      <c r="H47" s="51" t="s">
        <v>81</v>
      </c>
      <c r="I47" s="51" t="s">
        <v>82</v>
      </c>
      <c r="J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ht="21.75" customHeight="1">
      <c r="A48" s="48"/>
      <c r="B48" s="51" t="s">
        <v>93</v>
      </c>
      <c r="C48" s="66" t="s">
        <v>79</v>
      </c>
      <c r="D48" s="67" t="s">
        <v>94</v>
      </c>
      <c r="E48" s="54">
        <v>300.0</v>
      </c>
      <c r="F48" s="68">
        <f t="shared" si="2"/>
        <v>210</v>
      </c>
      <c r="G48" s="68">
        <v>126.0</v>
      </c>
      <c r="H48" s="51" t="s">
        <v>81</v>
      </c>
      <c r="I48" s="51" t="s">
        <v>82</v>
      </c>
      <c r="J48" s="51"/>
      <c r="M48" s="51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21.75" customHeight="1">
      <c r="A49" s="48"/>
      <c r="B49" s="51" t="s">
        <v>95</v>
      </c>
      <c r="C49" s="66" t="s">
        <v>79</v>
      </c>
      <c r="D49" s="67" t="s">
        <v>96</v>
      </c>
      <c r="E49" s="54">
        <v>200.0</v>
      </c>
      <c r="F49" s="68">
        <f t="shared" si="2"/>
        <v>140</v>
      </c>
      <c r="G49" s="68">
        <f t="shared" ref="G49:G51" si="4">0.6*F49</f>
        <v>84</v>
      </c>
      <c r="H49" s="51" t="s">
        <v>81</v>
      </c>
      <c r="I49" s="51" t="s">
        <v>82</v>
      </c>
      <c r="J49" s="51"/>
      <c r="M49" s="5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ht="21.75" customHeight="1">
      <c r="A50" s="48"/>
      <c r="B50" s="51" t="s">
        <v>97</v>
      </c>
      <c r="C50" s="66" t="s">
        <v>79</v>
      </c>
      <c r="D50" s="67" t="s">
        <v>98</v>
      </c>
      <c r="E50" s="54">
        <v>400.0</v>
      </c>
      <c r="F50" s="68">
        <f t="shared" si="2"/>
        <v>280</v>
      </c>
      <c r="G50" s="68">
        <f t="shared" si="4"/>
        <v>168</v>
      </c>
      <c r="H50" s="51" t="s">
        <v>81</v>
      </c>
      <c r="I50" s="51" t="s">
        <v>82</v>
      </c>
      <c r="J50" s="51"/>
      <c r="M50" s="5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ht="21.75" customHeight="1">
      <c r="A51" s="48"/>
      <c r="B51" s="51" t="s">
        <v>99</v>
      </c>
      <c r="C51" s="66" t="s">
        <v>79</v>
      </c>
      <c r="D51" s="67" t="s">
        <v>100</v>
      </c>
      <c r="E51" s="54">
        <v>291.23</v>
      </c>
      <c r="F51" s="68">
        <f t="shared" si="2"/>
        <v>203.861</v>
      </c>
      <c r="G51" s="68">
        <f t="shared" si="4"/>
        <v>122.3166</v>
      </c>
      <c r="H51" s="51" t="s">
        <v>81</v>
      </c>
      <c r="I51" s="51" t="s">
        <v>82</v>
      </c>
      <c r="J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ht="21.75" customHeight="1">
      <c r="A52" s="48"/>
      <c r="B52" s="51" t="s">
        <v>101</v>
      </c>
      <c r="C52" s="67" t="s">
        <v>102</v>
      </c>
      <c r="D52" s="67" t="s">
        <v>103</v>
      </c>
      <c r="E52" s="54">
        <v>0.0</v>
      </c>
      <c r="F52" s="68">
        <v>0.0</v>
      </c>
      <c r="G52" s="68">
        <v>760.0</v>
      </c>
      <c r="H52" s="51" t="s">
        <v>81</v>
      </c>
      <c r="I52" s="51" t="s">
        <v>104</v>
      </c>
      <c r="J52" s="51"/>
      <c r="M52" s="5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ht="21.75" customHeight="1">
      <c r="A53" s="48"/>
      <c r="B53" s="69" t="s">
        <v>105</v>
      </c>
      <c r="C53" s="70" t="s">
        <v>106</v>
      </c>
      <c r="D53" s="70" t="s">
        <v>107</v>
      </c>
      <c r="E53" s="71">
        <f t="shared" ref="E53:F53" si="5">SUM(E42:E52)</f>
        <v>9998.92</v>
      </c>
      <c r="F53" s="71">
        <f t="shared" si="5"/>
        <v>7079.444</v>
      </c>
      <c r="G53" s="71">
        <f>round(SUM(G42:G52),0)</f>
        <v>5000</v>
      </c>
      <c r="H53" s="62" t="s">
        <v>81</v>
      </c>
      <c r="I53" s="62"/>
      <c r="J53" s="62"/>
      <c r="M53" s="5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ht="21.75" customHeight="1">
      <c r="A54" s="48"/>
      <c r="B54" s="69"/>
      <c r="C54" s="62"/>
      <c r="D54" s="62"/>
      <c r="E54" s="71"/>
      <c r="F54" s="71"/>
      <c r="G54" s="71"/>
      <c r="H54" s="62"/>
      <c r="I54" s="62"/>
      <c r="J54" s="62"/>
      <c r="M54" s="5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21.75" hidden="1" customHeight="1">
      <c r="A55" s="48"/>
      <c r="B55" s="59" t="s">
        <v>108</v>
      </c>
      <c r="C55" s="48"/>
      <c r="D55" s="48"/>
      <c r="E55" s="48"/>
      <c r="F55" s="51"/>
      <c r="G55" s="51"/>
      <c r="H55" s="51"/>
      <c r="I55" s="51"/>
      <c r="J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21.75" hidden="1" customHeight="1">
      <c r="A56" s="48"/>
      <c r="B56" s="48" t="s">
        <v>109</v>
      </c>
      <c r="C56" s="72" t="s">
        <v>110</v>
      </c>
      <c r="D56" s="48" t="s">
        <v>80</v>
      </c>
      <c r="E56" s="73">
        <v>2568.0</v>
      </c>
      <c r="F56" s="74">
        <v>2311.2</v>
      </c>
      <c r="G56" s="74">
        <v>2080.08</v>
      </c>
      <c r="H56" s="75" t="s">
        <v>81</v>
      </c>
      <c r="I56" s="51" t="s">
        <v>82</v>
      </c>
      <c r="J56" s="51"/>
      <c r="M56" s="5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ht="21.75" hidden="1" customHeight="1">
      <c r="A57" s="48"/>
      <c r="B57" s="48" t="s">
        <v>111</v>
      </c>
      <c r="C57" s="72" t="s">
        <v>110</v>
      </c>
      <c r="D57" s="48" t="s">
        <v>84</v>
      </c>
      <c r="E57" s="73">
        <v>805.5</v>
      </c>
      <c r="F57" s="76">
        <f t="shared" ref="F57:F65" si="6">E57*0.7</f>
        <v>563.85</v>
      </c>
      <c r="G57" s="76">
        <f t="shared" ref="G57:G65" si="7">F57*0.6</f>
        <v>338.31</v>
      </c>
      <c r="H57" s="75" t="s">
        <v>81</v>
      </c>
      <c r="I57" s="51" t="s">
        <v>82</v>
      </c>
      <c r="J57" s="51"/>
      <c r="M57" s="5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ht="21.75" hidden="1" customHeight="1">
      <c r="A58" s="48"/>
      <c r="B58" s="48" t="s">
        <v>112</v>
      </c>
      <c r="C58" s="72" t="s">
        <v>110</v>
      </c>
      <c r="D58" s="48" t="s">
        <v>113</v>
      </c>
      <c r="E58" s="73">
        <v>257.92</v>
      </c>
      <c r="F58" s="76">
        <f t="shared" si="6"/>
        <v>180.544</v>
      </c>
      <c r="G58" s="76">
        <f t="shared" si="7"/>
        <v>108.3264</v>
      </c>
      <c r="H58" s="75" t="s">
        <v>81</v>
      </c>
      <c r="I58" s="51" t="s">
        <v>82</v>
      </c>
      <c r="J58" s="51"/>
      <c r="M58" s="5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21.75" hidden="1" customHeight="1">
      <c r="A59" s="48"/>
      <c r="B59" s="48" t="s">
        <v>114</v>
      </c>
      <c r="C59" s="72" t="s">
        <v>110</v>
      </c>
      <c r="D59" s="48" t="s">
        <v>115</v>
      </c>
      <c r="E59" s="73">
        <v>283.76</v>
      </c>
      <c r="F59" s="76">
        <f t="shared" si="6"/>
        <v>198.632</v>
      </c>
      <c r="G59" s="76">
        <f t="shared" si="7"/>
        <v>119.1792</v>
      </c>
      <c r="H59" s="75" t="s">
        <v>81</v>
      </c>
      <c r="I59" s="51" t="s">
        <v>82</v>
      </c>
      <c r="J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ht="21.75" hidden="1" customHeight="1">
      <c r="A60" s="48"/>
      <c r="B60" s="48" t="s">
        <v>116</v>
      </c>
      <c r="C60" s="72" t="s">
        <v>110</v>
      </c>
      <c r="D60" s="48" t="s">
        <v>117</v>
      </c>
      <c r="E60" s="73">
        <v>118.48</v>
      </c>
      <c r="F60" s="76">
        <f t="shared" si="6"/>
        <v>82.936</v>
      </c>
      <c r="G60" s="76">
        <f t="shared" si="7"/>
        <v>49.7616</v>
      </c>
      <c r="H60" s="75" t="s">
        <v>81</v>
      </c>
      <c r="I60" s="51" t="s">
        <v>82</v>
      </c>
      <c r="J60" s="51"/>
      <c r="M60" s="5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ht="21.75" hidden="1" customHeight="1">
      <c r="A61" s="48"/>
      <c r="B61" s="48" t="s">
        <v>118</v>
      </c>
      <c r="C61" s="72" t="s">
        <v>110</v>
      </c>
      <c r="D61" s="48" t="s">
        <v>119</v>
      </c>
      <c r="E61" s="73">
        <v>653.03</v>
      </c>
      <c r="F61" s="76">
        <f t="shared" si="6"/>
        <v>457.121</v>
      </c>
      <c r="G61" s="76">
        <f t="shared" si="7"/>
        <v>274.2726</v>
      </c>
      <c r="H61" s="75" t="s">
        <v>81</v>
      </c>
      <c r="I61" s="51" t="s">
        <v>82</v>
      </c>
      <c r="J61" s="51"/>
      <c r="M61" s="5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ht="21.75" hidden="1" customHeight="1">
      <c r="A62" s="48"/>
      <c r="B62" s="48" t="s">
        <v>120</v>
      </c>
      <c r="C62" s="72" t="s">
        <v>110</v>
      </c>
      <c r="D62" s="48" t="s">
        <v>121</v>
      </c>
      <c r="E62" s="73">
        <v>300.0</v>
      </c>
      <c r="F62" s="76">
        <f t="shared" si="6"/>
        <v>210</v>
      </c>
      <c r="G62" s="76">
        <f t="shared" si="7"/>
        <v>126</v>
      </c>
      <c r="H62" s="75" t="s">
        <v>81</v>
      </c>
      <c r="I62" s="51" t="s">
        <v>82</v>
      </c>
      <c r="J62" s="51"/>
      <c r="M62" s="5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21.75" hidden="1" customHeight="1">
      <c r="A63" s="48"/>
      <c r="B63" s="48" t="s">
        <v>122</v>
      </c>
      <c r="C63" s="72" t="s">
        <v>110</v>
      </c>
      <c r="D63" s="48" t="s">
        <v>123</v>
      </c>
      <c r="E63" s="73">
        <v>200.0</v>
      </c>
      <c r="F63" s="76">
        <f t="shared" si="6"/>
        <v>140</v>
      </c>
      <c r="G63" s="76">
        <f t="shared" si="7"/>
        <v>84</v>
      </c>
      <c r="H63" s="75" t="s">
        <v>81</v>
      </c>
      <c r="I63" s="51" t="s">
        <v>82</v>
      </c>
      <c r="J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ht="21.75" hidden="1" customHeight="1">
      <c r="A64" s="48"/>
      <c r="B64" s="48" t="s">
        <v>124</v>
      </c>
      <c r="C64" s="72" t="s">
        <v>110</v>
      </c>
      <c r="D64" s="48" t="s">
        <v>125</v>
      </c>
      <c r="E64" s="73">
        <v>400.0</v>
      </c>
      <c r="F64" s="76">
        <f t="shared" si="6"/>
        <v>280</v>
      </c>
      <c r="G64" s="76">
        <f t="shared" si="7"/>
        <v>168</v>
      </c>
      <c r="H64" s="75" t="s">
        <v>81</v>
      </c>
      <c r="I64" s="51" t="s">
        <v>82</v>
      </c>
      <c r="J64" s="51"/>
      <c r="M64" s="5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21.75" hidden="1" customHeight="1">
      <c r="A65" s="48"/>
      <c r="B65" s="48" t="s">
        <v>126</v>
      </c>
      <c r="C65" s="72" t="s">
        <v>110</v>
      </c>
      <c r="D65" s="48" t="s">
        <v>127</v>
      </c>
      <c r="E65" s="73">
        <v>236.81</v>
      </c>
      <c r="F65" s="76">
        <f t="shared" si="6"/>
        <v>165.767</v>
      </c>
      <c r="G65" s="76">
        <f t="shared" si="7"/>
        <v>99.4602</v>
      </c>
      <c r="H65" s="75" t="s">
        <v>81</v>
      </c>
      <c r="I65" s="51" t="s">
        <v>82</v>
      </c>
      <c r="J65" s="51"/>
      <c r="M65" s="5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21.75" hidden="1" customHeight="1">
      <c r="A66" s="48"/>
      <c r="B66" s="48"/>
      <c r="C66" s="62" t="s">
        <v>128</v>
      </c>
      <c r="D66" s="62" t="s">
        <v>107</v>
      </c>
      <c r="E66" s="77">
        <f t="shared" ref="E66:G66" si="8">SUM(E56:E65)</f>
        <v>5823.5</v>
      </c>
      <c r="F66" s="78">
        <f t="shared" si="8"/>
        <v>4590.05</v>
      </c>
      <c r="G66" s="78">
        <f t="shared" si="8"/>
        <v>3447.39</v>
      </c>
      <c r="H66" s="79"/>
      <c r="I66" s="75"/>
      <c r="J66" s="51"/>
      <c r="M66" s="51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21.75" customHeight="1">
      <c r="A67" s="48"/>
      <c r="B67" s="48"/>
      <c r="C67" s="48"/>
      <c r="D67" s="48"/>
      <c r="E67" s="48"/>
      <c r="F67" s="75"/>
      <c r="G67" s="75"/>
      <c r="H67" s="75"/>
      <c r="I67" s="75"/>
      <c r="J67" s="51"/>
      <c r="M67" s="51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21.75" customHeight="1">
      <c r="A68" s="48"/>
      <c r="B68" s="43" t="s">
        <v>129</v>
      </c>
      <c r="H68" s="75"/>
      <c r="I68" s="75"/>
      <c r="J68" s="75"/>
      <c r="K68" s="75"/>
      <c r="L68" s="51"/>
      <c r="M68" s="51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21.75" customHeight="1">
      <c r="A69" s="48"/>
      <c r="B69" s="80" t="s">
        <v>130</v>
      </c>
      <c r="C69" s="80" t="s">
        <v>131</v>
      </c>
      <c r="D69" s="80" t="s">
        <v>76</v>
      </c>
      <c r="E69" s="80" t="s">
        <v>132</v>
      </c>
      <c r="F69" s="28"/>
      <c r="G69" s="28"/>
      <c r="H69" s="35"/>
      <c r="I69" s="51"/>
      <c r="J69" s="51"/>
      <c r="K69" s="35"/>
      <c r="L69" s="51"/>
      <c r="M69" s="51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ht="21.75" customHeight="1">
      <c r="A70" s="48"/>
      <c r="B70" s="81">
        <v>1000.0</v>
      </c>
      <c r="C70" s="82">
        <f>E53</f>
        <v>9998.92</v>
      </c>
      <c r="D70" s="80" t="s">
        <v>81</v>
      </c>
      <c r="E70" s="48" t="s">
        <v>133</v>
      </c>
      <c r="F70" s="28"/>
      <c r="G70" s="35"/>
      <c r="H70" s="35"/>
      <c r="I70" s="75"/>
      <c r="J70" s="75"/>
      <c r="K70" s="35"/>
      <c r="L70" s="51"/>
      <c r="M70" s="51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21.75" customHeight="1">
      <c r="A71" s="48"/>
      <c r="B71" s="81">
        <v>5000.0</v>
      </c>
      <c r="C71" s="82">
        <f>F53</f>
        <v>7079.444</v>
      </c>
      <c r="D71" s="80" t="s">
        <v>81</v>
      </c>
      <c r="E71" s="48" t="s">
        <v>133</v>
      </c>
      <c r="F71" s="28"/>
      <c r="G71" s="35"/>
      <c r="H71" s="35"/>
      <c r="I71" s="75"/>
      <c r="J71" s="75"/>
      <c r="K71" s="35"/>
      <c r="L71" s="51"/>
      <c r="M71" s="51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ht="21.75" customHeight="1">
      <c r="A72" s="48"/>
      <c r="B72" s="81">
        <v>10000.0</v>
      </c>
      <c r="C72" s="82">
        <f>G53</f>
        <v>5000</v>
      </c>
      <c r="D72" s="80" t="s">
        <v>81</v>
      </c>
      <c r="E72" s="48" t="s">
        <v>133</v>
      </c>
      <c r="F72" s="28"/>
      <c r="G72" s="35"/>
      <c r="H72" s="35"/>
      <c r="I72" s="75"/>
      <c r="J72" s="75"/>
      <c r="K72" s="35"/>
      <c r="L72" s="51"/>
      <c r="M72" s="51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ht="21.0" customHeight="1">
      <c r="A73" s="28"/>
      <c r="B73" s="28"/>
      <c r="C73" s="28"/>
      <c r="D73" s="28"/>
      <c r="E73" s="28"/>
      <c r="F73" s="28"/>
      <c r="G73" s="28"/>
      <c r="H73" s="35"/>
      <c r="I73" s="35"/>
      <c r="J73" s="35"/>
      <c r="K73" s="35"/>
      <c r="L73" s="35"/>
      <c r="M73" s="35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ht="21.75" customHeight="1">
      <c r="A74" s="48"/>
      <c r="B74" s="83" t="s">
        <v>134</v>
      </c>
      <c r="H74" s="75"/>
      <c r="I74" s="75"/>
      <c r="J74" s="75"/>
      <c r="K74" s="51"/>
      <c r="L74" s="51"/>
      <c r="M74" s="51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21.75" customHeight="1">
      <c r="A75" s="48"/>
      <c r="B75" s="84" t="s">
        <v>72</v>
      </c>
      <c r="C75" s="85"/>
      <c r="D75" s="85"/>
      <c r="E75" s="84" t="s">
        <v>73</v>
      </c>
      <c r="F75" s="84" t="s">
        <v>74</v>
      </c>
      <c r="G75" s="86" t="s">
        <v>75</v>
      </c>
      <c r="H75" s="86" t="s">
        <v>76</v>
      </c>
      <c r="I75" s="87" t="s">
        <v>76</v>
      </c>
      <c r="J75" s="87" t="s">
        <v>77</v>
      </c>
      <c r="K75" s="35"/>
      <c r="M75" s="51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21.75" customHeight="1">
      <c r="A76" s="48"/>
      <c r="B76" s="84" t="s">
        <v>55</v>
      </c>
      <c r="C76" s="28"/>
      <c r="D76" s="28"/>
      <c r="E76" s="88">
        <v>1178.36</v>
      </c>
      <c r="F76" s="89">
        <v>1060.52</v>
      </c>
      <c r="G76" s="89">
        <v>954.47</v>
      </c>
      <c r="H76" s="89" t="s">
        <v>81</v>
      </c>
      <c r="I76" s="87" t="s">
        <v>81</v>
      </c>
      <c r="J76" s="35" t="s">
        <v>135</v>
      </c>
      <c r="K76" s="35"/>
      <c r="M76" s="51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21.75" customHeight="1">
      <c r="A77" s="48"/>
      <c r="B77" s="84" t="s">
        <v>57</v>
      </c>
      <c r="C77" s="28"/>
      <c r="D77" s="28"/>
      <c r="E77" s="88">
        <v>1402.6</v>
      </c>
      <c r="F77" s="88">
        <v>1262.34</v>
      </c>
      <c r="G77" s="88">
        <v>1136.1</v>
      </c>
      <c r="H77" s="88" t="s">
        <v>81</v>
      </c>
      <c r="I77" s="87" t="s">
        <v>81</v>
      </c>
      <c r="J77" s="35" t="s">
        <v>135</v>
      </c>
      <c r="K77" s="35"/>
      <c r="M77" s="51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ht="21.75" customHeight="1">
      <c r="A78" s="48"/>
      <c r="B78" s="84" t="s">
        <v>136</v>
      </c>
      <c r="C78" s="28"/>
      <c r="D78" s="28"/>
      <c r="E78" s="88">
        <v>100.0</v>
      </c>
      <c r="F78" s="89">
        <v>100.0</v>
      </c>
      <c r="G78" s="89">
        <v>100.0</v>
      </c>
      <c r="H78" s="89" t="s">
        <v>81</v>
      </c>
      <c r="I78" s="87" t="s">
        <v>81</v>
      </c>
      <c r="J78" s="35" t="s">
        <v>135</v>
      </c>
      <c r="K78" s="35"/>
      <c r="M78" s="51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21.75" customHeight="1">
      <c r="A79" s="48"/>
      <c r="B79" s="85"/>
      <c r="C79" s="28"/>
      <c r="D79" s="28"/>
      <c r="E79" s="90"/>
      <c r="F79" s="91"/>
      <c r="G79" s="91"/>
      <c r="H79" s="91"/>
      <c r="I79" s="87" t="s">
        <v>81</v>
      </c>
      <c r="J79" s="35" t="s">
        <v>135</v>
      </c>
      <c r="K79" s="35"/>
      <c r="M79" s="51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ht="21.75" customHeight="1">
      <c r="A80" s="92"/>
      <c r="B80" s="93" t="s">
        <v>137</v>
      </c>
      <c r="C80" s="61"/>
      <c r="D80" s="61"/>
      <c r="E80" s="94"/>
      <c r="F80" s="94"/>
      <c r="G80" s="94"/>
      <c r="H80" s="94"/>
      <c r="I80" s="95" t="s">
        <v>81</v>
      </c>
      <c r="J80" s="96" t="s">
        <v>82</v>
      </c>
      <c r="K80" s="96"/>
      <c r="L80" s="97"/>
      <c r="M80" s="6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</row>
    <row r="81" ht="21.75" customHeight="1">
      <c r="A81" s="48"/>
      <c r="B81" s="98" t="s">
        <v>130</v>
      </c>
      <c r="L81" s="51"/>
      <c r="M81" s="51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ht="21.75" customHeight="1">
      <c r="A82" s="48"/>
      <c r="B82" s="99">
        <v>0.0</v>
      </c>
      <c r="C82" s="100">
        <f>E76</f>
        <v>1178.36</v>
      </c>
      <c r="D82" s="80"/>
      <c r="E82" s="99">
        <v>0.0</v>
      </c>
      <c r="F82" s="101">
        <f>E77</f>
        <v>1402.6</v>
      </c>
      <c r="G82" s="28"/>
      <c r="H82" s="35"/>
      <c r="I82" s="51"/>
      <c r="J82" s="102"/>
      <c r="K82" s="35"/>
      <c r="L82" s="51"/>
      <c r="M82" s="51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21.75" customHeight="1">
      <c r="A83" s="48"/>
      <c r="B83" s="103">
        <v>5000.0</v>
      </c>
      <c r="C83" s="82">
        <f>F76</f>
        <v>1060.52</v>
      </c>
      <c r="D83" s="80"/>
      <c r="E83" s="104">
        <v>5000.0</v>
      </c>
      <c r="F83" s="101">
        <f>F77</f>
        <v>1262.34</v>
      </c>
      <c r="G83" s="28"/>
      <c r="H83" s="35"/>
      <c r="I83" s="75"/>
      <c r="J83" s="102"/>
      <c r="K83" s="35"/>
      <c r="L83" s="51"/>
      <c r="M83" s="51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ht="21.75" customHeight="1">
      <c r="A84" s="48"/>
      <c r="B84" s="103">
        <v>10000.0</v>
      </c>
      <c r="C84" s="82">
        <f>G76</f>
        <v>954.47</v>
      </c>
      <c r="D84" s="80"/>
      <c r="E84" s="104">
        <v>10000.0</v>
      </c>
      <c r="F84" s="101">
        <f>G77</f>
        <v>1136.1</v>
      </c>
      <c r="G84" s="28"/>
      <c r="H84" s="35"/>
      <c r="I84" s="75"/>
      <c r="J84" s="102"/>
      <c r="K84" s="35"/>
      <c r="L84" s="51"/>
      <c r="M84" s="51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ht="21.75" customHeight="1">
      <c r="A85" s="48"/>
      <c r="B85" s="81"/>
      <c r="C85" s="82"/>
      <c r="D85" s="80"/>
      <c r="E85" s="35"/>
      <c r="F85" s="28"/>
      <c r="G85" s="28"/>
      <c r="H85" s="35"/>
      <c r="I85" s="75"/>
      <c r="J85" s="102"/>
      <c r="K85" s="35"/>
      <c r="L85" s="51"/>
      <c r="M85" s="51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ht="21.75" customHeight="1">
      <c r="A86" s="48"/>
      <c r="B86" s="81"/>
      <c r="C86" s="82"/>
      <c r="D86" s="80"/>
      <c r="E86" s="35"/>
      <c r="F86" s="28"/>
      <c r="G86" s="28"/>
      <c r="H86" s="35"/>
      <c r="I86" s="75"/>
      <c r="J86" s="102"/>
      <c r="K86" s="35"/>
      <c r="L86" s="51"/>
      <c r="M86" s="51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ht="21.75" customHeight="1">
      <c r="A87" s="48"/>
      <c r="B87" s="81"/>
      <c r="C87" s="82"/>
      <c r="D87" s="80"/>
      <c r="E87" s="35"/>
      <c r="F87" s="28"/>
      <c r="G87" s="28"/>
      <c r="H87" s="35"/>
      <c r="I87" s="75"/>
      <c r="J87" s="102"/>
      <c r="K87" s="35"/>
      <c r="L87" s="51"/>
      <c r="M87" s="51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ht="21.75" customHeight="1">
      <c r="A88" s="48"/>
      <c r="B88" s="59"/>
      <c r="C88" s="48"/>
      <c r="D88" s="48"/>
      <c r="E88" s="48"/>
      <c r="F88" s="48"/>
      <c r="G88" s="48"/>
      <c r="H88" s="51"/>
      <c r="I88" s="51"/>
      <c r="J88" s="51"/>
      <c r="K88" s="51"/>
      <c r="L88" s="51"/>
      <c r="M88" s="51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ht="21.75" customHeight="1">
      <c r="A89" s="48"/>
      <c r="B89" s="59"/>
      <c r="C89" s="48"/>
      <c r="D89" s="48"/>
      <c r="E89" s="48"/>
      <c r="F89" s="48"/>
      <c r="G89" s="48"/>
      <c r="H89" s="51"/>
      <c r="I89" s="51"/>
      <c r="J89" s="51"/>
      <c r="K89" s="51"/>
      <c r="L89" s="51"/>
      <c r="M89" s="51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ht="23.25" customHeight="1">
      <c r="A90" s="48"/>
      <c r="B90" s="25" t="s">
        <v>138</v>
      </c>
      <c r="C90" s="26"/>
      <c r="D90" s="26"/>
      <c r="E90" s="25"/>
      <c r="F90" s="25" t="s">
        <v>139</v>
      </c>
      <c r="G90" s="105">
        <v>0.3</v>
      </c>
      <c r="H90" s="106"/>
      <c r="I90" s="25"/>
      <c r="J90" s="107"/>
      <c r="K90" s="27"/>
      <c r="L90" s="26"/>
      <c r="M90" s="26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ht="21.75" customHeight="1">
      <c r="A91" s="48"/>
      <c r="B91" s="59"/>
      <c r="C91" s="61" t="s">
        <v>71</v>
      </c>
      <c r="D91" s="92" t="s">
        <v>132</v>
      </c>
      <c r="E91" s="108">
        <v>2026.0</v>
      </c>
      <c r="F91" s="61">
        <v>2027.0</v>
      </c>
      <c r="G91" s="61">
        <v>2028.0</v>
      </c>
      <c r="H91" s="92">
        <v>2029.0</v>
      </c>
      <c r="I91" s="108">
        <v>2030.0</v>
      </c>
      <c r="J91" s="51"/>
      <c r="K91" s="51"/>
      <c r="L91" s="28"/>
      <c r="M91" s="51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ht="21.75" customHeight="1">
      <c r="A92" s="48"/>
      <c r="B92" s="109" t="s">
        <v>140</v>
      </c>
      <c r="C92" s="35" t="s">
        <v>141</v>
      </c>
      <c r="D92" s="51" t="s">
        <v>142</v>
      </c>
      <c r="E92" s="90">
        <v>5000.0</v>
      </c>
      <c r="F92" s="91">
        <f t="shared" ref="F92:F97" si="10">$E92*(1+$G$90)</f>
        <v>6500</v>
      </c>
      <c r="G92" s="91">
        <f t="shared" ref="G92:I92" si="9">F92*(1+$G$90)</f>
        <v>8450</v>
      </c>
      <c r="H92" s="91">
        <f t="shared" si="9"/>
        <v>10985</v>
      </c>
      <c r="I92" s="91">
        <f t="shared" si="9"/>
        <v>14280.5</v>
      </c>
      <c r="J92" s="51"/>
      <c r="K92" s="51"/>
      <c r="L92" s="28"/>
      <c r="M92" s="51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ht="21.75" customHeight="1">
      <c r="A93" s="48"/>
      <c r="B93" s="109" t="s">
        <v>143</v>
      </c>
      <c r="C93" s="35" t="s">
        <v>141</v>
      </c>
      <c r="D93" s="51" t="s">
        <v>142</v>
      </c>
      <c r="E93" s="90">
        <v>7000.0</v>
      </c>
      <c r="F93" s="91">
        <f t="shared" si="10"/>
        <v>9100</v>
      </c>
      <c r="G93" s="91">
        <f t="shared" ref="G93:I93" si="11">F93*(1+$G$90)</f>
        <v>11830</v>
      </c>
      <c r="H93" s="91">
        <f t="shared" si="11"/>
        <v>15379</v>
      </c>
      <c r="I93" s="91">
        <f t="shared" si="11"/>
        <v>19992.7</v>
      </c>
      <c r="J93" s="51"/>
      <c r="K93" s="51"/>
      <c r="L93" s="28"/>
      <c r="M93" s="51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ht="21.75" customHeight="1">
      <c r="A94" s="48"/>
      <c r="B94" s="109" t="s">
        <v>144</v>
      </c>
      <c r="C94" s="35" t="s">
        <v>145</v>
      </c>
      <c r="D94" s="51" t="s">
        <v>142</v>
      </c>
      <c r="E94" s="90">
        <v>14000.0</v>
      </c>
      <c r="F94" s="91">
        <f t="shared" si="10"/>
        <v>18200</v>
      </c>
      <c r="G94" s="91">
        <f t="shared" ref="G94:I94" si="12">F94*(1+$G$90)</f>
        <v>23660</v>
      </c>
      <c r="H94" s="91">
        <f t="shared" si="12"/>
        <v>30758</v>
      </c>
      <c r="I94" s="91">
        <f t="shared" si="12"/>
        <v>39985.4</v>
      </c>
      <c r="J94" s="51"/>
      <c r="K94" s="51"/>
      <c r="L94" s="28"/>
      <c r="M94" s="51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ht="21.75" customHeight="1">
      <c r="A95" s="48"/>
      <c r="B95" s="109" t="s">
        <v>146</v>
      </c>
      <c r="C95" s="35" t="s">
        <v>141</v>
      </c>
      <c r="D95" s="51" t="s">
        <v>142</v>
      </c>
      <c r="E95" s="90">
        <v>8000.0</v>
      </c>
      <c r="F95" s="91">
        <f t="shared" si="10"/>
        <v>10400</v>
      </c>
      <c r="G95" s="91">
        <f t="shared" ref="G95:I95" si="13">F95*(1+$G$90)</f>
        <v>13520</v>
      </c>
      <c r="H95" s="91">
        <f t="shared" si="13"/>
        <v>17576</v>
      </c>
      <c r="I95" s="91">
        <f t="shared" si="13"/>
        <v>22848.8</v>
      </c>
      <c r="J95" s="51"/>
      <c r="K95" s="51"/>
      <c r="L95" s="28"/>
      <c r="M95" s="51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ht="21.75" customHeight="1">
      <c r="A96" s="48"/>
      <c r="B96" s="109" t="s">
        <v>147</v>
      </c>
      <c r="C96" s="35" t="s">
        <v>148</v>
      </c>
      <c r="D96" s="51" t="s">
        <v>142</v>
      </c>
      <c r="E96" s="90">
        <v>10000.0</v>
      </c>
      <c r="F96" s="91">
        <f t="shared" si="10"/>
        <v>13000</v>
      </c>
      <c r="G96" s="91">
        <f t="shared" ref="G96:I96" si="14">F96*(1+$G$90)</f>
        <v>16900</v>
      </c>
      <c r="H96" s="91">
        <f t="shared" si="14"/>
        <v>21970</v>
      </c>
      <c r="I96" s="91">
        <f t="shared" si="14"/>
        <v>28561</v>
      </c>
      <c r="J96" s="51"/>
      <c r="K96" s="51"/>
      <c r="L96" s="28"/>
      <c r="M96" s="51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ht="21.75" customHeight="1">
      <c r="A97" s="48"/>
      <c r="B97" s="110" t="s">
        <v>149</v>
      </c>
      <c r="C97" s="35" t="s">
        <v>148</v>
      </c>
      <c r="D97" s="51" t="s">
        <v>142</v>
      </c>
      <c r="E97" s="90">
        <v>15000.0</v>
      </c>
      <c r="F97" s="91">
        <f t="shared" si="10"/>
        <v>19500</v>
      </c>
      <c r="G97" s="91">
        <f t="shared" ref="G97:I97" si="15">F97*(1+$G$90)</f>
        <v>25350</v>
      </c>
      <c r="H97" s="91">
        <f t="shared" si="15"/>
        <v>32955</v>
      </c>
      <c r="I97" s="91">
        <f t="shared" si="15"/>
        <v>42841.5</v>
      </c>
      <c r="J97" s="51"/>
      <c r="K97" s="51"/>
      <c r="L97" s="28"/>
      <c r="M97" s="51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ht="21.75" customHeight="1">
      <c r="A98" s="48"/>
      <c r="B98" s="35" t="s">
        <v>150</v>
      </c>
      <c r="C98" s="35" t="s">
        <v>148</v>
      </c>
      <c r="D98" s="51" t="s">
        <v>151</v>
      </c>
      <c r="E98" s="90">
        <v>168933.0</v>
      </c>
      <c r="F98" s="91"/>
      <c r="G98" s="91"/>
      <c r="H98" s="91"/>
      <c r="I98" s="91"/>
      <c r="J98" s="51"/>
      <c r="K98" s="51"/>
      <c r="L98" s="28"/>
      <c r="M98" s="51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ht="21.75" customHeight="1">
      <c r="A99" s="48"/>
      <c r="B99" s="111" t="s">
        <v>152</v>
      </c>
      <c r="C99" s="35" t="s">
        <v>145</v>
      </c>
      <c r="D99" s="51" t="s">
        <v>151</v>
      </c>
      <c r="E99" s="90">
        <v>10000.0</v>
      </c>
      <c r="F99" s="91"/>
      <c r="G99" s="91"/>
      <c r="H99" s="91"/>
      <c r="I99" s="91"/>
      <c r="J99" s="51"/>
      <c r="K99" s="51"/>
      <c r="L99" s="28"/>
      <c r="M99" s="51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ht="21.75" customHeight="1">
      <c r="A100" s="48"/>
      <c r="B100" s="112" t="s">
        <v>153</v>
      </c>
      <c r="C100" s="51" t="s">
        <v>145</v>
      </c>
      <c r="D100" s="51" t="s">
        <v>151</v>
      </c>
      <c r="E100" s="90">
        <v>10000.0</v>
      </c>
      <c r="F100" s="91"/>
      <c r="G100" s="91"/>
      <c r="H100" s="91"/>
      <c r="I100" s="91"/>
      <c r="J100" s="51"/>
      <c r="K100" s="51"/>
      <c r="L100" s="28"/>
      <c r="M100" s="51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ht="21.75" customHeight="1">
      <c r="A101" s="48"/>
      <c r="B101" s="109" t="s">
        <v>154</v>
      </c>
      <c r="C101" s="35" t="s">
        <v>148</v>
      </c>
      <c r="D101" s="51" t="s">
        <v>151</v>
      </c>
      <c r="E101" s="90">
        <v>100000.0</v>
      </c>
      <c r="F101" s="91"/>
      <c r="G101" s="91"/>
      <c r="H101" s="91"/>
      <c r="I101" s="91"/>
      <c r="J101" s="51"/>
      <c r="K101" s="51"/>
      <c r="L101" s="28"/>
      <c r="M101" s="51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ht="21.75" customHeight="1">
      <c r="A102" s="48"/>
      <c r="B102" s="112" t="s">
        <v>155</v>
      </c>
      <c r="C102" s="51" t="s">
        <v>148</v>
      </c>
      <c r="D102" s="51" t="s">
        <v>151</v>
      </c>
      <c r="E102" s="90">
        <v>45000.0</v>
      </c>
      <c r="F102" s="91"/>
      <c r="G102" s="91"/>
      <c r="H102" s="91"/>
      <c r="I102" s="91"/>
      <c r="J102" s="51"/>
      <c r="K102" s="51"/>
      <c r="L102" s="28"/>
      <c r="M102" s="51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ht="21.75" customHeight="1">
      <c r="A103" s="28"/>
      <c r="B103" s="28"/>
      <c r="C103" s="28"/>
      <c r="D103" s="28"/>
      <c r="E103" s="28"/>
      <c r="F103" s="28"/>
      <c r="G103" s="28"/>
      <c r="H103" s="35"/>
      <c r="I103" s="35"/>
      <c r="J103" s="35"/>
      <c r="K103" s="35"/>
      <c r="L103" s="28"/>
      <c r="M103" s="35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ht="21.75" customHeight="1">
      <c r="A104" s="28"/>
      <c r="B104" s="113"/>
      <c r="C104" s="48"/>
      <c r="D104" s="48"/>
      <c r="E104" s="114"/>
      <c r="F104" s="28"/>
      <c r="G104" s="28"/>
      <c r="H104" s="28"/>
      <c r="I104" s="28"/>
      <c r="J104" s="28"/>
      <c r="K104" s="28"/>
      <c r="L104" s="28"/>
      <c r="M104" s="35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ht="21.75" customHeight="1">
      <c r="A105" s="28"/>
      <c r="B105" s="113" t="s">
        <v>156</v>
      </c>
      <c r="C105" s="48"/>
      <c r="D105" s="48"/>
      <c r="E105" s="114"/>
      <c r="F105" s="28"/>
      <c r="G105" s="115" t="s">
        <v>46</v>
      </c>
      <c r="H105" s="116" t="s">
        <v>157</v>
      </c>
      <c r="I105" s="117" t="s">
        <v>158</v>
      </c>
      <c r="J105" s="96" t="s">
        <v>159</v>
      </c>
      <c r="K105" s="35"/>
      <c r="L105" s="28"/>
      <c r="M105" s="35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ht="21.75" customHeight="1">
      <c r="A106" s="28"/>
      <c r="B106" s="112" t="s">
        <v>160</v>
      </c>
      <c r="C106" s="51" t="s">
        <v>145</v>
      </c>
      <c r="D106" s="51" t="s">
        <v>161</v>
      </c>
      <c r="E106" s="118">
        <v>400.0</v>
      </c>
      <c r="F106" s="28" t="s">
        <v>162</v>
      </c>
      <c r="G106" s="119">
        <v>0.0</v>
      </c>
      <c r="H106" s="35">
        <v>600.0</v>
      </c>
      <c r="I106" s="120"/>
      <c r="J106" s="35"/>
      <c r="K106" s="28"/>
      <c r="L106" s="28"/>
      <c r="M106" s="35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ht="21.75" customHeight="1">
      <c r="A107" s="28"/>
      <c r="B107" s="112" t="s">
        <v>163</v>
      </c>
      <c r="C107" s="51" t="s">
        <v>145</v>
      </c>
      <c r="D107" s="51" t="s">
        <v>164</v>
      </c>
      <c r="E107" s="118">
        <v>150.0</v>
      </c>
      <c r="F107" s="28" t="s">
        <v>162</v>
      </c>
      <c r="G107" s="119">
        <v>400.0</v>
      </c>
      <c r="H107" s="121">
        <f>E110</f>
        <v>600</v>
      </c>
      <c r="I107" s="120"/>
      <c r="J107" s="122">
        <f t="shared" ref="J107:J113" si="16">G107*H107</f>
        <v>240000</v>
      </c>
      <c r="K107" s="35"/>
      <c r="L107" s="28"/>
      <c r="M107" s="35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ht="21.75" customHeight="1">
      <c r="A108" s="28"/>
      <c r="B108" s="112" t="s">
        <v>165</v>
      </c>
      <c r="C108" s="51" t="s">
        <v>145</v>
      </c>
      <c r="D108" s="51"/>
      <c r="E108" s="118">
        <v>50.0</v>
      </c>
      <c r="F108" s="28" t="s">
        <v>162</v>
      </c>
      <c r="G108" s="123">
        <f t="shared" ref="G108:G113" si="17">G107*2</f>
        <v>800</v>
      </c>
      <c r="H108" s="124">
        <f t="shared" ref="H108:H113" si="18">H107*I108</f>
        <v>480</v>
      </c>
      <c r="I108" s="125">
        <v>0.8</v>
      </c>
      <c r="J108" s="122">
        <f t="shared" si="16"/>
        <v>384000</v>
      </c>
      <c r="K108" s="35"/>
      <c r="L108" s="28"/>
      <c r="M108" s="35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ht="21.75" customHeight="1">
      <c r="A109" s="28"/>
      <c r="B109" s="112"/>
      <c r="C109" s="35"/>
      <c r="D109" s="51"/>
      <c r="E109" s="126"/>
      <c r="F109" s="28"/>
      <c r="G109" s="123">
        <f t="shared" si="17"/>
        <v>1600</v>
      </c>
      <c r="H109" s="124">
        <f t="shared" si="18"/>
        <v>384</v>
      </c>
      <c r="I109" s="125">
        <v>0.8</v>
      </c>
      <c r="J109" s="122">
        <f t="shared" si="16"/>
        <v>614400</v>
      </c>
      <c r="K109" s="35"/>
      <c r="L109" s="28"/>
      <c r="M109" s="35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ht="21.75" customHeight="1">
      <c r="A110" s="28"/>
      <c r="B110" s="112" t="s">
        <v>166</v>
      </c>
      <c r="C110" s="35" t="s">
        <v>145</v>
      </c>
      <c r="D110" s="51" t="s">
        <v>167</v>
      </c>
      <c r="E110" s="127">
        <f>SUM(E106:E108)</f>
        <v>600</v>
      </c>
      <c r="F110" s="45" t="s">
        <v>168</v>
      </c>
      <c r="G110" s="123">
        <f t="shared" si="17"/>
        <v>3200</v>
      </c>
      <c r="H110" s="124">
        <f t="shared" si="18"/>
        <v>307.2</v>
      </c>
      <c r="I110" s="125">
        <v>0.8</v>
      </c>
      <c r="J110" s="122">
        <f t="shared" si="16"/>
        <v>983040</v>
      </c>
      <c r="K110" s="35"/>
      <c r="L110" s="28"/>
      <c r="M110" s="35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ht="21.75" customHeight="1">
      <c r="A111" s="28"/>
      <c r="B111" s="28"/>
      <c r="C111" s="128"/>
      <c r="D111" s="28"/>
      <c r="E111" s="28"/>
      <c r="F111" s="28"/>
      <c r="G111" s="123">
        <f t="shared" si="17"/>
        <v>6400</v>
      </c>
      <c r="H111" s="124">
        <f t="shared" si="18"/>
        <v>245.76</v>
      </c>
      <c r="I111" s="125">
        <v>0.8</v>
      </c>
      <c r="J111" s="122">
        <f t="shared" si="16"/>
        <v>1572864</v>
      </c>
      <c r="K111" s="35"/>
      <c r="L111" s="35"/>
      <c r="M111" s="35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ht="21.75" customHeight="1">
      <c r="A112" s="28"/>
      <c r="B112" s="34"/>
      <c r="C112" s="28"/>
      <c r="D112" s="28"/>
      <c r="E112" s="28"/>
      <c r="F112" s="28"/>
      <c r="G112" s="123">
        <f t="shared" si="17"/>
        <v>12800</v>
      </c>
      <c r="H112" s="124">
        <f t="shared" si="18"/>
        <v>196.608</v>
      </c>
      <c r="I112" s="125">
        <v>0.8</v>
      </c>
      <c r="J112" s="122">
        <f t="shared" si="16"/>
        <v>2516582.4</v>
      </c>
      <c r="K112" s="35"/>
      <c r="L112" s="35"/>
      <c r="M112" s="35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ht="21.75" customHeight="1">
      <c r="A113" s="28"/>
      <c r="G113" s="129">
        <f t="shared" si="17"/>
        <v>25600</v>
      </c>
      <c r="H113" s="130">
        <f t="shared" si="18"/>
        <v>157.2864</v>
      </c>
      <c r="I113" s="131">
        <v>0.8</v>
      </c>
      <c r="J113" s="122">
        <f t="shared" si="16"/>
        <v>4026531.84</v>
      </c>
      <c r="K113" s="28"/>
      <c r="L113" s="35"/>
      <c r="M113" s="35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ht="21.75" customHeight="1">
      <c r="A114" s="28"/>
      <c r="K114" s="28"/>
      <c r="L114" s="35"/>
      <c r="M114" s="35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ht="21.75" customHeight="1">
      <c r="A115" s="28"/>
      <c r="B115" s="132" t="s">
        <v>169</v>
      </c>
      <c r="C115" s="132" t="s">
        <v>170</v>
      </c>
      <c r="D115" s="132" t="s">
        <v>171</v>
      </c>
      <c r="E115" s="133" t="s">
        <v>172</v>
      </c>
      <c r="F115" s="133" t="s">
        <v>173</v>
      </c>
      <c r="G115" s="134" t="s">
        <v>174</v>
      </c>
      <c r="H115" s="134" t="s">
        <v>175</v>
      </c>
      <c r="I115" s="134" t="s">
        <v>176</v>
      </c>
      <c r="J115" s="133" t="s">
        <v>177</v>
      </c>
      <c r="K115" s="28"/>
      <c r="L115" s="35"/>
      <c r="M115" s="35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ht="21.75" customHeight="1">
      <c r="A116" s="28"/>
      <c r="B116" s="135" t="s">
        <v>178</v>
      </c>
      <c r="C116" s="136" t="s">
        <v>179</v>
      </c>
      <c r="D116" s="136" t="s">
        <v>180</v>
      </c>
      <c r="E116" s="137">
        <v>0.49</v>
      </c>
      <c r="F116" s="138">
        <f>200/1.21</f>
        <v>165.2892562</v>
      </c>
      <c r="G116" s="138">
        <v>80.0</v>
      </c>
      <c r="H116" s="139">
        <f t="shared" ref="H116:H118" si="19">F116-G116</f>
        <v>85.2892562</v>
      </c>
      <c r="I116" s="140">
        <f t="shared" ref="I116:I118" si="20">F116*E116</f>
        <v>80.99173554</v>
      </c>
      <c r="J116" s="141">
        <f t="shared" ref="J116:J118" si="21">H116*E116</f>
        <v>41.79173554</v>
      </c>
      <c r="K116" s="28"/>
      <c r="L116" s="35"/>
      <c r="M116" s="35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ht="21.75" customHeight="1">
      <c r="A117" s="28"/>
      <c r="B117" s="135" t="s">
        <v>178</v>
      </c>
      <c r="C117" s="136" t="s">
        <v>181</v>
      </c>
      <c r="D117" s="136" t="s">
        <v>180</v>
      </c>
      <c r="E117" s="137">
        <v>0.19</v>
      </c>
      <c r="F117" s="138">
        <f>400/1.21</f>
        <v>330.5785124</v>
      </c>
      <c r="G117" s="138">
        <v>150.0</v>
      </c>
      <c r="H117" s="139">
        <f t="shared" si="19"/>
        <v>180.5785124</v>
      </c>
      <c r="I117" s="140">
        <f t="shared" si="20"/>
        <v>62.80991736</v>
      </c>
      <c r="J117" s="141">
        <f t="shared" si="21"/>
        <v>34.30991736</v>
      </c>
      <c r="K117" s="28"/>
      <c r="L117" s="35"/>
      <c r="M117" s="35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ht="21.75" customHeight="1">
      <c r="A118" s="28"/>
      <c r="B118" s="135" t="s">
        <v>178</v>
      </c>
      <c r="C118" s="136" t="s">
        <v>182</v>
      </c>
      <c r="D118" s="136" t="s">
        <v>180</v>
      </c>
      <c r="E118" s="137">
        <v>0.79</v>
      </c>
      <c r="F118" s="138">
        <f>550/1.21</f>
        <v>454.5454545</v>
      </c>
      <c r="G118" s="138">
        <v>190.0</v>
      </c>
      <c r="H118" s="139">
        <f t="shared" si="19"/>
        <v>264.5454545</v>
      </c>
      <c r="I118" s="140">
        <f t="shared" si="20"/>
        <v>359.0909091</v>
      </c>
      <c r="J118" s="141">
        <f t="shared" si="21"/>
        <v>208.9909091</v>
      </c>
      <c r="K118" s="28"/>
      <c r="L118" s="35"/>
      <c r="M118" s="35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ht="21.75" customHeight="1">
      <c r="A119" s="28"/>
      <c r="B119" s="142" t="s">
        <v>183</v>
      </c>
      <c r="D119" s="143"/>
      <c r="E119" s="144"/>
      <c r="F119" s="122">
        <f>SUMPRODUCT(E116:E118,F116:F118)</f>
        <v>502.892562</v>
      </c>
      <c r="G119" s="122"/>
      <c r="H119" s="145"/>
      <c r="I119" s="145">
        <f t="shared" ref="I119:J119" si="22">sum(I116:I118)</f>
        <v>502.892562</v>
      </c>
      <c r="J119" s="145">
        <f t="shared" si="22"/>
        <v>285.092562</v>
      </c>
      <c r="K119" s="28"/>
      <c r="L119" s="35"/>
      <c r="M119" s="35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ht="21.75" customHeight="1">
      <c r="A120" s="28"/>
      <c r="B120" s="146"/>
      <c r="C120" s="146"/>
      <c r="D120" s="143"/>
      <c r="E120" s="144"/>
      <c r="F120" s="122"/>
      <c r="G120" s="122"/>
      <c r="H120" s="145"/>
      <c r="I120" s="145"/>
      <c r="J120" s="145"/>
      <c r="K120" s="28"/>
      <c r="L120" s="35"/>
      <c r="M120" s="35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ht="21.75" customHeight="1">
      <c r="A121" s="35"/>
      <c r="B121" s="147" t="s">
        <v>184</v>
      </c>
      <c r="C121" s="147" t="s">
        <v>185</v>
      </c>
      <c r="D121" s="147" t="s">
        <v>186</v>
      </c>
      <c r="E121" s="137">
        <v>0.34</v>
      </c>
      <c r="F121" s="138">
        <v>60.0</v>
      </c>
      <c r="G121" s="138">
        <v>30.0</v>
      </c>
      <c r="H121" s="148">
        <f t="shared" ref="H121:H122" si="23">F121-G121</f>
        <v>30</v>
      </c>
      <c r="I121" s="141">
        <f t="shared" ref="I121:I122" si="24">F121*E121</f>
        <v>20.4</v>
      </c>
      <c r="J121" s="141">
        <f t="shared" ref="J121:J122" si="25">H121*E121</f>
        <v>10.2</v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ht="21.75" customHeight="1">
      <c r="A122" s="28"/>
      <c r="B122" s="136" t="s">
        <v>184</v>
      </c>
      <c r="C122" s="136" t="s">
        <v>187</v>
      </c>
      <c r="D122" s="136" t="s">
        <v>186</v>
      </c>
      <c r="E122" s="137">
        <v>0.54</v>
      </c>
      <c r="F122" s="138">
        <v>90.0</v>
      </c>
      <c r="G122" s="138">
        <v>40.0</v>
      </c>
      <c r="H122" s="139">
        <f t="shared" si="23"/>
        <v>50</v>
      </c>
      <c r="I122" s="140">
        <f t="shared" si="24"/>
        <v>48.6</v>
      </c>
      <c r="J122" s="141">
        <f t="shared" si="25"/>
        <v>27</v>
      </c>
      <c r="K122" s="28"/>
      <c r="L122" s="35"/>
      <c r="M122" s="35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ht="21.75" customHeight="1">
      <c r="A123" s="28"/>
      <c r="B123" s="149" t="s">
        <v>188</v>
      </c>
      <c r="C123" s="143"/>
      <c r="D123" s="143"/>
      <c r="E123" s="143"/>
      <c r="F123" s="150"/>
      <c r="G123" s="150"/>
      <c r="H123" s="150"/>
      <c r="I123" s="141"/>
      <c r="J123" s="141"/>
      <c r="K123" s="28"/>
      <c r="L123" s="35"/>
      <c r="M123" s="35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ht="21.75" customHeight="1">
      <c r="A124" s="28"/>
      <c r="B124" s="135" t="s">
        <v>189</v>
      </c>
      <c r="C124" s="136" t="s">
        <v>190</v>
      </c>
      <c r="D124" s="136" t="s">
        <v>180</v>
      </c>
      <c r="E124" s="137"/>
      <c r="F124" s="138">
        <v>685.0</v>
      </c>
      <c r="G124" s="138">
        <v>300.0</v>
      </c>
      <c r="H124" s="139">
        <f>F124-G124</f>
        <v>385</v>
      </c>
      <c r="I124" s="140">
        <f>F124*E124</f>
        <v>0</v>
      </c>
      <c r="J124" s="141">
        <f>H124*E124</f>
        <v>0</v>
      </c>
      <c r="K124" s="28"/>
      <c r="L124" s="35"/>
      <c r="M124" s="35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ht="15.75" customHeight="1">
      <c r="B125" s="142" t="s">
        <v>191</v>
      </c>
      <c r="H125" s="145">
        <f t="shared" ref="H125:J125" si="26">H124</f>
        <v>385</v>
      </c>
      <c r="I125" s="145">
        <f t="shared" si="26"/>
        <v>0</v>
      </c>
      <c r="J125" s="145">
        <f t="shared" si="26"/>
        <v>0</v>
      </c>
    </row>
    <row r="126" ht="15.75" customHeight="1"/>
    <row r="127" ht="21.75" customHeight="1">
      <c r="A127" s="28"/>
      <c r="D127" s="143"/>
      <c r="E127" s="143"/>
      <c r="F127" s="151"/>
      <c r="G127" s="151"/>
      <c r="K127" s="28"/>
      <c r="L127" s="35"/>
      <c r="M127" s="35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ht="21.75" customHeight="1">
      <c r="A128" s="28"/>
      <c r="B128" s="135" t="s">
        <v>192</v>
      </c>
      <c r="C128" s="136" t="s">
        <v>185</v>
      </c>
      <c r="D128" s="136" t="s">
        <v>186</v>
      </c>
      <c r="E128" s="137">
        <v>0.34</v>
      </c>
      <c r="F128" s="138">
        <v>60.0</v>
      </c>
      <c r="G128" s="138">
        <v>30.0</v>
      </c>
      <c r="H128" s="139">
        <f t="shared" ref="H128:H129" si="27">F128-G128</f>
        <v>30</v>
      </c>
      <c r="I128" s="140">
        <f t="shared" ref="I128:I129" si="28">F128*E128</f>
        <v>20.4</v>
      </c>
      <c r="J128" s="141">
        <f t="shared" ref="J128:J129" si="29">H128*E128</f>
        <v>10.2</v>
      </c>
      <c r="K128" s="28"/>
      <c r="L128" s="35"/>
      <c r="M128" s="35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ht="21.75" customHeight="1">
      <c r="A129" s="28"/>
      <c r="B129" s="135" t="s">
        <v>192</v>
      </c>
      <c r="C129" s="136" t="s">
        <v>187</v>
      </c>
      <c r="D129" s="136" t="s">
        <v>186</v>
      </c>
      <c r="E129" s="137">
        <v>0.54</v>
      </c>
      <c r="F129" s="138">
        <v>90.0</v>
      </c>
      <c r="G129" s="138">
        <v>40.0</v>
      </c>
      <c r="H129" s="139">
        <f t="shared" si="27"/>
        <v>50</v>
      </c>
      <c r="I129" s="140">
        <f t="shared" si="28"/>
        <v>48.6</v>
      </c>
      <c r="J129" s="141">
        <f t="shared" si="29"/>
        <v>27</v>
      </c>
      <c r="K129" s="28"/>
      <c r="L129" s="35"/>
      <c r="M129" s="35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ht="21.75" customHeight="1">
      <c r="A130" s="28"/>
      <c r="B130" s="34"/>
      <c r="C130" s="28"/>
      <c r="D130" s="28"/>
      <c r="E130" s="28"/>
      <c r="F130" s="28"/>
      <c r="G130" s="28"/>
      <c r="H130" s="35"/>
      <c r="I130" s="35"/>
      <c r="J130" s="35"/>
      <c r="K130" s="35"/>
      <c r="L130" s="35"/>
      <c r="M130" s="35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ht="21.75" customHeight="1">
      <c r="A131" s="28"/>
      <c r="B131" s="34"/>
      <c r="C131" s="28"/>
      <c r="D131" s="28"/>
      <c r="E131" s="28"/>
      <c r="F131" s="28"/>
      <c r="G131" s="28"/>
      <c r="H131" s="35"/>
      <c r="I131" s="35"/>
      <c r="J131" s="35"/>
      <c r="K131" s="35"/>
      <c r="L131" s="35"/>
      <c r="M131" s="35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ht="21.75" customHeight="1">
      <c r="A132" s="28"/>
      <c r="B132" s="34"/>
      <c r="C132" s="28"/>
      <c r="D132" s="28"/>
      <c r="E132" s="28"/>
      <c r="F132" s="28"/>
      <c r="G132" s="28"/>
      <c r="H132" s="35"/>
      <c r="I132" s="35"/>
      <c r="J132" s="35"/>
      <c r="K132" s="35"/>
      <c r="L132" s="35"/>
      <c r="M132" s="35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ht="21.75" customHeight="1">
      <c r="A133" s="28"/>
      <c r="B133" s="34"/>
      <c r="C133" s="28"/>
      <c r="D133" s="28"/>
      <c r="E133" s="28"/>
      <c r="F133" s="28"/>
      <c r="G133" s="28"/>
      <c r="H133" s="35"/>
      <c r="I133" s="35"/>
      <c r="J133" s="35"/>
      <c r="K133" s="35"/>
      <c r="L133" s="35"/>
      <c r="M133" s="35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ht="21.75" customHeight="1">
      <c r="A134" s="28"/>
      <c r="B134" s="34"/>
      <c r="C134" s="28"/>
      <c r="D134" s="28"/>
      <c r="E134" s="28"/>
      <c r="F134" s="28"/>
      <c r="G134" s="28"/>
      <c r="H134" s="35"/>
      <c r="I134" s="35"/>
      <c r="J134" s="35"/>
      <c r="K134" s="35"/>
      <c r="L134" s="35"/>
      <c r="M134" s="35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ht="21.75" customHeight="1">
      <c r="A135" s="28"/>
      <c r="B135" s="34"/>
      <c r="C135" s="28"/>
      <c r="D135" s="28"/>
      <c r="E135" s="28"/>
      <c r="F135" s="28"/>
      <c r="G135" s="28"/>
      <c r="H135" s="35"/>
      <c r="I135" s="35"/>
      <c r="J135" s="35"/>
      <c r="K135" s="35"/>
      <c r="L135" s="35"/>
      <c r="M135" s="35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ht="21.75" customHeight="1">
      <c r="A136" s="28"/>
      <c r="B136" s="34"/>
      <c r="C136" s="28"/>
      <c r="D136" s="28"/>
      <c r="E136" s="28"/>
      <c r="F136" s="28"/>
      <c r="G136" s="28"/>
      <c r="H136" s="35"/>
      <c r="I136" s="35"/>
      <c r="J136" s="35"/>
      <c r="K136" s="35"/>
      <c r="L136" s="35"/>
      <c r="M136" s="35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ht="21.75" customHeight="1">
      <c r="A137" s="28"/>
      <c r="B137" s="34"/>
      <c r="C137" s="28"/>
      <c r="D137" s="28"/>
      <c r="E137" s="28"/>
      <c r="F137" s="28"/>
      <c r="G137" s="28"/>
      <c r="H137" s="35"/>
      <c r="I137" s="35"/>
      <c r="J137" s="35"/>
      <c r="K137" s="35"/>
      <c r="L137" s="35"/>
      <c r="M137" s="35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ht="21.75" customHeight="1">
      <c r="A138" s="28"/>
      <c r="B138" s="34"/>
      <c r="C138" s="28"/>
      <c r="D138" s="28"/>
      <c r="E138" s="28"/>
      <c r="F138" s="28"/>
      <c r="G138" s="28"/>
      <c r="H138" s="35"/>
      <c r="I138" s="35"/>
      <c r="J138" s="35"/>
      <c r="K138" s="35"/>
      <c r="L138" s="35"/>
      <c r="M138" s="35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ht="21.75" customHeight="1">
      <c r="A139" s="28"/>
      <c r="B139" s="34"/>
      <c r="C139" s="28"/>
      <c r="D139" s="28"/>
      <c r="E139" s="28"/>
      <c r="F139" s="28"/>
      <c r="G139" s="28"/>
      <c r="H139" s="35"/>
      <c r="I139" s="35"/>
      <c r="J139" s="35"/>
      <c r="K139" s="35"/>
      <c r="L139" s="35"/>
      <c r="M139" s="35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ht="21.75" customHeight="1">
      <c r="A140" s="28"/>
      <c r="B140" s="34"/>
      <c r="C140" s="28"/>
      <c r="D140" s="28"/>
      <c r="E140" s="28"/>
      <c r="F140" s="28"/>
      <c r="G140" s="28"/>
      <c r="H140" s="35"/>
      <c r="I140" s="35"/>
      <c r="J140" s="35"/>
      <c r="K140" s="35"/>
      <c r="L140" s="35"/>
      <c r="M140" s="35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ht="21.75" customHeight="1">
      <c r="A141" s="28"/>
      <c r="B141" s="34"/>
      <c r="C141" s="28"/>
      <c r="D141" s="28"/>
      <c r="E141" s="28"/>
      <c r="F141" s="28"/>
      <c r="G141" s="28"/>
      <c r="H141" s="35"/>
      <c r="I141" s="35"/>
      <c r="J141" s="35"/>
      <c r="K141" s="35"/>
      <c r="L141" s="35"/>
      <c r="M141" s="35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ht="21.75" customHeight="1">
      <c r="A142" s="28"/>
      <c r="B142" s="34"/>
      <c r="C142" s="28"/>
      <c r="D142" s="28"/>
      <c r="E142" s="28"/>
      <c r="F142" s="28"/>
      <c r="G142" s="28"/>
      <c r="H142" s="35"/>
      <c r="I142" s="35"/>
      <c r="J142" s="35"/>
      <c r="K142" s="35"/>
      <c r="L142" s="35"/>
      <c r="M142" s="35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ht="21.75" customHeight="1">
      <c r="A143" s="28"/>
      <c r="B143" s="34"/>
      <c r="C143" s="28"/>
      <c r="D143" s="28"/>
      <c r="E143" s="28"/>
      <c r="F143" s="28"/>
      <c r="G143" s="28"/>
      <c r="H143" s="35"/>
      <c r="I143" s="35"/>
      <c r="J143" s="35"/>
      <c r="K143" s="35"/>
      <c r="L143" s="35"/>
      <c r="M143" s="35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ht="21.75" customHeight="1">
      <c r="A144" s="28"/>
      <c r="B144" s="34"/>
      <c r="C144" s="28"/>
      <c r="D144" s="28"/>
      <c r="E144" s="28"/>
      <c r="F144" s="28"/>
      <c r="G144" s="28"/>
      <c r="H144" s="35"/>
      <c r="I144" s="35"/>
      <c r="J144" s="35"/>
      <c r="K144" s="35"/>
      <c r="L144" s="35"/>
      <c r="M144" s="35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ht="21.75" customHeight="1">
      <c r="A145" s="28"/>
      <c r="B145" s="34"/>
      <c r="C145" s="28"/>
      <c r="D145" s="28"/>
      <c r="E145" s="28"/>
      <c r="F145" s="28"/>
      <c r="G145" s="28"/>
      <c r="H145" s="35"/>
      <c r="I145" s="35"/>
      <c r="J145" s="35"/>
      <c r="K145" s="35"/>
      <c r="L145" s="35"/>
      <c r="M145" s="35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ht="21.75" customHeight="1">
      <c r="A146" s="28"/>
      <c r="B146" s="34"/>
      <c r="C146" s="28"/>
      <c r="D146" s="28"/>
      <c r="E146" s="28"/>
      <c r="F146" s="28"/>
      <c r="G146" s="28"/>
      <c r="H146" s="35"/>
      <c r="I146" s="35"/>
      <c r="J146" s="35"/>
      <c r="K146" s="35"/>
      <c r="L146" s="35"/>
      <c r="M146" s="35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ht="21.75" customHeight="1">
      <c r="A147" s="28"/>
      <c r="B147" s="34"/>
      <c r="C147" s="28"/>
      <c r="D147" s="28"/>
      <c r="E147" s="28"/>
      <c r="F147" s="28"/>
      <c r="G147" s="28"/>
      <c r="H147" s="35"/>
      <c r="I147" s="35"/>
      <c r="J147" s="35"/>
      <c r="K147" s="35"/>
      <c r="L147" s="35"/>
      <c r="M147" s="35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ht="21.75" customHeight="1">
      <c r="A148" s="28"/>
      <c r="B148" s="34"/>
      <c r="C148" s="28"/>
      <c r="D148" s="28"/>
      <c r="E148" s="28"/>
      <c r="F148" s="28"/>
      <c r="G148" s="28"/>
      <c r="H148" s="35"/>
      <c r="I148" s="35"/>
      <c r="J148" s="35"/>
      <c r="K148" s="35"/>
      <c r="L148" s="35"/>
      <c r="M148" s="35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ht="21.75" customHeight="1">
      <c r="A149" s="28"/>
      <c r="B149" s="34"/>
      <c r="C149" s="28"/>
      <c r="D149" s="28"/>
      <c r="E149" s="28"/>
      <c r="F149" s="28"/>
      <c r="G149" s="28"/>
      <c r="H149" s="35"/>
      <c r="I149" s="35"/>
      <c r="J149" s="35"/>
      <c r="K149" s="35"/>
      <c r="L149" s="35"/>
      <c r="M149" s="35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ht="21.75" customHeight="1">
      <c r="A150" s="28"/>
      <c r="B150" s="34"/>
      <c r="C150" s="28"/>
      <c r="D150" s="28"/>
      <c r="E150" s="28"/>
      <c r="F150" s="28"/>
      <c r="G150" s="28"/>
      <c r="H150" s="35"/>
      <c r="I150" s="35"/>
      <c r="J150" s="35"/>
      <c r="K150" s="35"/>
      <c r="L150" s="35"/>
      <c r="M150" s="35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ht="21.75" customHeight="1">
      <c r="A151" s="28"/>
      <c r="B151" s="34"/>
      <c r="C151" s="28"/>
      <c r="D151" s="28"/>
      <c r="E151" s="28"/>
      <c r="F151" s="28"/>
      <c r="G151" s="28"/>
      <c r="H151" s="35"/>
      <c r="I151" s="35"/>
      <c r="J151" s="35"/>
      <c r="K151" s="35"/>
      <c r="L151" s="35"/>
      <c r="M151" s="35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ht="21.75" customHeight="1">
      <c r="A152" s="28"/>
      <c r="B152" s="34"/>
      <c r="C152" s="28"/>
      <c r="D152" s="28"/>
      <c r="E152" s="28"/>
      <c r="F152" s="28"/>
      <c r="G152" s="28"/>
      <c r="H152" s="35"/>
      <c r="I152" s="35"/>
      <c r="J152" s="35"/>
      <c r="K152" s="35"/>
      <c r="L152" s="35"/>
      <c r="M152" s="35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ht="21.75" customHeight="1">
      <c r="A153" s="28"/>
      <c r="B153" s="34"/>
      <c r="C153" s="28"/>
      <c r="D153" s="28"/>
      <c r="E153" s="28"/>
      <c r="F153" s="28"/>
      <c r="G153" s="28"/>
      <c r="H153" s="35"/>
      <c r="I153" s="35"/>
      <c r="J153" s="35"/>
      <c r="K153" s="35"/>
      <c r="L153" s="35"/>
      <c r="M153" s="35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ht="21.75" customHeight="1">
      <c r="A154" s="28"/>
      <c r="B154" s="34"/>
      <c r="C154" s="28"/>
      <c r="D154" s="28"/>
      <c r="E154" s="28"/>
      <c r="F154" s="28"/>
      <c r="G154" s="28"/>
      <c r="H154" s="35"/>
      <c r="I154" s="35"/>
      <c r="J154" s="35"/>
      <c r="K154" s="35"/>
      <c r="L154" s="35"/>
      <c r="M154" s="35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ht="21.75" customHeight="1">
      <c r="A155" s="28"/>
      <c r="B155" s="34"/>
      <c r="C155" s="28"/>
      <c r="D155" s="28"/>
      <c r="E155" s="28"/>
      <c r="F155" s="28"/>
      <c r="G155" s="28"/>
      <c r="H155" s="35"/>
      <c r="I155" s="35"/>
      <c r="J155" s="35"/>
      <c r="K155" s="35"/>
      <c r="L155" s="35"/>
      <c r="M155" s="35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ht="21.75" customHeight="1">
      <c r="A156" s="28"/>
      <c r="B156" s="34"/>
      <c r="C156" s="28"/>
      <c r="D156" s="28"/>
      <c r="E156" s="28"/>
      <c r="F156" s="28"/>
      <c r="G156" s="28"/>
      <c r="H156" s="35"/>
      <c r="I156" s="35"/>
      <c r="J156" s="35"/>
      <c r="K156" s="35"/>
      <c r="L156" s="35"/>
      <c r="M156" s="35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ht="21.75" customHeight="1">
      <c r="A157" s="28"/>
      <c r="B157" s="34"/>
      <c r="C157" s="28"/>
      <c r="D157" s="28"/>
      <c r="E157" s="28"/>
      <c r="F157" s="28"/>
      <c r="G157" s="28"/>
      <c r="H157" s="35"/>
      <c r="I157" s="35"/>
      <c r="J157" s="35"/>
      <c r="K157" s="35"/>
      <c r="L157" s="35"/>
      <c r="M157" s="35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ht="21.75" customHeight="1">
      <c r="A158" s="28"/>
      <c r="B158" s="34"/>
      <c r="C158" s="28"/>
      <c r="D158" s="28"/>
      <c r="E158" s="28"/>
      <c r="F158" s="28"/>
      <c r="G158" s="28"/>
      <c r="H158" s="35"/>
      <c r="I158" s="35"/>
      <c r="J158" s="35"/>
      <c r="K158" s="35"/>
      <c r="L158" s="35"/>
      <c r="M158" s="35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ht="21.75" customHeight="1">
      <c r="A159" s="28"/>
      <c r="B159" s="34"/>
      <c r="C159" s="28"/>
      <c r="D159" s="28"/>
      <c r="E159" s="28"/>
      <c r="F159" s="28"/>
      <c r="G159" s="28"/>
      <c r="H159" s="35"/>
      <c r="I159" s="35"/>
      <c r="J159" s="35"/>
      <c r="K159" s="35"/>
      <c r="L159" s="35"/>
      <c r="M159" s="35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ht="21.75" customHeight="1">
      <c r="A160" s="28"/>
      <c r="B160" s="34"/>
      <c r="C160" s="28"/>
      <c r="D160" s="28"/>
      <c r="E160" s="28"/>
      <c r="F160" s="28"/>
      <c r="G160" s="28"/>
      <c r="H160" s="35"/>
      <c r="I160" s="35"/>
      <c r="J160" s="35"/>
      <c r="K160" s="35"/>
      <c r="L160" s="35"/>
      <c r="M160" s="35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ht="21.75" customHeight="1">
      <c r="A161" s="28"/>
      <c r="B161" s="34"/>
      <c r="C161" s="28"/>
      <c r="D161" s="28"/>
      <c r="E161" s="28"/>
      <c r="F161" s="28"/>
      <c r="G161" s="28"/>
      <c r="H161" s="35"/>
      <c r="I161" s="35"/>
      <c r="J161" s="35"/>
      <c r="K161" s="35"/>
      <c r="L161" s="35"/>
      <c r="M161" s="35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ht="21.75" customHeight="1">
      <c r="A162" s="28"/>
      <c r="B162" s="34"/>
      <c r="C162" s="28"/>
      <c r="D162" s="28"/>
      <c r="E162" s="28"/>
      <c r="F162" s="28"/>
      <c r="G162" s="28"/>
      <c r="H162" s="35"/>
      <c r="I162" s="35"/>
      <c r="J162" s="35"/>
      <c r="K162" s="35"/>
      <c r="L162" s="35"/>
      <c r="M162" s="35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ht="21.75" customHeight="1">
      <c r="A163" s="28"/>
      <c r="B163" s="34"/>
      <c r="C163" s="28"/>
      <c r="D163" s="28"/>
      <c r="E163" s="28"/>
      <c r="F163" s="28"/>
      <c r="G163" s="28"/>
      <c r="H163" s="35"/>
      <c r="I163" s="35"/>
      <c r="J163" s="35"/>
      <c r="K163" s="35"/>
      <c r="L163" s="35"/>
      <c r="M163" s="35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ht="21.75" customHeight="1">
      <c r="A164" s="28"/>
      <c r="B164" s="34"/>
      <c r="C164" s="28"/>
      <c r="D164" s="28"/>
      <c r="E164" s="28"/>
      <c r="F164" s="28"/>
      <c r="G164" s="28"/>
      <c r="H164" s="35"/>
      <c r="I164" s="35"/>
      <c r="J164" s="35"/>
      <c r="K164" s="35"/>
      <c r="L164" s="35"/>
      <c r="M164" s="35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ht="21.75" customHeight="1">
      <c r="A165" s="28"/>
      <c r="B165" s="34"/>
      <c r="C165" s="28"/>
      <c r="D165" s="28"/>
      <c r="E165" s="28"/>
      <c r="F165" s="28"/>
      <c r="G165" s="28"/>
      <c r="H165" s="35"/>
      <c r="I165" s="35"/>
      <c r="J165" s="35"/>
      <c r="K165" s="35"/>
      <c r="L165" s="35"/>
      <c r="M165" s="35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ht="21.75" customHeight="1">
      <c r="A166" s="28"/>
      <c r="B166" s="34"/>
      <c r="C166" s="28"/>
      <c r="D166" s="28"/>
      <c r="E166" s="28"/>
      <c r="F166" s="28"/>
      <c r="G166" s="28"/>
      <c r="H166" s="35"/>
      <c r="I166" s="35"/>
      <c r="J166" s="35"/>
      <c r="K166" s="35"/>
      <c r="L166" s="35"/>
      <c r="M166" s="35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ht="21.75" customHeight="1">
      <c r="A167" s="28"/>
      <c r="B167" s="34"/>
      <c r="C167" s="28"/>
      <c r="D167" s="28"/>
      <c r="E167" s="28"/>
      <c r="F167" s="28"/>
      <c r="G167" s="28"/>
      <c r="H167" s="35"/>
      <c r="I167" s="35"/>
      <c r="J167" s="35"/>
      <c r="K167" s="35"/>
      <c r="L167" s="35"/>
      <c r="M167" s="35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ht="21.75" customHeight="1">
      <c r="A168" s="28"/>
      <c r="B168" s="34"/>
      <c r="C168" s="28"/>
      <c r="D168" s="28"/>
      <c r="E168" s="28"/>
      <c r="F168" s="28"/>
      <c r="G168" s="28"/>
      <c r="H168" s="35"/>
      <c r="I168" s="35"/>
      <c r="J168" s="35"/>
      <c r="K168" s="35"/>
      <c r="L168" s="35"/>
      <c r="M168" s="35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ht="21.75" customHeight="1">
      <c r="A169" s="28"/>
      <c r="B169" s="34"/>
      <c r="C169" s="28"/>
      <c r="D169" s="28"/>
      <c r="E169" s="28"/>
      <c r="F169" s="28"/>
      <c r="G169" s="28"/>
      <c r="H169" s="35"/>
      <c r="I169" s="35"/>
      <c r="J169" s="35"/>
      <c r="K169" s="35"/>
      <c r="L169" s="35"/>
      <c r="M169" s="35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ht="21.75" customHeight="1">
      <c r="A170" s="28"/>
      <c r="B170" s="34"/>
      <c r="C170" s="28"/>
      <c r="D170" s="28"/>
      <c r="E170" s="28"/>
      <c r="F170" s="28"/>
      <c r="G170" s="28"/>
      <c r="H170" s="35"/>
      <c r="I170" s="35"/>
      <c r="J170" s="35"/>
      <c r="K170" s="35"/>
      <c r="L170" s="35"/>
      <c r="M170" s="35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ht="21.75" customHeight="1">
      <c r="A171" s="28"/>
      <c r="B171" s="34"/>
      <c r="C171" s="28"/>
      <c r="D171" s="28"/>
      <c r="E171" s="28"/>
      <c r="F171" s="28"/>
      <c r="G171" s="28"/>
      <c r="H171" s="35"/>
      <c r="I171" s="35"/>
      <c r="J171" s="35"/>
      <c r="K171" s="35"/>
      <c r="L171" s="35"/>
      <c r="M171" s="35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ht="21.75" customHeight="1">
      <c r="A172" s="28"/>
      <c r="B172" s="34"/>
      <c r="C172" s="28"/>
      <c r="D172" s="28"/>
      <c r="E172" s="28"/>
      <c r="F172" s="28"/>
      <c r="G172" s="28"/>
      <c r="H172" s="35"/>
      <c r="I172" s="35"/>
      <c r="J172" s="35"/>
      <c r="K172" s="35"/>
      <c r="L172" s="35"/>
      <c r="M172" s="35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ht="21.75" customHeight="1">
      <c r="A173" s="28"/>
      <c r="B173" s="34"/>
      <c r="C173" s="28"/>
      <c r="D173" s="28"/>
      <c r="E173" s="28"/>
      <c r="F173" s="28"/>
      <c r="G173" s="28"/>
      <c r="H173" s="35"/>
      <c r="I173" s="35"/>
      <c r="J173" s="35"/>
      <c r="K173" s="35"/>
      <c r="L173" s="35"/>
      <c r="M173" s="35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35"/>
      <c r="I174" s="35"/>
      <c r="J174" s="35"/>
      <c r="K174" s="35"/>
      <c r="L174" s="35"/>
      <c r="M174" s="35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35"/>
      <c r="I175" s="35"/>
      <c r="J175" s="35"/>
      <c r="K175" s="35"/>
      <c r="L175" s="35"/>
      <c r="M175" s="35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35"/>
      <c r="I176" s="35"/>
      <c r="J176" s="35"/>
      <c r="K176" s="35"/>
      <c r="L176" s="35"/>
      <c r="M176" s="35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35"/>
      <c r="I177" s="35"/>
      <c r="J177" s="35"/>
      <c r="K177" s="35"/>
      <c r="L177" s="35"/>
      <c r="M177" s="35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35"/>
      <c r="I178" s="35"/>
      <c r="J178" s="35"/>
      <c r="K178" s="35"/>
      <c r="L178" s="35"/>
      <c r="M178" s="35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35"/>
      <c r="I179" s="35"/>
      <c r="J179" s="35"/>
      <c r="K179" s="35"/>
      <c r="L179" s="35"/>
      <c r="M179" s="35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35"/>
      <c r="I180" s="35"/>
      <c r="J180" s="35"/>
      <c r="K180" s="35"/>
      <c r="L180" s="35"/>
      <c r="M180" s="35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35"/>
      <c r="I181" s="35"/>
      <c r="J181" s="35"/>
      <c r="K181" s="35"/>
      <c r="L181" s="35"/>
      <c r="M181" s="35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35"/>
      <c r="I182" s="35"/>
      <c r="J182" s="35"/>
      <c r="K182" s="35"/>
      <c r="L182" s="35"/>
      <c r="M182" s="35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35"/>
      <c r="I183" s="35"/>
      <c r="J183" s="35"/>
      <c r="K183" s="35"/>
      <c r="L183" s="35"/>
      <c r="M183" s="35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35"/>
      <c r="I184" s="35"/>
      <c r="J184" s="35"/>
      <c r="K184" s="35"/>
      <c r="L184" s="35"/>
      <c r="M184" s="35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35"/>
      <c r="I185" s="35"/>
      <c r="J185" s="35"/>
      <c r="K185" s="35"/>
      <c r="L185" s="35"/>
      <c r="M185" s="35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35"/>
      <c r="I186" s="35"/>
      <c r="J186" s="35"/>
      <c r="K186" s="35"/>
      <c r="L186" s="35"/>
      <c r="M186" s="35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35"/>
      <c r="I187" s="35"/>
      <c r="J187" s="35"/>
      <c r="K187" s="35"/>
      <c r="L187" s="35"/>
      <c r="M187" s="35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35"/>
      <c r="I188" s="35"/>
      <c r="J188" s="35"/>
      <c r="K188" s="35"/>
      <c r="L188" s="35"/>
      <c r="M188" s="35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35"/>
      <c r="I189" s="35"/>
      <c r="J189" s="35"/>
      <c r="K189" s="35"/>
      <c r="L189" s="35"/>
      <c r="M189" s="35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35"/>
      <c r="I190" s="35"/>
      <c r="J190" s="35"/>
      <c r="K190" s="35"/>
      <c r="L190" s="35"/>
      <c r="M190" s="35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35"/>
      <c r="I191" s="35"/>
      <c r="J191" s="35"/>
      <c r="K191" s="35"/>
      <c r="L191" s="35"/>
      <c r="M191" s="35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35"/>
      <c r="I192" s="35"/>
      <c r="J192" s="35"/>
      <c r="K192" s="35"/>
      <c r="L192" s="35"/>
      <c r="M192" s="35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35"/>
      <c r="I193" s="35"/>
      <c r="J193" s="35"/>
      <c r="K193" s="35"/>
      <c r="L193" s="35"/>
      <c r="M193" s="35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35"/>
      <c r="I194" s="35"/>
      <c r="J194" s="35"/>
      <c r="K194" s="35"/>
      <c r="L194" s="35"/>
      <c r="M194" s="35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35"/>
      <c r="I195" s="35"/>
      <c r="J195" s="35"/>
      <c r="K195" s="35"/>
      <c r="L195" s="35"/>
      <c r="M195" s="35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35"/>
      <c r="I196" s="35"/>
      <c r="J196" s="35"/>
      <c r="K196" s="35"/>
      <c r="L196" s="35"/>
      <c r="M196" s="35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35"/>
      <c r="I197" s="35"/>
      <c r="J197" s="35"/>
      <c r="K197" s="35"/>
      <c r="L197" s="35"/>
      <c r="M197" s="35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35"/>
      <c r="I198" s="35"/>
      <c r="J198" s="35"/>
      <c r="K198" s="35"/>
      <c r="L198" s="35"/>
      <c r="M198" s="35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35"/>
      <c r="I199" s="35"/>
      <c r="J199" s="35"/>
      <c r="K199" s="35"/>
      <c r="L199" s="35"/>
      <c r="M199" s="35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35"/>
      <c r="I200" s="35"/>
      <c r="J200" s="35"/>
      <c r="K200" s="35"/>
      <c r="L200" s="35"/>
      <c r="M200" s="35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35"/>
      <c r="I201" s="35"/>
      <c r="J201" s="35"/>
      <c r="K201" s="35"/>
      <c r="L201" s="35"/>
      <c r="M201" s="35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35"/>
      <c r="I202" s="35"/>
      <c r="J202" s="35"/>
      <c r="K202" s="35"/>
      <c r="L202" s="35"/>
      <c r="M202" s="35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35"/>
      <c r="I203" s="35"/>
      <c r="J203" s="35"/>
      <c r="K203" s="35"/>
      <c r="L203" s="35"/>
      <c r="M203" s="35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35"/>
      <c r="I204" s="35"/>
      <c r="J204" s="35"/>
      <c r="K204" s="35"/>
      <c r="L204" s="35"/>
      <c r="M204" s="35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35"/>
      <c r="I205" s="35"/>
      <c r="J205" s="35"/>
      <c r="K205" s="35"/>
      <c r="L205" s="35"/>
      <c r="M205" s="35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35"/>
      <c r="I206" s="35"/>
      <c r="J206" s="35"/>
      <c r="K206" s="35"/>
      <c r="L206" s="35"/>
      <c r="M206" s="35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35"/>
      <c r="I207" s="35"/>
      <c r="J207" s="35"/>
      <c r="K207" s="35"/>
      <c r="L207" s="35"/>
      <c r="M207" s="35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35"/>
      <c r="I208" s="35"/>
      <c r="J208" s="35"/>
      <c r="K208" s="35"/>
      <c r="L208" s="35"/>
      <c r="M208" s="35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35"/>
      <c r="I209" s="35"/>
      <c r="J209" s="35"/>
      <c r="K209" s="35"/>
      <c r="L209" s="35"/>
      <c r="M209" s="35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35"/>
      <c r="I210" s="35"/>
      <c r="J210" s="35"/>
      <c r="K210" s="35"/>
      <c r="L210" s="35"/>
      <c r="M210" s="35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35"/>
      <c r="I211" s="35"/>
      <c r="J211" s="35"/>
      <c r="K211" s="35"/>
      <c r="L211" s="35"/>
      <c r="M211" s="35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35"/>
      <c r="I212" s="35"/>
      <c r="J212" s="35"/>
      <c r="K212" s="35"/>
      <c r="L212" s="35"/>
      <c r="M212" s="35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35"/>
      <c r="I213" s="35"/>
      <c r="J213" s="35"/>
      <c r="K213" s="35"/>
      <c r="L213" s="35"/>
      <c r="M213" s="35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35"/>
      <c r="I214" s="35"/>
      <c r="J214" s="35"/>
      <c r="K214" s="35"/>
      <c r="L214" s="35"/>
      <c r="M214" s="35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35"/>
      <c r="I215" s="35"/>
      <c r="J215" s="35"/>
      <c r="K215" s="35"/>
      <c r="L215" s="35"/>
      <c r="M215" s="35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35"/>
      <c r="I216" s="35"/>
      <c r="J216" s="35"/>
      <c r="K216" s="35"/>
      <c r="L216" s="35"/>
      <c r="M216" s="35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35"/>
      <c r="I217" s="35"/>
      <c r="J217" s="35"/>
      <c r="K217" s="35"/>
      <c r="L217" s="35"/>
      <c r="M217" s="35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35"/>
      <c r="I218" s="35"/>
      <c r="J218" s="35"/>
      <c r="K218" s="35"/>
      <c r="L218" s="35"/>
      <c r="M218" s="35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35"/>
      <c r="I219" s="35"/>
      <c r="J219" s="35"/>
      <c r="K219" s="35"/>
      <c r="L219" s="35"/>
      <c r="M219" s="35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35"/>
      <c r="I220" s="35"/>
      <c r="J220" s="35"/>
      <c r="K220" s="35"/>
      <c r="L220" s="35"/>
      <c r="M220" s="35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35"/>
      <c r="I221" s="35"/>
      <c r="J221" s="35"/>
      <c r="K221" s="35"/>
      <c r="L221" s="35"/>
      <c r="M221" s="35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35"/>
      <c r="I222" s="35"/>
      <c r="J222" s="35"/>
      <c r="K222" s="35"/>
      <c r="L222" s="35"/>
      <c r="M222" s="35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35"/>
      <c r="I223" s="35"/>
      <c r="J223" s="35"/>
      <c r="K223" s="35"/>
      <c r="L223" s="35"/>
      <c r="M223" s="35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35"/>
      <c r="I224" s="35"/>
      <c r="J224" s="35"/>
      <c r="K224" s="35"/>
      <c r="L224" s="35"/>
      <c r="M224" s="35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35"/>
      <c r="I225" s="35"/>
      <c r="J225" s="35"/>
      <c r="K225" s="35"/>
      <c r="L225" s="35"/>
      <c r="M225" s="35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35"/>
      <c r="I226" s="35"/>
      <c r="J226" s="35"/>
      <c r="K226" s="35"/>
      <c r="L226" s="35"/>
      <c r="M226" s="35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35"/>
      <c r="I227" s="35"/>
      <c r="J227" s="35"/>
      <c r="K227" s="35"/>
      <c r="L227" s="35"/>
      <c r="M227" s="35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35"/>
      <c r="I228" s="35"/>
      <c r="J228" s="35"/>
      <c r="K228" s="35"/>
      <c r="L228" s="35"/>
      <c r="M228" s="35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35"/>
      <c r="I229" s="35"/>
      <c r="J229" s="35"/>
      <c r="K229" s="35"/>
      <c r="L229" s="35"/>
      <c r="M229" s="35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35"/>
      <c r="I230" s="35"/>
      <c r="J230" s="35"/>
      <c r="K230" s="35"/>
      <c r="L230" s="35"/>
      <c r="M230" s="35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35"/>
      <c r="I231" s="35"/>
      <c r="J231" s="35"/>
      <c r="K231" s="35"/>
      <c r="L231" s="35"/>
      <c r="M231" s="35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35"/>
      <c r="I232" s="35"/>
      <c r="J232" s="35"/>
      <c r="K232" s="35"/>
      <c r="L232" s="35"/>
      <c r="M232" s="35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35"/>
      <c r="I233" s="35"/>
      <c r="J233" s="35"/>
      <c r="K233" s="35"/>
      <c r="L233" s="35"/>
      <c r="M233" s="35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35"/>
      <c r="I234" s="35"/>
      <c r="J234" s="35"/>
      <c r="K234" s="35"/>
      <c r="L234" s="35"/>
      <c r="M234" s="35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35"/>
      <c r="I235" s="35"/>
      <c r="J235" s="35"/>
      <c r="K235" s="35"/>
      <c r="L235" s="35"/>
      <c r="M235" s="35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35"/>
      <c r="I236" s="35"/>
      <c r="J236" s="35"/>
      <c r="K236" s="35"/>
      <c r="L236" s="35"/>
      <c r="M236" s="35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35"/>
      <c r="I237" s="35"/>
      <c r="J237" s="35"/>
      <c r="K237" s="35"/>
      <c r="L237" s="35"/>
      <c r="M237" s="35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35"/>
      <c r="I238" s="35"/>
      <c r="J238" s="35"/>
      <c r="K238" s="35"/>
      <c r="L238" s="35"/>
      <c r="M238" s="35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35"/>
      <c r="I239" s="35"/>
      <c r="J239" s="35"/>
      <c r="K239" s="35"/>
      <c r="L239" s="35"/>
      <c r="M239" s="35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35"/>
      <c r="I240" s="35"/>
      <c r="J240" s="35"/>
      <c r="K240" s="35"/>
      <c r="L240" s="35"/>
      <c r="M240" s="35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35"/>
      <c r="I241" s="35"/>
      <c r="J241" s="35"/>
      <c r="K241" s="35"/>
      <c r="L241" s="35"/>
      <c r="M241" s="35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35"/>
      <c r="I242" s="35"/>
      <c r="J242" s="35"/>
      <c r="K242" s="35"/>
      <c r="L242" s="35"/>
      <c r="M242" s="35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35"/>
      <c r="I243" s="35"/>
      <c r="J243" s="35"/>
      <c r="K243" s="35"/>
      <c r="L243" s="35"/>
      <c r="M243" s="35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35"/>
      <c r="I244" s="35"/>
      <c r="J244" s="35"/>
      <c r="K244" s="35"/>
      <c r="L244" s="35"/>
      <c r="M244" s="35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35"/>
      <c r="I245" s="35"/>
      <c r="J245" s="35"/>
      <c r="K245" s="35"/>
      <c r="L245" s="35"/>
      <c r="M245" s="35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35"/>
      <c r="I246" s="35"/>
      <c r="J246" s="35"/>
      <c r="K246" s="35"/>
      <c r="L246" s="35"/>
      <c r="M246" s="35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35"/>
      <c r="I247" s="35"/>
      <c r="J247" s="35"/>
      <c r="K247" s="35"/>
      <c r="L247" s="35"/>
      <c r="M247" s="35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35"/>
      <c r="I248" s="35"/>
      <c r="J248" s="35"/>
      <c r="K248" s="35"/>
      <c r="L248" s="35"/>
      <c r="M248" s="35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35"/>
      <c r="I249" s="35"/>
      <c r="J249" s="35"/>
      <c r="K249" s="35"/>
      <c r="L249" s="35"/>
      <c r="M249" s="35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35"/>
      <c r="I250" s="35"/>
      <c r="J250" s="35"/>
      <c r="K250" s="35"/>
      <c r="L250" s="35"/>
      <c r="M250" s="35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35"/>
      <c r="I251" s="35"/>
      <c r="J251" s="35"/>
      <c r="K251" s="35"/>
      <c r="L251" s="35"/>
      <c r="M251" s="35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35"/>
      <c r="I252" s="35"/>
      <c r="J252" s="35"/>
      <c r="K252" s="35"/>
      <c r="L252" s="35"/>
      <c r="M252" s="35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35"/>
      <c r="I253" s="35"/>
      <c r="J253" s="35"/>
      <c r="K253" s="35"/>
      <c r="L253" s="35"/>
      <c r="M253" s="35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35"/>
      <c r="I254" s="35"/>
      <c r="J254" s="35"/>
      <c r="K254" s="35"/>
      <c r="L254" s="35"/>
      <c r="M254" s="35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35"/>
      <c r="I255" s="35"/>
      <c r="J255" s="35"/>
      <c r="K255" s="35"/>
      <c r="L255" s="35"/>
      <c r="M255" s="35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35"/>
      <c r="I256" s="35"/>
      <c r="J256" s="35"/>
      <c r="K256" s="35"/>
      <c r="L256" s="35"/>
      <c r="M256" s="35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35"/>
      <c r="I257" s="35"/>
      <c r="J257" s="35"/>
      <c r="K257" s="35"/>
      <c r="L257" s="35"/>
      <c r="M257" s="35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35"/>
      <c r="I258" s="35"/>
      <c r="J258" s="35"/>
      <c r="K258" s="35"/>
      <c r="L258" s="35"/>
      <c r="M258" s="35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35"/>
      <c r="I259" s="35"/>
      <c r="J259" s="35"/>
      <c r="K259" s="35"/>
      <c r="L259" s="35"/>
      <c r="M259" s="35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35"/>
      <c r="I260" s="35"/>
      <c r="J260" s="35"/>
      <c r="K260" s="35"/>
      <c r="L260" s="35"/>
      <c r="M260" s="35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35"/>
      <c r="I261" s="35"/>
      <c r="J261" s="35"/>
      <c r="K261" s="35"/>
      <c r="L261" s="35"/>
      <c r="M261" s="35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35"/>
      <c r="I262" s="35"/>
      <c r="J262" s="35"/>
      <c r="K262" s="35"/>
      <c r="L262" s="35"/>
      <c r="M262" s="35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35"/>
      <c r="I263" s="35"/>
      <c r="J263" s="35"/>
      <c r="K263" s="35"/>
      <c r="L263" s="35"/>
      <c r="M263" s="35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35"/>
      <c r="I264" s="35"/>
      <c r="J264" s="35"/>
      <c r="K264" s="35"/>
      <c r="L264" s="35"/>
      <c r="M264" s="35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35"/>
      <c r="I265" s="35"/>
      <c r="J265" s="35"/>
      <c r="K265" s="35"/>
      <c r="L265" s="35"/>
      <c r="M265" s="35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35"/>
      <c r="I266" s="35"/>
      <c r="J266" s="35"/>
      <c r="K266" s="35"/>
      <c r="L266" s="35"/>
      <c r="M266" s="35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35"/>
      <c r="I267" s="35"/>
      <c r="J267" s="35"/>
      <c r="K267" s="35"/>
      <c r="L267" s="35"/>
      <c r="M267" s="35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35"/>
      <c r="I268" s="35"/>
      <c r="J268" s="35"/>
      <c r="K268" s="35"/>
      <c r="L268" s="35"/>
      <c r="M268" s="35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35"/>
      <c r="I269" s="35"/>
      <c r="J269" s="35"/>
      <c r="K269" s="35"/>
      <c r="L269" s="35"/>
      <c r="M269" s="35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35"/>
      <c r="I270" s="35"/>
      <c r="J270" s="35"/>
      <c r="K270" s="35"/>
      <c r="L270" s="35"/>
      <c r="M270" s="35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35"/>
      <c r="I271" s="35"/>
      <c r="J271" s="35"/>
      <c r="K271" s="35"/>
      <c r="L271" s="35"/>
      <c r="M271" s="35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35"/>
      <c r="I272" s="35"/>
      <c r="J272" s="35"/>
      <c r="K272" s="35"/>
      <c r="L272" s="35"/>
      <c r="M272" s="35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35"/>
      <c r="I273" s="35"/>
      <c r="J273" s="35"/>
      <c r="K273" s="35"/>
      <c r="L273" s="35"/>
      <c r="M273" s="35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35"/>
      <c r="I274" s="35"/>
      <c r="J274" s="35"/>
      <c r="K274" s="35"/>
      <c r="L274" s="35"/>
      <c r="M274" s="35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35"/>
      <c r="I275" s="35"/>
      <c r="J275" s="35"/>
      <c r="K275" s="35"/>
      <c r="L275" s="35"/>
      <c r="M275" s="35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35"/>
      <c r="I276" s="35"/>
      <c r="J276" s="35"/>
      <c r="K276" s="35"/>
      <c r="L276" s="35"/>
      <c r="M276" s="35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35"/>
      <c r="I277" s="35"/>
      <c r="J277" s="35"/>
      <c r="K277" s="35"/>
      <c r="L277" s="35"/>
      <c r="M277" s="35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35"/>
      <c r="I278" s="35"/>
      <c r="J278" s="35"/>
      <c r="K278" s="35"/>
      <c r="L278" s="35"/>
      <c r="M278" s="35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35"/>
      <c r="I279" s="35"/>
      <c r="J279" s="35"/>
      <c r="K279" s="35"/>
      <c r="L279" s="35"/>
      <c r="M279" s="35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35"/>
      <c r="I280" s="35"/>
      <c r="J280" s="35"/>
      <c r="K280" s="35"/>
      <c r="L280" s="35"/>
      <c r="M280" s="35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35"/>
      <c r="I281" s="35"/>
      <c r="J281" s="35"/>
      <c r="K281" s="35"/>
      <c r="L281" s="35"/>
      <c r="M281" s="35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35"/>
      <c r="I282" s="35"/>
      <c r="J282" s="35"/>
      <c r="K282" s="35"/>
      <c r="L282" s="35"/>
      <c r="M282" s="35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35"/>
      <c r="I283" s="35"/>
      <c r="J283" s="35"/>
      <c r="K283" s="35"/>
      <c r="L283" s="35"/>
      <c r="M283" s="35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35"/>
      <c r="I284" s="35"/>
      <c r="J284" s="35"/>
      <c r="K284" s="35"/>
      <c r="L284" s="35"/>
      <c r="M284" s="35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35"/>
      <c r="I285" s="35"/>
      <c r="J285" s="35"/>
      <c r="K285" s="35"/>
      <c r="L285" s="35"/>
      <c r="M285" s="35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35"/>
      <c r="I286" s="35"/>
      <c r="J286" s="35"/>
      <c r="K286" s="35"/>
      <c r="L286" s="35"/>
      <c r="M286" s="35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35"/>
      <c r="I287" s="35"/>
      <c r="J287" s="35"/>
      <c r="K287" s="35"/>
      <c r="L287" s="35"/>
      <c r="M287" s="35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35"/>
      <c r="I288" s="35"/>
      <c r="J288" s="35"/>
      <c r="K288" s="35"/>
      <c r="L288" s="35"/>
      <c r="M288" s="35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35"/>
      <c r="I289" s="35"/>
      <c r="J289" s="35"/>
      <c r="K289" s="35"/>
      <c r="L289" s="35"/>
      <c r="M289" s="35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35"/>
      <c r="I290" s="35"/>
      <c r="J290" s="35"/>
      <c r="K290" s="35"/>
      <c r="L290" s="35"/>
      <c r="M290" s="35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35"/>
      <c r="I291" s="35"/>
      <c r="J291" s="35"/>
      <c r="K291" s="35"/>
      <c r="L291" s="35"/>
      <c r="M291" s="35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35"/>
      <c r="I292" s="35"/>
      <c r="J292" s="35"/>
      <c r="K292" s="35"/>
      <c r="L292" s="35"/>
      <c r="M292" s="35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35"/>
      <c r="I293" s="35"/>
      <c r="J293" s="35"/>
      <c r="K293" s="35"/>
      <c r="L293" s="35"/>
      <c r="M293" s="35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35"/>
      <c r="I294" s="35"/>
      <c r="J294" s="35"/>
      <c r="K294" s="35"/>
      <c r="L294" s="35"/>
      <c r="M294" s="35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35"/>
      <c r="I295" s="35"/>
      <c r="J295" s="35"/>
      <c r="K295" s="35"/>
      <c r="L295" s="35"/>
      <c r="M295" s="35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35"/>
      <c r="I296" s="35"/>
      <c r="J296" s="35"/>
      <c r="K296" s="35"/>
      <c r="L296" s="35"/>
      <c r="M296" s="35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35"/>
      <c r="I297" s="35"/>
      <c r="J297" s="35"/>
      <c r="K297" s="35"/>
      <c r="L297" s="35"/>
      <c r="M297" s="35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35"/>
      <c r="I298" s="35"/>
      <c r="J298" s="35"/>
      <c r="K298" s="35"/>
      <c r="L298" s="35"/>
      <c r="M298" s="35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35"/>
      <c r="I299" s="35"/>
      <c r="J299" s="35"/>
      <c r="K299" s="35"/>
      <c r="L299" s="35"/>
      <c r="M299" s="35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35"/>
      <c r="I300" s="35"/>
      <c r="J300" s="35"/>
      <c r="K300" s="35"/>
      <c r="L300" s="35"/>
      <c r="M300" s="35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35"/>
      <c r="I301" s="35"/>
      <c r="J301" s="35"/>
      <c r="K301" s="35"/>
      <c r="L301" s="35"/>
      <c r="M301" s="35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35"/>
      <c r="I302" s="35"/>
      <c r="J302" s="35"/>
      <c r="K302" s="35"/>
      <c r="L302" s="35"/>
      <c r="M302" s="35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35"/>
      <c r="I303" s="35"/>
      <c r="J303" s="35"/>
      <c r="K303" s="35"/>
      <c r="L303" s="35"/>
      <c r="M303" s="35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35"/>
      <c r="I304" s="35"/>
      <c r="J304" s="35"/>
      <c r="K304" s="35"/>
      <c r="L304" s="35"/>
      <c r="M304" s="35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35"/>
      <c r="I305" s="35"/>
      <c r="J305" s="35"/>
      <c r="K305" s="35"/>
      <c r="L305" s="35"/>
      <c r="M305" s="35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35"/>
      <c r="I306" s="35"/>
      <c r="J306" s="35"/>
      <c r="K306" s="35"/>
      <c r="L306" s="35"/>
      <c r="M306" s="35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35"/>
      <c r="I307" s="35"/>
      <c r="J307" s="35"/>
      <c r="K307" s="35"/>
      <c r="L307" s="35"/>
      <c r="M307" s="35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35"/>
      <c r="I308" s="35"/>
      <c r="J308" s="35"/>
      <c r="K308" s="35"/>
      <c r="L308" s="35"/>
      <c r="M308" s="35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35"/>
      <c r="I309" s="35"/>
      <c r="J309" s="35"/>
      <c r="K309" s="35"/>
      <c r="L309" s="35"/>
      <c r="M309" s="35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35"/>
      <c r="I310" s="35"/>
      <c r="J310" s="35"/>
      <c r="K310" s="35"/>
      <c r="L310" s="35"/>
      <c r="M310" s="35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35"/>
      <c r="I311" s="35"/>
      <c r="J311" s="35"/>
      <c r="K311" s="35"/>
      <c r="L311" s="35"/>
      <c r="M311" s="35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35"/>
      <c r="I312" s="35"/>
      <c r="J312" s="35"/>
      <c r="K312" s="35"/>
      <c r="L312" s="35"/>
      <c r="M312" s="35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35"/>
      <c r="I313" s="35"/>
      <c r="J313" s="35"/>
      <c r="K313" s="35"/>
      <c r="L313" s="35"/>
      <c r="M313" s="35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35"/>
      <c r="I314" s="35"/>
      <c r="J314" s="35"/>
      <c r="K314" s="35"/>
      <c r="L314" s="35"/>
      <c r="M314" s="35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35"/>
      <c r="I315" s="35"/>
      <c r="J315" s="35"/>
      <c r="K315" s="35"/>
      <c r="L315" s="35"/>
      <c r="M315" s="35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35"/>
      <c r="I316" s="35"/>
      <c r="J316" s="35"/>
      <c r="K316" s="35"/>
      <c r="L316" s="35"/>
      <c r="M316" s="35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35"/>
      <c r="I317" s="35"/>
      <c r="J317" s="35"/>
      <c r="K317" s="35"/>
      <c r="L317" s="35"/>
      <c r="M317" s="35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35"/>
      <c r="I318" s="35"/>
      <c r="J318" s="35"/>
      <c r="K318" s="35"/>
      <c r="L318" s="35"/>
      <c r="M318" s="35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35"/>
      <c r="I319" s="35"/>
      <c r="J319" s="35"/>
      <c r="K319" s="35"/>
      <c r="L319" s="35"/>
      <c r="M319" s="35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35"/>
      <c r="I320" s="35"/>
      <c r="J320" s="35"/>
      <c r="K320" s="35"/>
      <c r="L320" s="35"/>
      <c r="M320" s="35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35"/>
      <c r="I321" s="35"/>
      <c r="J321" s="35"/>
      <c r="K321" s="35"/>
      <c r="L321" s="35"/>
      <c r="M321" s="35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35"/>
      <c r="I322" s="35"/>
      <c r="J322" s="35"/>
      <c r="K322" s="35"/>
      <c r="L322" s="35"/>
      <c r="M322" s="35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35"/>
      <c r="I323" s="35"/>
      <c r="J323" s="35"/>
      <c r="K323" s="35"/>
      <c r="L323" s="35"/>
      <c r="M323" s="35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35"/>
      <c r="I324" s="35"/>
      <c r="J324" s="35"/>
      <c r="K324" s="35"/>
      <c r="L324" s="35"/>
      <c r="M324" s="35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35"/>
      <c r="I325" s="35"/>
      <c r="J325" s="35"/>
      <c r="K325" s="35"/>
      <c r="L325" s="35"/>
      <c r="M325" s="35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35"/>
      <c r="I326" s="35"/>
      <c r="J326" s="35"/>
      <c r="K326" s="35"/>
      <c r="L326" s="35"/>
      <c r="M326" s="35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35"/>
      <c r="I327" s="35"/>
      <c r="J327" s="35"/>
      <c r="K327" s="35"/>
      <c r="L327" s="35"/>
      <c r="M327" s="35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35"/>
      <c r="I328" s="35"/>
      <c r="J328" s="35"/>
      <c r="K328" s="35"/>
      <c r="L328" s="35"/>
      <c r="M328" s="35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35"/>
      <c r="I329" s="35"/>
      <c r="J329" s="35"/>
      <c r="K329" s="35"/>
      <c r="L329" s="35"/>
      <c r="M329" s="35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B3:D3"/>
    <mergeCell ref="B5:D5"/>
    <mergeCell ref="E5:G5"/>
    <mergeCell ref="H5:J5"/>
    <mergeCell ref="K5:M5"/>
    <mergeCell ref="B12:D12"/>
    <mergeCell ref="B38:D38"/>
    <mergeCell ref="K38:M38"/>
    <mergeCell ref="B119:C119"/>
    <mergeCell ref="B125:C125"/>
    <mergeCell ref="E38:G38"/>
    <mergeCell ref="H38:J38"/>
    <mergeCell ref="B68:G68"/>
    <mergeCell ref="B74:G74"/>
    <mergeCell ref="B81:K81"/>
    <mergeCell ref="B90:D90"/>
    <mergeCell ref="K90:M9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5.29"/>
    <col customWidth="1" min="2" max="2" width="10.86"/>
    <col customWidth="1" min="3" max="3" width="34.71"/>
    <col customWidth="1" min="4" max="4" width="10.86"/>
    <col customWidth="1" min="5" max="5" width="9.71" outlineLevel="1"/>
    <col customWidth="1" min="6" max="6" width="9.57" outlineLevel="1"/>
    <col customWidth="1" min="7" max="7" width="9.86" outlineLevel="1"/>
    <col customWidth="1" min="8" max="8" width="9.43" outlineLevel="1"/>
    <col customWidth="1" min="9" max="9" width="10.0" outlineLevel="1"/>
    <col customWidth="1" min="10" max="10" width="9.71" outlineLevel="1"/>
    <col customWidth="1" min="11" max="11" width="9.14" outlineLevel="1"/>
    <col customWidth="1" min="12" max="12" width="9.86" outlineLevel="1"/>
    <col customWidth="1" min="13" max="13" width="10.0" outlineLevel="1"/>
    <col customWidth="1" min="14" max="15" width="10.14" outlineLevel="1"/>
    <col customWidth="1" min="16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10.43"/>
    <col customWidth="1" min="23" max="23" width="9.43"/>
    <col customWidth="1" min="24" max="24" width="10.0"/>
    <col customWidth="1" min="25" max="25" width="11.14"/>
    <col customWidth="1" min="26" max="26" width="11.29"/>
    <col customWidth="1" min="27" max="28" width="10.57"/>
    <col customWidth="1" min="29" max="29" width="11.0"/>
    <col customWidth="1" min="30" max="30" width="10.57"/>
    <col customWidth="1" min="31" max="31" width="10.71"/>
    <col customWidth="1" min="32" max="32" width="10.57"/>
    <col customWidth="1" min="33" max="34" width="10.86"/>
    <col customWidth="1" min="35" max="35" width="10.57"/>
    <col customWidth="1" min="36" max="36" width="10.86"/>
    <col customWidth="1" min="37" max="37" width="11.14"/>
    <col customWidth="1" min="38" max="39" width="11.0"/>
    <col customWidth="1" min="40" max="40" width="10.86"/>
    <col customWidth="1" min="41" max="42" width="10.57"/>
    <col customWidth="1" min="43" max="44" width="10.86"/>
    <col customWidth="1" min="45" max="45" width="11.0"/>
    <col customWidth="1" min="46" max="46" width="10.86"/>
    <col customWidth="1" min="47" max="47" width="11.0"/>
    <col customWidth="1" min="48" max="48" width="10.86"/>
    <col customWidth="1" min="49" max="49" width="10.57"/>
    <col customWidth="1" min="50" max="50" width="11.0"/>
    <col customWidth="1" min="51" max="51" width="11.57"/>
    <col customWidth="1" min="52" max="52" width="11.29"/>
    <col customWidth="1" min="53" max="54" width="10.86"/>
    <col customWidth="1" min="55" max="55" width="11.29"/>
    <col customWidth="1" min="56" max="56" width="12.14"/>
    <col customWidth="1" min="57" max="57" width="11.57"/>
    <col customWidth="1" min="58" max="58" width="12.57" outlineLevel="1"/>
    <col customWidth="1" min="59" max="59" width="10.86"/>
  </cols>
  <sheetData>
    <row r="1" ht="15.75" customHeight="1">
      <c r="A1" s="152" t="s">
        <v>193</v>
      </c>
      <c r="B1" s="153" t="s">
        <v>194</v>
      </c>
      <c r="C1" s="154"/>
      <c r="D1" s="155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7"/>
      <c r="S1" s="158"/>
      <c r="T1" s="159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7"/>
      <c r="BA1" s="35"/>
      <c r="BB1" s="157"/>
      <c r="BC1" s="157"/>
      <c r="BD1" s="157"/>
      <c r="BE1" s="157"/>
      <c r="BF1" s="157"/>
      <c r="BG1" s="160"/>
    </row>
    <row r="2" ht="13.5" customHeight="1">
      <c r="A2" s="161"/>
      <c r="B2" s="162"/>
      <c r="C2" s="162"/>
      <c r="D2" s="162"/>
      <c r="E2" s="163" t="s">
        <v>195</v>
      </c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 t="s">
        <v>196</v>
      </c>
      <c r="R2" s="164"/>
      <c r="S2" s="165"/>
      <c r="T2" s="166"/>
      <c r="U2" s="163"/>
      <c r="V2" s="163"/>
      <c r="W2" s="163"/>
      <c r="X2" s="163"/>
      <c r="Y2" s="163"/>
      <c r="Z2" s="163"/>
      <c r="AA2" s="163"/>
      <c r="AB2" s="163"/>
      <c r="AC2" s="163" t="s">
        <v>197</v>
      </c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7" t="s">
        <v>198</v>
      </c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8"/>
      <c r="BA2" s="169"/>
      <c r="BB2" s="168"/>
      <c r="BC2" s="168"/>
      <c r="BD2" s="168"/>
      <c r="BE2" s="168"/>
      <c r="BF2" s="168"/>
      <c r="BG2" s="170"/>
    </row>
    <row r="3" ht="13.5" customHeight="1">
      <c r="A3" s="161"/>
      <c r="B3" s="162"/>
      <c r="C3" s="162"/>
      <c r="D3" s="162"/>
      <c r="E3" s="171">
        <v>45658.0</v>
      </c>
      <c r="F3" s="171">
        <v>45689.0</v>
      </c>
      <c r="G3" s="171">
        <v>45717.0</v>
      </c>
      <c r="H3" s="171">
        <v>45748.0</v>
      </c>
      <c r="I3" s="171">
        <v>45778.0</v>
      </c>
      <c r="J3" s="171">
        <v>45809.0</v>
      </c>
      <c r="K3" s="171">
        <v>45839.0</v>
      </c>
      <c r="L3" s="171">
        <v>45870.0</v>
      </c>
      <c r="M3" s="171">
        <v>45901.0</v>
      </c>
      <c r="N3" s="171">
        <v>45931.0</v>
      </c>
      <c r="O3" s="171">
        <v>45962.0</v>
      </c>
      <c r="P3" s="171">
        <v>45992.0</v>
      </c>
      <c r="Q3" s="171">
        <v>46023.0</v>
      </c>
      <c r="R3" s="171">
        <v>46054.0</v>
      </c>
      <c r="S3" s="171">
        <v>46082.0</v>
      </c>
      <c r="T3" s="171">
        <v>46113.0</v>
      </c>
      <c r="U3" s="171">
        <v>46143.0</v>
      </c>
      <c r="V3" s="171">
        <v>46174.0</v>
      </c>
      <c r="W3" s="171">
        <v>46204.0</v>
      </c>
      <c r="X3" s="171">
        <v>46235.0</v>
      </c>
      <c r="Y3" s="171">
        <v>46266.0</v>
      </c>
      <c r="Z3" s="171">
        <v>46296.0</v>
      </c>
      <c r="AA3" s="171">
        <v>46327.0</v>
      </c>
      <c r="AB3" s="171">
        <v>46357.0</v>
      </c>
      <c r="AC3" s="171">
        <v>46388.0</v>
      </c>
      <c r="AD3" s="171">
        <v>46419.0</v>
      </c>
      <c r="AE3" s="171">
        <v>46447.0</v>
      </c>
      <c r="AF3" s="171">
        <v>46478.0</v>
      </c>
      <c r="AG3" s="171">
        <v>46508.0</v>
      </c>
      <c r="AH3" s="171">
        <v>46539.0</v>
      </c>
      <c r="AI3" s="171">
        <v>46569.0</v>
      </c>
      <c r="AJ3" s="171">
        <v>46600.0</v>
      </c>
      <c r="AK3" s="171">
        <v>46631.0</v>
      </c>
      <c r="AL3" s="171">
        <v>46661.0</v>
      </c>
      <c r="AM3" s="171">
        <v>46692.0</v>
      </c>
      <c r="AN3" s="171">
        <v>46722.0</v>
      </c>
      <c r="AO3" s="171">
        <v>46753.0</v>
      </c>
      <c r="AP3" s="171">
        <v>46784.0</v>
      </c>
      <c r="AQ3" s="171">
        <v>46813.0</v>
      </c>
      <c r="AR3" s="171">
        <v>46844.0</v>
      </c>
      <c r="AS3" s="171">
        <v>46874.0</v>
      </c>
      <c r="AT3" s="171">
        <v>46905.0</v>
      </c>
      <c r="AU3" s="171">
        <v>46935.0</v>
      </c>
      <c r="AV3" s="171">
        <v>46966.0</v>
      </c>
      <c r="AW3" s="171">
        <v>46997.0</v>
      </c>
      <c r="AX3" s="171">
        <v>47027.0</v>
      </c>
      <c r="AY3" s="171">
        <v>47058.0</v>
      </c>
      <c r="AZ3" s="171">
        <v>47088.0</v>
      </c>
      <c r="BA3" s="169"/>
      <c r="BB3" s="172">
        <v>2025.0</v>
      </c>
      <c r="BC3" s="172">
        <v>2026.0</v>
      </c>
      <c r="BD3" s="172">
        <v>2027.0</v>
      </c>
      <c r="BE3" s="172">
        <v>2028.0</v>
      </c>
      <c r="BF3" s="172">
        <v>2029.0</v>
      </c>
      <c r="BG3" s="173"/>
    </row>
    <row r="4">
      <c r="A4" s="121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21"/>
      <c r="BB4" s="174"/>
      <c r="BC4" s="174"/>
      <c r="BD4" s="174"/>
      <c r="BE4" s="174"/>
      <c r="BF4" s="174"/>
      <c r="BG4" s="121"/>
    </row>
    <row r="5" ht="15.75" customHeight="1">
      <c r="A5" s="175"/>
      <c r="B5" s="176" t="s">
        <v>199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</row>
    <row r="6" ht="13.5" customHeight="1">
      <c r="A6" s="177"/>
      <c r="B6" s="178" t="s">
        <v>200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80"/>
      <c r="S6" s="181"/>
      <c r="T6" s="182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80"/>
      <c r="BA6" s="121"/>
      <c r="BB6" s="180"/>
      <c r="BC6" s="180"/>
      <c r="BD6" s="180"/>
      <c r="BE6" s="180"/>
      <c r="BF6" s="180"/>
      <c r="BG6" s="121"/>
    </row>
    <row r="7" ht="15.0" customHeight="1">
      <c r="A7" s="121"/>
      <c r="B7" s="174" t="s">
        <v>201</v>
      </c>
      <c r="C7" s="174"/>
      <c r="D7" s="174" t="s">
        <v>202</v>
      </c>
      <c r="E7" s="175"/>
      <c r="F7" s="175"/>
      <c r="G7" s="175"/>
      <c r="H7" s="175"/>
      <c r="I7" s="175"/>
      <c r="J7" s="175"/>
      <c r="K7" s="175"/>
      <c r="L7" s="175"/>
      <c r="M7" s="175" t="str">
        <f>'Revenue Forecast'!M9</f>
        <v/>
      </c>
      <c r="N7" s="175" t="str">
        <f>'Revenue Forecast'!N9</f>
        <v/>
      </c>
      <c r="O7" s="175" t="str">
        <f>'Revenue Forecast'!O9</f>
        <v/>
      </c>
      <c r="P7" s="175" t="str">
        <f>'Revenue Forecast'!P9</f>
        <v/>
      </c>
      <c r="Q7" s="175">
        <f>'Revenue Forecast'!Q9</f>
        <v>0</v>
      </c>
      <c r="R7" s="175">
        <f>'Revenue Forecast'!R9</f>
        <v>0</v>
      </c>
      <c r="S7" s="175">
        <f>'Revenue Forecast'!S9</f>
        <v>0</v>
      </c>
      <c r="T7" s="175">
        <f>'Revenue Forecast'!T9</f>
        <v>0</v>
      </c>
      <c r="U7" s="175">
        <f>'Revenue Forecast'!U9</f>
        <v>0</v>
      </c>
      <c r="V7" s="175">
        <f>'Revenue Forecast'!V9</f>
        <v>0</v>
      </c>
      <c r="W7" s="175">
        <f>'Revenue Forecast'!W9</f>
        <v>0</v>
      </c>
      <c r="X7" s="175">
        <f>'Revenue Forecast'!X9</f>
        <v>0</v>
      </c>
      <c r="Y7" s="175">
        <f>'Revenue Forecast'!Y9</f>
        <v>0</v>
      </c>
      <c r="Z7" s="175">
        <f>'Revenue Forecast'!Z9</f>
        <v>0</v>
      </c>
      <c r="AA7" s="175">
        <f>'Revenue Forecast'!AA9</f>
        <v>0</v>
      </c>
      <c r="AB7" s="175">
        <f>'Revenue Forecast'!AB9</f>
        <v>0</v>
      </c>
      <c r="AC7" s="175">
        <f>'Revenue Forecast'!AC9</f>
        <v>292283.8843</v>
      </c>
      <c r="AD7" s="175">
        <f>'Revenue Forecast'!AD9</f>
        <v>320569.4215</v>
      </c>
      <c r="AE7" s="175">
        <f>'Revenue Forecast'!AE9</f>
        <v>358283.4711</v>
      </c>
      <c r="AF7" s="175">
        <f>'Revenue Forecast'!AF9</f>
        <v>386569.0083</v>
      </c>
      <c r="AG7" s="175">
        <f>'Revenue Forecast'!AG9</f>
        <v>424283.0579</v>
      </c>
      <c r="AH7" s="175">
        <f>'Revenue Forecast'!AH9</f>
        <v>471425.6198</v>
      </c>
      <c r="AI7" s="175">
        <f>'Revenue Forecast'!AI9</f>
        <v>509139.6694</v>
      </c>
      <c r="AJ7" s="175">
        <f>'Revenue Forecast'!AJ9</f>
        <v>556282.2314</v>
      </c>
      <c r="AK7" s="175">
        <f>'Revenue Forecast'!AK9</f>
        <v>612853.3058</v>
      </c>
      <c r="AL7" s="175">
        <f>'Revenue Forecast'!AL9</f>
        <v>669424.3802</v>
      </c>
      <c r="AM7" s="175">
        <f>'Revenue Forecast'!AM9</f>
        <v>735423.9669</v>
      </c>
      <c r="AN7" s="175">
        <f>'Revenue Forecast'!AN9</f>
        <v>810852.0661</v>
      </c>
      <c r="AO7" s="175">
        <f>'Revenue Forecast'!AO9</f>
        <v>876851.6529</v>
      </c>
      <c r="AP7" s="175">
        <f>'Revenue Forecast'!AP9</f>
        <v>961708.2645</v>
      </c>
      <c r="AQ7" s="175">
        <f>'Revenue Forecast'!AQ9</f>
        <v>1055993.388</v>
      </c>
      <c r="AR7" s="175">
        <f>'Revenue Forecast'!AR9</f>
        <v>1159707.025</v>
      </c>
      <c r="AS7" s="175">
        <f>'Revenue Forecast'!AS9</f>
        <v>1272849.174</v>
      </c>
      <c r="AT7" s="175">
        <f>'Revenue Forecast'!AT9</f>
        <v>1395419.835</v>
      </c>
      <c r="AU7" s="175">
        <f>'Revenue Forecast'!AU9</f>
        <v>1527419.008</v>
      </c>
      <c r="AV7" s="175">
        <f>'Revenue Forecast'!AV9</f>
        <v>1668846.694</v>
      </c>
      <c r="AW7" s="175">
        <f>'Revenue Forecast'!AW9</f>
        <v>1829131.405</v>
      </c>
      <c r="AX7" s="175">
        <f>'Revenue Forecast'!AX9</f>
        <v>2008273.14</v>
      </c>
      <c r="AY7" s="175">
        <f>'Revenue Forecast'!AY9</f>
        <v>2196843.388</v>
      </c>
      <c r="AZ7" s="175">
        <f>'Revenue Forecast'!AZ9</f>
        <v>2413699.174</v>
      </c>
      <c r="BA7" s="121"/>
      <c r="BB7" s="175">
        <f t="shared" ref="BB7:BB8" si="1">sum(E7:P7)</f>
        <v>0</v>
      </c>
      <c r="BC7" s="175">
        <f t="shared" ref="BC7:BC8" si="2">sum(Q7:AB7)</f>
        <v>0</v>
      </c>
      <c r="BD7" s="175">
        <f t="shared" ref="BD7:BD8" si="3">sum(AC7:AN7)</f>
        <v>6147390.083</v>
      </c>
      <c r="BE7" s="175">
        <f t="shared" ref="BE7:BE8" si="4">sum(AO7:AZ7)</f>
        <v>18366742.15</v>
      </c>
      <c r="BF7" s="175">
        <f>'Revenue Forecast'!BF9</f>
        <v>36733484.3</v>
      </c>
      <c r="BG7" s="40"/>
    </row>
    <row r="8" ht="15.0" customHeight="1">
      <c r="A8" s="121"/>
      <c r="B8" s="183" t="s">
        <v>48</v>
      </c>
      <c r="C8" s="174"/>
      <c r="D8" s="174" t="s">
        <v>202</v>
      </c>
      <c r="E8" s="175"/>
      <c r="F8" s="175"/>
      <c r="G8" s="175"/>
      <c r="H8" s="175"/>
      <c r="I8" s="175"/>
      <c r="J8" s="175"/>
      <c r="K8" s="175"/>
      <c r="L8" s="175"/>
      <c r="M8" s="175" t="str">
        <f>'Revenue Forecast'!M15</f>
        <v/>
      </c>
      <c r="N8" s="175" t="str">
        <f>'Revenue Forecast'!N15</f>
        <v/>
      </c>
      <c r="O8" s="175" t="str">
        <f>'Revenue Forecast'!O15</f>
        <v/>
      </c>
      <c r="P8" s="175" t="str">
        <f>'Revenue Forecast'!P15</f>
        <v/>
      </c>
      <c r="Q8" s="175">
        <f>'Revenue Forecast'!Q15</f>
        <v>0</v>
      </c>
      <c r="R8" s="175">
        <f>'Revenue Forecast'!R15</f>
        <v>0</v>
      </c>
      <c r="S8" s="175">
        <f>'Revenue Forecast'!S15</f>
        <v>0</v>
      </c>
      <c r="T8" s="175">
        <f>'Revenue Forecast'!T15</f>
        <v>0</v>
      </c>
      <c r="U8" s="175">
        <f>'Revenue Forecast'!U15</f>
        <v>0</v>
      </c>
      <c r="V8" s="175">
        <f>'Revenue Forecast'!V15</f>
        <v>0</v>
      </c>
      <c r="W8" s="175">
        <f>'Revenue Forecast'!W15</f>
        <v>0</v>
      </c>
      <c r="X8" s="175">
        <f>'Revenue Forecast'!X15</f>
        <v>0</v>
      </c>
      <c r="Y8" s="175">
        <f>'Revenue Forecast'!Y15</f>
        <v>0</v>
      </c>
      <c r="Z8" s="175">
        <f>'Revenue Forecast'!Z15</f>
        <v>0</v>
      </c>
      <c r="AA8" s="175">
        <f>'Revenue Forecast'!AA15</f>
        <v>0</v>
      </c>
      <c r="AB8" s="175">
        <f>'Revenue Forecast'!AB15</f>
        <v>0</v>
      </c>
      <c r="AC8" s="175">
        <f>'Revenue Forecast'!AC15</f>
        <v>186889.2562</v>
      </c>
      <c r="AD8" s="175">
        <f>'Revenue Forecast'!AD15</f>
        <v>210250.4132</v>
      </c>
      <c r="AE8" s="175">
        <f>'Revenue Forecast'!AE15</f>
        <v>233611.5702</v>
      </c>
      <c r="AF8" s="175">
        <f>'Revenue Forecast'!AF15</f>
        <v>256972.7273</v>
      </c>
      <c r="AG8" s="175">
        <f>'Revenue Forecast'!AG15</f>
        <v>292014.4628</v>
      </c>
      <c r="AH8" s="175">
        <f>'Revenue Forecast'!AH15</f>
        <v>327056.1983</v>
      </c>
      <c r="AI8" s="175">
        <f>'Revenue Forecast'!AI15</f>
        <v>373778.5124</v>
      </c>
      <c r="AJ8" s="175">
        <f>'Revenue Forecast'!AJ15</f>
        <v>420500.8264</v>
      </c>
      <c r="AK8" s="175">
        <f>'Revenue Forecast'!AK15</f>
        <v>467223.1405</v>
      </c>
      <c r="AL8" s="175">
        <f>'Revenue Forecast'!AL15</f>
        <v>525626.0331</v>
      </c>
      <c r="AM8" s="175">
        <f>'Revenue Forecast'!AM15</f>
        <v>584028.9256</v>
      </c>
      <c r="AN8" s="175">
        <f>'Revenue Forecast'!AN15</f>
        <v>665792.9752</v>
      </c>
      <c r="AO8" s="175">
        <f>'Revenue Forecast'!AO15</f>
        <v>747557.0248</v>
      </c>
      <c r="AP8" s="175">
        <f>'Revenue Forecast'!AP15</f>
        <v>829321.0744</v>
      </c>
      <c r="AQ8" s="175">
        <f>'Revenue Forecast'!AQ15</f>
        <v>934446.281</v>
      </c>
      <c r="AR8" s="175">
        <f>'Revenue Forecast'!AR15</f>
        <v>1051252.066</v>
      </c>
      <c r="AS8" s="175">
        <f>'Revenue Forecast'!AS15</f>
        <v>1179738.43</v>
      </c>
      <c r="AT8" s="175">
        <f>'Revenue Forecast'!AT15</f>
        <v>1319905.372</v>
      </c>
      <c r="AU8" s="175">
        <f>'Revenue Forecast'!AU15</f>
        <v>1483433.471</v>
      </c>
      <c r="AV8" s="175">
        <f>'Revenue Forecast'!AV15</f>
        <v>1670322.727</v>
      </c>
      <c r="AW8" s="175">
        <f>'Revenue Forecast'!AW15</f>
        <v>1880573.14</v>
      </c>
      <c r="AX8" s="175">
        <f>'Revenue Forecast'!AX15</f>
        <v>2102504.132</v>
      </c>
      <c r="AY8" s="175">
        <f>'Revenue Forecast'!AY15</f>
        <v>2359476.86</v>
      </c>
      <c r="AZ8" s="175">
        <f>'Revenue Forecast'!AZ15</f>
        <v>2651491.322</v>
      </c>
      <c r="BA8" s="121"/>
      <c r="BB8" s="175">
        <f t="shared" si="1"/>
        <v>0</v>
      </c>
      <c r="BC8" s="175">
        <f t="shared" si="2"/>
        <v>0</v>
      </c>
      <c r="BD8" s="175">
        <f t="shared" si="3"/>
        <v>4543745.041</v>
      </c>
      <c r="BE8" s="175">
        <f t="shared" si="4"/>
        <v>18210021.9</v>
      </c>
      <c r="BF8" s="175">
        <f>'Revenue Forecast'!BF15</f>
        <v>36420043.8</v>
      </c>
      <c r="BG8" s="40"/>
    </row>
    <row r="9" ht="15.0" customHeight="1">
      <c r="A9" s="121"/>
      <c r="B9" s="183" t="s">
        <v>49</v>
      </c>
      <c r="C9" s="174"/>
      <c r="D9" s="174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>
        <f>'Revenue Forecast'!Q21</f>
        <v>0</v>
      </c>
      <c r="R9" s="175">
        <f>'Revenue Forecast'!R21</f>
        <v>0</v>
      </c>
      <c r="S9" s="175">
        <f>'Revenue Forecast'!S21</f>
        <v>0</v>
      </c>
      <c r="T9" s="175">
        <f>'Revenue Forecast'!T21</f>
        <v>0</v>
      </c>
      <c r="U9" s="175">
        <f>'Revenue Forecast'!U21</f>
        <v>0</v>
      </c>
      <c r="V9" s="175">
        <f>'Revenue Forecast'!V21</f>
        <v>0</v>
      </c>
      <c r="W9" s="175">
        <f>'Revenue Forecast'!W21</f>
        <v>0</v>
      </c>
      <c r="X9" s="175">
        <f>'Revenue Forecast'!X21</f>
        <v>0</v>
      </c>
      <c r="Y9" s="175">
        <f>'Revenue Forecast'!Y21</f>
        <v>0</v>
      </c>
      <c r="Z9" s="175">
        <f>'Revenue Forecast'!Z21</f>
        <v>0</v>
      </c>
      <c r="AA9" s="175">
        <f>'Revenue Forecast'!AA21</f>
        <v>0</v>
      </c>
      <c r="AB9" s="175">
        <f>'Revenue Forecast'!AB21</f>
        <v>0</v>
      </c>
      <c r="AC9" s="175">
        <f>'Revenue Forecast'!AC21</f>
        <v>235814.876</v>
      </c>
      <c r="AD9" s="175">
        <f>'Revenue Forecast'!AD21</f>
        <v>265291.7355</v>
      </c>
      <c r="AE9" s="175">
        <f>'Revenue Forecast'!AE21</f>
        <v>294768.595</v>
      </c>
      <c r="AF9" s="175">
        <f>'Revenue Forecast'!AF21</f>
        <v>324245.4545</v>
      </c>
      <c r="AG9" s="175">
        <f>'Revenue Forecast'!AG21</f>
        <v>368460.7438</v>
      </c>
      <c r="AH9" s="175">
        <f>'Revenue Forecast'!AH21</f>
        <v>412676.0331</v>
      </c>
      <c r="AI9" s="175">
        <f>'Revenue Forecast'!AI21</f>
        <v>471629.7521</v>
      </c>
      <c r="AJ9" s="175">
        <f>'Revenue Forecast'!AJ21</f>
        <v>530583.4711</v>
      </c>
      <c r="AK9" s="175">
        <f>'Revenue Forecast'!AK21</f>
        <v>589537.1901</v>
      </c>
      <c r="AL9" s="175">
        <f>'Revenue Forecast'!AL21</f>
        <v>663229.3388</v>
      </c>
      <c r="AM9" s="175">
        <f>'Revenue Forecast'!AM21</f>
        <v>736921.4876</v>
      </c>
      <c r="AN9" s="175">
        <f>'Revenue Forecast'!AN21</f>
        <v>840090.4959</v>
      </c>
      <c r="AO9" s="175">
        <f>'Revenue Forecast'!AO21</f>
        <v>943259.5041</v>
      </c>
      <c r="AP9" s="175">
        <f>'Revenue Forecast'!AP21</f>
        <v>1046428.512</v>
      </c>
      <c r="AQ9" s="175">
        <f>'Revenue Forecast'!AQ21</f>
        <v>1179074.38</v>
      </c>
      <c r="AR9" s="175">
        <f>'Revenue Forecast'!AR21</f>
        <v>1326458.678</v>
      </c>
      <c r="AS9" s="175">
        <f>'Revenue Forecast'!AS21</f>
        <v>1488581.405</v>
      </c>
      <c r="AT9" s="175">
        <f>'Revenue Forecast'!AT21</f>
        <v>1665442.562</v>
      </c>
      <c r="AU9" s="175">
        <f>'Revenue Forecast'!AU21</f>
        <v>1871780.579</v>
      </c>
      <c r="AV9" s="175">
        <f>'Revenue Forecast'!AV21</f>
        <v>2107595.455</v>
      </c>
      <c r="AW9" s="175">
        <f>'Revenue Forecast'!AW21</f>
        <v>2372887.19</v>
      </c>
      <c r="AX9" s="175">
        <f>'Revenue Forecast'!AX21</f>
        <v>2652917.355</v>
      </c>
      <c r="AY9" s="175">
        <f>'Revenue Forecast'!AY21</f>
        <v>2977162.81</v>
      </c>
      <c r="AZ9" s="175">
        <f>'Revenue Forecast'!AZ21</f>
        <v>3345623.554</v>
      </c>
      <c r="BA9" s="121"/>
      <c r="BB9" s="175">
        <f>'Revenue Forecast'!BB21</f>
        <v>0</v>
      </c>
      <c r="BC9" s="175">
        <f>'Revenue Forecast'!BC21</f>
        <v>0</v>
      </c>
      <c r="BD9" s="175">
        <f>'Revenue Forecast'!BD21</f>
        <v>5733249.174</v>
      </c>
      <c r="BE9" s="175">
        <f>'Revenue Forecast'!BE21</f>
        <v>22977211.98</v>
      </c>
      <c r="BF9" s="175">
        <f>'Revenue Forecast'!BF21</f>
        <v>45954423.97</v>
      </c>
      <c r="BG9" s="40"/>
    </row>
    <row r="10" ht="15.0" customHeight="1">
      <c r="A10" s="121"/>
      <c r="B10" s="174" t="s">
        <v>203</v>
      </c>
      <c r="C10" s="174"/>
      <c r="D10" s="184"/>
      <c r="E10" s="175"/>
      <c r="F10" s="175"/>
      <c r="G10" s="175"/>
      <c r="H10" s="175"/>
      <c r="I10" s="175"/>
      <c r="J10" s="175"/>
      <c r="K10" s="175"/>
      <c r="L10" s="175"/>
      <c r="M10" s="175">
        <f>'Revenue Forecast'!M25+'Revenue Forecast'!M31</f>
        <v>0</v>
      </c>
      <c r="N10" s="175">
        <f>'Revenue Forecast'!N25+'Revenue Forecast'!N31</f>
        <v>0</v>
      </c>
      <c r="O10" s="175">
        <f>'Revenue Forecast'!O25+'Revenue Forecast'!O31</f>
        <v>0</v>
      </c>
      <c r="P10" s="175">
        <f>'Revenue Forecast'!P25+'Revenue Forecast'!P31</f>
        <v>0</v>
      </c>
      <c r="Q10" s="175">
        <f>'Revenue Forecast'!Q25+'Revenue Forecast'!Q31</f>
        <v>0</v>
      </c>
      <c r="R10" s="175">
        <f>'Revenue Forecast'!R25+'Revenue Forecast'!R31</f>
        <v>0</v>
      </c>
      <c r="S10" s="175">
        <f>'Revenue Forecast'!S25+'Revenue Forecast'!S31</f>
        <v>0</v>
      </c>
      <c r="T10" s="175">
        <f>'Revenue Forecast'!T25+'Revenue Forecast'!T31</f>
        <v>0</v>
      </c>
      <c r="U10" s="175">
        <f>'Revenue Forecast'!U25+'Revenue Forecast'!U31</f>
        <v>0</v>
      </c>
      <c r="V10" s="175">
        <f>'Revenue Forecast'!V25+'Revenue Forecast'!V31</f>
        <v>0</v>
      </c>
      <c r="W10" s="175">
        <f>'Revenue Forecast'!W25+'Revenue Forecast'!W31</f>
        <v>0</v>
      </c>
      <c r="X10" s="175">
        <f>'Revenue Forecast'!X25+'Revenue Forecast'!X31</f>
        <v>0</v>
      </c>
      <c r="Y10" s="175">
        <f>'Revenue Forecast'!Y25+'Revenue Forecast'!Y31</f>
        <v>0</v>
      </c>
      <c r="Z10" s="175">
        <f>'Revenue Forecast'!Z25+'Revenue Forecast'!Z31</f>
        <v>0</v>
      </c>
      <c r="AA10" s="175">
        <f>'Revenue Forecast'!AA25+'Revenue Forecast'!AA31</f>
        <v>0</v>
      </c>
      <c r="AB10" s="175">
        <f>'Revenue Forecast'!AB25+'Revenue Forecast'!AB31</f>
        <v>0</v>
      </c>
      <c r="AC10" s="175">
        <f>'Revenue Forecast'!AC25+'Revenue Forecast'!AC31</f>
        <v>176578.405</v>
      </c>
      <c r="AD10" s="175">
        <f>'Revenue Forecast'!AD25+'Revenue Forecast'!AD31</f>
        <v>196565.5372</v>
      </c>
      <c r="AE10" s="175">
        <f>'Revenue Forecast'!AE25+'Revenue Forecast'!AE31</f>
        <v>218935.719</v>
      </c>
      <c r="AF10" s="175">
        <f>'Revenue Forecast'!AF25+'Revenue Forecast'!AF31</f>
        <v>238922.8512</v>
      </c>
      <c r="AG10" s="175">
        <f>'Revenue Forecast'!AG25+'Revenue Forecast'!AG31</f>
        <v>267712.0248</v>
      </c>
      <c r="AH10" s="175">
        <f>'Revenue Forecast'!AH25+'Revenue Forecast'!AH31</f>
        <v>298884.2479</v>
      </c>
      <c r="AI10" s="175">
        <f>'Revenue Forecast'!AI25+'Revenue Forecast'!AI31</f>
        <v>334092.4132</v>
      </c>
      <c r="AJ10" s="175">
        <f>'Revenue Forecast'!AJ25+'Revenue Forecast'!AJ31</f>
        <v>371683.6281</v>
      </c>
      <c r="AK10" s="175">
        <f>'Revenue Forecast'!AK25+'Revenue Forecast'!AK31</f>
        <v>411657.8926</v>
      </c>
      <c r="AL10" s="175">
        <f>'Revenue Forecast'!AL25+'Revenue Forecast'!AL31</f>
        <v>458051.1488</v>
      </c>
      <c r="AM10" s="175">
        <f>'Revenue Forecast'!AM25+'Revenue Forecast'!AM31</f>
        <v>506827.4545</v>
      </c>
      <c r="AN10" s="175">
        <f>'Revenue Forecast'!AN25+'Revenue Forecast'!AN31</f>
        <v>570824.7934</v>
      </c>
      <c r="AO10" s="175">
        <f>'Revenue Forecast'!AO25+'Revenue Forecast'!AO31</f>
        <v>636786.0826</v>
      </c>
      <c r="AP10" s="175">
        <f>'Revenue Forecast'!AP25+'Revenue Forecast'!AP31</f>
        <v>703649.4711</v>
      </c>
      <c r="AQ10" s="175">
        <f>'Revenue Forecast'!AQ25+'Revenue Forecast'!AQ31</f>
        <v>785802.8926</v>
      </c>
      <c r="AR10" s="175">
        <f>'Revenue Forecast'!AR25+'Revenue Forecast'!AR31</f>
        <v>876689.3554</v>
      </c>
      <c r="AS10" s="175">
        <f>'Revenue Forecast'!AS25+'Revenue Forecast'!AS31</f>
        <v>976584.8595</v>
      </c>
      <c r="AT10" s="175">
        <f>'Revenue Forecast'!AT25+'Revenue Forecast'!AT31</f>
        <v>1085351.405</v>
      </c>
      <c r="AU10" s="175">
        <f>'Revenue Forecast'!AU25+'Revenue Forecast'!AU31</f>
        <v>1209407.983</v>
      </c>
      <c r="AV10" s="175">
        <f>'Revenue Forecast'!AV25+'Revenue Forecast'!AV31</f>
        <v>1348754.595</v>
      </c>
      <c r="AW10" s="175">
        <f>'Revenue Forecast'!AW25+'Revenue Forecast'!AW31</f>
        <v>1505774.289</v>
      </c>
      <c r="AX10" s="175">
        <f>'Revenue Forecast'!AX25+'Revenue Forecast'!AX31</f>
        <v>1674117.074</v>
      </c>
      <c r="AY10" s="175">
        <f>'Revenue Forecast'!AY25+'Revenue Forecast'!AY31</f>
        <v>1864168.884</v>
      </c>
      <c r="AZ10" s="175">
        <f>'Revenue Forecast'!AZ25+'Revenue Forecast'!AZ31</f>
        <v>2080971.818</v>
      </c>
      <c r="BA10" s="121"/>
      <c r="BB10" s="175">
        <f t="shared" ref="BB10:BB12" si="5">sum(E10:P10)</f>
        <v>0</v>
      </c>
      <c r="BC10" s="175">
        <f t="shared" ref="BC10:BC12" si="6">sum(Q10:AB10)</f>
        <v>0</v>
      </c>
      <c r="BD10" s="175">
        <f>sum(AC10:AN10)</f>
        <v>4050736.116</v>
      </c>
      <c r="BE10" s="175">
        <f>sum(AO10:AZ10)</f>
        <v>14748058.71</v>
      </c>
      <c r="BF10" s="175">
        <f>'Revenue Forecast'!BF25+'Revenue Forecast'!BF31</f>
        <v>29944341.42</v>
      </c>
      <c r="BG10" s="40"/>
    </row>
    <row r="11" ht="15.0" customHeight="1">
      <c r="A11" s="121"/>
      <c r="B11" s="175" t="s">
        <v>204</v>
      </c>
      <c r="C11" s="174"/>
      <c r="D11" s="174" t="s">
        <v>202</v>
      </c>
      <c r="E11" s="175"/>
      <c r="F11" s="175"/>
      <c r="G11" s="175"/>
      <c r="H11" s="175"/>
      <c r="I11" s="175"/>
      <c r="J11" s="175"/>
      <c r="K11" s="175"/>
      <c r="L11" s="175"/>
      <c r="M11" s="175">
        <f>'Revenue Forecast'!M35</f>
        <v>0</v>
      </c>
      <c r="N11" s="175">
        <f>'Revenue Forecast'!N35</f>
        <v>19480</v>
      </c>
      <c r="O11" s="175">
        <f>'Revenue Forecast'!O35</f>
        <v>78000</v>
      </c>
      <c r="P11" s="175">
        <f>'Revenue Forecast'!P35</f>
        <v>0</v>
      </c>
      <c r="Q11" s="175">
        <f>'Revenue Forecast'!Q35</f>
        <v>0</v>
      </c>
      <c r="R11" s="175">
        <f>'Revenue Forecast'!R35</f>
        <v>0</v>
      </c>
      <c r="S11" s="175">
        <f>'Revenue Forecast'!S35</f>
        <v>0</v>
      </c>
      <c r="T11" s="175">
        <v>0.0</v>
      </c>
      <c r="U11" s="175">
        <f>'Revenue Forecast'!U35</f>
        <v>0</v>
      </c>
      <c r="V11" s="175">
        <v>106782.0</v>
      </c>
      <c r="W11" s="175">
        <f>'Revenue Forecast'!W35</f>
        <v>0</v>
      </c>
      <c r="X11" s="175">
        <f>'Revenue Forecast'!X35</f>
        <v>0</v>
      </c>
      <c r="Y11" s="175">
        <f>'Revenue Forecast'!Y35</f>
        <v>0</v>
      </c>
      <c r="Z11" s="175">
        <f>'Revenue Forecast'!Z35</f>
        <v>0</v>
      </c>
      <c r="AA11" s="175">
        <f>'Revenue Forecast'!AA35</f>
        <v>0</v>
      </c>
      <c r="AB11" s="175">
        <f>'Revenue Forecast'!AB35</f>
        <v>0</v>
      </c>
      <c r="AC11" s="175">
        <f>'Revenue Forecast'!AC35</f>
        <v>0</v>
      </c>
      <c r="AD11" s="175">
        <f>'Revenue Forecast'!AD35</f>
        <v>0</v>
      </c>
      <c r="AE11" s="175">
        <f>'Revenue Forecast'!AE35</f>
        <v>0</v>
      </c>
      <c r="AF11" s="175">
        <f>'Revenue Forecast'!AF35</f>
        <v>0</v>
      </c>
      <c r="AG11" s="175">
        <f>'Revenue Forecast'!AG35</f>
        <v>0</v>
      </c>
      <c r="AH11" s="175">
        <f>'Revenue Forecast'!AH35</f>
        <v>0</v>
      </c>
      <c r="AI11" s="175">
        <f>'Revenue Forecast'!AI35</f>
        <v>0</v>
      </c>
      <c r="AJ11" s="175">
        <f>'Revenue Forecast'!AJ35</f>
        <v>0</v>
      </c>
      <c r="AK11" s="175">
        <f>'Revenue Forecast'!AK35</f>
        <v>0</v>
      </c>
      <c r="AL11" s="175">
        <f>'Revenue Forecast'!AL35</f>
        <v>0</v>
      </c>
      <c r="AM11" s="175">
        <f>'Revenue Forecast'!AM35</f>
        <v>0</v>
      </c>
      <c r="AN11" s="175">
        <f>'Revenue Forecast'!AN35</f>
        <v>0</v>
      </c>
      <c r="AO11" s="175">
        <f>'Revenue Forecast'!AO35</f>
        <v>0</v>
      </c>
      <c r="AP11" s="175">
        <f>'Revenue Forecast'!AP35</f>
        <v>0</v>
      </c>
      <c r="AQ11" s="175">
        <f>'Revenue Forecast'!AQ35</f>
        <v>0</v>
      </c>
      <c r="AR11" s="175">
        <f>'Revenue Forecast'!AR35</f>
        <v>0</v>
      </c>
      <c r="AS11" s="175">
        <f>'Revenue Forecast'!AS35</f>
        <v>0</v>
      </c>
      <c r="AT11" s="175">
        <f>'Revenue Forecast'!AT35</f>
        <v>0</v>
      </c>
      <c r="AU11" s="175">
        <f>'Revenue Forecast'!AU35</f>
        <v>0</v>
      </c>
      <c r="AV11" s="175">
        <f>'Revenue Forecast'!AV35</f>
        <v>0</v>
      </c>
      <c r="AW11" s="175">
        <f>'Revenue Forecast'!AW35</f>
        <v>0</v>
      </c>
      <c r="AX11" s="175">
        <f>'Revenue Forecast'!AX35</f>
        <v>0</v>
      </c>
      <c r="AY11" s="175">
        <f>'Revenue Forecast'!AY35</f>
        <v>0</v>
      </c>
      <c r="AZ11" s="175">
        <f>'Revenue Forecast'!AZ35</f>
        <v>0</v>
      </c>
      <c r="BA11" s="121"/>
      <c r="BB11" s="175">
        <f t="shared" si="5"/>
        <v>97480</v>
      </c>
      <c r="BC11" s="175">
        <f t="shared" si="6"/>
        <v>106782</v>
      </c>
      <c r="BD11" s="185" t="s">
        <v>205</v>
      </c>
      <c r="BE11" s="185" t="s">
        <v>205</v>
      </c>
      <c r="BF11" s="185" t="s">
        <v>205</v>
      </c>
      <c r="BG11" s="40"/>
    </row>
    <row r="12" ht="12.75" customHeight="1">
      <c r="A12" s="186"/>
      <c r="B12" s="187" t="s">
        <v>206</v>
      </c>
      <c r="C12" s="188"/>
      <c r="D12" s="187" t="s">
        <v>202</v>
      </c>
      <c r="E12" s="187"/>
      <c r="F12" s="187"/>
      <c r="G12" s="187"/>
      <c r="H12" s="187"/>
      <c r="I12" s="187"/>
      <c r="J12" s="187"/>
      <c r="K12" s="187"/>
      <c r="L12" s="187"/>
      <c r="M12" s="187">
        <f>'Revenue Forecast'!M37</f>
        <v>0</v>
      </c>
      <c r="N12" s="187">
        <f>'Revenue Forecast'!N37</f>
        <v>19480</v>
      </c>
      <c r="O12" s="187">
        <f>'Revenue Forecast'!O37</f>
        <v>78000</v>
      </c>
      <c r="P12" s="187">
        <f>'Revenue Forecast'!P37</f>
        <v>0</v>
      </c>
      <c r="Q12" s="187">
        <f>'Revenue Forecast'!Q37</f>
        <v>0</v>
      </c>
      <c r="R12" s="187">
        <f>'Revenue Forecast'!R37</f>
        <v>0</v>
      </c>
      <c r="S12" s="187">
        <f>'Revenue Forecast'!S37</f>
        <v>0</v>
      </c>
      <c r="T12" s="187">
        <f>'Revenue Forecast'!T37</f>
        <v>0</v>
      </c>
      <c r="U12" s="187">
        <f>'Revenue Forecast'!U37</f>
        <v>0</v>
      </c>
      <c r="V12" s="187">
        <f>'Revenue Forecast'!V37</f>
        <v>106782</v>
      </c>
      <c r="W12" s="187">
        <f>'Revenue Forecast'!W37</f>
        <v>0</v>
      </c>
      <c r="X12" s="187">
        <f>'Revenue Forecast'!X37</f>
        <v>0</v>
      </c>
      <c r="Y12" s="187">
        <f>'Revenue Forecast'!Y37</f>
        <v>0</v>
      </c>
      <c r="Z12" s="187">
        <f>'Revenue Forecast'!Z37</f>
        <v>0</v>
      </c>
      <c r="AA12" s="187">
        <f>'Revenue Forecast'!AA37</f>
        <v>0</v>
      </c>
      <c r="AB12" s="187">
        <f>'Revenue Forecast'!AB37</f>
        <v>0</v>
      </c>
      <c r="AC12" s="187">
        <f>'Revenue Forecast'!AC37</f>
        <v>891566.4215</v>
      </c>
      <c r="AD12" s="187">
        <f>'Revenue Forecast'!AD37</f>
        <v>992677.1074</v>
      </c>
      <c r="AE12" s="187">
        <f>'Revenue Forecast'!AE37</f>
        <v>1105599.355</v>
      </c>
      <c r="AF12" s="187">
        <f>'Revenue Forecast'!AF37</f>
        <v>1206710.041</v>
      </c>
      <c r="AG12" s="187">
        <f>'Revenue Forecast'!AG37</f>
        <v>1352470.289</v>
      </c>
      <c r="AH12" s="187">
        <f>'Revenue Forecast'!AH37</f>
        <v>1510042.099</v>
      </c>
      <c r="AI12" s="187">
        <f>'Revenue Forecast'!AI37</f>
        <v>1688640.347</v>
      </c>
      <c r="AJ12" s="187">
        <f>'Revenue Forecast'!AJ37</f>
        <v>1879050.157</v>
      </c>
      <c r="AK12" s="187">
        <f>'Revenue Forecast'!AK37</f>
        <v>2081271.529</v>
      </c>
      <c r="AL12" s="187">
        <f>'Revenue Forecast'!AL37</f>
        <v>2316330.901</v>
      </c>
      <c r="AM12" s="187">
        <f>'Revenue Forecast'!AM37</f>
        <v>2563201.835</v>
      </c>
      <c r="AN12" s="187">
        <f>'Revenue Forecast'!AN37</f>
        <v>2887560.331</v>
      </c>
      <c r="AO12" s="187">
        <f>'Revenue Forecast'!AO37</f>
        <v>3204454.264</v>
      </c>
      <c r="AP12" s="187">
        <f>'Revenue Forecast'!AP37</f>
        <v>3541107.322</v>
      </c>
      <c r="AQ12" s="187">
        <f>'Revenue Forecast'!AQ37</f>
        <v>3955316.942</v>
      </c>
      <c r="AR12" s="187">
        <f>'Revenue Forecast'!AR37</f>
        <v>4414107.124</v>
      </c>
      <c r="AS12" s="187">
        <f>'Revenue Forecast'!AS37</f>
        <v>4917753.868</v>
      </c>
      <c r="AT12" s="187">
        <f>'Revenue Forecast'!AT37</f>
        <v>5466119.174</v>
      </c>
      <c r="AU12" s="187">
        <f>'Revenue Forecast'!AU37</f>
        <v>6092041.041</v>
      </c>
      <c r="AV12" s="187">
        <f>'Revenue Forecast'!AV37</f>
        <v>6795519.471</v>
      </c>
      <c r="AW12" s="187">
        <f>'Revenue Forecast'!AW37</f>
        <v>7588366.025</v>
      </c>
      <c r="AX12" s="187">
        <f>'Revenue Forecast'!AX37</f>
        <v>8437811.702</v>
      </c>
      <c r="AY12" s="187">
        <f>'Revenue Forecast'!AY37</f>
        <v>9397651.942</v>
      </c>
      <c r="AZ12" s="187">
        <f>'Revenue Forecast'!AZ37</f>
        <v>10491785.87</v>
      </c>
      <c r="BA12" s="189"/>
      <c r="BB12" s="190">
        <f t="shared" si="5"/>
        <v>97480</v>
      </c>
      <c r="BC12" s="190">
        <f t="shared" si="6"/>
        <v>106782</v>
      </c>
      <c r="BD12" s="190">
        <f>sum(AC12:AN12)</f>
        <v>20475120.41</v>
      </c>
      <c r="BE12" s="190">
        <f>sum(AO12:AZ12)</f>
        <v>74302034.74</v>
      </c>
      <c r="BF12" s="190">
        <f>sum(BF7:BF11)</f>
        <v>149052293.5</v>
      </c>
      <c r="BG12" s="191"/>
    </row>
    <row r="13" ht="15.0" customHeight="1">
      <c r="A13" s="121"/>
      <c r="B13" s="184"/>
      <c r="C13" s="174"/>
      <c r="D13" s="18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21"/>
      <c r="BB13" s="174"/>
      <c r="BC13" s="174"/>
      <c r="BD13" s="174"/>
      <c r="BE13" s="174"/>
      <c r="BF13" s="174"/>
      <c r="BG13" s="121"/>
    </row>
    <row r="14" ht="13.5" customHeight="1">
      <c r="A14" s="177"/>
      <c r="B14" s="178" t="s">
        <v>207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80"/>
      <c r="S14" s="181"/>
      <c r="T14" s="182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80"/>
      <c r="BA14" s="121"/>
      <c r="BB14" s="180"/>
      <c r="BC14" s="180"/>
      <c r="BD14" s="180"/>
      <c r="BE14" s="180"/>
      <c r="BF14" s="180"/>
      <c r="BG14" s="121"/>
    </row>
    <row r="15" ht="15.0" customHeight="1">
      <c r="A15" s="121"/>
      <c r="B15" s="175" t="s">
        <v>47</v>
      </c>
      <c r="C15" s="174"/>
      <c r="D15" s="174" t="s">
        <v>202</v>
      </c>
      <c r="E15" s="175" t="str">
        <f>COGS!E9</f>
        <v/>
      </c>
      <c r="F15" s="175" t="str">
        <f>COGS!F9</f>
        <v/>
      </c>
      <c r="G15" s="175" t="str">
        <f>COGS!G9</f>
        <v/>
      </c>
      <c r="H15" s="175" t="str">
        <f>COGS!H9</f>
        <v/>
      </c>
      <c r="I15" s="175" t="str">
        <f>COGS!I9</f>
        <v/>
      </c>
      <c r="J15" s="175" t="str">
        <f>COGS!J9</f>
        <v/>
      </c>
      <c r="K15" s="175" t="str">
        <f>COGS!K9</f>
        <v/>
      </c>
      <c r="L15" s="175" t="str">
        <f>COGS!L9</f>
        <v/>
      </c>
      <c r="M15" s="175" t="str">
        <f>COGS!M9</f>
        <v/>
      </c>
      <c r="N15" s="175" t="str">
        <f>COGS!N9</f>
        <v/>
      </c>
      <c r="O15" s="175" t="str">
        <f>COGS!O9</f>
        <v/>
      </c>
      <c r="P15" s="175" t="str">
        <f>COGS!P9</f>
        <v/>
      </c>
      <c r="Q15" s="175">
        <f>COGS!Q9</f>
        <v>0</v>
      </c>
      <c r="R15" s="175">
        <f>COGS!R9</f>
        <v>0</v>
      </c>
      <c r="S15" s="175">
        <f>COGS!S9</f>
        <v>0</v>
      </c>
      <c r="T15" s="175">
        <f>COGS!T9</f>
        <v>0</v>
      </c>
      <c r="U15" s="175">
        <f>COGS!U9</f>
        <v>0</v>
      </c>
      <c r="V15" s="175">
        <f>COGS!V9</f>
        <v>0</v>
      </c>
      <c r="W15" s="175">
        <f>COGS!W9</f>
        <v>0</v>
      </c>
      <c r="X15" s="175">
        <f>COGS!X9</f>
        <v>0</v>
      </c>
      <c r="Y15" s="175">
        <f>COGS!Y9</f>
        <v>0</v>
      </c>
      <c r="Z15" s="175">
        <f>COGS!Z9</f>
        <v>0</v>
      </c>
      <c r="AA15" s="175">
        <f>COGS!AA9</f>
        <v>0</v>
      </c>
      <c r="AB15" s="175">
        <f>COGS!AB9</f>
        <v>0</v>
      </c>
      <c r="AC15" s="175">
        <f>COGS!AC9</f>
        <v>226214.564</v>
      </c>
      <c r="AD15" s="175">
        <f>COGS!AD9</f>
        <v>248106.296</v>
      </c>
      <c r="AE15" s="175">
        <f>COGS!AE9</f>
        <v>277295.272</v>
      </c>
      <c r="AF15" s="175">
        <f>COGS!AF9</f>
        <v>299187.004</v>
      </c>
      <c r="AG15" s="175">
        <f>COGS!AG9</f>
        <v>328375.98</v>
      </c>
      <c r="AH15" s="175">
        <f>COGS!AH9</f>
        <v>364862.2</v>
      </c>
      <c r="AI15" s="175">
        <f>COGS!AI9</f>
        <v>394051.176</v>
      </c>
      <c r="AJ15" s="175">
        <f>COGS!AJ9</f>
        <v>430537.396</v>
      </c>
      <c r="AK15" s="175">
        <f>COGS!AK9</f>
        <v>474320.86</v>
      </c>
      <c r="AL15" s="175">
        <f>COGS!AL9</f>
        <v>518104.324</v>
      </c>
      <c r="AM15" s="175">
        <f>COGS!AM9</f>
        <v>569185.032</v>
      </c>
      <c r="AN15" s="175">
        <f>COGS!AN9</f>
        <v>627562.984</v>
      </c>
      <c r="AO15" s="175">
        <f>COGS!AO9</f>
        <v>678643.692</v>
      </c>
      <c r="AP15" s="175">
        <f>COGS!AP9</f>
        <v>744318.888</v>
      </c>
      <c r="AQ15" s="175">
        <f>COGS!AQ9</f>
        <v>817291.328</v>
      </c>
      <c r="AR15" s="175">
        <f>COGS!AR9</f>
        <v>897561.012</v>
      </c>
      <c r="AS15" s="175">
        <f>COGS!AS9</f>
        <v>985127.94</v>
      </c>
      <c r="AT15" s="175">
        <f>COGS!AT9</f>
        <v>1079992.112</v>
      </c>
      <c r="AU15" s="175">
        <f>COGS!AU9</f>
        <v>1182153.528</v>
      </c>
      <c r="AV15" s="175">
        <f>COGS!AV9</f>
        <v>1291612.188</v>
      </c>
      <c r="AW15" s="175">
        <f>COGS!AW9</f>
        <v>1415665.336</v>
      </c>
      <c r="AX15" s="175">
        <f>COGS!AX9</f>
        <v>1554312.972</v>
      </c>
      <c r="AY15" s="175">
        <f>COGS!AY9</f>
        <v>1700257.852</v>
      </c>
      <c r="AZ15" s="175">
        <f>COGS!AZ9</f>
        <v>1868094.464</v>
      </c>
      <c r="BA15" s="121"/>
      <c r="BB15" s="175">
        <f t="shared" ref="BB15:BB16" si="7">sum(E15:P15)</f>
        <v>0</v>
      </c>
      <c r="BC15" s="175">
        <f t="shared" ref="BC15:BC16" si="8">sum(Q15:AB15)</f>
        <v>0</v>
      </c>
      <c r="BD15" s="175">
        <f t="shared" ref="BD15:BD16" si="9">sum(AC15:AN15)</f>
        <v>4757803.088</v>
      </c>
      <c r="BE15" s="175">
        <f t="shared" ref="BE15:BE16" si="10">sum(AO15:AZ15)</f>
        <v>14215031.31</v>
      </c>
      <c r="BF15" s="175">
        <f>COGS!BF9</f>
        <v>20328548.8</v>
      </c>
      <c r="BG15" s="40"/>
    </row>
    <row r="16" ht="15.0" customHeight="1">
      <c r="A16" s="121"/>
      <c r="B16" s="192" t="s">
        <v>48</v>
      </c>
      <c r="C16" s="174"/>
      <c r="D16" s="174" t="s">
        <v>202</v>
      </c>
      <c r="E16" s="175" t="str">
        <f>COGS!E14</f>
        <v/>
      </c>
      <c r="F16" s="175" t="str">
        <f>COGS!F14</f>
        <v/>
      </c>
      <c r="G16" s="175" t="str">
        <f>COGS!G14</f>
        <v/>
      </c>
      <c r="H16" s="175" t="str">
        <f>COGS!H14</f>
        <v/>
      </c>
      <c r="I16" s="175" t="str">
        <f>COGS!I14</f>
        <v/>
      </c>
      <c r="J16" s="175" t="str">
        <f>COGS!J14</f>
        <v/>
      </c>
      <c r="K16" s="175" t="str">
        <f>COGS!K14</f>
        <v/>
      </c>
      <c r="L16" s="175" t="str">
        <f>COGS!L14</f>
        <v/>
      </c>
      <c r="M16" s="175" t="str">
        <f>COGS!M14</f>
        <v/>
      </c>
      <c r="N16" s="175" t="str">
        <f>COGS!N14</f>
        <v/>
      </c>
      <c r="O16" s="175" t="str">
        <f>COGS!O14</f>
        <v/>
      </c>
      <c r="P16" s="175" t="str">
        <f>COGS!P14</f>
        <v/>
      </c>
      <c r="Q16" s="175">
        <f>COGS!Q14</f>
        <v>0</v>
      </c>
      <c r="R16" s="175">
        <f>COGS!R14</f>
        <v>0</v>
      </c>
      <c r="S16" s="175">
        <f>COGS!S14</f>
        <v>0</v>
      </c>
      <c r="T16" s="175">
        <f>COGS!T14</f>
        <v>0</v>
      </c>
      <c r="U16" s="175">
        <f>COGS!U14</f>
        <v>0</v>
      </c>
      <c r="V16" s="175">
        <f>COGS!V14</f>
        <v>0</v>
      </c>
      <c r="W16" s="175">
        <f>COGS!W14</f>
        <v>0</v>
      </c>
      <c r="X16" s="175">
        <f>COGS!X14</f>
        <v>0</v>
      </c>
      <c r="Y16" s="175">
        <f>COGS!Y14</f>
        <v>0</v>
      </c>
      <c r="Z16" s="175">
        <f>COGS!Z14</f>
        <v>0</v>
      </c>
      <c r="AA16" s="175">
        <f>COGS!AA14</f>
        <v>0</v>
      </c>
      <c r="AB16" s="175">
        <f>COGS!AB14</f>
        <v>0</v>
      </c>
      <c r="AC16" s="175">
        <f>COGS!AC14</f>
        <v>137209.664</v>
      </c>
      <c r="AD16" s="175">
        <f>COGS!AD14</f>
        <v>154360.872</v>
      </c>
      <c r="AE16" s="175">
        <f>COGS!AE14</f>
        <v>171512.08</v>
      </c>
      <c r="AF16" s="175">
        <f>COGS!AF14</f>
        <v>188663.288</v>
      </c>
      <c r="AG16" s="175">
        <f>COGS!AG14</f>
        <v>214390.1</v>
      </c>
      <c r="AH16" s="175">
        <f>COGS!AH14</f>
        <v>240116.912</v>
      </c>
      <c r="AI16" s="175">
        <f>COGS!AI14</f>
        <v>274419.328</v>
      </c>
      <c r="AJ16" s="175">
        <f>COGS!AJ14</f>
        <v>308721.744</v>
      </c>
      <c r="AK16" s="175">
        <f>COGS!AK14</f>
        <v>343024.16</v>
      </c>
      <c r="AL16" s="175">
        <f>COGS!AL14</f>
        <v>385902.18</v>
      </c>
      <c r="AM16" s="175">
        <f>COGS!AM14</f>
        <v>428780.2</v>
      </c>
      <c r="AN16" s="175">
        <f>COGS!AN14</f>
        <v>488809.428</v>
      </c>
      <c r="AO16" s="175">
        <f>COGS!AO14</f>
        <v>548838.656</v>
      </c>
      <c r="AP16" s="175">
        <f>COGS!AP14</f>
        <v>608867.884</v>
      </c>
      <c r="AQ16" s="175">
        <f>COGS!AQ14</f>
        <v>686048.32</v>
      </c>
      <c r="AR16" s="175">
        <f>COGS!AR14</f>
        <v>771804.36</v>
      </c>
      <c r="AS16" s="175">
        <f>COGS!AS14</f>
        <v>866136.004</v>
      </c>
      <c r="AT16" s="175">
        <f>COGS!AT14</f>
        <v>969043.252</v>
      </c>
      <c r="AU16" s="175">
        <f>COGS!AU14</f>
        <v>1089101.708</v>
      </c>
      <c r="AV16" s="175">
        <f>COGS!AV14</f>
        <v>1226311.372</v>
      </c>
      <c r="AW16" s="175">
        <f>COGS!AW14</f>
        <v>1380672.244</v>
      </c>
      <c r="AX16" s="175">
        <f>COGS!AX14</f>
        <v>1543608.72</v>
      </c>
      <c r="AY16" s="175">
        <f>COGS!AY14</f>
        <v>1732272.008</v>
      </c>
      <c r="AZ16" s="175">
        <f>COGS!AZ14</f>
        <v>1946662.108</v>
      </c>
      <c r="BA16" s="121"/>
      <c r="BB16" s="175">
        <f t="shared" si="7"/>
        <v>0</v>
      </c>
      <c r="BC16" s="175">
        <f t="shared" si="8"/>
        <v>0</v>
      </c>
      <c r="BD16" s="175">
        <f t="shared" si="9"/>
        <v>3335909.956</v>
      </c>
      <c r="BE16" s="175">
        <f t="shared" si="10"/>
        <v>13369366.64</v>
      </c>
      <c r="BF16" s="175">
        <f>COGS!BF14</f>
        <v>19556937.86</v>
      </c>
      <c r="BG16" s="40"/>
    </row>
    <row r="17" ht="15.0" customHeight="1">
      <c r="A17" s="121"/>
      <c r="B17" s="192" t="s">
        <v>49</v>
      </c>
      <c r="C17" s="174"/>
      <c r="D17" s="174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>
        <f>COGS!Q19</f>
        <v>0</v>
      </c>
      <c r="R17" s="175">
        <f>COGS!R19</f>
        <v>0</v>
      </c>
      <c r="S17" s="175">
        <f>COGS!S19</f>
        <v>0</v>
      </c>
      <c r="T17" s="175">
        <f>COGS!T19</f>
        <v>0</v>
      </c>
      <c r="U17" s="175">
        <f>COGS!U19</f>
        <v>0</v>
      </c>
      <c r="V17" s="175">
        <f>COGS!V19</f>
        <v>0</v>
      </c>
      <c r="W17" s="175">
        <f>COGS!W19</f>
        <v>0</v>
      </c>
      <c r="X17" s="175">
        <f>COGS!X19</f>
        <v>0</v>
      </c>
      <c r="Y17" s="175">
        <f>COGS!Y19</f>
        <v>0</v>
      </c>
      <c r="Z17" s="175">
        <f>COGS!Z19</f>
        <v>0</v>
      </c>
      <c r="AA17" s="175">
        <f>COGS!AA19</f>
        <v>0</v>
      </c>
      <c r="AB17" s="175">
        <f>COGS!AB19</f>
        <v>0</v>
      </c>
      <c r="AC17" s="175">
        <f>COGS!AC19</f>
        <v>140797.504</v>
      </c>
      <c r="AD17" s="175">
        <f>COGS!AD19</f>
        <v>158397.192</v>
      </c>
      <c r="AE17" s="175">
        <f>COGS!AE19</f>
        <v>175996.88</v>
      </c>
      <c r="AF17" s="175">
        <f>COGS!AF19</f>
        <v>193596.568</v>
      </c>
      <c r="AG17" s="175">
        <f>COGS!AG19</f>
        <v>219996.1</v>
      </c>
      <c r="AH17" s="175">
        <f>COGS!AH19</f>
        <v>246395.632</v>
      </c>
      <c r="AI17" s="175">
        <f>COGS!AI19</f>
        <v>281595.008</v>
      </c>
      <c r="AJ17" s="175">
        <f>COGS!AJ19</f>
        <v>316794.384</v>
      </c>
      <c r="AK17" s="175">
        <f>COGS!AK19</f>
        <v>351993.76</v>
      </c>
      <c r="AL17" s="175">
        <f>COGS!AL19</f>
        <v>395992.98</v>
      </c>
      <c r="AM17" s="175">
        <f>COGS!AM19</f>
        <v>439992.2</v>
      </c>
      <c r="AN17" s="175">
        <f>COGS!AN19</f>
        <v>501591.108</v>
      </c>
      <c r="AO17" s="175">
        <f>COGS!AO19</f>
        <v>563190.016</v>
      </c>
      <c r="AP17" s="175">
        <f>COGS!AP19</f>
        <v>624788.924</v>
      </c>
      <c r="AQ17" s="175">
        <f>COGS!AQ19</f>
        <v>703987.52</v>
      </c>
      <c r="AR17" s="175">
        <f>COGS!AR19</f>
        <v>791985.96</v>
      </c>
      <c r="AS17" s="175">
        <f>COGS!AS19</f>
        <v>888784.244</v>
      </c>
      <c r="AT17" s="175">
        <f>COGS!AT19</f>
        <v>994382.372</v>
      </c>
      <c r="AU17" s="175">
        <f>COGS!AU19</f>
        <v>1117580.188</v>
      </c>
      <c r="AV17" s="175">
        <f>COGS!AV19</f>
        <v>1258377.692</v>
      </c>
      <c r="AW17" s="175">
        <f>COGS!AW19</f>
        <v>1416774.884</v>
      </c>
      <c r="AX17" s="175">
        <f>COGS!AX19</f>
        <v>1583971.92</v>
      </c>
      <c r="AY17" s="175">
        <f>COGS!AY19</f>
        <v>1777568.488</v>
      </c>
      <c r="AZ17" s="175">
        <f>COGS!AZ19</f>
        <v>1997564.588</v>
      </c>
      <c r="BA17" s="121"/>
      <c r="BB17" s="175" t="str">
        <f>COGS!BB19</f>
        <v/>
      </c>
      <c r="BC17" s="175">
        <f>COGS!BC19</f>
        <v>0</v>
      </c>
      <c r="BD17" s="175">
        <f>COGS!BD19</f>
        <v>3423139.316</v>
      </c>
      <c r="BE17" s="175">
        <f>COGS!BE19</f>
        <v>13718956.8</v>
      </c>
      <c r="BF17" s="175">
        <f>COGS!BF19</f>
        <v>20123260.2</v>
      </c>
      <c r="BG17" s="40"/>
    </row>
    <row r="18" ht="15.0" customHeight="1">
      <c r="A18" s="121"/>
      <c r="B18" s="175" t="s">
        <v>208</v>
      </c>
      <c r="C18" s="174"/>
      <c r="D18" s="174"/>
      <c r="E18" s="175" t="str">
        <f>COGS!E22</f>
        <v/>
      </c>
      <c r="F18" s="175" t="str">
        <f>COGS!F22</f>
        <v/>
      </c>
      <c r="G18" s="175" t="str">
        <f>COGS!G22</f>
        <v/>
      </c>
      <c r="H18" s="175" t="str">
        <f>COGS!H22</f>
        <v/>
      </c>
      <c r="I18" s="175" t="str">
        <f>COGS!I22</f>
        <v/>
      </c>
      <c r="J18" s="175" t="str">
        <f>COGS!J22</f>
        <v/>
      </c>
      <c r="K18" s="175" t="str">
        <f>COGS!K22</f>
        <v/>
      </c>
      <c r="L18" s="175" t="str">
        <f>COGS!L22</f>
        <v/>
      </c>
      <c r="M18" s="175" t="str">
        <f>COGS!M22</f>
        <v/>
      </c>
      <c r="N18" s="175" t="str">
        <f>COGS!N22</f>
        <v/>
      </c>
      <c r="O18" s="175" t="str">
        <f>COGS!O22</f>
        <v/>
      </c>
      <c r="P18" s="175" t="str">
        <f>COGS!P22</f>
        <v/>
      </c>
      <c r="Q18" s="175">
        <f>COGS!Q22+COGS!Q27</f>
        <v>0</v>
      </c>
      <c r="R18" s="175">
        <f>COGS!R22+COGS!R27</f>
        <v>0</v>
      </c>
      <c r="S18" s="175">
        <f>COGS!S22+COGS!S27</f>
        <v>0</v>
      </c>
      <c r="T18" s="175">
        <f>COGS!T22+COGS!T27</f>
        <v>0</v>
      </c>
      <c r="U18" s="175">
        <f>COGS!U22+COGS!U27</f>
        <v>0</v>
      </c>
      <c r="V18" s="175">
        <f>COGS!V22+COGS!V27</f>
        <v>0</v>
      </c>
      <c r="W18" s="175">
        <f>COGS!W22+COGS!W27</f>
        <v>0</v>
      </c>
      <c r="X18" s="175">
        <f>COGS!X22+COGS!X27</f>
        <v>0</v>
      </c>
      <c r="Y18" s="175">
        <f>COGS!Y22+COGS!Y27</f>
        <v>0</v>
      </c>
      <c r="Z18" s="175">
        <f>COGS!Z22+COGS!Z27</f>
        <v>0</v>
      </c>
      <c r="AA18" s="175">
        <f>COGS!AA22+COGS!AA27</f>
        <v>0</v>
      </c>
      <c r="AB18" s="175">
        <f>COGS!AB22+COGS!AB27</f>
        <v>0</v>
      </c>
      <c r="AC18" s="175">
        <f>COGS!AC22+COGS!AC27</f>
        <v>174234.805</v>
      </c>
      <c r="AD18" s="175">
        <f>COGS!AD22+COGS!AD27</f>
        <v>193961.5372</v>
      </c>
      <c r="AE18" s="175">
        <f>COGS!AE22+COGS!AE27</f>
        <v>216034.119</v>
      </c>
      <c r="AF18" s="175">
        <f>COGS!AF22+COGS!AF27</f>
        <v>235760.8512</v>
      </c>
      <c r="AG18" s="175">
        <f>COGS!AG22+COGS!AG27</f>
        <v>264178.0248</v>
      </c>
      <c r="AH18" s="175">
        <f>COGS!AH22+COGS!AH27</f>
        <v>294941.0479</v>
      </c>
      <c r="AI18" s="175">
        <f>COGS!AI22+COGS!AI27</f>
        <v>329702.8132</v>
      </c>
      <c r="AJ18" s="175">
        <f>COGS!AJ22+COGS!AJ27</f>
        <v>366810.4281</v>
      </c>
      <c r="AK18" s="175">
        <f>COGS!AK22+COGS!AK27</f>
        <v>406263.8926</v>
      </c>
      <c r="AL18" s="175">
        <f>COGS!AL22+COGS!AL27</f>
        <v>452061.9488</v>
      </c>
      <c r="AM18" s="175">
        <f>COGS!AM22+COGS!AM27</f>
        <v>500205.8545</v>
      </c>
      <c r="AN18" s="175">
        <f>COGS!AN22+COGS!AN27</f>
        <v>563384.7934</v>
      </c>
      <c r="AO18" s="175">
        <f>COGS!AO22+COGS!AO27</f>
        <v>626221.2826</v>
      </c>
      <c r="AP18" s="175">
        <f>COGS!AP22+COGS!AP27</f>
        <v>691968.6711</v>
      </c>
      <c r="AQ18" s="175">
        <f>COGS!AQ22+COGS!AQ27</f>
        <v>772782.8926</v>
      </c>
      <c r="AR18" s="175">
        <f>COGS!AR22+COGS!AR27</f>
        <v>862255.7554</v>
      </c>
      <c r="AS18" s="175">
        <f>COGS!AS22+COGS!AS27</f>
        <v>960514.4595</v>
      </c>
      <c r="AT18" s="175">
        <f>COGS!AT22+COGS!AT27</f>
        <v>1067495.405</v>
      </c>
      <c r="AU18" s="175">
        <f>COGS!AU22+COGS!AU27</f>
        <v>1189543.183</v>
      </c>
      <c r="AV18" s="175">
        <f>COGS!AV22+COGS!AV27</f>
        <v>1326657.795</v>
      </c>
      <c r="AW18" s="175">
        <f>COGS!AW22+COGS!AW27</f>
        <v>1481185.089</v>
      </c>
      <c r="AX18" s="175">
        <f>COGS!AX22+COGS!AX27</f>
        <v>1646812.274</v>
      </c>
      <c r="AY18" s="175">
        <f>COGS!AY22+COGS!AY27</f>
        <v>1833850.884</v>
      </c>
      <c r="AZ18" s="175">
        <f>COGS!AZ22+COGS!AZ27</f>
        <v>2047119.818</v>
      </c>
      <c r="BA18" s="121"/>
      <c r="BB18" s="175">
        <f t="shared" ref="BB18:BB19" si="11">sum(E18:P18)</f>
        <v>0</v>
      </c>
      <c r="BC18" s="175">
        <f t="shared" ref="BC18:BC19" si="12">sum(Q18:AB18)</f>
        <v>0</v>
      </c>
      <c r="BD18" s="175">
        <f t="shared" ref="BD18:BD19" si="13">sum(AC18:AN18)</f>
        <v>3997540.116</v>
      </c>
      <c r="BE18" s="175">
        <f t="shared" ref="BE18:BE19" si="14">sum(AO18:AZ18)</f>
        <v>14506407.51</v>
      </c>
      <c r="BF18" s="175">
        <f>COGS!BF22</f>
        <v>28599669.42</v>
      </c>
      <c r="BG18" s="40"/>
    </row>
    <row r="19" ht="12.75" customHeight="1">
      <c r="A19" s="186"/>
      <c r="B19" s="187" t="s">
        <v>209</v>
      </c>
      <c r="C19" s="188"/>
      <c r="D19" s="187" t="s">
        <v>202</v>
      </c>
      <c r="E19" s="187"/>
      <c r="F19" s="187"/>
      <c r="G19" s="187"/>
      <c r="H19" s="187"/>
      <c r="I19" s="187"/>
      <c r="J19" s="187"/>
      <c r="K19" s="187"/>
      <c r="L19" s="187"/>
      <c r="M19" s="187">
        <f>COGS!M29</f>
        <v>0</v>
      </c>
      <c r="N19" s="187">
        <f>COGS!N29</f>
        <v>0</v>
      </c>
      <c r="O19" s="187">
        <f>COGS!O29</f>
        <v>0</v>
      </c>
      <c r="P19" s="187">
        <f>COGS!P29</f>
        <v>0</v>
      </c>
      <c r="Q19" s="187">
        <f>COGS!Q29</f>
        <v>0</v>
      </c>
      <c r="R19" s="187">
        <f>COGS!R29</f>
        <v>0</v>
      </c>
      <c r="S19" s="187">
        <f>COGS!S29</f>
        <v>0</v>
      </c>
      <c r="T19" s="187">
        <f>COGS!T29</f>
        <v>0</v>
      </c>
      <c r="U19" s="187">
        <f>COGS!U29</f>
        <v>0</v>
      </c>
      <c r="V19" s="187">
        <f>COGS!V29</f>
        <v>0</v>
      </c>
      <c r="W19" s="187">
        <f>COGS!W29</f>
        <v>0</v>
      </c>
      <c r="X19" s="187">
        <f>COGS!X29</f>
        <v>0</v>
      </c>
      <c r="Y19" s="187">
        <f>COGS!Y29</f>
        <v>0</v>
      </c>
      <c r="Z19" s="187">
        <f>COGS!Z29</f>
        <v>0</v>
      </c>
      <c r="AA19" s="187">
        <f>COGS!AA29</f>
        <v>0</v>
      </c>
      <c r="AB19" s="187">
        <f>COGS!AB29</f>
        <v>0</v>
      </c>
      <c r="AC19" s="187">
        <f>COGS!AC29</f>
        <v>678456.537</v>
      </c>
      <c r="AD19" s="187">
        <f>COGS!AD29</f>
        <v>754825.8972</v>
      </c>
      <c r="AE19" s="187">
        <f>COGS!AE29</f>
        <v>840838.351</v>
      </c>
      <c r="AF19" s="187">
        <f>COGS!AF29</f>
        <v>917207.7112</v>
      </c>
      <c r="AG19" s="187">
        <f>COGS!AG29</f>
        <v>1026940.205</v>
      </c>
      <c r="AH19" s="187">
        <f>COGS!AH29</f>
        <v>1146315.792</v>
      </c>
      <c r="AI19" s="187">
        <f>COGS!AI29</f>
        <v>1279768.325</v>
      </c>
      <c r="AJ19" s="187">
        <f>COGS!AJ29</f>
        <v>1422863.952</v>
      </c>
      <c r="AK19" s="187">
        <f>COGS!AK29</f>
        <v>1575602.673</v>
      </c>
      <c r="AL19" s="187">
        <f>COGS!AL29</f>
        <v>1752061.433</v>
      </c>
      <c r="AM19" s="187">
        <f>COGS!AM29</f>
        <v>1938163.287</v>
      </c>
      <c r="AN19" s="187">
        <f>COGS!AN29</f>
        <v>2181348.313</v>
      </c>
      <c r="AO19" s="187">
        <f>COGS!AO29</f>
        <v>2416893.647</v>
      </c>
      <c r="AP19" s="187">
        <f>COGS!AP29</f>
        <v>2669944.367</v>
      </c>
      <c r="AQ19" s="187">
        <f>COGS!AQ29</f>
        <v>2980110.061</v>
      </c>
      <c r="AR19" s="187">
        <f>COGS!AR29</f>
        <v>3323607.087</v>
      </c>
      <c r="AS19" s="187">
        <f>COGS!AS29</f>
        <v>3700562.648</v>
      </c>
      <c r="AT19" s="187">
        <f>COGS!AT29</f>
        <v>4110913.141</v>
      </c>
      <c r="AU19" s="187">
        <f>COGS!AU29</f>
        <v>4578378.607</v>
      </c>
      <c r="AV19" s="187">
        <f>COGS!AV29</f>
        <v>5102959.047</v>
      </c>
      <c r="AW19" s="187">
        <f>COGS!AW29</f>
        <v>5694297.553</v>
      </c>
      <c r="AX19" s="187">
        <f>COGS!AX29</f>
        <v>6328705.886</v>
      </c>
      <c r="AY19" s="187">
        <f>COGS!AY29</f>
        <v>7043949.232</v>
      </c>
      <c r="AZ19" s="187">
        <f>COGS!AZ29</f>
        <v>7859440.978</v>
      </c>
      <c r="BA19" s="189"/>
      <c r="BB19" s="190">
        <f t="shared" si="11"/>
        <v>0</v>
      </c>
      <c r="BC19" s="190">
        <f t="shared" si="12"/>
        <v>0</v>
      </c>
      <c r="BD19" s="190">
        <f t="shared" si="13"/>
        <v>15514392.48</v>
      </c>
      <c r="BE19" s="190">
        <f t="shared" si="14"/>
        <v>55809762.25</v>
      </c>
      <c r="BF19" s="190">
        <f>sum(BF15:BF18)</f>
        <v>88608416.28</v>
      </c>
      <c r="BG19" s="191"/>
    </row>
    <row r="20" ht="12.75" customHeight="1">
      <c r="A20" s="177"/>
      <c r="B20" s="193"/>
      <c r="C20" s="174"/>
      <c r="D20" s="174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21"/>
      <c r="BB20" s="193"/>
      <c r="BC20" s="193"/>
      <c r="BD20" s="193"/>
      <c r="BE20" s="193"/>
      <c r="BF20" s="193"/>
      <c r="BG20" s="194"/>
    </row>
    <row r="21" ht="12.75" customHeight="1">
      <c r="A21" s="186"/>
      <c r="B21" s="187" t="s">
        <v>210</v>
      </c>
      <c r="C21" s="188"/>
      <c r="D21" s="188"/>
      <c r="E21" s="187"/>
      <c r="F21" s="187"/>
      <c r="G21" s="187"/>
      <c r="H21" s="187"/>
      <c r="I21" s="187"/>
      <c r="J21" s="187"/>
      <c r="K21" s="187"/>
      <c r="L21" s="187"/>
      <c r="M21" s="187">
        <f t="shared" ref="M21:AZ21" si="15">M12-M19</f>
        <v>0</v>
      </c>
      <c r="N21" s="187">
        <f t="shared" si="15"/>
        <v>19480</v>
      </c>
      <c r="O21" s="187">
        <f t="shared" si="15"/>
        <v>78000</v>
      </c>
      <c r="P21" s="187">
        <f t="shared" si="15"/>
        <v>0</v>
      </c>
      <c r="Q21" s="187">
        <f t="shared" si="15"/>
        <v>0</v>
      </c>
      <c r="R21" s="187">
        <f t="shared" si="15"/>
        <v>0</v>
      </c>
      <c r="S21" s="187">
        <f t="shared" si="15"/>
        <v>0</v>
      </c>
      <c r="T21" s="187">
        <f t="shared" si="15"/>
        <v>0</v>
      </c>
      <c r="U21" s="187">
        <f t="shared" si="15"/>
        <v>0</v>
      </c>
      <c r="V21" s="187">
        <f t="shared" si="15"/>
        <v>106782</v>
      </c>
      <c r="W21" s="187">
        <f t="shared" si="15"/>
        <v>0</v>
      </c>
      <c r="X21" s="187">
        <f t="shared" si="15"/>
        <v>0</v>
      </c>
      <c r="Y21" s="187">
        <f t="shared" si="15"/>
        <v>0</v>
      </c>
      <c r="Z21" s="187">
        <f t="shared" si="15"/>
        <v>0</v>
      </c>
      <c r="AA21" s="187">
        <f t="shared" si="15"/>
        <v>0</v>
      </c>
      <c r="AB21" s="187">
        <f t="shared" si="15"/>
        <v>0</v>
      </c>
      <c r="AC21" s="187">
        <f t="shared" si="15"/>
        <v>213109.8845</v>
      </c>
      <c r="AD21" s="187">
        <f t="shared" si="15"/>
        <v>237851.2102</v>
      </c>
      <c r="AE21" s="187">
        <f t="shared" si="15"/>
        <v>264761.0044</v>
      </c>
      <c r="AF21" s="187">
        <f t="shared" si="15"/>
        <v>289502.3301</v>
      </c>
      <c r="AG21" s="187">
        <f t="shared" si="15"/>
        <v>325530.0845</v>
      </c>
      <c r="AH21" s="187">
        <f t="shared" si="15"/>
        <v>363726.3072</v>
      </c>
      <c r="AI21" s="187">
        <f t="shared" si="15"/>
        <v>408872.0219</v>
      </c>
      <c r="AJ21" s="187">
        <f t="shared" si="15"/>
        <v>456186.2049</v>
      </c>
      <c r="AK21" s="187">
        <f t="shared" si="15"/>
        <v>505668.8564</v>
      </c>
      <c r="AL21" s="187">
        <f t="shared" si="15"/>
        <v>564269.4681</v>
      </c>
      <c r="AM21" s="187">
        <f t="shared" si="15"/>
        <v>625038.5482</v>
      </c>
      <c r="AN21" s="187">
        <f t="shared" si="15"/>
        <v>706212.0172</v>
      </c>
      <c r="AO21" s="187">
        <f t="shared" si="15"/>
        <v>787560.6178</v>
      </c>
      <c r="AP21" s="187">
        <f t="shared" si="15"/>
        <v>871162.9552</v>
      </c>
      <c r="AQ21" s="187">
        <f t="shared" si="15"/>
        <v>975206.8816</v>
      </c>
      <c r="AR21" s="187">
        <f t="shared" si="15"/>
        <v>1090500.037</v>
      </c>
      <c r="AS21" s="187">
        <f t="shared" si="15"/>
        <v>1217191.22</v>
      </c>
      <c r="AT21" s="187">
        <f t="shared" si="15"/>
        <v>1355206.033</v>
      </c>
      <c r="AU21" s="187">
        <f t="shared" si="15"/>
        <v>1513662.434</v>
      </c>
      <c r="AV21" s="187">
        <f t="shared" si="15"/>
        <v>1692560.424</v>
      </c>
      <c r="AW21" s="187">
        <f t="shared" si="15"/>
        <v>1894068.472</v>
      </c>
      <c r="AX21" s="187">
        <f t="shared" si="15"/>
        <v>2109105.816</v>
      </c>
      <c r="AY21" s="187">
        <f t="shared" si="15"/>
        <v>2353702.71</v>
      </c>
      <c r="AZ21" s="190">
        <f t="shared" si="15"/>
        <v>2632344.89</v>
      </c>
      <c r="BA21" s="189"/>
      <c r="BB21" s="190">
        <f>sum(E21:P21)</f>
        <v>97480</v>
      </c>
      <c r="BC21" s="190">
        <f>sum(Q21:AB21)</f>
        <v>106782</v>
      </c>
      <c r="BD21" s="190">
        <f>sum(AC21:AN21)</f>
        <v>4960727.938</v>
      </c>
      <c r="BE21" s="190">
        <f>sum(AO21:AZ21)</f>
        <v>18492272.49</v>
      </c>
      <c r="BF21" s="190">
        <f>BF12-BF19</f>
        <v>60443877.21</v>
      </c>
      <c r="BG21" s="191"/>
    </row>
    <row r="22" ht="15.0" customHeight="1">
      <c r="A22" s="195"/>
      <c r="B22" s="196" t="s">
        <v>211</v>
      </c>
      <c r="C22" s="197"/>
      <c r="D22" s="196" t="s">
        <v>44</v>
      </c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>
        <f t="shared" ref="BE22:BF22" si="16">BE21/BE12</f>
        <v>0.2488797588</v>
      </c>
      <c r="BF22" s="196">
        <f t="shared" si="16"/>
        <v>0.4055212824</v>
      </c>
      <c r="BG22" s="198"/>
    </row>
    <row r="23" ht="15.75" customHeight="1">
      <c r="A23" s="121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21"/>
      <c r="BB23" s="174"/>
      <c r="BC23" s="174"/>
      <c r="BD23" s="174"/>
      <c r="BE23" s="174"/>
      <c r="BF23" s="174"/>
      <c r="BG23" s="121"/>
    </row>
    <row r="24" ht="13.5" customHeight="1">
      <c r="A24" s="177"/>
      <c r="B24" s="178" t="s">
        <v>212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80"/>
      <c r="S24" s="181"/>
      <c r="T24" s="182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80"/>
      <c r="BA24" s="121"/>
      <c r="BB24" s="180"/>
      <c r="BC24" s="180"/>
      <c r="BD24" s="180"/>
      <c r="BE24" s="180"/>
      <c r="BF24" s="180"/>
      <c r="BG24" s="121"/>
    </row>
    <row r="25" ht="15.0" customHeight="1">
      <c r="A25" s="121"/>
      <c r="B25" s="175" t="s">
        <v>148</v>
      </c>
      <c r="C25" s="174"/>
      <c r="D25" s="174" t="s">
        <v>202</v>
      </c>
      <c r="E25" s="175"/>
      <c r="F25" s="175"/>
      <c r="G25" s="175"/>
      <c r="H25" s="175"/>
      <c r="I25" s="175"/>
      <c r="J25" s="175"/>
      <c r="K25" s="175"/>
      <c r="L25" s="175"/>
      <c r="M25" s="175">
        <f>OPEX!O38</f>
        <v>47500</v>
      </c>
      <c r="N25" s="175">
        <f>OPEX!P38</f>
        <v>47500</v>
      </c>
      <c r="O25" s="175">
        <f>OPEX!Q38</f>
        <v>47500</v>
      </c>
      <c r="P25" s="175">
        <f>OPEX!R38</f>
        <v>216433</v>
      </c>
      <c r="Q25" s="175">
        <f>OPEX!S38</f>
        <v>75700</v>
      </c>
      <c r="R25" s="175">
        <f>OPEX!T38</f>
        <v>75700</v>
      </c>
      <c r="S25" s="175">
        <f>OPEX!U38</f>
        <v>75700</v>
      </c>
      <c r="T25" s="175">
        <f>OPEX!V38</f>
        <v>75700</v>
      </c>
      <c r="U25" s="175">
        <f>OPEX!W38</f>
        <v>75700</v>
      </c>
      <c r="V25" s="175">
        <f>OPEX!X38</f>
        <v>75700</v>
      </c>
      <c r="W25" s="175">
        <f>OPEX!Y38</f>
        <v>83700</v>
      </c>
      <c r="X25" s="175">
        <f>OPEX!Z38</f>
        <v>89700</v>
      </c>
      <c r="Y25" s="175">
        <f>OPEX!AA38</f>
        <v>93700</v>
      </c>
      <c r="Z25" s="175">
        <f>OPEX!AB38</f>
        <v>194620</v>
      </c>
      <c r="AA25" s="175">
        <f>OPEX!AC38</f>
        <v>139620</v>
      </c>
      <c r="AB25" s="175">
        <f>OPEX!AD38</f>
        <v>94620</v>
      </c>
      <c r="AC25" s="175">
        <f>OPEX!AE38</f>
        <v>127069.6</v>
      </c>
      <c r="AD25" s="175">
        <f>OPEX!AF38</f>
        <v>127069.6</v>
      </c>
      <c r="AE25" s="175">
        <f>OPEX!AG38</f>
        <v>127069.6</v>
      </c>
      <c r="AF25" s="175">
        <f>OPEX!AH38</f>
        <v>127069.6</v>
      </c>
      <c r="AG25" s="175">
        <f>OPEX!AI38</f>
        <v>127069.6</v>
      </c>
      <c r="AH25" s="175">
        <f>OPEX!AJ38</f>
        <v>133569.6</v>
      </c>
      <c r="AI25" s="175">
        <f>OPEX!AK38</f>
        <v>134209.6</v>
      </c>
      <c r="AJ25" s="175">
        <f>OPEX!AL38</f>
        <v>134689.6</v>
      </c>
      <c r="AK25" s="175">
        <f>OPEX!AM38</f>
        <v>134689.6</v>
      </c>
      <c r="AL25" s="175">
        <f>OPEX!AN38</f>
        <v>134689.6</v>
      </c>
      <c r="AM25" s="175">
        <f>OPEX!AO38</f>
        <v>134689.6</v>
      </c>
      <c r="AN25" s="175">
        <f>OPEX!AP38</f>
        <v>134689.6</v>
      </c>
      <c r="AO25" s="175">
        <f>OPEX!AQ38</f>
        <v>150885.168</v>
      </c>
      <c r="AP25" s="175">
        <f>OPEX!AR38</f>
        <v>150885.168</v>
      </c>
      <c r="AQ25" s="175">
        <f>OPEX!AS38</f>
        <v>150885.168</v>
      </c>
      <c r="AR25" s="175">
        <f>OPEX!AT38</f>
        <v>150885.168</v>
      </c>
      <c r="AS25" s="175">
        <f>OPEX!AU38</f>
        <v>150885.168</v>
      </c>
      <c r="AT25" s="175">
        <f>OPEX!AV38</f>
        <v>151405.168</v>
      </c>
      <c r="AU25" s="175">
        <f>OPEX!AW38</f>
        <v>152096.368</v>
      </c>
      <c r="AV25" s="175">
        <f>OPEX!AX38</f>
        <v>152614.768</v>
      </c>
      <c r="AW25" s="175">
        <f>OPEX!AY38</f>
        <v>152614.768</v>
      </c>
      <c r="AX25" s="175">
        <f>OPEX!AZ38</f>
        <v>152614.768</v>
      </c>
      <c r="AY25" s="175">
        <f>OPEX!BA38</f>
        <v>152614.768</v>
      </c>
      <c r="AZ25" s="175">
        <f>OPEX!BB38</f>
        <v>152614.768</v>
      </c>
      <c r="BA25" s="121"/>
      <c r="BB25" s="175">
        <f t="shared" ref="BB25:BB28" si="17">sum(E25:P25)</f>
        <v>358933</v>
      </c>
      <c r="BC25" s="175">
        <f t="shared" ref="BC25:BC28" si="18">sum(Q25:AB25)</f>
        <v>1150160</v>
      </c>
      <c r="BD25" s="175">
        <f t="shared" ref="BD25:BD28" si="19">sum(AC25:AN25)</f>
        <v>1576575.2</v>
      </c>
      <c r="BE25" s="175">
        <f t="shared" ref="BE25:BE28" si="20">sum(AO25:AZ25)</f>
        <v>1821001.216</v>
      </c>
      <c r="BF25" s="175">
        <f>OPEX!BH38</f>
        <v>3056754.82</v>
      </c>
      <c r="BG25" s="40"/>
    </row>
    <row r="26" ht="15.75" customHeight="1">
      <c r="A26" s="121"/>
      <c r="B26" s="175" t="s">
        <v>145</v>
      </c>
      <c r="C26" s="174"/>
      <c r="D26" s="174" t="s">
        <v>202</v>
      </c>
      <c r="E26" s="175"/>
      <c r="F26" s="175"/>
      <c r="G26" s="175"/>
      <c r="H26" s="175"/>
      <c r="I26" s="175"/>
      <c r="J26" s="175"/>
      <c r="K26" s="175"/>
      <c r="L26" s="175"/>
      <c r="M26" s="175">
        <f>OPEX!O39</f>
        <v>0</v>
      </c>
      <c r="N26" s="175">
        <f>OPEX!P39</f>
        <v>0</v>
      </c>
      <c r="O26" s="175">
        <f>OPEX!Q39</f>
        <v>0</v>
      </c>
      <c r="P26" s="175">
        <f>OPEX!R39</f>
        <v>20000</v>
      </c>
      <c r="Q26" s="175">
        <f>OPEX!S39</f>
        <v>21000</v>
      </c>
      <c r="R26" s="175">
        <f>OPEX!T39</f>
        <v>31800</v>
      </c>
      <c r="S26" s="175">
        <f>OPEX!U39</f>
        <v>31800</v>
      </c>
      <c r="T26" s="175">
        <f>OPEX!V39</f>
        <v>31800</v>
      </c>
      <c r="U26" s="175">
        <f>OPEX!W39</f>
        <v>41800</v>
      </c>
      <c r="V26" s="175">
        <f>OPEX!X39</f>
        <v>41800</v>
      </c>
      <c r="W26" s="175">
        <f>OPEX!Y39</f>
        <v>31800</v>
      </c>
      <c r="X26" s="175">
        <f>OPEX!Z39</f>
        <v>40800</v>
      </c>
      <c r="Y26" s="175">
        <f>OPEX!AA39</f>
        <v>40800</v>
      </c>
      <c r="Z26" s="175">
        <f>OPEX!AB39</f>
        <v>50300</v>
      </c>
      <c r="AA26" s="175">
        <f>OPEX!AC39</f>
        <v>50300</v>
      </c>
      <c r="AB26" s="175">
        <f>OPEX!AD39</f>
        <v>50300</v>
      </c>
      <c r="AC26" s="175">
        <f>OPEX!AE39</f>
        <v>73564</v>
      </c>
      <c r="AD26" s="175">
        <f>OPEX!AF39</f>
        <v>76564</v>
      </c>
      <c r="AE26" s="175">
        <f>OPEX!AG39</f>
        <v>80164</v>
      </c>
      <c r="AF26" s="175">
        <f>OPEX!AH39</f>
        <v>83164</v>
      </c>
      <c r="AG26" s="175">
        <f>OPEX!AI39</f>
        <v>87364</v>
      </c>
      <c r="AH26" s="175">
        <f>OPEX!AJ39</f>
        <v>92164</v>
      </c>
      <c r="AI26" s="175">
        <f>OPEX!AK39</f>
        <v>96964</v>
      </c>
      <c r="AJ26" s="175">
        <f>OPEX!AL39</f>
        <v>103084</v>
      </c>
      <c r="AK26" s="175">
        <f>OPEX!AM39</f>
        <v>96484</v>
      </c>
      <c r="AL26" s="175">
        <f>OPEX!AN39</f>
        <v>102284</v>
      </c>
      <c r="AM26" s="175">
        <f>OPEX!AO39</f>
        <v>108044</v>
      </c>
      <c r="AN26" s="175">
        <f>OPEX!AP39</f>
        <v>115244</v>
      </c>
      <c r="AO26" s="175">
        <f>OPEX!AQ39</f>
        <v>128285.12</v>
      </c>
      <c r="AP26" s="175">
        <f>OPEX!AR39</f>
        <v>141929.12</v>
      </c>
      <c r="AQ26" s="175">
        <f>OPEX!AS39</f>
        <v>149225.12</v>
      </c>
      <c r="AR26" s="175">
        <f>OPEX!AT39</f>
        <v>157289.12</v>
      </c>
      <c r="AS26" s="175">
        <f>OPEX!AU39</f>
        <v>166121.12</v>
      </c>
      <c r="AT26" s="175">
        <f>OPEX!AV39</f>
        <v>175721.12</v>
      </c>
      <c r="AU26" s="175">
        <f>OPEX!AW39</f>
        <v>164277.92</v>
      </c>
      <c r="AV26" s="175">
        <f>OPEX!AX39</f>
        <v>174578.72</v>
      </c>
      <c r="AW26" s="175">
        <f>OPEX!AY39</f>
        <v>185330.72</v>
      </c>
      <c r="AX26" s="175">
        <f>OPEX!AZ39</f>
        <v>197565.92</v>
      </c>
      <c r="AY26" s="175">
        <f>OPEX!BA39</f>
        <v>210468.32</v>
      </c>
      <c r="AZ26" s="175">
        <f>OPEX!BB39</f>
        <v>195538.4</v>
      </c>
      <c r="BA26" s="121"/>
      <c r="BB26" s="175">
        <f t="shared" si="17"/>
        <v>20000</v>
      </c>
      <c r="BC26" s="175">
        <f t="shared" si="18"/>
        <v>464300</v>
      </c>
      <c r="BD26" s="175">
        <f t="shared" si="19"/>
        <v>1115088</v>
      </c>
      <c r="BE26" s="175">
        <f t="shared" si="20"/>
        <v>2046330.72</v>
      </c>
      <c r="BF26" s="175">
        <f>OPEX!BH39</f>
        <v>3286395.396</v>
      </c>
      <c r="BG26" s="40"/>
    </row>
    <row r="27" ht="15.75" customHeight="1">
      <c r="A27" s="121"/>
      <c r="B27" s="175" t="s">
        <v>141</v>
      </c>
      <c r="C27" s="174"/>
      <c r="D27" s="174" t="s">
        <v>202</v>
      </c>
      <c r="E27" s="175"/>
      <c r="F27" s="175"/>
      <c r="G27" s="175"/>
      <c r="H27" s="175"/>
      <c r="I27" s="175"/>
      <c r="J27" s="175"/>
      <c r="K27" s="175"/>
      <c r="L27" s="175"/>
      <c r="M27" s="175">
        <f>OPEX!O40</f>
        <v>11500</v>
      </c>
      <c r="N27" s="175">
        <f>OPEX!P40</f>
        <v>11500</v>
      </c>
      <c r="O27" s="175">
        <f>OPEX!Q40</f>
        <v>11500</v>
      </c>
      <c r="P27" s="175">
        <f>OPEX!R40</f>
        <v>11500</v>
      </c>
      <c r="Q27" s="175">
        <f>OPEX!S40</f>
        <v>31820</v>
      </c>
      <c r="R27" s="175">
        <f>OPEX!T40</f>
        <v>31820</v>
      </c>
      <c r="S27" s="175">
        <f>OPEX!U40</f>
        <v>31820</v>
      </c>
      <c r="T27" s="175">
        <f>OPEX!V40</f>
        <v>31820</v>
      </c>
      <c r="U27" s="175">
        <f>OPEX!W40</f>
        <v>31820</v>
      </c>
      <c r="V27" s="175">
        <f>OPEX!X40</f>
        <v>31820</v>
      </c>
      <c r="W27" s="175">
        <f>OPEX!Y40</f>
        <v>31820</v>
      </c>
      <c r="X27" s="175">
        <f>OPEX!Z40</f>
        <v>40820</v>
      </c>
      <c r="Y27" s="175">
        <f>OPEX!AA40</f>
        <v>45740</v>
      </c>
      <c r="Z27" s="175">
        <f>OPEX!AB40</f>
        <v>50920</v>
      </c>
      <c r="AA27" s="175">
        <f>OPEX!AC40</f>
        <v>50920</v>
      </c>
      <c r="AB27" s="175">
        <f>OPEX!AD40</f>
        <v>50920</v>
      </c>
      <c r="AC27" s="175">
        <f>OPEX!AE40</f>
        <v>68913.6</v>
      </c>
      <c r="AD27" s="175">
        <f>OPEX!AF40</f>
        <v>68913.6</v>
      </c>
      <c r="AE27" s="175">
        <f>OPEX!AG40</f>
        <v>68913.6</v>
      </c>
      <c r="AF27" s="175">
        <f>OPEX!AH40</f>
        <v>68913.6</v>
      </c>
      <c r="AG27" s="175">
        <f>OPEX!AI40</f>
        <v>68913.6</v>
      </c>
      <c r="AH27" s="175">
        <f>OPEX!AJ40</f>
        <v>68913.6</v>
      </c>
      <c r="AI27" s="175">
        <f>OPEX!AK40</f>
        <v>68913.6</v>
      </c>
      <c r="AJ27" s="175">
        <f>OPEX!AL40</f>
        <v>69633.6</v>
      </c>
      <c r="AK27" s="175">
        <f>OPEX!AM40</f>
        <v>69633.6</v>
      </c>
      <c r="AL27" s="175">
        <f>OPEX!AN40</f>
        <v>70393.6</v>
      </c>
      <c r="AM27" s="175">
        <f>OPEX!AO40</f>
        <v>70393.6</v>
      </c>
      <c r="AN27" s="175">
        <f>OPEX!AP40</f>
        <v>70393.6</v>
      </c>
      <c r="AO27" s="175">
        <f>OPEX!AQ40</f>
        <v>80146.688</v>
      </c>
      <c r="AP27" s="175">
        <f>OPEX!AR40</f>
        <v>87646.688</v>
      </c>
      <c r="AQ27" s="175">
        <f>OPEX!AS40</f>
        <v>87646.688</v>
      </c>
      <c r="AR27" s="175">
        <f>OPEX!AT40</f>
        <v>87646.688</v>
      </c>
      <c r="AS27" s="175">
        <f>OPEX!AU40</f>
        <v>87646.688</v>
      </c>
      <c r="AT27" s="175">
        <f>OPEX!AV40</f>
        <v>87646.688</v>
      </c>
      <c r="AU27" s="175">
        <f>OPEX!AW40</f>
        <v>87646.688</v>
      </c>
      <c r="AV27" s="175">
        <f>OPEX!AX40</f>
        <v>88424.288</v>
      </c>
      <c r="AW27" s="175">
        <f>OPEX!AY40</f>
        <v>88424.288</v>
      </c>
      <c r="AX27" s="175">
        <f>OPEX!AZ40</f>
        <v>89245.088</v>
      </c>
      <c r="AY27" s="175">
        <f>OPEX!BA40</f>
        <v>89245.088</v>
      </c>
      <c r="AZ27" s="175">
        <f>OPEX!BB40</f>
        <v>89245.088</v>
      </c>
      <c r="BA27" s="121"/>
      <c r="BB27" s="175">
        <f t="shared" si="17"/>
        <v>46000</v>
      </c>
      <c r="BC27" s="175">
        <f t="shared" si="18"/>
        <v>462060</v>
      </c>
      <c r="BD27" s="175">
        <f t="shared" si="19"/>
        <v>832843.2</v>
      </c>
      <c r="BE27" s="175">
        <f t="shared" si="20"/>
        <v>1050610.656</v>
      </c>
      <c r="BF27" s="175">
        <f>OPEX!BH40</f>
        <v>1307705.869</v>
      </c>
      <c r="BG27" s="40"/>
    </row>
    <row r="28" ht="12.75" customHeight="1">
      <c r="A28" s="177"/>
      <c r="B28" s="199" t="s">
        <v>213</v>
      </c>
      <c r="C28" s="200"/>
      <c r="D28" s="201" t="s">
        <v>202</v>
      </c>
      <c r="E28" s="199"/>
      <c r="F28" s="199"/>
      <c r="G28" s="199"/>
      <c r="H28" s="199"/>
      <c r="I28" s="199"/>
      <c r="J28" s="199"/>
      <c r="K28" s="199"/>
      <c r="L28" s="199"/>
      <c r="M28" s="199">
        <f t="shared" ref="M28:AZ28" si="21">(M27+M26+M25)</f>
        <v>59000</v>
      </c>
      <c r="N28" s="199">
        <f t="shared" si="21"/>
        <v>59000</v>
      </c>
      <c r="O28" s="199">
        <f t="shared" si="21"/>
        <v>59000</v>
      </c>
      <c r="P28" s="199">
        <f t="shared" si="21"/>
        <v>247933</v>
      </c>
      <c r="Q28" s="199">
        <f t="shared" si="21"/>
        <v>128520</v>
      </c>
      <c r="R28" s="202">
        <f t="shared" si="21"/>
        <v>139320</v>
      </c>
      <c r="S28" s="203">
        <f t="shared" si="21"/>
        <v>139320</v>
      </c>
      <c r="T28" s="204">
        <f t="shared" si="21"/>
        <v>139320</v>
      </c>
      <c r="U28" s="199">
        <f t="shared" si="21"/>
        <v>149320</v>
      </c>
      <c r="V28" s="199">
        <f t="shared" si="21"/>
        <v>149320</v>
      </c>
      <c r="W28" s="199">
        <f t="shared" si="21"/>
        <v>147320</v>
      </c>
      <c r="X28" s="199">
        <f t="shared" si="21"/>
        <v>171320</v>
      </c>
      <c r="Y28" s="199">
        <f t="shared" si="21"/>
        <v>180240</v>
      </c>
      <c r="Z28" s="199">
        <f t="shared" si="21"/>
        <v>295840</v>
      </c>
      <c r="AA28" s="199">
        <f t="shared" si="21"/>
        <v>240840</v>
      </c>
      <c r="AB28" s="199">
        <f t="shared" si="21"/>
        <v>195840</v>
      </c>
      <c r="AC28" s="199">
        <f t="shared" si="21"/>
        <v>269547.2</v>
      </c>
      <c r="AD28" s="199">
        <f t="shared" si="21"/>
        <v>272547.2</v>
      </c>
      <c r="AE28" s="199">
        <f t="shared" si="21"/>
        <v>276147.2</v>
      </c>
      <c r="AF28" s="199">
        <f t="shared" si="21"/>
        <v>279147.2</v>
      </c>
      <c r="AG28" s="199">
        <f t="shared" si="21"/>
        <v>283347.2</v>
      </c>
      <c r="AH28" s="199">
        <f t="shared" si="21"/>
        <v>294647.2</v>
      </c>
      <c r="AI28" s="199">
        <f t="shared" si="21"/>
        <v>300087.2</v>
      </c>
      <c r="AJ28" s="199">
        <f t="shared" si="21"/>
        <v>307407.2</v>
      </c>
      <c r="AK28" s="199">
        <f t="shared" si="21"/>
        <v>300807.2</v>
      </c>
      <c r="AL28" s="199">
        <f t="shared" si="21"/>
        <v>307367.2</v>
      </c>
      <c r="AM28" s="199">
        <f t="shared" si="21"/>
        <v>313127.2</v>
      </c>
      <c r="AN28" s="199">
        <f t="shared" si="21"/>
        <v>320327.2</v>
      </c>
      <c r="AO28" s="199">
        <f t="shared" si="21"/>
        <v>359316.976</v>
      </c>
      <c r="AP28" s="199">
        <f t="shared" si="21"/>
        <v>380460.976</v>
      </c>
      <c r="AQ28" s="199">
        <f t="shared" si="21"/>
        <v>387756.976</v>
      </c>
      <c r="AR28" s="199">
        <f t="shared" si="21"/>
        <v>395820.976</v>
      </c>
      <c r="AS28" s="199">
        <f t="shared" si="21"/>
        <v>404652.976</v>
      </c>
      <c r="AT28" s="199">
        <f t="shared" si="21"/>
        <v>414772.976</v>
      </c>
      <c r="AU28" s="199">
        <f t="shared" si="21"/>
        <v>404020.976</v>
      </c>
      <c r="AV28" s="199">
        <f t="shared" si="21"/>
        <v>415617.776</v>
      </c>
      <c r="AW28" s="199">
        <f t="shared" si="21"/>
        <v>426369.776</v>
      </c>
      <c r="AX28" s="199">
        <f t="shared" si="21"/>
        <v>439425.776</v>
      </c>
      <c r="AY28" s="199">
        <f t="shared" si="21"/>
        <v>452328.176</v>
      </c>
      <c r="AZ28" s="202">
        <f t="shared" si="21"/>
        <v>437398.256</v>
      </c>
      <c r="BA28" s="121"/>
      <c r="BB28" s="202">
        <f t="shared" si="17"/>
        <v>424933</v>
      </c>
      <c r="BC28" s="202">
        <f t="shared" si="18"/>
        <v>2076520</v>
      </c>
      <c r="BD28" s="202">
        <f t="shared" si="19"/>
        <v>3524506.4</v>
      </c>
      <c r="BE28" s="202">
        <f t="shared" si="20"/>
        <v>4917942.592</v>
      </c>
      <c r="BF28" s="202">
        <f>sum(BF25:BF27)</f>
        <v>7650856.084</v>
      </c>
      <c r="BG28" s="194"/>
    </row>
    <row r="29" ht="15.75" customHeight="1">
      <c r="A29" s="121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21"/>
      <c r="BB29" s="174"/>
      <c r="BC29" s="174"/>
      <c r="BD29" s="174"/>
      <c r="BE29" s="174"/>
      <c r="BF29" s="174"/>
      <c r="BG29" s="121"/>
    </row>
    <row r="30" ht="12.75" customHeight="1">
      <c r="A30" s="186"/>
      <c r="B30" s="187" t="s">
        <v>214</v>
      </c>
      <c r="C30" s="188"/>
      <c r="D30" s="187" t="s">
        <v>202</v>
      </c>
      <c r="E30" s="187"/>
      <c r="F30" s="187"/>
      <c r="G30" s="187"/>
      <c r="H30" s="187"/>
      <c r="I30" s="187"/>
      <c r="J30" s="187"/>
      <c r="K30" s="187"/>
      <c r="L30" s="187"/>
      <c r="M30" s="187">
        <f t="shared" ref="M30:AZ30" si="22">M21-M28</f>
        <v>-59000</v>
      </c>
      <c r="N30" s="187">
        <f t="shared" si="22"/>
        <v>-39520</v>
      </c>
      <c r="O30" s="187">
        <f t="shared" si="22"/>
        <v>19000</v>
      </c>
      <c r="P30" s="187">
        <f t="shared" si="22"/>
        <v>-247933</v>
      </c>
      <c r="Q30" s="187">
        <f t="shared" si="22"/>
        <v>-128520</v>
      </c>
      <c r="R30" s="187">
        <f t="shared" si="22"/>
        <v>-139320</v>
      </c>
      <c r="S30" s="187">
        <f t="shared" si="22"/>
        <v>-139320</v>
      </c>
      <c r="T30" s="187">
        <f t="shared" si="22"/>
        <v>-139320</v>
      </c>
      <c r="U30" s="187">
        <f t="shared" si="22"/>
        <v>-149320</v>
      </c>
      <c r="V30" s="187">
        <f t="shared" si="22"/>
        <v>-42538</v>
      </c>
      <c r="W30" s="187">
        <f t="shared" si="22"/>
        <v>-147320</v>
      </c>
      <c r="X30" s="187">
        <f t="shared" si="22"/>
        <v>-171320</v>
      </c>
      <c r="Y30" s="187">
        <f t="shared" si="22"/>
        <v>-180240</v>
      </c>
      <c r="Z30" s="187">
        <f t="shared" si="22"/>
        <v>-295840</v>
      </c>
      <c r="AA30" s="187">
        <f t="shared" si="22"/>
        <v>-240840</v>
      </c>
      <c r="AB30" s="187">
        <f t="shared" si="22"/>
        <v>-195840</v>
      </c>
      <c r="AC30" s="187">
        <f t="shared" si="22"/>
        <v>-56437.31547</v>
      </c>
      <c r="AD30" s="187">
        <f t="shared" si="22"/>
        <v>-34695.98975</v>
      </c>
      <c r="AE30" s="187">
        <f t="shared" si="22"/>
        <v>-11386.19564</v>
      </c>
      <c r="AF30" s="187">
        <f t="shared" si="22"/>
        <v>10355.13008</v>
      </c>
      <c r="AG30" s="187">
        <f t="shared" si="22"/>
        <v>42182.88446</v>
      </c>
      <c r="AH30" s="187">
        <f t="shared" si="22"/>
        <v>69079.10724</v>
      </c>
      <c r="AI30" s="187">
        <f t="shared" si="22"/>
        <v>108784.8219</v>
      </c>
      <c r="AJ30" s="187">
        <f t="shared" si="22"/>
        <v>148779.0049</v>
      </c>
      <c r="AK30" s="187">
        <f t="shared" si="22"/>
        <v>204861.6564</v>
      </c>
      <c r="AL30" s="187">
        <f t="shared" si="22"/>
        <v>256902.2681</v>
      </c>
      <c r="AM30" s="187">
        <f t="shared" si="22"/>
        <v>311911.3482</v>
      </c>
      <c r="AN30" s="187">
        <f t="shared" si="22"/>
        <v>385884.8172</v>
      </c>
      <c r="AO30" s="187">
        <f t="shared" si="22"/>
        <v>428243.6418</v>
      </c>
      <c r="AP30" s="187">
        <f t="shared" si="22"/>
        <v>490701.9792</v>
      </c>
      <c r="AQ30" s="187">
        <f t="shared" si="22"/>
        <v>587449.9056</v>
      </c>
      <c r="AR30" s="187">
        <f t="shared" si="22"/>
        <v>694679.0606</v>
      </c>
      <c r="AS30" s="187">
        <f t="shared" si="22"/>
        <v>812538.2443</v>
      </c>
      <c r="AT30" s="187">
        <f t="shared" si="22"/>
        <v>940433.0566</v>
      </c>
      <c r="AU30" s="187">
        <f t="shared" si="22"/>
        <v>1109641.458</v>
      </c>
      <c r="AV30" s="187">
        <f t="shared" si="22"/>
        <v>1276942.648</v>
      </c>
      <c r="AW30" s="187">
        <f t="shared" si="22"/>
        <v>1467698.696</v>
      </c>
      <c r="AX30" s="187">
        <f t="shared" si="22"/>
        <v>1669680.04</v>
      </c>
      <c r="AY30" s="187">
        <f t="shared" si="22"/>
        <v>1901374.534</v>
      </c>
      <c r="AZ30" s="190">
        <f t="shared" si="22"/>
        <v>2194946.634</v>
      </c>
      <c r="BA30" s="189"/>
      <c r="BB30" s="190">
        <f>sum(E30:P30)</f>
        <v>-327453</v>
      </c>
      <c r="BC30" s="190">
        <f>sum(Q30:AB30)</f>
        <v>-1969738</v>
      </c>
      <c r="BD30" s="190">
        <f>sum(AC30:AN30)</f>
        <v>1436221.538</v>
      </c>
      <c r="BE30" s="190">
        <f>sum(AO30:AZ30)</f>
        <v>13574329.9</v>
      </c>
      <c r="BF30" s="190">
        <f>BF21-BF28</f>
        <v>52793021.12</v>
      </c>
      <c r="BG30" s="191"/>
    </row>
    <row r="31" ht="15.75" customHeight="1">
      <c r="A31" s="195"/>
      <c r="B31" s="196" t="s">
        <v>215</v>
      </c>
      <c r="C31" s="197"/>
      <c r="D31" s="196" t="s">
        <v>44</v>
      </c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5"/>
      <c r="BB31" s="196"/>
      <c r="BC31" s="196"/>
      <c r="BD31" s="196"/>
      <c r="BE31" s="196">
        <f t="shared" ref="BE31:BF31" si="23">BE30/BE12</f>
        <v>0.182691227</v>
      </c>
      <c r="BF31" s="196">
        <f t="shared" si="23"/>
        <v>0.35419127</v>
      </c>
      <c r="BG31" s="198"/>
    </row>
    <row r="32" ht="15.75" customHeight="1">
      <c r="A32" s="205"/>
      <c r="B32" s="206"/>
      <c r="C32" s="207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5"/>
      <c r="BB32" s="206"/>
      <c r="BC32" s="206"/>
      <c r="BD32" s="206"/>
      <c r="BE32" s="206"/>
      <c r="BF32" s="206"/>
      <c r="BG32" s="208"/>
    </row>
    <row r="33" ht="15.75" customHeight="1">
      <c r="A33" s="121"/>
      <c r="B33" s="175" t="s">
        <v>216</v>
      </c>
      <c r="C33" s="174"/>
      <c r="D33" s="174" t="s">
        <v>202</v>
      </c>
      <c r="E33" s="175"/>
      <c r="F33" s="175"/>
      <c r="G33" s="175"/>
      <c r="H33" s="175"/>
      <c r="I33" s="175"/>
      <c r="J33" s="175"/>
      <c r="K33" s="175"/>
      <c r="L33" s="175"/>
      <c r="M33" s="175">
        <v>0.0</v>
      </c>
      <c r="N33" s="175">
        <v>0.0</v>
      </c>
      <c r="O33" s="175">
        <v>0.0</v>
      </c>
      <c r="P33" s="175">
        <v>0.0</v>
      </c>
      <c r="Q33" s="175">
        <v>0.0</v>
      </c>
      <c r="R33" s="175">
        <v>0.0</v>
      </c>
      <c r="S33" s="175">
        <v>0.0</v>
      </c>
      <c r="T33" s="175">
        <v>0.0</v>
      </c>
      <c r="U33" s="175">
        <v>0.0</v>
      </c>
      <c r="V33" s="175">
        <v>0.0</v>
      </c>
      <c r="W33" s="175">
        <v>0.0</v>
      </c>
      <c r="X33" s="175">
        <v>0.0</v>
      </c>
      <c r="Y33" s="175">
        <v>0.0</v>
      </c>
      <c r="Z33" s="175">
        <v>0.0</v>
      </c>
      <c r="AA33" s="175">
        <v>0.0</v>
      </c>
      <c r="AB33" s="175">
        <v>0.0</v>
      </c>
      <c r="AC33" s="175">
        <v>0.0</v>
      </c>
      <c r="AD33" s="175">
        <v>0.0</v>
      </c>
      <c r="AE33" s="175">
        <v>0.0</v>
      </c>
      <c r="AF33" s="175">
        <v>0.0</v>
      </c>
      <c r="AG33" s="175">
        <v>0.0</v>
      </c>
      <c r="AH33" s="175">
        <v>0.0</v>
      </c>
      <c r="AI33" s="175">
        <v>0.0</v>
      </c>
      <c r="AJ33" s="175">
        <v>0.0</v>
      </c>
      <c r="AK33" s="175">
        <v>0.0</v>
      </c>
      <c r="AL33" s="175">
        <v>0.0</v>
      </c>
      <c r="AM33" s="175">
        <v>0.0</v>
      </c>
      <c r="AN33" s="175">
        <v>0.0</v>
      </c>
      <c r="AO33" s="175">
        <v>0.0</v>
      </c>
      <c r="AP33" s="175">
        <v>0.0</v>
      </c>
      <c r="AQ33" s="175">
        <v>0.0</v>
      </c>
      <c r="AR33" s="175">
        <v>0.0</v>
      </c>
      <c r="AS33" s="175">
        <v>0.0</v>
      </c>
      <c r="AT33" s="175">
        <v>0.0</v>
      </c>
      <c r="AU33" s="175">
        <v>0.0</v>
      </c>
      <c r="AV33" s="175">
        <v>0.0</v>
      </c>
      <c r="AW33" s="175">
        <v>0.0</v>
      </c>
      <c r="AX33" s="175">
        <v>0.0</v>
      </c>
      <c r="AY33" s="175">
        <v>0.0</v>
      </c>
      <c r="AZ33" s="175">
        <v>0.0</v>
      </c>
      <c r="BA33" s="121"/>
      <c r="BB33" s="175">
        <f t="shared" ref="BB33:BB35" si="25">sum(E33:P33)</f>
        <v>0</v>
      </c>
      <c r="BC33" s="175">
        <f t="shared" ref="BC33:BC35" si="26">sum(Q33:AB33)</f>
        <v>0</v>
      </c>
      <c r="BD33" s="175">
        <f t="shared" ref="BD33:BD35" si="27">sum(AC33:AN33)</f>
        <v>0</v>
      </c>
      <c r="BE33" s="175">
        <f t="shared" ref="BE33:BE35" si="28">sum(AO33:AZ33)</f>
        <v>0</v>
      </c>
      <c r="BF33" s="175">
        <v>0.0</v>
      </c>
      <c r="BG33" s="40"/>
    </row>
    <row r="34" ht="15.75" customHeight="1">
      <c r="A34" s="121"/>
      <c r="B34" s="175" t="s">
        <v>217</v>
      </c>
      <c r="C34" s="174"/>
      <c r="D34" s="174" t="s">
        <v>202</v>
      </c>
      <c r="E34" s="175"/>
      <c r="F34" s="175"/>
      <c r="G34" s="175"/>
      <c r="H34" s="175"/>
      <c r="I34" s="175"/>
      <c r="J34" s="175"/>
      <c r="K34" s="175"/>
      <c r="L34" s="175"/>
      <c r="M34" s="175">
        <v>0.0</v>
      </c>
      <c r="N34" s="175">
        <v>0.0</v>
      </c>
      <c r="O34" s="175">
        <v>0.0</v>
      </c>
      <c r="P34" s="175">
        <v>0.0</v>
      </c>
      <c r="Q34" s="175">
        <f t="shared" ref="Q34:AZ34" si="24">P80*0.05/12</f>
        <v>0</v>
      </c>
      <c r="R34" s="175">
        <f t="shared" si="24"/>
        <v>0</v>
      </c>
      <c r="S34" s="175">
        <f t="shared" si="24"/>
        <v>0</v>
      </c>
      <c r="T34" s="175">
        <f t="shared" si="24"/>
        <v>0</v>
      </c>
      <c r="U34" s="175">
        <f t="shared" si="24"/>
        <v>0</v>
      </c>
      <c r="V34" s="175">
        <f t="shared" si="24"/>
        <v>0</v>
      </c>
      <c r="W34" s="175">
        <f t="shared" si="24"/>
        <v>0</v>
      </c>
      <c r="X34" s="175">
        <f t="shared" si="24"/>
        <v>0</v>
      </c>
      <c r="Y34" s="175">
        <f t="shared" si="24"/>
        <v>0</v>
      </c>
      <c r="Z34" s="175">
        <f t="shared" si="24"/>
        <v>0</v>
      </c>
      <c r="AA34" s="175">
        <f t="shared" si="24"/>
        <v>0</v>
      </c>
      <c r="AB34" s="175">
        <f t="shared" si="24"/>
        <v>0</v>
      </c>
      <c r="AC34" s="175">
        <f t="shared" si="24"/>
        <v>0</v>
      </c>
      <c r="AD34" s="175">
        <f t="shared" si="24"/>
        <v>187.425</v>
      </c>
      <c r="AE34" s="175">
        <f t="shared" si="24"/>
        <v>395.675</v>
      </c>
      <c r="AF34" s="175">
        <f t="shared" si="24"/>
        <v>627.725</v>
      </c>
      <c r="AG34" s="175">
        <f t="shared" si="24"/>
        <v>880.6</v>
      </c>
      <c r="AH34" s="175">
        <f t="shared" si="24"/>
        <v>1163.225</v>
      </c>
      <c r="AI34" s="175">
        <f t="shared" si="24"/>
        <v>1478.575</v>
      </c>
      <c r="AJ34" s="175">
        <f t="shared" si="24"/>
        <v>1829.625</v>
      </c>
      <c r="AK34" s="175">
        <f t="shared" si="24"/>
        <v>2219.35</v>
      </c>
      <c r="AL34" s="175">
        <f t="shared" si="24"/>
        <v>2650.725</v>
      </c>
      <c r="AM34" s="175">
        <f t="shared" si="24"/>
        <v>2975</v>
      </c>
      <c r="AN34" s="175">
        <f t="shared" si="24"/>
        <v>2975</v>
      </c>
      <c r="AO34" s="175">
        <f t="shared" si="24"/>
        <v>2975</v>
      </c>
      <c r="AP34" s="175">
        <f t="shared" si="24"/>
        <v>2975</v>
      </c>
      <c r="AQ34" s="175">
        <f t="shared" si="24"/>
        <v>2975</v>
      </c>
      <c r="AR34" s="175">
        <f t="shared" si="24"/>
        <v>2975</v>
      </c>
      <c r="AS34" s="175">
        <f t="shared" si="24"/>
        <v>2975</v>
      </c>
      <c r="AT34" s="175">
        <f t="shared" si="24"/>
        <v>2975</v>
      </c>
      <c r="AU34" s="175">
        <f t="shared" si="24"/>
        <v>2975</v>
      </c>
      <c r="AV34" s="175">
        <f t="shared" si="24"/>
        <v>2975</v>
      </c>
      <c r="AW34" s="175">
        <f t="shared" si="24"/>
        <v>2975</v>
      </c>
      <c r="AX34" s="175">
        <f t="shared" si="24"/>
        <v>2975</v>
      </c>
      <c r="AY34" s="175">
        <f t="shared" si="24"/>
        <v>2975</v>
      </c>
      <c r="AZ34" s="175">
        <f t="shared" si="24"/>
        <v>2975</v>
      </c>
      <c r="BA34" s="121"/>
      <c r="BB34" s="174">
        <f t="shared" si="25"/>
        <v>0</v>
      </c>
      <c r="BC34" s="174">
        <f t="shared" si="26"/>
        <v>0</v>
      </c>
      <c r="BD34" s="174">
        <f t="shared" si="27"/>
        <v>17382.925</v>
      </c>
      <c r="BE34" s="174">
        <f t="shared" si="28"/>
        <v>35700</v>
      </c>
      <c r="BF34" s="174">
        <f>BE80*0.05/12</f>
        <v>2975</v>
      </c>
      <c r="BG34" s="121"/>
    </row>
    <row r="35" ht="12.75" customHeight="1">
      <c r="A35" s="186"/>
      <c r="B35" s="187" t="s">
        <v>218</v>
      </c>
      <c r="C35" s="188"/>
      <c r="D35" s="187" t="s">
        <v>202</v>
      </c>
      <c r="E35" s="190"/>
      <c r="F35" s="190"/>
      <c r="G35" s="190"/>
      <c r="H35" s="190"/>
      <c r="I35" s="190"/>
      <c r="J35" s="190"/>
      <c r="K35" s="190"/>
      <c r="L35" s="190"/>
      <c r="M35" s="190">
        <f t="shared" ref="M35:AZ35" si="29">M30-sum(M33:M34)</f>
        <v>-59000</v>
      </c>
      <c r="N35" s="190">
        <f t="shared" si="29"/>
        <v>-39520</v>
      </c>
      <c r="O35" s="190">
        <f t="shared" si="29"/>
        <v>19000</v>
      </c>
      <c r="P35" s="190">
        <f t="shared" si="29"/>
        <v>-247933</v>
      </c>
      <c r="Q35" s="190">
        <f t="shared" si="29"/>
        <v>-128520</v>
      </c>
      <c r="R35" s="190">
        <f t="shared" si="29"/>
        <v>-139320</v>
      </c>
      <c r="S35" s="190">
        <f t="shared" si="29"/>
        <v>-139320</v>
      </c>
      <c r="T35" s="190">
        <f t="shared" si="29"/>
        <v>-139320</v>
      </c>
      <c r="U35" s="190">
        <f t="shared" si="29"/>
        <v>-149320</v>
      </c>
      <c r="V35" s="190">
        <f t="shared" si="29"/>
        <v>-42538</v>
      </c>
      <c r="W35" s="190">
        <f t="shared" si="29"/>
        <v>-147320</v>
      </c>
      <c r="X35" s="190">
        <f t="shared" si="29"/>
        <v>-171320</v>
      </c>
      <c r="Y35" s="190">
        <f t="shared" si="29"/>
        <v>-180240</v>
      </c>
      <c r="Z35" s="190">
        <f t="shared" si="29"/>
        <v>-295840</v>
      </c>
      <c r="AA35" s="190">
        <f t="shared" si="29"/>
        <v>-240840</v>
      </c>
      <c r="AB35" s="190">
        <f t="shared" si="29"/>
        <v>-195840</v>
      </c>
      <c r="AC35" s="190">
        <f t="shared" si="29"/>
        <v>-56437.31547</v>
      </c>
      <c r="AD35" s="190">
        <f t="shared" si="29"/>
        <v>-34883.41475</v>
      </c>
      <c r="AE35" s="190">
        <f t="shared" si="29"/>
        <v>-11781.87064</v>
      </c>
      <c r="AF35" s="190">
        <f t="shared" si="29"/>
        <v>9727.405083</v>
      </c>
      <c r="AG35" s="190">
        <f t="shared" si="29"/>
        <v>41302.28446</v>
      </c>
      <c r="AH35" s="190">
        <f t="shared" si="29"/>
        <v>67915.88224</v>
      </c>
      <c r="AI35" s="190">
        <f t="shared" si="29"/>
        <v>107306.2469</v>
      </c>
      <c r="AJ35" s="190">
        <f t="shared" si="29"/>
        <v>146949.3799</v>
      </c>
      <c r="AK35" s="190">
        <f t="shared" si="29"/>
        <v>202642.3064</v>
      </c>
      <c r="AL35" s="190">
        <f t="shared" si="29"/>
        <v>254251.5431</v>
      </c>
      <c r="AM35" s="190">
        <f t="shared" si="29"/>
        <v>308936.3482</v>
      </c>
      <c r="AN35" s="190">
        <f t="shared" si="29"/>
        <v>382909.8172</v>
      </c>
      <c r="AO35" s="190">
        <f t="shared" si="29"/>
        <v>425268.6418</v>
      </c>
      <c r="AP35" s="190">
        <f t="shared" si="29"/>
        <v>487726.9792</v>
      </c>
      <c r="AQ35" s="190">
        <f t="shared" si="29"/>
        <v>584474.9056</v>
      </c>
      <c r="AR35" s="190">
        <f t="shared" si="29"/>
        <v>691704.0606</v>
      </c>
      <c r="AS35" s="190">
        <f t="shared" si="29"/>
        <v>809563.2443</v>
      </c>
      <c r="AT35" s="190">
        <f t="shared" si="29"/>
        <v>937458.0566</v>
      </c>
      <c r="AU35" s="190">
        <f t="shared" si="29"/>
        <v>1106666.458</v>
      </c>
      <c r="AV35" s="190">
        <f t="shared" si="29"/>
        <v>1273967.648</v>
      </c>
      <c r="AW35" s="190">
        <f t="shared" si="29"/>
        <v>1464723.696</v>
      </c>
      <c r="AX35" s="190">
        <f t="shared" si="29"/>
        <v>1666705.04</v>
      </c>
      <c r="AY35" s="190">
        <f t="shared" si="29"/>
        <v>1898399.534</v>
      </c>
      <c r="AZ35" s="190">
        <f t="shared" si="29"/>
        <v>2191971.634</v>
      </c>
      <c r="BA35" s="189"/>
      <c r="BB35" s="190">
        <f t="shared" si="25"/>
        <v>-327453</v>
      </c>
      <c r="BC35" s="190">
        <f t="shared" si="26"/>
        <v>-1969738</v>
      </c>
      <c r="BD35" s="190">
        <f t="shared" si="27"/>
        <v>1418838.613</v>
      </c>
      <c r="BE35" s="190">
        <f t="shared" si="28"/>
        <v>13538629.9</v>
      </c>
      <c r="BF35" s="190">
        <f>BF30-sum(BF33:BF34)</f>
        <v>52790046.12</v>
      </c>
      <c r="BG35" s="191"/>
    </row>
    <row r="36" ht="15.75" customHeight="1">
      <c r="A36" s="121"/>
      <c r="B36" s="175"/>
      <c r="C36" s="174"/>
      <c r="D36" s="184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21"/>
      <c r="BB36" s="196"/>
      <c r="BC36" s="196"/>
      <c r="BD36" s="196"/>
      <c r="BE36" s="196">
        <f t="shared" ref="BE36:BF36" si="30">BE35/BE12</f>
        <v>0.1822107557</v>
      </c>
      <c r="BF36" s="196">
        <f t="shared" si="30"/>
        <v>0.3541713105</v>
      </c>
      <c r="BG36" s="40"/>
    </row>
    <row r="37" ht="15.75" customHeight="1">
      <c r="A37" s="121"/>
      <c r="B37" s="175"/>
      <c r="C37" s="174"/>
      <c r="D37" s="184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21"/>
      <c r="BB37" s="196"/>
      <c r="BC37" s="196"/>
      <c r="BD37" s="196"/>
      <c r="BE37" s="196"/>
      <c r="BF37" s="196"/>
      <c r="BG37" s="40"/>
    </row>
    <row r="38" ht="15.75" customHeight="1">
      <c r="A38" s="121"/>
      <c r="B38" s="175" t="s">
        <v>219</v>
      </c>
      <c r="C38" s="174"/>
      <c r="D38" s="174" t="s">
        <v>202</v>
      </c>
      <c r="E38" s="175"/>
      <c r="F38" s="175"/>
      <c r="G38" s="175"/>
      <c r="H38" s="175"/>
      <c r="I38" s="175"/>
      <c r="J38" s="175"/>
      <c r="K38" s="175"/>
      <c r="L38" s="175"/>
      <c r="M38" s="175">
        <v>0.0</v>
      </c>
      <c r="N38" s="175">
        <v>0.0</v>
      </c>
      <c r="O38" s="175">
        <v>0.0</v>
      </c>
      <c r="P38" s="175">
        <v>0.0</v>
      </c>
      <c r="Q38" s="175">
        <v>0.0</v>
      </c>
      <c r="R38" s="175">
        <v>0.0</v>
      </c>
      <c r="S38" s="175">
        <v>0.0</v>
      </c>
      <c r="T38" s="175">
        <v>0.0</v>
      </c>
      <c r="U38" s="175">
        <v>0.0</v>
      </c>
      <c r="V38" s="175">
        <v>0.0</v>
      </c>
      <c r="W38" s="175">
        <v>0.0</v>
      </c>
      <c r="X38" s="175">
        <v>0.0</v>
      </c>
      <c r="Y38" s="175">
        <v>0.0</v>
      </c>
      <c r="Z38" s="175">
        <v>0.0</v>
      </c>
      <c r="AA38" s="175">
        <v>0.0</v>
      </c>
      <c r="AB38" s="175">
        <v>0.0</v>
      </c>
      <c r="AC38" s="175">
        <v>0.0</v>
      </c>
      <c r="AD38" s="175">
        <v>0.0</v>
      </c>
      <c r="AE38" s="175">
        <v>0.0</v>
      </c>
      <c r="AF38" s="175">
        <v>0.0</v>
      </c>
      <c r="AG38" s="175">
        <v>0.0</v>
      </c>
      <c r="AH38" s="175">
        <v>0.0</v>
      </c>
      <c r="AI38" s="175">
        <v>0.0</v>
      </c>
      <c r="AJ38" s="175">
        <v>0.0</v>
      </c>
      <c r="AK38" s="175">
        <v>0.0</v>
      </c>
      <c r="AL38" s="175">
        <v>0.0</v>
      </c>
      <c r="AM38" s="175">
        <v>0.0</v>
      </c>
      <c r="AN38" s="175">
        <v>0.0</v>
      </c>
      <c r="AO38" s="175">
        <v>0.0</v>
      </c>
      <c r="AP38" s="175">
        <v>0.0</v>
      </c>
      <c r="AQ38" s="175">
        <v>0.0</v>
      </c>
      <c r="AR38" s="175">
        <v>0.0</v>
      </c>
      <c r="AS38" s="175">
        <v>0.0</v>
      </c>
      <c r="AT38" s="175">
        <v>0.0</v>
      </c>
      <c r="AU38" s="175">
        <v>0.0</v>
      </c>
      <c r="AV38" s="175">
        <v>0.0</v>
      </c>
      <c r="AW38" s="175">
        <v>0.0</v>
      </c>
      <c r="AX38" s="175">
        <v>0.0</v>
      </c>
      <c r="AY38" s="175">
        <v>0.0</v>
      </c>
      <c r="AZ38" s="175">
        <v>0.0</v>
      </c>
      <c r="BA38" s="121"/>
      <c r="BB38" s="175">
        <f t="shared" ref="BB38:BB39" si="32">sum(E38:P38)</f>
        <v>0</v>
      </c>
      <c r="BC38" s="175">
        <f t="shared" ref="BC38:BC39" si="33">sum(Q38:AB38)</f>
        <v>0</v>
      </c>
      <c r="BD38" s="175">
        <f t="shared" ref="BD38:BD39" si="34">sum(AC38:AN38)</f>
        <v>0</v>
      </c>
      <c r="BE38" s="175">
        <f t="shared" ref="BE38:BE39" si="35">sum(AO38:AZ38)</f>
        <v>0</v>
      </c>
      <c r="BF38" s="175">
        <f>(BF35-AZ42)*Assumptions!$C$10</f>
        <v>14438552.23</v>
      </c>
      <c r="BG38" s="40"/>
    </row>
    <row r="39" ht="12.75" customHeight="1">
      <c r="A39" s="186"/>
      <c r="B39" s="187" t="s">
        <v>220</v>
      </c>
      <c r="C39" s="188"/>
      <c r="D39" s="187" t="s">
        <v>202</v>
      </c>
      <c r="E39" s="190"/>
      <c r="F39" s="190"/>
      <c r="G39" s="190"/>
      <c r="H39" s="190"/>
      <c r="I39" s="190"/>
      <c r="J39" s="190"/>
      <c r="K39" s="190"/>
      <c r="L39" s="190"/>
      <c r="M39" s="190">
        <f t="shared" ref="M39:AZ39" si="31">M35-M38</f>
        <v>-59000</v>
      </c>
      <c r="N39" s="190">
        <f t="shared" si="31"/>
        <v>-39520</v>
      </c>
      <c r="O39" s="190">
        <f t="shared" si="31"/>
        <v>19000</v>
      </c>
      <c r="P39" s="190">
        <f t="shared" si="31"/>
        <v>-247933</v>
      </c>
      <c r="Q39" s="190">
        <f t="shared" si="31"/>
        <v>-128520</v>
      </c>
      <c r="R39" s="190">
        <f t="shared" si="31"/>
        <v>-139320</v>
      </c>
      <c r="S39" s="190">
        <f t="shared" si="31"/>
        <v>-139320</v>
      </c>
      <c r="T39" s="190">
        <f t="shared" si="31"/>
        <v>-139320</v>
      </c>
      <c r="U39" s="190">
        <f t="shared" si="31"/>
        <v>-149320</v>
      </c>
      <c r="V39" s="190">
        <f t="shared" si="31"/>
        <v>-42538</v>
      </c>
      <c r="W39" s="190">
        <f t="shared" si="31"/>
        <v>-147320</v>
      </c>
      <c r="X39" s="190">
        <f t="shared" si="31"/>
        <v>-171320</v>
      </c>
      <c r="Y39" s="190">
        <f t="shared" si="31"/>
        <v>-180240</v>
      </c>
      <c r="Z39" s="190">
        <f t="shared" si="31"/>
        <v>-295840</v>
      </c>
      <c r="AA39" s="190">
        <f t="shared" si="31"/>
        <v>-240840</v>
      </c>
      <c r="AB39" s="190">
        <f t="shared" si="31"/>
        <v>-195840</v>
      </c>
      <c r="AC39" s="190">
        <f t="shared" si="31"/>
        <v>-56437.31547</v>
      </c>
      <c r="AD39" s="190">
        <f t="shared" si="31"/>
        <v>-34883.41475</v>
      </c>
      <c r="AE39" s="190">
        <f t="shared" si="31"/>
        <v>-11781.87064</v>
      </c>
      <c r="AF39" s="190">
        <f t="shared" si="31"/>
        <v>9727.405083</v>
      </c>
      <c r="AG39" s="190">
        <f t="shared" si="31"/>
        <v>41302.28446</v>
      </c>
      <c r="AH39" s="190">
        <f t="shared" si="31"/>
        <v>67915.88224</v>
      </c>
      <c r="AI39" s="190">
        <f t="shared" si="31"/>
        <v>107306.2469</v>
      </c>
      <c r="AJ39" s="190">
        <f t="shared" si="31"/>
        <v>146949.3799</v>
      </c>
      <c r="AK39" s="190">
        <f t="shared" si="31"/>
        <v>202642.3064</v>
      </c>
      <c r="AL39" s="190">
        <f t="shared" si="31"/>
        <v>254251.5431</v>
      </c>
      <c r="AM39" s="190">
        <f t="shared" si="31"/>
        <v>308936.3482</v>
      </c>
      <c r="AN39" s="190">
        <f t="shared" si="31"/>
        <v>382909.8172</v>
      </c>
      <c r="AO39" s="190">
        <f t="shared" si="31"/>
        <v>425268.6418</v>
      </c>
      <c r="AP39" s="190">
        <f t="shared" si="31"/>
        <v>487726.9792</v>
      </c>
      <c r="AQ39" s="190">
        <f t="shared" si="31"/>
        <v>584474.9056</v>
      </c>
      <c r="AR39" s="190">
        <f t="shared" si="31"/>
        <v>691704.0606</v>
      </c>
      <c r="AS39" s="190">
        <f t="shared" si="31"/>
        <v>809563.2443</v>
      </c>
      <c r="AT39" s="190">
        <f t="shared" si="31"/>
        <v>937458.0566</v>
      </c>
      <c r="AU39" s="190">
        <f t="shared" si="31"/>
        <v>1106666.458</v>
      </c>
      <c r="AV39" s="190">
        <f t="shared" si="31"/>
        <v>1273967.648</v>
      </c>
      <c r="AW39" s="190">
        <f t="shared" si="31"/>
        <v>1464723.696</v>
      </c>
      <c r="AX39" s="190">
        <f t="shared" si="31"/>
        <v>1666705.04</v>
      </c>
      <c r="AY39" s="190">
        <f t="shared" si="31"/>
        <v>1898399.534</v>
      </c>
      <c r="AZ39" s="190">
        <f t="shared" si="31"/>
        <v>2191971.634</v>
      </c>
      <c r="BA39" s="189"/>
      <c r="BB39" s="190">
        <f t="shared" si="32"/>
        <v>-327453</v>
      </c>
      <c r="BC39" s="190">
        <f t="shared" si="33"/>
        <v>-1969738</v>
      </c>
      <c r="BD39" s="190">
        <f t="shared" si="34"/>
        <v>1418838.613</v>
      </c>
      <c r="BE39" s="190">
        <f t="shared" si="35"/>
        <v>13538629.9</v>
      </c>
      <c r="BF39" s="190">
        <f>BF35-BF38</f>
        <v>38351493.9</v>
      </c>
      <c r="BG39" s="191"/>
    </row>
    <row r="40" ht="15.75" customHeight="1">
      <c r="A40" s="121"/>
      <c r="B40" s="209" t="s">
        <v>221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21"/>
      <c r="BB40" s="174"/>
      <c r="BC40" s="174"/>
      <c r="BD40" s="197"/>
      <c r="BE40" s="196">
        <f t="shared" ref="BE40:BF40" si="36">BE39/BE12</f>
        <v>0.1822107557</v>
      </c>
      <c r="BF40" s="196">
        <f t="shared" si="36"/>
        <v>0.2573022729</v>
      </c>
      <c r="BG40" s="121"/>
    </row>
    <row r="41" ht="15.75" customHeight="1">
      <c r="A41" s="121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21"/>
      <c r="BB41" s="174"/>
      <c r="BC41" s="174"/>
      <c r="BD41" s="174"/>
      <c r="BE41" s="174"/>
      <c r="BF41" s="174"/>
      <c r="BG41" s="121"/>
    </row>
    <row r="42" ht="15.75" customHeight="1">
      <c r="A42" s="210"/>
      <c r="B42" s="210" t="s">
        <v>222</v>
      </c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1">
        <v>108239.0</v>
      </c>
      <c r="N42" s="211">
        <f>M42+(-N39*Assumptions!$C$10)</f>
        <v>118435.16</v>
      </c>
      <c r="O42" s="211">
        <f>N42+(-O39*Assumptions!$C$10)</f>
        <v>113533.16</v>
      </c>
      <c r="P42" s="211">
        <f>O42+(-P39*Assumptions!$C$10)</f>
        <v>177499.874</v>
      </c>
      <c r="Q42" s="211">
        <f>P42+(-Q39*Assumptions!$C$10)</f>
        <v>210658.034</v>
      </c>
      <c r="R42" s="211">
        <f>Q42+(-R39*Assumptions!$C$10)</f>
        <v>246602.594</v>
      </c>
      <c r="S42" s="211">
        <f>R42+(-S39*Assumptions!$C$10)</f>
        <v>282547.154</v>
      </c>
      <c r="T42" s="211">
        <f>S42+(-T39*Assumptions!$C$10)</f>
        <v>318491.714</v>
      </c>
      <c r="U42" s="211">
        <f>T42+(-U39*Assumptions!$C$10)</f>
        <v>357016.274</v>
      </c>
      <c r="V42" s="211">
        <f>U42+(-V39*Assumptions!$C$10)</f>
        <v>367991.078</v>
      </c>
      <c r="W42" s="211">
        <f>V42+(-W39*Assumptions!$C$10)</f>
        <v>405999.638</v>
      </c>
      <c r="X42" s="211">
        <f>W42+(-X39*Assumptions!$C$10)</f>
        <v>450200.198</v>
      </c>
      <c r="Y42" s="211">
        <f>X42+(-Y39*Assumptions!$C$10)</f>
        <v>496702.118</v>
      </c>
      <c r="Z42" s="211">
        <f>Y42+(-Z39*Assumptions!$C$10)</f>
        <v>573028.838</v>
      </c>
      <c r="AA42" s="211">
        <f>Z42+(-AA39*Assumptions!$C$10)</f>
        <v>635165.558</v>
      </c>
      <c r="AB42" s="211">
        <f>AA42+(-AB39*Assumptions!$C$10)</f>
        <v>685692.278</v>
      </c>
      <c r="AC42" s="211">
        <f>AB42+(-AC39*Assumptions!$C$10)</f>
        <v>700253.1054</v>
      </c>
      <c r="AD42" s="211">
        <f>AC42+(-AD39*Assumptions!$C$10)</f>
        <v>709253.0264</v>
      </c>
      <c r="AE42" s="211">
        <f>AD42+(-AE39*Assumptions!$C$10)</f>
        <v>712292.749</v>
      </c>
      <c r="AF42" s="211">
        <f>AE42+(-AF39*Assumptions!$C$10)</f>
        <v>709783.0785</v>
      </c>
      <c r="AG42" s="211">
        <f>AF42+(-AG39*Assumptions!$C$10)</f>
        <v>699127.0891</v>
      </c>
      <c r="AH42" s="211">
        <f>AG42+(-AH39*Assumptions!$C$10)</f>
        <v>681604.7915</v>
      </c>
      <c r="AI42" s="211">
        <f>AH42+(-AI39*Assumptions!$C$10)</f>
        <v>653919.7798</v>
      </c>
      <c r="AJ42" s="211">
        <f>AI42+(-AJ39*Assumptions!$C$10)</f>
        <v>616006.8398</v>
      </c>
      <c r="AK42" s="211">
        <f>AJ42+(-AK39*Assumptions!$C$10)</f>
        <v>563725.1247</v>
      </c>
      <c r="AL42" s="211">
        <f>AK42+(-AL39*Assumptions!$C$10)</f>
        <v>498128.2266</v>
      </c>
      <c r="AM42" s="211">
        <f>AL42+(-AM39*Assumptions!$C$10)</f>
        <v>418422.6488</v>
      </c>
      <c r="AN42" s="211">
        <f>AM42+(-AN39*Assumptions!$C$10)</f>
        <v>319631.916</v>
      </c>
      <c r="AO42" s="211">
        <f>AN42+(-AO39*Assumptions!$C$10)</f>
        <v>209912.6064</v>
      </c>
      <c r="AP42" s="211">
        <f>AO42+(-AP39*Assumptions!$C$10)</f>
        <v>84079.04574</v>
      </c>
      <c r="AQ42" s="211">
        <f>AP42+(-AQ39*Assumptions!$C$10)</f>
        <v>-66715.4799</v>
      </c>
      <c r="AR42" s="211">
        <f>AQ42+(-AR39*Assumptions!$C$10)</f>
        <v>-245175.1275</v>
      </c>
      <c r="AS42" s="211">
        <f>AR42+(-AS39*Assumptions!$C$10)</f>
        <v>-454042.4446</v>
      </c>
      <c r="AT42" s="211">
        <f>AS42+(-AT39*Assumptions!$C$10)</f>
        <v>-695906.6232</v>
      </c>
      <c r="AU42" s="211">
        <f>AT42+(-AU39*Assumptions!$C$10)</f>
        <v>-981426.5693</v>
      </c>
      <c r="AV42" s="211">
        <f>AU42+(-AV39*Assumptions!$C$10)</f>
        <v>-1310110.222</v>
      </c>
      <c r="AW42" s="211">
        <f>AV42+(-AW39*Assumptions!$C$10)</f>
        <v>-1688008.936</v>
      </c>
      <c r="AX42" s="211">
        <f>AW42+(-AX39*Assumptions!$C$10)</f>
        <v>-2118018.836</v>
      </c>
      <c r="AY42" s="211">
        <f>AX42+(-AY39*Assumptions!$C$10)</f>
        <v>-2607805.916</v>
      </c>
      <c r="AZ42" s="211">
        <f>AY42+(-AZ39*Assumptions!$C$10)</f>
        <v>-3173334.597</v>
      </c>
      <c r="BA42" s="210"/>
      <c r="BB42" s="211"/>
      <c r="BC42" s="211"/>
      <c r="BD42" s="211"/>
      <c r="BE42" s="211"/>
      <c r="BF42" s="211"/>
      <c r="BG42" s="210"/>
    </row>
    <row r="43" ht="15.75" customHeight="1">
      <c r="A43" s="121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21"/>
      <c r="BB43" s="174"/>
      <c r="BC43" s="174"/>
      <c r="BD43" s="174"/>
      <c r="BE43" s="174"/>
      <c r="BF43" s="174"/>
      <c r="BG43" s="121"/>
    </row>
    <row r="44" ht="15.75" customHeight="1">
      <c r="A44" s="175"/>
      <c r="B44" s="193" t="s">
        <v>223</v>
      </c>
      <c r="C44" s="175"/>
      <c r="D44" s="175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75"/>
      <c r="BB44" s="193"/>
      <c r="BC44" s="193"/>
      <c r="BD44" s="193"/>
      <c r="BE44" s="193"/>
      <c r="BF44" s="193"/>
      <c r="BG44" s="193"/>
    </row>
    <row r="45" ht="15.75" customHeight="1">
      <c r="A45" s="121"/>
      <c r="B45" s="175" t="s">
        <v>224</v>
      </c>
      <c r="C45" s="174"/>
      <c r="D45" s="174" t="s">
        <v>202</v>
      </c>
      <c r="E45" s="212"/>
      <c r="F45" s="212"/>
      <c r="G45" s="212"/>
      <c r="H45" s="212"/>
      <c r="I45" s="212"/>
      <c r="J45" s="212"/>
      <c r="K45" s="212"/>
      <c r="L45" s="212"/>
      <c r="M45" s="175">
        <f t="shared" ref="M45:AZ45" si="37">M39</f>
        <v>-59000</v>
      </c>
      <c r="N45" s="175">
        <f t="shared" si="37"/>
        <v>-39520</v>
      </c>
      <c r="O45" s="175">
        <f t="shared" si="37"/>
        <v>19000</v>
      </c>
      <c r="P45" s="175">
        <f t="shared" si="37"/>
        <v>-247933</v>
      </c>
      <c r="Q45" s="175">
        <f t="shared" si="37"/>
        <v>-128520</v>
      </c>
      <c r="R45" s="175">
        <f t="shared" si="37"/>
        <v>-139320</v>
      </c>
      <c r="S45" s="175">
        <f t="shared" si="37"/>
        <v>-139320</v>
      </c>
      <c r="T45" s="175">
        <f t="shared" si="37"/>
        <v>-139320</v>
      </c>
      <c r="U45" s="175">
        <f t="shared" si="37"/>
        <v>-149320</v>
      </c>
      <c r="V45" s="175">
        <f t="shared" si="37"/>
        <v>-42538</v>
      </c>
      <c r="W45" s="175">
        <f t="shared" si="37"/>
        <v>-147320</v>
      </c>
      <c r="X45" s="175">
        <f t="shared" si="37"/>
        <v>-171320</v>
      </c>
      <c r="Y45" s="175">
        <f t="shared" si="37"/>
        <v>-180240</v>
      </c>
      <c r="Z45" s="175">
        <f t="shared" si="37"/>
        <v>-295840</v>
      </c>
      <c r="AA45" s="175">
        <f t="shared" si="37"/>
        <v>-240840</v>
      </c>
      <c r="AB45" s="175">
        <f t="shared" si="37"/>
        <v>-195840</v>
      </c>
      <c r="AC45" s="175">
        <f t="shared" si="37"/>
        <v>-56437.31547</v>
      </c>
      <c r="AD45" s="175">
        <f t="shared" si="37"/>
        <v>-34883.41475</v>
      </c>
      <c r="AE45" s="175">
        <f t="shared" si="37"/>
        <v>-11781.87064</v>
      </c>
      <c r="AF45" s="175">
        <f t="shared" si="37"/>
        <v>9727.405083</v>
      </c>
      <c r="AG45" s="175">
        <f t="shared" si="37"/>
        <v>41302.28446</v>
      </c>
      <c r="AH45" s="175">
        <f t="shared" si="37"/>
        <v>67915.88224</v>
      </c>
      <c r="AI45" s="175">
        <f t="shared" si="37"/>
        <v>107306.2469</v>
      </c>
      <c r="AJ45" s="175">
        <f t="shared" si="37"/>
        <v>146949.3799</v>
      </c>
      <c r="AK45" s="175">
        <f t="shared" si="37"/>
        <v>202642.3064</v>
      </c>
      <c r="AL45" s="175">
        <f t="shared" si="37"/>
        <v>254251.5431</v>
      </c>
      <c r="AM45" s="175">
        <f t="shared" si="37"/>
        <v>308936.3482</v>
      </c>
      <c r="AN45" s="175">
        <f t="shared" si="37"/>
        <v>382909.8172</v>
      </c>
      <c r="AO45" s="175">
        <f t="shared" si="37"/>
        <v>425268.6418</v>
      </c>
      <c r="AP45" s="175">
        <f t="shared" si="37"/>
        <v>487726.9792</v>
      </c>
      <c r="AQ45" s="175">
        <f t="shared" si="37"/>
        <v>584474.9056</v>
      </c>
      <c r="AR45" s="175">
        <f t="shared" si="37"/>
        <v>691704.0606</v>
      </c>
      <c r="AS45" s="175">
        <f t="shared" si="37"/>
        <v>809563.2443</v>
      </c>
      <c r="AT45" s="175">
        <f t="shared" si="37"/>
        <v>937458.0566</v>
      </c>
      <c r="AU45" s="175">
        <f t="shared" si="37"/>
        <v>1106666.458</v>
      </c>
      <c r="AV45" s="175">
        <f t="shared" si="37"/>
        <v>1273967.648</v>
      </c>
      <c r="AW45" s="175">
        <f t="shared" si="37"/>
        <v>1464723.696</v>
      </c>
      <c r="AX45" s="175">
        <f t="shared" si="37"/>
        <v>1666705.04</v>
      </c>
      <c r="AY45" s="175">
        <f t="shared" si="37"/>
        <v>1898399.534</v>
      </c>
      <c r="AZ45" s="175">
        <f t="shared" si="37"/>
        <v>2191971.634</v>
      </c>
      <c r="BA45" s="121"/>
      <c r="BB45" s="175">
        <f t="shared" ref="BB45:BB54" si="38">sum(E45:P45)</f>
        <v>-327453</v>
      </c>
      <c r="BC45" s="175">
        <f t="shared" ref="BC45:BC54" si="39">sum(Q45:AB45)</f>
        <v>-1969738</v>
      </c>
      <c r="BD45" s="175">
        <f t="shared" ref="BD45:BD54" si="40">sum(AC45:AN45)</f>
        <v>1418838.613</v>
      </c>
      <c r="BE45" s="175">
        <f t="shared" ref="BE45:BE54" si="41">sum(AO45:AZ45)</f>
        <v>13538629.9</v>
      </c>
      <c r="BF45" s="175">
        <f>BF39</f>
        <v>38351493.9</v>
      </c>
      <c r="BG45" s="40"/>
    </row>
    <row r="46" ht="15.75" customHeight="1">
      <c r="A46" s="121"/>
      <c r="B46" s="175" t="s">
        <v>225</v>
      </c>
      <c r="C46" s="174"/>
      <c r="D46" s="174" t="s">
        <v>202</v>
      </c>
      <c r="E46" s="212"/>
      <c r="F46" s="212"/>
      <c r="G46" s="212"/>
      <c r="H46" s="212"/>
      <c r="I46" s="212"/>
      <c r="J46" s="212"/>
      <c r="K46" s="212"/>
      <c r="L46" s="212"/>
      <c r="M46" s="175">
        <v>0.0</v>
      </c>
      <c r="N46" s="175">
        <v>0.0</v>
      </c>
      <c r="O46" s="175">
        <v>0.0</v>
      </c>
      <c r="P46" s="175">
        <v>0.0</v>
      </c>
      <c r="Q46" s="175">
        <v>0.0</v>
      </c>
      <c r="R46" s="175">
        <v>0.0</v>
      </c>
      <c r="S46" s="175">
        <v>0.0</v>
      </c>
      <c r="T46" s="175">
        <v>0.0</v>
      </c>
      <c r="U46" s="175">
        <v>0.0</v>
      </c>
      <c r="V46" s="175">
        <v>0.0</v>
      </c>
      <c r="W46" s="175">
        <v>0.0</v>
      </c>
      <c r="X46" s="175">
        <v>0.0</v>
      </c>
      <c r="Y46" s="175">
        <v>0.0</v>
      </c>
      <c r="Z46" s="175">
        <v>0.0</v>
      </c>
      <c r="AA46" s="175">
        <v>0.0</v>
      </c>
      <c r="AB46" s="175">
        <v>0.0</v>
      </c>
      <c r="AC46" s="175">
        <v>0.0</v>
      </c>
      <c r="AD46" s="175">
        <v>0.0</v>
      </c>
      <c r="AE46" s="175">
        <v>0.0</v>
      </c>
      <c r="AF46" s="175">
        <v>0.0</v>
      </c>
      <c r="AG46" s="175">
        <v>0.0</v>
      </c>
      <c r="AH46" s="175">
        <v>0.0</v>
      </c>
      <c r="AI46" s="175">
        <v>0.0</v>
      </c>
      <c r="AJ46" s="175">
        <v>0.0</v>
      </c>
      <c r="AK46" s="175">
        <v>0.0</v>
      </c>
      <c r="AL46" s="175">
        <v>0.0</v>
      </c>
      <c r="AM46" s="175">
        <v>0.0</v>
      </c>
      <c r="AN46" s="175">
        <v>0.0</v>
      </c>
      <c r="AO46" s="175">
        <v>0.0</v>
      </c>
      <c r="AP46" s="175">
        <v>0.0</v>
      </c>
      <c r="AQ46" s="175">
        <v>0.0</v>
      </c>
      <c r="AR46" s="175">
        <v>0.0</v>
      </c>
      <c r="AS46" s="175">
        <v>0.0</v>
      </c>
      <c r="AT46" s="175">
        <v>0.0</v>
      </c>
      <c r="AU46" s="175">
        <v>0.0</v>
      </c>
      <c r="AV46" s="175">
        <v>0.0</v>
      </c>
      <c r="AW46" s="175">
        <v>0.0</v>
      </c>
      <c r="AX46" s="175">
        <v>0.0</v>
      </c>
      <c r="AY46" s="175">
        <v>0.0</v>
      </c>
      <c r="AZ46" s="175">
        <v>0.0</v>
      </c>
      <c r="BA46" s="121"/>
      <c r="BB46" s="175">
        <f t="shared" si="38"/>
        <v>0</v>
      </c>
      <c r="BC46" s="175">
        <f t="shared" si="39"/>
        <v>0</v>
      </c>
      <c r="BD46" s="175">
        <f t="shared" si="40"/>
        <v>0</v>
      </c>
      <c r="BE46" s="175">
        <f t="shared" si="41"/>
        <v>0</v>
      </c>
      <c r="BF46" s="175">
        <f>BF33</f>
        <v>0</v>
      </c>
      <c r="BG46" s="40"/>
    </row>
    <row r="47" ht="15.75" customHeight="1">
      <c r="A47" s="121"/>
      <c r="B47" s="175" t="s">
        <v>226</v>
      </c>
      <c r="C47" s="175"/>
      <c r="D47" s="174" t="s">
        <v>202</v>
      </c>
      <c r="E47" s="175"/>
      <c r="F47" s="175"/>
      <c r="G47" s="175"/>
      <c r="H47" s="175"/>
      <c r="I47" s="175"/>
      <c r="J47" s="175"/>
      <c r="K47" s="175"/>
      <c r="L47" s="175"/>
      <c r="M47" s="175">
        <v>0.0</v>
      </c>
      <c r="N47" s="175">
        <f t="shared" ref="N47:AZ47" si="42">-(N66-M66)</f>
        <v>-12986.66667</v>
      </c>
      <c r="O47" s="175">
        <f t="shared" si="42"/>
        <v>-39013.33333</v>
      </c>
      <c r="P47" s="175">
        <f t="shared" si="42"/>
        <v>52000</v>
      </c>
      <c r="Q47" s="175">
        <f t="shared" si="42"/>
        <v>0</v>
      </c>
      <c r="R47" s="175">
        <f t="shared" si="42"/>
        <v>0</v>
      </c>
      <c r="S47" s="175">
        <f t="shared" si="42"/>
        <v>0</v>
      </c>
      <c r="T47" s="175">
        <f t="shared" si="42"/>
        <v>0</v>
      </c>
      <c r="U47" s="175">
        <f t="shared" si="42"/>
        <v>0</v>
      </c>
      <c r="V47" s="175">
        <f t="shared" si="42"/>
        <v>-71188</v>
      </c>
      <c r="W47" s="175">
        <f t="shared" si="42"/>
        <v>71188</v>
      </c>
      <c r="X47" s="175">
        <f t="shared" si="42"/>
        <v>0</v>
      </c>
      <c r="Y47" s="175">
        <f t="shared" si="42"/>
        <v>0</v>
      </c>
      <c r="Z47" s="175">
        <f t="shared" si="42"/>
        <v>0</v>
      </c>
      <c r="AA47" s="175">
        <f t="shared" si="42"/>
        <v>0</v>
      </c>
      <c r="AB47" s="175">
        <f t="shared" si="42"/>
        <v>0</v>
      </c>
      <c r="AC47" s="175">
        <f t="shared" si="42"/>
        <v>-594377.6143</v>
      </c>
      <c r="AD47" s="175">
        <f t="shared" si="42"/>
        <v>-67407.12397</v>
      </c>
      <c r="AE47" s="175">
        <f t="shared" si="42"/>
        <v>-75281.49862</v>
      </c>
      <c r="AF47" s="175">
        <f t="shared" si="42"/>
        <v>-67407.12397</v>
      </c>
      <c r="AG47" s="175">
        <f t="shared" si="42"/>
        <v>-97173.49862</v>
      </c>
      <c r="AH47" s="175">
        <f t="shared" si="42"/>
        <v>-105047.8733</v>
      </c>
      <c r="AI47" s="175">
        <f t="shared" si="42"/>
        <v>-119065.4986</v>
      </c>
      <c r="AJ47" s="175">
        <f t="shared" si="42"/>
        <v>-126939.8733</v>
      </c>
      <c r="AK47" s="175">
        <f t="shared" si="42"/>
        <v>-134814.2479</v>
      </c>
      <c r="AL47" s="175">
        <f t="shared" si="42"/>
        <v>-156706.2479</v>
      </c>
      <c r="AM47" s="175">
        <f t="shared" si="42"/>
        <v>-164580.6226</v>
      </c>
      <c r="AN47" s="175">
        <f t="shared" si="42"/>
        <v>-216238.9972</v>
      </c>
      <c r="AO47" s="175">
        <f t="shared" si="42"/>
        <v>-211262.6226</v>
      </c>
      <c r="AP47" s="175">
        <f t="shared" si="42"/>
        <v>-224435.3719</v>
      </c>
      <c r="AQ47" s="175">
        <f t="shared" si="42"/>
        <v>-276139.7466</v>
      </c>
      <c r="AR47" s="175">
        <f t="shared" si="42"/>
        <v>-305860.1212</v>
      </c>
      <c r="AS47" s="175">
        <f t="shared" si="42"/>
        <v>-335764.4959</v>
      </c>
      <c r="AT47" s="175">
        <f t="shared" si="42"/>
        <v>-365576.8705</v>
      </c>
      <c r="AU47" s="175">
        <f t="shared" si="42"/>
        <v>-417281.2452</v>
      </c>
      <c r="AV47" s="175">
        <f t="shared" si="42"/>
        <v>-468985.6198</v>
      </c>
      <c r="AW47" s="175">
        <f t="shared" si="42"/>
        <v>-528564.3691</v>
      </c>
      <c r="AX47" s="175">
        <f t="shared" si="42"/>
        <v>-566297.1185</v>
      </c>
      <c r="AY47" s="175">
        <f t="shared" si="42"/>
        <v>-639893.4931</v>
      </c>
      <c r="AZ47" s="175">
        <f t="shared" si="42"/>
        <v>-729422.6171</v>
      </c>
      <c r="BA47" s="121"/>
      <c r="BB47" s="175">
        <f t="shared" si="38"/>
        <v>0</v>
      </c>
      <c r="BC47" s="175">
        <f t="shared" si="39"/>
        <v>0</v>
      </c>
      <c r="BD47" s="175">
        <f t="shared" si="40"/>
        <v>-1925040.22</v>
      </c>
      <c r="BE47" s="175">
        <f t="shared" si="41"/>
        <v>-5069483.691</v>
      </c>
      <c r="BF47" s="175">
        <f>-(BF66-BE66)</f>
        <v>-1172725.046</v>
      </c>
      <c r="BG47" s="40"/>
    </row>
    <row r="48" ht="15.75" customHeight="1">
      <c r="A48" s="121"/>
      <c r="B48" s="175" t="s">
        <v>227</v>
      </c>
      <c r="C48" s="174"/>
      <c r="D48" s="174" t="s">
        <v>202</v>
      </c>
      <c r="E48" s="175"/>
      <c r="F48" s="175"/>
      <c r="G48" s="175"/>
      <c r="H48" s="175"/>
      <c r="I48" s="175"/>
      <c r="J48" s="175"/>
      <c r="K48" s="175"/>
      <c r="L48" s="175"/>
      <c r="M48" s="175">
        <v>0.0</v>
      </c>
      <c r="N48" s="175">
        <f t="shared" ref="N48:AZ48" si="43">(N75-M75)</f>
        <v>0</v>
      </c>
      <c r="O48" s="175">
        <f t="shared" si="43"/>
        <v>0</v>
      </c>
      <c r="P48" s="175">
        <f t="shared" si="43"/>
        <v>0</v>
      </c>
      <c r="Q48" s="175">
        <f t="shared" si="43"/>
        <v>0</v>
      </c>
      <c r="R48" s="175">
        <f t="shared" si="43"/>
        <v>0</v>
      </c>
      <c r="S48" s="175">
        <f t="shared" si="43"/>
        <v>0</v>
      </c>
      <c r="T48" s="175">
        <f t="shared" si="43"/>
        <v>0</v>
      </c>
      <c r="U48" s="175">
        <f t="shared" si="43"/>
        <v>0</v>
      </c>
      <c r="V48" s="175">
        <f t="shared" si="43"/>
        <v>0</v>
      </c>
      <c r="W48" s="175">
        <f t="shared" si="43"/>
        <v>0</v>
      </c>
      <c r="X48" s="175">
        <f t="shared" si="43"/>
        <v>0</v>
      </c>
      <c r="Y48" s="175">
        <f t="shared" si="43"/>
        <v>0</v>
      </c>
      <c r="Z48" s="175">
        <f t="shared" si="43"/>
        <v>0</v>
      </c>
      <c r="AA48" s="175">
        <f t="shared" si="43"/>
        <v>0</v>
      </c>
      <c r="AB48" s="175">
        <f t="shared" si="43"/>
        <v>0</v>
      </c>
      <c r="AC48" s="175">
        <f t="shared" si="43"/>
        <v>1017684.805</v>
      </c>
      <c r="AD48" s="175">
        <f t="shared" si="43"/>
        <v>114554.0403</v>
      </c>
      <c r="AE48" s="175">
        <f t="shared" si="43"/>
        <v>129018.6807</v>
      </c>
      <c r="AF48" s="175">
        <f t="shared" si="43"/>
        <v>114554.0403</v>
      </c>
      <c r="AG48" s="175">
        <f t="shared" si="43"/>
        <v>164598.7403</v>
      </c>
      <c r="AH48" s="175">
        <f t="shared" si="43"/>
        <v>179063.3807</v>
      </c>
      <c r="AI48" s="175">
        <f t="shared" si="43"/>
        <v>200178.7999</v>
      </c>
      <c r="AJ48" s="175">
        <f t="shared" si="43"/>
        <v>214643.4403</v>
      </c>
      <c r="AK48" s="175">
        <f t="shared" si="43"/>
        <v>229108.0807</v>
      </c>
      <c r="AL48" s="175">
        <f t="shared" si="43"/>
        <v>264688.1403</v>
      </c>
      <c r="AM48" s="175">
        <f t="shared" si="43"/>
        <v>279152.7807</v>
      </c>
      <c r="AN48" s="175">
        <f t="shared" si="43"/>
        <v>364777.5403</v>
      </c>
      <c r="AO48" s="175">
        <f t="shared" si="43"/>
        <v>353317.9999</v>
      </c>
      <c r="AP48" s="175">
        <f t="shared" si="43"/>
        <v>379576.0806</v>
      </c>
      <c r="AQ48" s="175">
        <f t="shared" si="43"/>
        <v>465248.5402</v>
      </c>
      <c r="AR48" s="175">
        <f t="shared" si="43"/>
        <v>515245.5402</v>
      </c>
      <c r="AS48" s="175">
        <f t="shared" si="43"/>
        <v>565433.3402</v>
      </c>
      <c r="AT48" s="175">
        <f t="shared" si="43"/>
        <v>615525.7402</v>
      </c>
      <c r="AU48" s="175">
        <f t="shared" si="43"/>
        <v>701198.1998</v>
      </c>
      <c r="AV48" s="175">
        <f t="shared" si="43"/>
        <v>786870.6594</v>
      </c>
      <c r="AW48" s="175">
        <f t="shared" si="43"/>
        <v>887007.7593</v>
      </c>
      <c r="AX48" s="175">
        <f t="shared" si="43"/>
        <v>951612.4997</v>
      </c>
      <c r="AY48" s="175">
        <f t="shared" si="43"/>
        <v>1072865.019</v>
      </c>
      <c r="AZ48" s="175">
        <f t="shared" si="43"/>
        <v>1223237.619</v>
      </c>
      <c r="BA48" s="40"/>
      <c r="BB48" s="175">
        <f t="shared" si="38"/>
        <v>0</v>
      </c>
      <c r="BC48" s="175">
        <f t="shared" si="39"/>
        <v>0</v>
      </c>
      <c r="BD48" s="175">
        <f t="shared" si="40"/>
        <v>3272022.47</v>
      </c>
      <c r="BE48" s="175">
        <f t="shared" si="41"/>
        <v>8517138.997</v>
      </c>
      <c r="BF48" s="175">
        <f>BF75-BE75</f>
        <v>-864836.1723</v>
      </c>
      <c r="BG48" s="40"/>
    </row>
    <row r="49" ht="15.75" customHeight="1">
      <c r="A49" s="121"/>
      <c r="B49" s="175" t="s">
        <v>228</v>
      </c>
      <c r="C49" s="174"/>
      <c r="D49" s="174" t="s">
        <v>202</v>
      </c>
      <c r="E49" s="175"/>
      <c r="F49" s="175"/>
      <c r="G49" s="175"/>
      <c r="H49" s="175"/>
      <c r="I49" s="175"/>
      <c r="J49" s="175"/>
      <c r="K49" s="175"/>
      <c r="L49" s="175"/>
      <c r="M49" s="175">
        <v>0.0</v>
      </c>
      <c r="N49" s="175">
        <f t="shared" ref="N49:AZ49" si="44">-(N67-M67)</f>
        <v>0</v>
      </c>
      <c r="O49" s="175">
        <f t="shared" si="44"/>
        <v>0</v>
      </c>
      <c r="P49" s="175">
        <f t="shared" si="44"/>
        <v>0</v>
      </c>
      <c r="Q49" s="175">
        <f t="shared" si="44"/>
        <v>0</v>
      </c>
      <c r="R49" s="175">
        <f t="shared" si="44"/>
        <v>0</v>
      </c>
      <c r="S49" s="175">
        <f t="shared" si="44"/>
        <v>0</v>
      </c>
      <c r="T49" s="175">
        <f t="shared" si="44"/>
        <v>0</v>
      </c>
      <c r="U49" s="175">
        <f t="shared" si="44"/>
        <v>0</v>
      </c>
      <c r="V49" s="175">
        <f t="shared" si="44"/>
        <v>0</v>
      </c>
      <c r="W49" s="175">
        <f t="shared" si="44"/>
        <v>0</v>
      </c>
      <c r="X49" s="175">
        <f t="shared" si="44"/>
        <v>0</v>
      </c>
      <c r="Y49" s="175">
        <f t="shared" si="44"/>
        <v>0</v>
      </c>
      <c r="Z49" s="175">
        <f t="shared" si="44"/>
        <v>0</v>
      </c>
      <c r="AA49" s="175">
        <f t="shared" si="44"/>
        <v>0</v>
      </c>
      <c r="AB49" s="175">
        <f t="shared" si="44"/>
        <v>0</v>
      </c>
      <c r="AC49" s="175">
        <f t="shared" si="44"/>
        <v>0</v>
      </c>
      <c r="AD49" s="175">
        <f t="shared" si="44"/>
        <v>0</v>
      </c>
      <c r="AE49" s="175">
        <f t="shared" si="44"/>
        <v>0</v>
      </c>
      <c r="AF49" s="175">
        <f t="shared" si="44"/>
        <v>0</v>
      </c>
      <c r="AG49" s="175">
        <f t="shared" si="44"/>
        <v>0</v>
      </c>
      <c r="AH49" s="175">
        <f t="shared" si="44"/>
        <v>0</v>
      </c>
      <c r="AI49" s="175">
        <f t="shared" si="44"/>
        <v>0</v>
      </c>
      <c r="AJ49" s="175">
        <f t="shared" si="44"/>
        <v>0</v>
      </c>
      <c r="AK49" s="175">
        <f t="shared" si="44"/>
        <v>0</v>
      </c>
      <c r="AL49" s="175">
        <f t="shared" si="44"/>
        <v>0</v>
      </c>
      <c r="AM49" s="175">
        <f t="shared" si="44"/>
        <v>0</v>
      </c>
      <c r="AN49" s="175">
        <f t="shared" si="44"/>
        <v>0</v>
      </c>
      <c r="AO49" s="175">
        <f t="shared" si="44"/>
        <v>0</v>
      </c>
      <c r="AP49" s="175">
        <f t="shared" si="44"/>
        <v>0</v>
      </c>
      <c r="AQ49" s="175">
        <f t="shared" si="44"/>
        <v>0</v>
      </c>
      <c r="AR49" s="175">
        <f t="shared" si="44"/>
        <v>0</v>
      </c>
      <c r="AS49" s="175">
        <f t="shared" si="44"/>
        <v>0</v>
      </c>
      <c r="AT49" s="175">
        <f t="shared" si="44"/>
        <v>0</v>
      </c>
      <c r="AU49" s="175">
        <f t="shared" si="44"/>
        <v>0</v>
      </c>
      <c r="AV49" s="175">
        <f t="shared" si="44"/>
        <v>0</v>
      </c>
      <c r="AW49" s="175">
        <f t="shared" si="44"/>
        <v>0</v>
      </c>
      <c r="AX49" s="175">
        <f t="shared" si="44"/>
        <v>0</v>
      </c>
      <c r="AY49" s="175">
        <f t="shared" si="44"/>
        <v>0</v>
      </c>
      <c r="AZ49" s="175">
        <f t="shared" si="44"/>
        <v>0</v>
      </c>
      <c r="BA49" s="121"/>
      <c r="BB49" s="175">
        <f t="shared" si="38"/>
        <v>0</v>
      </c>
      <c r="BC49" s="175">
        <f t="shared" si="39"/>
        <v>0</v>
      </c>
      <c r="BD49" s="175">
        <f t="shared" si="40"/>
        <v>0</v>
      </c>
      <c r="BE49" s="175">
        <f t="shared" si="41"/>
        <v>0</v>
      </c>
      <c r="BF49" s="175">
        <v>0.0</v>
      </c>
      <c r="BG49" s="40"/>
    </row>
    <row r="50" ht="12.75" customHeight="1">
      <c r="A50" s="177"/>
      <c r="B50" s="199" t="s">
        <v>229</v>
      </c>
      <c r="C50" s="200"/>
      <c r="D50" s="201" t="s">
        <v>202</v>
      </c>
      <c r="E50" s="199"/>
      <c r="F50" s="199"/>
      <c r="G50" s="199"/>
      <c r="H50" s="199"/>
      <c r="I50" s="199"/>
      <c r="J50" s="199"/>
      <c r="K50" s="199"/>
      <c r="L50" s="199"/>
      <c r="M50" s="199">
        <f t="shared" ref="M50:AZ50" si="45">sum(M45:M49)</f>
        <v>-59000</v>
      </c>
      <c r="N50" s="199">
        <f t="shared" si="45"/>
        <v>-52506.66667</v>
      </c>
      <c r="O50" s="199">
        <f t="shared" si="45"/>
        <v>-20013.33333</v>
      </c>
      <c r="P50" s="199">
        <f t="shared" si="45"/>
        <v>-195933</v>
      </c>
      <c r="Q50" s="199">
        <f t="shared" si="45"/>
        <v>-128520</v>
      </c>
      <c r="R50" s="199">
        <f t="shared" si="45"/>
        <v>-139320</v>
      </c>
      <c r="S50" s="199">
        <f t="shared" si="45"/>
        <v>-139320</v>
      </c>
      <c r="T50" s="199">
        <f t="shared" si="45"/>
        <v>-139320</v>
      </c>
      <c r="U50" s="199">
        <f t="shared" si="45"/>
        <v>-149320</v>
      </c>
      <c r="V50" s="199">
        <f t="shared" si="45"/>
        <v>-113726</v>
      </c>
      <c r="W50" s="199">
        <f t="shared" si="45"/>
        <v>-76132</v>
      </c>
      <c r="X50" s="199">
        <f t="shared" si="45"/>
        <v>-171320</v>
      </c>
      <c r="Y50" s="199">
        <f t="shared" si="45"/>
        <v>-180240</v>
      </c>
      <c r="Z50" s="199">
        <f t="shared" si="45"/>
        <v>-295840</v>
      </c>
      <c r="AA50" s="199">
        <f t="shared" si="45"/>
        <v>-240840</v>
      </c>
      <c r="AB50" s="199">
        <f t="shared" si="45"/>
        <v>-195840</v>
      </c>
      <c r="AC50" s="199">
        <f t="shared" si="45"/>
        <v>366869.8756</v>
      </c>
      <c r="AD50" s="199">
        <f t="shared" si="45"/>
        <v>12263.50163</v>
      </c>
      <c r="AE50" s="199">
        <f t="shared" si="45"/>
        <v>41955.31147</v>
      </c>
      <c r="AF50" s="199">
        <f t="shared" si="45"/>
        <v>56874.32146</v>
      </c>
      <c r="AG50" s="199">
        <f t="shared" si="45"/>
        <v>108727.5262</v>
      </c>
      <c r="AH50" s="199">
        <f t="shared" si="45"/>
        <v>141931.3897</v>
      </c>
      <c r="AI50" s="199">
        <f t="shared" si="45"/>
        <v>188419.5482</v>
      </c>
      <c r="AJ50" s="199">
        <f t="shared" si="45"/>
        <v>234652.947</v>
      </c>
      <c r="AK50" s="199">
        <f t="shared" si="45"/>
        <v>296936.1391</v>
      </c>
      <c r="AL50" s="199">
        <f t="shared" si="45"/>
        <v>362233.4354</v>
      </c>
      <c r="AM50" s="199">
        <f t="shared" si="45"/>
        <v>423508.5063</v>
      </c>
      <c r="AN50" s="199">
        <f t="shared" si="45"/>
        <v>531448.3602</v>
      </c>
      <c r="AO50" s="199">
        <f t="shared" si="45"/>
        <v>567324.0191</v>
      </c>
      <c r="AP50" s="199">
        <f t="shared" si="45"/>
        <v>642867.688</v>
      </c>
      <c r="AQ50" s="199">
        <f t="shared" si="45"/>
        <v>773583.6993</v>
      </c>
      <c r="AR50" s="199">
        <f t="shared" si="45"/>
        <v>901089.4796</v>
      </c>
      <c r="AS50" s="199">
        <f t="shared" si="45"/>
        <v>1039232.089</v>
      </c>
      <c r="AT50" s="199">
        <f t="shared" si="45"/>
        <v>1187406.926</v>
      </c>
      <c r="AU50" s="199">
        <f t="shared" si="45"/>
        <v>1390583.412</v>
      </c>
      <c r="AV50" s="199">
        <f t="shared" si="45"/>
        <v>1591852.688</v>
      </c>
      <c r="AW50" s="199">
        <f t="shared" si="45"/>
        <v>1823167.086</v>
      </c>
      <c r="AX50" s="199">
        <f t="shared" si="45"/>
        <v>2052020.421</v>
      </c>
      <c r="AY50" s="199">
        <f t="shared" si="45"/>
        <v>2331371.06</v>
      </c>
      <c r="AZ50" s="199">
        <f t="shared" si="45"/>
        <v>2685786.635</v>
      </c>
      <c r="BA50" s="121"/>
      <c r="BB50" s="202">
        <f t="shared" si="38"/>
        <v>-327453</v>
      </c>
      <c r="BC50" s="202">
        <f t="shared" si="39"/>
        <v>-1969738</v>
      </c>
      <c r="BD50" s="202">
        <f t="shared" si="40"/>
        <v>2765820.862</v>
      </c>
      <c r="BE50" s="202">
        <f t="shared" si="41"/>
        <v>16986285.2</v>
      </c>
      <c r="BF50" s="202">
        <f>sum(BF45:BF49)</f>
        <v>36313932.68</v>
      </c>
      <c r="BG50" s="194"/>
    </row>
    <row r="51" ht="15.75" customHeight="1">
      <c r="A51" s="121"/>
      <c r="B51" s="174" t="s">
        <v>230</v>
      </c>
      <c r="C51" s="175"/>
      <c r="D51" s="174" t="s">
        <v>202</v>
      </c>
      <c r="E51" s="212"/>
      <c r="F51" s="212"/>
      <c r="G51" s="212"/>
      <c r="H51" s="212"/>
      <c r="I51" s="212"/>
      <c r="J51" s="212"/>
      <c r="K51" s="212"/>
      <c r="L51" s="212"/>
      <c r="M51" s="175">
        <v>0.0</v>
      </c>
      <c r="N51" s="175">
        <v>0.0</v>
      </c>
      <c r="O51" s="175">
        <v>0.0</v>
      </c>
      <c r="P51" s="175">
        <v>0.0</v>
      </c>
      <c r="Q51" s="175">
        <v>0.0</v>
      </c>
      <c r="R51" s="175">
        <v>0.0</v>
      </c>
      <c r="S51" s="175">
        <v>0.0</v>
      </c>
      <c r="T51" s="175">
        <v>0.0</v>
      </c>
      <c r="U51" s="175">
        <v>0.0</v>
      </c>
      <c r="V51" s="175">
        <v>0.0</v>
      </c>
      <c r="W51" s="175">
        <v>0.0</v>
      </c>
      <c r="X51" s="175">
        <v>0.0</v>
      </c>
      <c r="Y51" s="175">
        <v>0.0</v>
      </c>
      <c r="Z51" s="175">
        <v>0.0</v>
      </c>
      <c r="AA51" s="175">
        <v>0.0</v>
      </c>
      <c r="AB51" s="175">
        <v>0.0</v>
      </c>
      <c r="AC51" s="175">
        <v>0.0</v>
      </c>
      <c r="AD51" s="175">
        <v>0.0</v>
      </c>
      <c r="AE51" s="175">
        <v>0.0</v>
      </c>
      <c r="AF51" s="175">
        <v>0.0</v>
      </c>
      <c r="AG51" s="175">
        <v>0.0</v>
      </c>
      <c r="AH51" s="175">
        <v>0.0</v>
      </c>
      <c r="AI51" s="175">
        <v>0.0</v>
      </c>
      <c r="AJ51" s="175">
        <v>0.0</v>
      </c>
      <c r="AK51" s="175">
        <v>0.0</v>
      </c>
      <c r="AL51" s="175">
        <v>0.0</v>
      </c>
      <c r="AM51" s="175">
        <v>0.0</v>
      </c>
      <c r="AN51" s="175">
        <v>0.0</v>
      </c>
      <c r="AO51" s="175">
        <v>0.0</v>
      </c>
      <c r="AP51" s="175">
        <v>0.0</v>
      </c>
      <c r="AQ51" s="175">
        <v>0.0</v>
      </c>
      <c r="AR51" s="175">
        <v>0.0</v>
      </c>
      <c r="AS51" s="175">
        <v>0.0</v>
      </c>
      <c r="AT51" s="175">
        <v>0.0</v>
      </c>
      <c r="AU51" s="175">
        <v>0.0</v>
      </c>
      <c r="AV51" s="175">
        <v>0.0</v>
      </c>
      <c r="AW51" s="175">
        <v>0.0</v>
      </c>
      <c r="AX51" s="175">
        <v>0.0</v>
      </c>
      <c r="AY51" s="175">
        <v>0.0</v>
      </c>
      <c r="AZ51" s="175">
        <v>0.0</v>
      </c>
      <c r="BA51" s="121"/>
      <c r="BB51" s="175">
        <f t="shared" si="38"/>
        <v>0</v>
      </c>
      <c r="BC51" s="175">
        <f t="shared" si="39"/>
        <v>0</v>
      </c>
      <c r="BD51" s="175">
        <f t="shared" si="40"/>
        <v>0</v>
      </c>
      <c r="BE51" s="175">
        <f t="shared" si="41"/>
        <v>0</v>
      </c>
      <c r="BF51" s="175">
        <v>0.0</v>
      </c>
      <c r="BG51" s="40"/>
    </row>
    <row r="52" ht="12.75" customHeight="1">
      <c r="A52" s="177"/>
      <c r="B52" s="199" t="s">
        <v>231</v>
      </c>
      <c r="C52" s="200"/>
      <c r="D52" s="200"/>
      <c r="E52" s="199"/>
      <c r="F52" s="199"/>
      <c r="G52" s="199"/>
      <c r="H52" s="199"/>
      <c r="I52" s="199"/>
      <c r="J52" s="199"/>
      <c r="K52" s="199"/>
      <c r="L52" s="199"/>
      <c r="M52" s="199">
        <f t="shared" ref="M52:AZ52" si="46">M51</f>
        <v>0</v>
      </c>
      <c r="N52" s="199">
        <f t="shared" si="46"/>
        <v>0</v>
      </c>
      <c r="O52" s="199">
        <f t="shared" si="46"/>
        <v>0</v>
      </c>
      <c r="P52" s="199">
        <f t="shared" si="46"/>
        <v>0</v>
      </c>
      <c r="Q52" s="199">
        <f t="shared" si="46"/>
        <v>0</v>
      </c>
      <c r="R52" s="202">
        <f t="shared" si="46"/>
        <v>0</v>
      </c>
      <c r="S52" s="203">
        <f t="shared" si="46"/>
        <v>0</v>
      </c>
      <c r="T52" s="204">
        <f t="shared" si="46"/>
        <v>0</v>
      </c>
      <c r="U52" s="199">
        <f t="shared" si="46"/>
        <v>0</v>
      </c>
      <c r="V52" s="199">
        <f t="shared" si="46"/>
        <v>0</v>
      </c>
      <c r="W52" s="199">
        <f t="shared" si="46"/>
        <v>0</v>
      </c>
      <c r="X52" s="199">
        <f t="shared" si="46"/>
        <v>0</v>
      </c>
      <c r="Y52" s="199">
        <f t="shared" si="46"/>
        <v>0</v>
      </c>
      <c r="Z52" s="199">
        <f t="shared" si="46"/>
        <v>0</v>
      </c>
      <c r="AA52" s="199">
        <f t="shared" si="46"/>
        <v>0</v>
      </c>
      <c r="AB52" s="199">
        <f t="shared" si="46"/>
        <v>0</v>
      </c>
      <c r="AC52" s="199">
        <f t="shared" si="46"/>
        <v>0</v>
      </c>
      <c r="AD52" s="199">
        <f t="shared" si="46"/>
        <v>0</v>
      </c>
      <c r="AE52" s="199">
        <f t="shared" si="46"/>
        <v>0</v>
      </c>
      <c r="AF52" s="199">
        <f t="shared" si="46"/>
        <v>0</v>
      </c>
      <c r="AG52" s="199">
        <f t="shared" si="46"/>
        <v>0</v>
      </c>
      <c r="AH52" s="199">
        <f t="shared" si="46"/>
        <v>0</v>
      </c>
      <c r="AI52" s="199">
        <f t="shared" si="46"/>
        <v>0</v>
      </c>
      <c r="AJ52" s="199">
        <f t="shared" si="46"/>
        <v>0</v>
      </c>
      <c r="AK52" s="199">
        <f t="shared" si="46"/>
        <v>0</v>
      </c>
      <c r="AL52" s="199">
        <f t="shared" si="46"/>
        <v>0</v>
      </c>
      <c r="AM52" s="199">
        <f t="shared" si="46"/>
        <v>0</v>
      </c>
      <c r="AN52" s="199">
        <f t="shared" si="46"/>
        <v>0</v>
      </c>
      <c r="AO52" s="199">
        <f t="shared" si="46"/>
        <v>0</v>
      </c>
      <c r="AP52" s="199">
        <f t="shared" si="46"/>
        <v>0</v>
      </c>
      <c r="AQ52" s="199">
        <f t="shared" si="46"/>
        <v>0</v>
      </c>
      <c r="AR52" s="199">
        <f t="shared" si="46"/>
        <v>0</v>
      </c>
      <c r="AS52" s="199">
        <f t="shared" si="46"/>
        <v>0</v>
      </c>
      <c r="AT52" s="199">
        <f t="shared" si="46"/>
        <v>0</v>
      </c>
      <c r="AU52" s="199">
        <f t="shared" si="46"/>
        <v>0</v>
      </c>
      <c r="AV52" s="199">
        <f t="shared" si="46"/>
        <v>0</v>
      </c>
      <c r="AW52" s="199">
        <f t="shared" si="46"/>
        <v>0</v>
      </c>
      <c r="AX52" s="199">
        <f t="shared" si="46"/>
        <v>0</v>
      </c>
      <c r="AY52" s="199">
        <f t="shared" si="46"/>
        <v>0</v>
      </c>
      <c r="AZ52" s="202">
        <f t="shared" si="46"/>
        <v>0</v>
      </c>
      <c r="BA52" s="121"/>
      <c r="BB52" s="202">
        <f t="shared" si="38"/>
        <v>0</v>
      </c>
      <c r="BC52" s="202">
        <f t="shared" si="39"/>
        <v>0</v>
      </c>
      <c r="BD52" s="202">
        <f t="shared" si="40"/>
        <v>0</v>
      </c>
      <c r="BE52" s="202">
        <f t="shared" si="41"/>
        <v>0</v>
      </c>
      <c r="BF52" s="202">
        <f>BF51</f>
        <v>0</v>
      </c>
      <c r="BG52" s="194"/>
    </row>
    <row r="53" ht="15.75" customHeight="1">
      <c r="A53" s="121"/>
      <c r="B53" s="175" t="s">
        <v>232</v>
      </c>
      <c r="C53" s="175"/>
      <c r="D53" s="175" t="s">
        <v>202</v>
      </c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>
        <v>0.0</v>
      </c>
      <c r="T53" s="213"/>
      <c r="U53" s="213">
        <v>300000.0</v>
      </c>
      <c r="V53" s="213"/>
      <c r="W53" s="213"/>
      <c r="X53" s="213"/>
      <c r="Y53" s="213"/>
      <c r="Z53" s="213">
        <v>3250000.0</v>
      </c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121"/>
      <c r="BB53" s="175">
        <f t="shared" si="38"/>
        <v>0</v>
      </c>
      <c r="BC53" s="175">
        <f t="shared" si="39"/>
        <v>3550000</v>
      </c>
      <c r="BD53" s="175">
        <f t="shared" si="40"/>
        <v>0</v>
      </c>
      <c r="BE53" s="175">
        <f t="shared" si="41"/>
        <v>0</v>
      </c>
      <c r="BF53" s="175">
        <v>0.0</v>
      </c>
      <c r="BG53" s="40"/>
    </row>
    <row r="54" ht="15.75" customHeight="1">
      <c r="A54" s="121"/>
      <c r="B54" s="175" t="s">
        <v>233</v>
      </c>
      <c r="C54" s="175"/>
      <c r="D54" s="175" t="s">
        <v>202</v>
      </c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>
        <v>300000.0</v>
      </c>
      <c r="W54" s="213"/>
      <c r="X54" s="213"/>
      <c r="Y54" s="213"/>
      <c r="Z54" s="213"/>
      <c r="AA54" s="213"/>
      <c r="AB54" s="213"/>
      <c r="AC54" s="214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121"/>
      <c r="BB54" s="175">
        <f t="shared" si="38"/>
        <v>0</v>
      </c>
      <c r="BC54" s="175">
        <f t="shared" si="39"/>
        <v>300000</v>
      </c>
      <c r="BD54" s="175">
        <f t="shared" si="40"/>
        <v>0</v>
      </c>
      <c r="BE54" s="175">
        <f t="shared" si="41"/>
        <v>0</v>
      </c>
      <c r="BF54" s="175">
        <v>0.0</v>
      </c>
      <c r="BG54" s="40"/>
    </row>
    <row r="55" ht="15.75" customHeight="1">
      <c r="A55" s="121"/>
      <c r="B55" s="192" t="s">
        <v>234</v>
      </c>
      <c r="C55" s="175"/>
      <c r="D55" s="175"/>
      <c r="E55" s="213">
        <f>E80</f>
        <v>0</v>
      </c>
      <c r="F55" s="213">
        <f t="shared" ref="F55:AZ55" si="47">F80-E80</f>
        <v>0</v>
      </c>
      <c r="G55" s="213">
        <f t="shared" si="47"/>
        <v>0</v>
      </c>
      <c r="H55" s="213">
        <f t="shared" si="47"/>
        <v>0</v>
      </c>
      <c r="I55" s="213">
        <f t="shared" si="47"/>
        <v>0</v>
      </c>
      <c r="J55" s="213">
        <f t="shared" si="47"/>
        <v>0</v>
      </c>
      <c r="K55" s="213">
        <f t="shared" si="47"/>
        <v>0</v>
      </c>
      <c r="L55" s="213">
        <f t="shared" si="47"/>
        <v>0</v>
      </c>
      <c r="M55" s="213">
        <f t="shared" si="47"/>
        <v>0</v>
      </c>
      <c r="N55" s="213">
        <f t="shared" si="47"/>
        <v>0</v>
      </c>
      <c r="O55" s="213">
        <f t="shared" si="47"/>
        <v>0</v>
      </c>
      <c r="P55" s="213">
        <f t="shared" si="47"/>
        <v>0</v>
      </c>
      <c r="Q55" s="213">
        <f t="shared" si="47"/>
        <v>0</v>
      </c>
      <c r="R55" s="213">
        <f t="shared" si="47"/>
        <v>0</v>
      </c>
      <c r="S55" s="213">
        <f t="shared" si="47"/>
        <v>0</v>
      </c>
      <c r="T55" s="213">
        <f t="shared" si="47"/>
        <v>0</v>
      </c>
      <c r="U55" s="213">
        <f t="shared" si="47"/>
        <v>0</v>
      </c>
      <c r="V55" s="213">
        <f t="shared" si="47"/>
        <v>0</v>
      </c>
      <c r="W55" s="213">
        <f t="shared" si="47"/>
        <v>0</v>
      </c>
      <c r="X55" s="213">
        <f t="shared" si="47"/>
        <v>0</v>
      </c>
      <c r="Y55" s="213">
        <f t="shared" si="47"/>
        <v>0</v>
      </c>
      <c r="Z55" s="213">
        <f t="shared" si="47"/>
        <v>0</v>
      </c>
      <c r="AA55" s="213">
        <f t="shared" si="47"/>
        <v>0</v>
      </c>
      <c r="AB55" s="213">
        <f t="shared" si="47"/>
        <v>0</v>
      </c>
      <c r="AC55" s="214">
        <f t="shared" si="47"/>
        <v>44982</v>
      </c>
      <c r="AD55" s="213">
        <f t="shared" si="47"/>
        <v>49980</v>
      </c>
      <c r="AE55" s="213">
        <f t="shared" si="47"/>
        <v>55692</v>
      </c>
      <c r="AF55" s="213">
        <f t="shared" si="47"/>
        <v>60690</v>
      </c>
      <c r="AG55" s="213">
        <f t="shared" si="47"/>
        <v>67830</v>
      </c>
      <c r="AH55" s="213">
        <f t="shared" si="47"/>
        <v>75684</v>
      </c>
      <c r="AI55" s="213">
        <f t="shared" si="47"/>
        <v>84252</v>
      </c>
      <c r="AJ55" s="213">
        <f t="shared" si="47"/>
        <v>93534</v>
      </c>
      <c r="AK55" s="213">
        <f t="shared" si="47"/>
        <v>103530</v>
      </c>
      <c r="AL55" s="213">
        <f t="shared" si="47"/>
        <v>77826</v>
      </c>
      <c r="AM55" s="213">
        <f t="shared" si="47"/>
        <v>0</v>
      </c>
      <c r="AN55" s="213">
        <f t="shared" si="47"/>
        <v>0</v>
      </c>
      <c r="AO55" s="213">
        <f t="shared" si="47"/>
        <v>0</v>
      </c>
      <c r="AP55" s="213">
        <f t="shared" si="47"/>
        <v>0</v>
      </c>
      <c r="AQ55" s="213">
        <f t="shared" si="47"/>
        <v>0</v>
      </c>
      <c r="AR55" s="213">
        <f t="shared" si="47"/>
        <v>0</v>
      </c>
      <c r="AS55" s="213">
        <f t="shared" si="47"/>
        <v>0</v>
      </c>
      <c r="AT55" s="213">
        <f t="shared" si="47"/>
        <v>0</v>
      </c>
      <c r="AU55" s="213">
        <f t="shared" si="47"/>
        <v>0</v>
      </c>
      <c r="AV55" s="213">
        <f t="shared" si="47"/>
        <v>0</v>
      </c>
      <c r="AW55" s="213">
        <f t="shared" si="47"/>
        <v>0</v>
      </c>
      <c r="AX55" s="213">
        <f t="shared" si="47"/>
        <v>0</v>
      </c>
      <c r="AY55" s="213">
        <f t="shared" si="47"/>
        <v>0</v>
      </c>
      <c r="AZ55" s="213">
        <f t="shared" si="47"/>
        <v>0</v>
      </c>
      <c r="BA55" s="121"/>
      <c r="BB55" s="175"/>
      <c r="BC55" s="175">
        <f>SUM(Q55:AB55)</f>
        <v>0</v>
      </c>
      <c r="BD55" s="175">
        <f>SUM(AC55:AN55)</f>
        <v>714000</v>
      </c>
      <c r="BE55" s="175">
        <f>SUM(AO55:AZ55)</f>
        <v>0</v>
      </c>
      <c r="BF55" s="175">
        <f>BF80-BE80</f>
        <v>-714000</v>
      </c>
      <c r="BG55" s="40"/>
    </row>
    <row r="56" ht="12.75" customHeight="1">
      <c r="A56" s="177"/>
      <c r="B56" s="199" t="s">
        <v>235</v>
      </c>
      <c r="C56" s="200"/>
      <c r="D56" s="201" t="s">
        <v>202</v>
      </c>
      <c r="E56" s="199">
        <f t="shared" ref="E56:AZ56" si="48">E53+E54+E55</f>
        <v>0</v>
      </c>
      <c r="F56" s="199">
        <f t="shared" si="48"/>
        <v>0</v>
      </c>
      <c r="G56" s="199">
        <f t="shared" si="48"/>
        <v>0</v>
      </c>
      <c r="H56" s="199">
        <f t="shared" si="48"/>
        <v>0</v>
      </c>
      <c r="I56" s="199">
        <f t="shared" si="48"/>
        <v>0</v>
      </c>
      <c r="J56" s="199">
        <f t="shared" si="48"/>
        <v>0</v>
      </c>
      <c r="K56" s="199">
        <f t="shared" si="48"/>
        <v>0</v>
      </c>
      <c r="L56" s="199">
        <f t="shared" si="48"/>
        <v>0</v>
      </c>
      <c r="M56" s="199">
        <f t="shared" si="48"/>
        <v>0</v>
      </c>
      <c r="N56" s="199">
        <f t="shared" si="48"/>
        <v>0</v>
      </c>
      <c r="O56" s="199">
        <f t="shared" si="48"/>
        <v>0</v>
      </c>
      <c r="P56" s="199">
        <f t="shared" si="48"/>
        <v>0</v>
      </c>
      <c r="Q56" s="199">
        <f t="shared" si="48"/>
        <v>0</v>
      </c>
      <c r="R56" s="202">
        <f t="shared" si="48"/>
        <v>0</v>
      </c>
      <c r="S56" s="203">
        <f t="shared" si="48"/>
        <v>0</v>
      </c>
      <c r="T56" s="204">
        <f t="shared" si="48"/>
        <v>0</v>
      </c>
      <c r="U56" s="199">
        <f t="shared" si="48"/>
        <v>300000</v>
      </c>
      <c r="V56" s="199">
        <f t="shared" si="48"/>
        <v>300000</v>
      </c>
      <c r="W56" s="199">
        <f t="shared" si="48"/>
        <v>0</v>
      </c>
      <c r="X56" s="199">
        <f t="shared" si="48"/>
        <v>0</v>
      </c>
      <c r="Y56" s="199">
        <f t="shared" si="48"/>
        <v>0</v>
      </c>
      <c r="Z56" s="199">
        <f t="shared" si="48"/>
        <v>3250000</v>
      </c>
      <c r="AA56" s="199">
        <f t="shared" si="48"/>
        <v>0</v>
      </c>
      <c r="AB56" s="199">
        <f t="shared" si="48"/>
        <v>0</v>
      </c>
      <c r="AC56" s="199">
        <f t="shared" si="48"/>
        <v>44982</v>
      </c>
      <c r="AD56" s="199">
        <f t="shared" si="48"/>
        <v>49980</v>
      </c>
      <c r="AE56" s="199">
        <f t="shared" si="48"/>
        <v>55692</v>
      </c>
      <c r="AF56" s="199">
        <f t="shared" si="48"/>
        <v>60690</v>
      </c>
      <c r="AG56" s="199">
        <f t="shared" si="48"/>
        <v>67830</v>
      </c>
      <c r="AH56" s="199">
        <f t="shared" si="48"/>
        <v>75684</v>
      </c>
      <c r="AI56" s="199">
        <f t="shared" si="48"/>
        <v>84252</v>
      </c>
      <c r="AJ56" s="199">
        <f t="shared" si="48"/>
        <v>93534</v>
      </c>
      <c r="AK56" s="199">
        <f t="shared" si="48"/>
        <v>103530</v>
      </c>
      <c r="AL56" s="199">
        <f t="shared" si="48"/>
        <v>77826</v>
      </c>
      <c r="AM56" s="199">
        <f t="shared" si="48"/>
        <v>0</v>
      </c>
      <c r="AN56" s="199">
        <f t="shared" si="48"/>
        <v>0</v>
      </c>
      <c r="AO56" s="199">
        <f t="shared" si="48"/>
        <v>0</v>
      </c>
      <c r="AP56" s="199">
        <f t="shared" si="48"/>
        <v>0</v>
      </c>
      <c r="AQ56" s="199">
        <f t="shared" si="48"/>
        <v>0</v>
      </c>
      <c r="AR56" s="199">
        <f t="shared" si="48"/>
        <v>0</v>
      </c>
      <c r="AS56" s="199">
        <f t="shared" si="48"/>
        <v>0</v>
      </c>
      <c r="AT56" s="199">
        <f t="shared" si="48"/>
        <v>0</v>
      </c>
      <c r="AU56" s="199">
        <f t="shared" si="48"/>
        <v>0</v>
      </c>
      <c r="AV56" s="199">
        <f t="shared" si="48"/>
        <v>0</v>
      </c>
      <c r="AW56" s="199">
        <f t="shared" si="48"/>
        <v>0</v>
      </c>
      <c r="AX56" s="199">
        <f t="shared" si="48"/>
        <v>0</v>
      </c>
      <c r="AY56" s="199">
        <f t="shared" si="48"/>
        <v>0</v>
      </c>
      <c r="AZ56" s="202">
        <f t="shared" si="48"/>
        <v>0</v>
      </c>
      <c r="BA56" s="121"/>
      <c r="BB56" s="202">
        <f>sum(E56:P56)</f>
        <v>0</v>
      </c>
      <c r="BC56" s="202">
        <f>sum(Q56:AB56)</f>
        <v>3850000</v>
      </c>
      <c r="BD56" s="202">
        <f>sum(AC56:AN56)</f>
        <v>714000</v>
      </c>
      <c r="BE56" s="202">
        <f>sum(AO56:AZ56)</f>
        <v>0</v>
      </c>
      <c r="BF56" s="202">
        <f>BF53+BF54+BF55</f>
        <v>-714000</v>
      </c>
      <c r="BG56" s="194"/>
    </row>
    <row r="57" ht="15.75" customHeight="1">
      <c r="A57" s="121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21"/>
      <c r="BB57" s="174"/>
      <c r="BC57" s="174"/>
      <c r="BD57" s="174"/>
      <c r="BE57" s="174"/>
      <c r="BF57" s="174"/>
      <c r="BG57" s="121"/>
    </row>
    <row r="58" ht="12.75" customHeight="1">
      <c r="A58" s="177"/>
      <c r="B58" s="199" t="s">
        <v>236</v>
      </c>
      <c r="C58" s="200"/>
      <c r="D58" s="201" t="s">
        <v>202</v>
      </c>
      <c r="E58" s="199"/>
      <c r="F58" s="199"/>
      <c r="G58" s="199"/>
      <c r="H58" s="199"/>
      <c r="I58" s="199"/>
      <c r="J58" s="199"/>
      <c r="K58" s="199"/>
      <c r="L58" s="199"/>
      <c r="M58" s="199">
        <f t="shared" ref="M58:AZ58" si="49">M50+M52+M56</f>
        <v>-59000</v>
      </c>
      <c r="N58" s="199">
        <f t="shared" si="49"/>
        <v>-52506.66667</v>
      </c>
      <c r="O58" s="199">
        <f t="shared" si="49"/>
        <v>-20013.33333</v>
      </c>
      <c r="P58" s="199">
        <f t="shared" si="49"/>
        <v>-195933</v>
      </c>
      <c r="Q58" s="199">
        <f t="shared" si="49"/>
        <v>-128520</v>
      </c>
      <c r="R58" s="202">
        <f t="shared" si="49"/>
        <v>-139320</v>
      </c>
      <c r="S58" s="203">
        <f t="shared" si="49"/>
        <v>-139320</v>
      </c>
      <c r="T58" s="204">
        <f t="shared" si="49"/>
        <v>-139320</v>
      </c>
      <c r="U58" s="199">
        <f t="shared" si="49"/>
        <v>150680</v>
      </c>
      <c r="V58" s="199">
        <f t="shared" si="49"/>
        <v>186274</v>
      </c>
      <c r="W58" s="199">
        <f t="shared" si="49"/>
        <v>-76132</v>
      </c>
      <c r="X58" s="199">
        <f t="shared" si="49"/>
        <v>-171320</v>
      </c>
      <c r="Y58" s="199">
        <f t="shared" si="49"/>
        <v>-180240</v>
      </c>
      <c r="Z58" s="199">
        <f t="shared" si="49"/>
        <v>2954160</v>
      </c>
      <c r="AA58" s="199">
        <f t="shared" si="49"/>
        <v>-240840</v>
      </c>
      <c r="AB58" s="199">
        <f t="shared" si="49"/>
        <v>-195840</v>
      </c>
      <c r="AC58" s="199">
        <f t="shared" si="49"/>
        <v>411851.8756</v>
      </c>
      <c r="AD58" s="199">
        <f t="shared" si="49"/>
        <v>62243.50163</v>
      </c>
      <c r="AE58" s="199">
        <f t="shared" si="49"/>
        <v>97647.31147</v>
      </c>
      <c r="AF58" s="199">
        <f t="shared" si="49"/>
        <v>117564.3215</v>
      </c>
      <c r="AG58" s="199">
        <f t="shared" si="49"/>
        <v>176557.5262</v>
      </c>
      <c r="AH58" s="199">
        <f t="shared" si="49"/>
        <v>217615.3897</v>
      </c>
      <c r="AI58" s="199">
        <f t="shared" si="49"/>
        <v>272671.5482</v>
      </c>
      <c r="AJ58" s="199">
        <f t="shared" si="49"/>
        <v>328186.947</v>
      </c>
      <c r="AK58" s="199">
        <f t="shared" si="49"/>
        <v>400466.1391</v>
      </c>
      <c r="AL58" s="199">
        <f t="shared" si="49"/>
        <v>440059.4354</v>
      </c>
      <c r="AM58" s="199">
        <f t="shared" si="49"/>
        <v>423508.5063</v>
      </c>
      <c r="AN58" s="199">
        <f t="shared" si="49"/>
        <v>531448.3602</v>
      </c>
      <c r="AO58" s="199">
        <f t="shared" si="49"/>
        <v>567324.0191</v>
      </c>
      <c r="AP58" s="199">
        <f t="shared" si="49"/>
        <v>642867.688</v>
      </c>
      <c r="AQ58" s="199">
        <f t="shared" si="49"/>
        <v>773583.6993</v>
      </c>
      <c r="AR58" s="199">
        <f t="shared" si="49"/>
        <v>901089.4796</v>
      </c>
      <c r="AS58" s="199">
        <f t="shared" si="49"/>
        <v>1039232.089</v>
      </c>
      <c r="AT58" s="199">
        <f t="shared" si="49"/>
        <v>1187406.926</v>
      </c>
      <c r="AU58" s="199">
        <f t="shared" si="49"/>
        <v>1390583.412</v>
      </c>
      <c r="AV58" s="199">
        <f t="shared" si="49"/>
        <v>1591852.688</v>
      </c>
      <c r="AW58" s="199">
        <f t="shared" si="49"/>
        <v>1823167.086</v>
      </c>
      <c r="AX58" s="199">
        <f t="shared" si="49"/>
        <v>2052020.421</v>
      </c>
      <c r="AY58" s="199">
        <f t="shared" si="49"/>
        <v>2331371.06</v>
      </c>
      <c r="AZ58" s="202">
        <f t="shared" si="49"/>
        <v>2685786.635</v>
      </c>
      <c r="BA58" s="121"/>
      <c r="BB58" s="202">
        <f t="shared" ref="BB58:BF58" si="50">BB56+BB52+BB50</f>
        <v>-327453</v>
      </c>
      <c r="BC58" s="202">
        <f t="shared" si="50"/>
        <v>1880262</v>
      </c>
      <c r="BD58" s="202">
        <f t="shared" si="50"/>
        <v>3479820.862</v>
      </c>
      <c r="BE58" s="202">
        <f t="shared" si="50"/>
        <v>16986285.2</v>
      </c>
      <c r="BF58" s="202">
        <f t="shared" si="50"/>
        <v>35599932.68</v>
      </c>
      <c r="BG58" s="194"/>
    </row>
    <row r="59" ht="15.75" customHeight="1">
      <c r="A59" s="121"/>
      <c r="B59" s="175" t="s">
        <v>237</v>
      </c>
      <c r="C59" s="174"/>
      <c r="D59" s="175" t="s">
        <v>202</v>
      </c>
      <c r="E59" s="212"/>
      <c r="F59" s="212"/>
      <c r="G59" s="212"/>
      <c r="H59" s="212"/>
      <c r="I59" s="212"/>
      <c r="J59" s="212"/>
      <c r="K59" s="212"/>
      <c r="L59" s="212"/>
      <c r="M59" s="212">
        <v>1111108.0</v>
      </c>
      <c r="N59" s="175">
        <f t="shared" ref="N59:AZ59" si="51">M60</f>
        <v>1052108</v>
      </c>
      <c r="O59" s="175">
        <f t="shared" si="51"/>
        <v>999601.3333</v>
      </c>
      <c r="P59" s="175">
        <f t="shared" si="51"/>
        <v>979588</v>
      </c>
      <c r="Q59" s="175">
        <f t="shared" si="51"/>
        <v>783655</v>
      </c>
      <c r="R59" s="175">
        <f t="shared" si="51"/>
        <v>655135</v>
      </c>
      <c r="S59" s="175">
        <f t="shared" si="51"/>
        <v>515815</v>
      </c>
      <c r="T59" s="175">
        <f t="shared" si="51"/>
        <v>376495</v>
      </c>
      <c r="U59" s="175">
        <f t="shared" si="51"/>
        <v>237175</v>
      </c>
      <c r="V59" s="175">
        <f t="shared" si="51"/>
        <v>387855</v>
      </c>
      <c r="W59" s="175">
        <f t="shared" si="51"/>
        <v>574129</v>
      </c>
      <c r="X59" s="175">
        <f t="shared" si="51"/>
        <v>497997</v>
      </c>
      <c r="Y59" s="175">
        <f t="shared" si="51"/>
        <v>326677</v>
      </c>
      <c r="Z59" s="175">
        <f t="shared" si="51"/>
        <v>146437</v>
      </c>
      <c r="AA59" s="175">
        <f t="shared" si="51"/>
        <v>3100597</v>
      </c>
      <c r="AB59" s="175">
        <f t="shared" si="51"/>
        <v>2859757</v>
      </c>
      <c r="AC59" s="175">
        <f t="shared" si="51"/>
        <v>2663917</v>
      </c>
      <c r="AD59" s="175">
        <f t="shared" si="51"/>
        <v>3075768.876</v>
      </c>
      <c r="AE59" s="175">
        <f t="shared" si="51"/>
        <v>3138012.377</v>
      </c>
      <c r="AF59" s="175">
        <f t="shared" si="51"/>
        <v>3235659.689</v>
      </c>
      <c r="AG59" s="175">
        <f t="shared" si="51"/>
        <v>3353224.01</v>
      </c>
      <c r="AH59" s="175">
        <f t="shared" si="51"/>
        <v>3529781.536</v>
      </c>
      <c r="AI59" s="175">
        <f t="shared" si="51"/>
        <v>3747396.926</v>
      </c>
      <c r="AJ59" s="175">
        <f t="shared" si="51"/>
        <v>4020068.474</v>
      </c>
      <c r="AK59" s="175">
        <f t="shared" si="51"/>
        <v>4348255.421</v>
      </c>
      <c r="AL59" s="175">
        <f t="shared" si="51"/>
        <v>4748721.56</v>
      </c>
      <c r="AM59" s="175">
        <f t="shared" si="51"/>
        <v>5188780.996</v>
      </c>
      <c r="AN59" s="175">
        <f t="shared" si="51"/>
        <v>5612289.502</v>
      </c>
      <c r="AO59" s="175">
        <f t="shared" si="51"/>
        <v>6143737.862</v>
      </c>
      <c r="AP59" s="175">
        <f t="shared" si="51"/>
        <v>6711061.881</v>
      </c>
      <c r="AQ59" s="175">
        <f t="shared" si="51"/>
        <v>7353929.569</v>
      </c>
      <c r="AR59" s="175">
        <f t="shared" si="51"/>
        <v>8127513.269</v>
      </c>
      <c r="AS59" s="175">
        <f t="shared" si="51"/>
        <v>9028602.748</v>
      </c>
      <c r="AT59" s="175">
        <f t="shared" si="51"/>
        <v>10067834.84</v>
      </c>
      <c r="AU59" s="175">
        <f t="shared" si="51"/>
        <v>11255241.76</v>
      </c>
      <c r="AV59" s="175">
        <f t="shared" si="51"/>
        <v>12645825.18</v>
      </c>
      <c r="AW59" s="175">
        <f t="shared" si="51"/>
        <v>14237677.86</v>
      </c>
      <c r="AX59" s="175">
        <f t="shared" si="51"/>
        <v>16060844.95</v>
      </c>
      <c r="AY59" s="175">
        <f t="shared" si="51"/>
        <v>18112865.37</v>
      </c>
      <c r="AZ59" s="175">
        <f t="shared" si="51"/>
        <v>20444236.43</v>
      </c>
      <c r="BA59" s="121"/>
      <c r="BB59" s="175">
        <f>BB58+BB60</f>
        <v>456202</v>
      </c>
      <c r="BC59" s="175">
        <f>Q59</f>
        <v>783655</v>
      </c>
      <c r="BD59" s="175">
        <f>AC59</f>
        <v>2663917</v>
      </c>
      <c r="BE59" s="175">
        <f>AO59</f>
        <v>6143737.862</v>
      </c>
      <c r="BF59" s="175">
        <f>AZ60</f>
        <v>23130023.07</v>
      </c>
      <c r="BG59" s="40"/>
    </row>
    <row r="60" ht="15.75" customHeight="1">
      <c r="A60" s="186"/>
      <c r="B60" s="187" t="s">
        <v>238</v>
      </c>
      <c r="C60" s="188"/>
      <c r="D60" s="187" t="s">
        <v>202</v>
      </c>
      <c r="E60" s="187"/>
      <c r="F60" s="187"/>
      <c r="G60" s="187"/>
      <c r="H60" s="187"/>
      <c r="I60" s="187"/>
      <c r="J60" s="187"/>
      <c r="K60" s="187"/>
      <c r="L60" s="187"/>
      <c r="M60" s="187">
        <f>M58+M59</f>
        <v>1052108</v>
      </c>
      <c r="N60" s="187">
        <f t="shared" ref="N60:AZ60" si="52">N59+N58</f>
        <v>999601.3333</v>
      </c>
      <c r="O60" s="187">
        <f t="shared" si="52"/>
        <v>979588</v>
      </c>
      <c r="P60" s="187">
        <f t="shared" si="52"/>
        <v>783655</v>
      </c>
      <c r="Q60" s="187">
        <f t="shared" si="52"/>
        <v>655135</v>
      </c>
      <c r="R60" s="187">
        <f t="shared" si="52"/>
        <v>515815</v>
      </c>
      <c r="S60" s="187">
        <f t="shared" si="52"/>
        <v>376495</v>
      </c>
      <c r="T60" s="187">
        <f t="shared" si="52"/>
        <v>237175</v>
      </c>
      <c r="U60" s="187">
        <f t="shared" si="52"/>
        <v>387855</v>
      </c>
      <c r="V60" s="187">
        <f t="shared" si="52"/>
        <v>574129</v>
      </c>
      <c r="W60" s="187">
        <f t="shared" si="52"/>
        <v>497997</v>
      </c>
      <c r="X60" s="187">
        <f t="shared" si="52"/>
        <v>326677</v>
      </c>
      <c r="Y60" s="187">
        <f t="shared" si="52"/>
        <v>146437</v>
      </c>
      <c r="Z60" s="187">
        <f t="shared" si="52"/>
        <v>3100597</v>
      </c>
      <c r="AA60" s="187">
        <f t="shared" si="52"/>
        <v>2859757</v>
      </c>
      <c r="AB60" s="187">
        <f t="shared" si="52"/>
        <v>2663917</v>
      </c>
      <c r="AC60" s="187">
        <f t="shared" si="52"/>
        <v>3075768.876</v>
      </c>
      <c r="AD60" s="187">
        <f t="shared" si="52"/>
        <v>3138012.377</v>
      </c>
      <c r="AE60" s="187">
        <f t="shared" si="52"/>
        <v>3235659.689</v>
      </c>
      <c r="AF60" s="187">
        <f t="shared" si="52"/>
        <v>3353224.01</v>
      </c>
      <c r="AG60" s="187">
        <f t="shared" si="52"/>
        <v>3529781.536</v>
      </c>
      <c r="AH60" s="187">
        <f t="shared" si="52"/>
        <v>3747396.926</v>
      </c>
      <c r="AI60" s="187">
        <f t="shared" si="52"/>
        <v>4020068.474</v>
      </c>
      <c r="AJ60" s="187">
        <f t="shared" si="52"/>
        <v>4348255.421</v>
      </c>
      <c r="AK60" s="187">
        <f t="shared" si="52"/>
        <v>4748721.56</v>
      </c>
      <c r="AL60" s="187">
        <f t="shared" si="52"/>
        <v>5188780.996</v>
      </c>
      <c r="AM60" s="187">
        <f t="shared" si="52"/>
        <v>5612289.502</v>
      </c>
      <c r="AN60" s="187">
        <f t="shared" si="52"/>
        <v>6143737.862</v>
      </c>
      <c r="AO60" s="187">
        <f t="shared" si="52"/>
        <v>6711061.881</v>
      </c>
      <c r="AP60" s="187">
        <f t="shared" si="52"/>
        <v>7353929.569</v>
      </c>
      <c r="AQ60" s="187">
        <f t="shared" si="52"/>
        <v>8127513.269</v>
      </c>
      <c r="AR60" s="187">
        <f t="shared" si="52"/>
        <v>9028602.748</v>
      </c>
      <c r="AS60" s="187">
        <f t="shared" si="52"/>
        <v>10067834.84</v>
      </c>
      <c r="AT60" s="187">
        <f t="shared" si="52"/>
        <v>11255241.76</v>
      </c>
      <c r="AU60" s="187">
        <f t="shared" si="52"/>
        <v>12645825.18</v>
      </c>
      <c r="AV60" s="187">
        <f t="shared" si="52"/>
        <v>14237677.86</v>
      </c>
      <c r="AW60" s="187">
        <f t="shared" si="52"/>
        <v>16060844.95</v>
      </c>
      <c r="AX60" s="187">
        <f t="shared" si="52"/>
        <v>18112865.37</v>
      </c>
      <c r="AY60" s="187">
        <f t="shared" si="52"/>
        <v>20444236.43</v>
      </c>
      <c r="AZ60" s="190">
        <f t="shared" si="52"/>
        <v>23130023.07</v>
      </c>
      <c r="BA60" s="189"/>
      <c r="BB60" s="190">
        <f>P60</f>
        <v>783655</v>
      </c>
      <c r="BC60" s="190">
        <f t="shared" ref="BC60:BF60" si="53">BC58+BC59</f>
        <v>2663917</v>
      </c>
      <c r="BD60" s="190">
        <f t="shared" si="53"/>
        <v>6143737.862</v>
      </c>
      <c r="BE60" s="190">
        <f t="shared" si="53"/>
        <v>23130023.07</v>
      </c>
      <c r="BF60" s="190">
        <f t="shared" si="53"/>
        <v>58729955.74</v>
      </c>
      <c r="BG60" s="191"/>
    </row>
    <row r="61" ht="15.75" customHeight="1">
      <c r="A61" s="121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21"/>
      <c r="BB61" s="174"/>
      <c r="BC61" s="174"/>
      <c r="BD61" s="174"/>
      <c r="BE61" s="174"/>
      <c r="BF61" s="174"/>
      <c r="BG61" s="121"/>
    </row>
    <row r="62" ht="15.75" customHeight="1">
      <c r="A62" s="175"/>
      <c r="B62" s="193" t="s">
        <v>239</v>
      </c>
      <c r="C62" s="175"/>
      <c r="D62" s="175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75"/>
      <c r="BB62" s="193"/>
      <c r="BC62" s="193"/>
      <c r="BD62" s="193"/>
      <c r="BE62" s="193"/>
      <c r="BF62" s="193"/>
      <c r="BG62" s="193"/>
    </row>
    <row r="63" ht="13.5" customHeight="1">
      <c r="A63" s="177"/>
      <c r="B63" s="178" t="s">
        <v>240</v>
      </c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80"/>
      <c r="S63" s="181"/>
      <c r="T63" s="182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80"/>
      <c r="BA63" s="121"/>
      <c r="BB63" s="180"/>
      <c r="BC63" s="180"/>
      <c r="BD63" s="180"/>
      <c r="BE63" s="180"/>
      <c r="BF63" s="180"/>
      <c r="BG63" s="121"/>
    </row>
    <row r="64" ht="15.75" customHeight="1">
      <c r="A64" s="121"/>
      <c r="B64" s="175" t="s">
        <v>241</v>
      </c>
      <c r="C64" s="174"/>
      <c r="D64" s="175" t="s">
        <v>202</v>
      </c>
      <c r="E64" s="175"/>
      <c r="F64" s="175"/>
      <c r="G64" s="175"/>
      <c r="H64" s="175"/>
      <c r="I64" s="175"/>
      <c r="J64" s="175"/>
      <c r="K64" s="175"/>
      <c r="L64" s="175"/>
      <c r="M64" s="175">
        <f t="shared" ref="M64:AZ64" si="54">M60</f>
        <v>1052108</v>
      </c>
      <c r="N64" s="175">
        <f t="shared" si="54"/>
        <v>999601.3333</v>
      </c>
      <c r="O64" s="175">
        <f t="shared" si="54"/>
        <v>979588</v>
      </c>
      <c r="P64" s="175">
        <f t="shared" si="54"/>
        <v>783655</v>
      </c>
      <c r="Q64" s="175">
        <f t="shared" si="54"/>
        <v>655135</v>
      </c>
      <c r="R64" s="175">
        <f t="shared" si="54"/>
        <v>515815</v>
      </c>
      <c r="S64" s="175">
        <f t="shared" si="54"/>
        <v>376495</v>
      </c>
      <c r="T64" s="175">
        <f t="shared" si="54"/>
        <v>237175</v>
      </c>
      <c r="U64" s="175">
        <f t="shared" si="54"/>
        <v>387855</v>
      </c>
      <c r="V64" s="175">
        <f t="shared" si="54"/>
        <v>574129</v>
      </c>
      <c r="W64" s="175">
        <f t="shared" si="54"/>
        <v>497997</v>
      </c>
      <c r="X64" s="175">
        <f t="shared" si="54"/>
        <v>326677</v>
      </c>
      <c r="Y64" s="175">
        <f t="shared" si="54"/>
        <v>146437</v>
      </c>
      <c r="Z64" s="175">
        <f t="shared" si="54"/>
        <v>3100597</v>
      </c>
      <c r="AA64" s="175">
        <f t="shared" si="54"/>
        <v>2859757</v>
      </c>
      <c r="AB64" s="175">
        <f t="shared" si="54"/>
        <v>2663917</v>
      </c>
      <c r="AC64" s="175">
        <f t="shared" si="54"/>
        <v>3075768.876</v>
      </c>
      <c r="AD64" s="175">
        <f t="shared" si="54"/>
        <v>3138012.377</v>
      </c>
      <c r="AE64" s="175">
        <f t="shared" si="54"/>
        <v>3235659.689</v>
      </c>
      <c r="AF64" s="175">
        <f t="shared" si="54"/>
        <v>3353224.01</v>
      </c>
      <c r="AG64" s="175">
        <f t="shared" si="54"/>
        <v>3529781.536</v>
      </c>
      <c r="AH64" s="175">
        <f t="shared" si="54"/>
        <v>3747396.926</v>
      </c>
      <c r="AI64" s="175">
        <f t="shared" si="54"/>
        <v>4020068.474</v>
      </c>
      <c r="AJ64" s="175">
        <f t="shared" si="54"/>
        <v>4348255.421</v>
      </c>
      <c r="AK64" s="175">
        <f t="shared" si="54"/>
        <v>4748721.56</v>
      </c>
      <c r="AL64" s="175">
        <f t="shared" si="54"/>
        <v>5188780.996</v>
      </c>
      <c r="AM64" s="175">
        <f t="shared" si="54"/>
        <v>5612289.502</v>
      </c>
      <c r="AN64" s="175">
        <f t="shared" si="54"/>
        <v>6143737.862</v>
      </c>
      <c r="AO64" s="175">
        <f t="shared" si="54"/>
        <v>6711061.881</v>
      </c>
      <c r="AP64" s="175">
        <f t="shared" si="54"/>
        <v>7353929.569</v>
      </c>
      <c r="AQ64" s="175">
        <f t="shared" si="54"/>
        <v>8127513.269</v>
      </c>
      <c r="AR64" s="175">
        <f t="shared" si="54"/>
        <v>9028602.748</v>
      </c>
      <c r="AS64" s="175">
        <f t="shared" si="54"/>
        <v>10067834.84</v>
      </c>
      <c r="AT64" s="175">
        <f t="shared" si="54"/>
        <v>11255241.76</v>
      </c>
      <c r="AU64" s="175">
        <f t="shared" si="54"/>
        <v>12645825.18</v>
      </c>
      <c r="AV64" s="175">
        <f t="shared" si="54"/>
        <v>14237677.86</v>
      </c>
      <c r="AW64" s="175">
        <f t="shared" si="54"/>
        <v>16060844.95</v>
      </c>
      <c r="AX64" s="175">
        <f t="shared" si="54"/>
        <v>18112865.37</v>
      </c>
      <c r="AY64" s="175">
        <f t="shared" si="54"/>
        <v>20444236.43</v>
      </c>
      <c r="AZ64" s="175">
        <f t="shared" si="54"/>
        <v>23130023.07</v>
      </c>
      <c r="BA64" s="121"/>
      <c r="BB64" s="175">
        <f t="shared" ref="BB64:BB68" si="56">P64</f>
        <v>783655</v>
      </c>
      <c r="BC64" s="175">
        <f t="shared" ref="BC64:BC68" si="57">AB64</f>
        <v>2663917</v>
      </c>
      <c r="BD64" s="175">
        <f t="shared" ref="BD64:BD68" si="58">AN64</f>
        <v>6143737.862</v>
      </c>
      <c r="BE64" s="175">
        <f t="shared" ref="BE64:BE68" si="59">AZ64</f>
        <v>23130023.07</v>
      </c>
      <c r="BF64" s="175">
        <f>BF60</f>
        <v>58729955.74</v>
      </c>
      <c r="BG64" s="40"/>
    </row>
    <row r="65" ht="15.75" customHeight="1">
      <c r="A65" s="121"/>
      <c r="B65" s="175" t="s">
        <v>242</v>
      </c>
      <c r="C65" s="174"/>
      <c r="D65" s="175" t="s">
        <v>202</v>
      </c>
      <c r="E65" s="175"/>
      <c r="F65" s="175"/>
      <c r="G65" s="175"/>
      <c r="H65" s="175"/>
      <c r="I65" s="175"/>
      <c r="J65" s="175"/>
      <c r="K65" s="175"/>
      <c r="L65" s="175"/>
      <c r="M65" s="175">
        <f t="shared" ref="M65:AZ65" si="55">M42</f>
        <v>108239</v>
      </c>
      <c r="N65" s="175">
        <f t="shared" si="55"/>
        <v>118435.16</v>
      </c>
      <c r="O65" s="175">
        <f t="shared" si="55"/>
        <v>113533.16</v>
      </c>
      <c r="P65" s="175">
        <f t="shared" si="55"/>
        <v>177499.874</v>
      </c>
      <c r="Q65" s="175">
        <f t="shared" si="55"/>
        <v>210658.034</v>
      </c>
      <c r="R65" s="175">
        <f t="shared" si="55"/>
        <v>246602.594</v>
      </c>
      <c r="S65" s="175">
        <f t="shared" si="55"/>
        <v>282547.154</v>
      </c>
      <c r="T65" s="175">
        <f t="shared" si="55"/>
        <v>318491.714</v>
      </c>
      <c r="U65" s="175">
        <f t="shared" si="55"/>
        <v>357016.274</v>
      </c>
      <c r="V65" s="175">
        <f t="shared" si="55"/>
        <v>367991.078</v>
      </c>
      <c r="W65" s="175">
        <f t="shared" si="55"/>
        <v>405999.638</v>
      </c>
      <c r="X65" s="175">
        <f t="shared" si="55"/>
        <v>450200.198</v>
      </c>
      <c r="Y65" s="175">
        <f t="shared" si="55"/>
        <v>496702.118</v>
      </c>
      <c r="Z65" s="175">
        <f t="shared" si="55"/>
        <v>573028.838</v>
      </c>
      <c r="AA65" s="175">
        <f t="shared" si="55"/>
        <v>635165.558</v>
      </c>
      <c r="AB65" s="175">
        <f t="shared" si="55"/>
        <v>685692.278</v>
      </c>
      <c r="AC65" s="175">
        <f t="shared" si="55"/>
        <v>700253.1054</v>
      </c>
      <c r="AD65" s="175">
        <f t="shared" si="55"/>
        <v>709253.0264</v>
      </c>
      <c r="AE65" s="175">
        <f t="shared" si="55"/>
        <v>712292.749</v>
      </c>
      <c r="AF65" s="175">
        <f t="shared" si="55"/>
        <v>709783.0785</v>
      </c>
      <c r="AG65" s="175">
        <f t="shared" si="55"/>
        <v>699127.0891</v>
      </c>
      <c r="AH65" s="175">
        <f t="shared" si="55"/>
        <v>681604.7915</v>
      </c>
      <c r="AI65" s="175">
        <f t="shared" si="55"/>
        <v>653919.7798</v>
      </c>
      <c r="AJ65" s="175">
        <f t="shared" si="55"/>
        <v>616006.8398</v>
      </c>
      <c r="AK65" s="175">
        <f t="shared" si="55"/>
        <v>563725.1247</v>
      </c>
      <c r="AL65" s="175">
        <f t="shared" si="55"/>
        <v>498128.2266</v>
      </c>
      <c r="AM65" s="175">
        <f t="shared" si="55"/>
        <v>418422.6488</v>
      </c>
      <c r="AN65" s="175">
        <f t="shared" si="55"/>
        <v>319631.916</v>
      </c>
      <c r="AO65" s="175">
        <f t="shared" si="55"/>
        <v>209912.6064</v>
      </c>
      <c r="AP65" s="175">
        <f t="shared" si="55"/>
        <v>84079.04574</v>
      </c>
      <c r="AQ65" s="175">
        <f t="shared" si="55"/>
        <v>-66715.4799</v>
      </c>
      <c r="AR65" s="175">
        <f t="shared" si="55"/>
        <v>-245175.1275</v>
      </c>
      <c r="AS65" s="175">
        <f t="shared" si="55"/>
        <v>-454042.4446</v>
      </c>
      <c r="AT65" s="175">
        <f t="shared" si="55"/>
        <v>-695906.6232</v>
      </c>
      <c r="AU65" s="175">
        <f t="shared" si="55"/>
        <v>-981426.5693</v>
      </c>
      <c r="AV65" s="175">
        <f t="shared" si="55"/>
        <v>-1310110.222</v>
      </c>
      <c r="AW65" s="175">
        <f t="shared" si="55"/>
        <v>-1688008.936</v>
      </c>
      <c r="AX65" s="175">
        <f t="shared" si="55"/>
        <v>-2118018.836</v>
      </c>
      <c r="AY65" s="175">
        <f t="shared" si="55"/>
        <v>-2607805.916</v>
      </c>
      <c r="AZ65" s="175">
        <f t="shared" si="55"/>
        <v>-3173334.597</v>
      </c>
      <c r="BA65" s="121"/>
      <c r="BB65" s="175">
        <f t="shared" si="56"/>
        <v>177499.874</v>
      </c>
      <c r="BC65" s="175">
        <f t="shared" si="57"/>
        <v>685692.278</v>
      </c>
      <c r="BD65" s="175">
        <f t="shared" si="58"/>
        <v>319631.916</v>
      </c>
      <c r="BE65" s="175">
        <f t="shared" si="59"/>
        <v>-3173334.597</v>
      </c>
      <c r="BF65" s="175">
        <v>0.0</v>
      </c>
      <c r="BG65" s="40"/>
    </row>
    <row r="66" ht="15.75" customHeight="1">
      <c r="A66" s="121"/>
      <c r="B66" s="175" t="s">
        <v>243</v>
      </c>
      <c r="C66" s="174"/>
      <c r="D66" s="175" t="s">
        <v>202</v>
      </c>
      <c r="E66" s="175"/>
      <c r="F66" s="175"/>
      <c r="G66" s="175"/>
      <c r="H66" s="175"/>
      <c r="I66" s="175"/>
      <c r="J66" s="175"/>
      <c r="K66" s="175"/>
      <c r="L66" s="175"/>
      <c r="M66" s="175">
        <f>ABS(Assumptions!$D$14*(M12/30))</f>
        <v>0</v>
      </c>
      <c r="N66" s="175">
        <f>ABS(Assumptions!$D$14*(N12/30))</f>
        <v>12986.66667</v>
      </c>
      <c r="O66" s="175">
        <f>ABS(Assumptions!$D$14*(O12/30))</f>
        <v>52000</v>
      </c>
      <c r="P66" s="175">
        <f>ABS(Assumptions!$D$14*(P12/30))</f>
        <v>0</v>
      </c>
      <c r="Q66" s="175">
        <f>ABS(Assumptions!$D$14*(Q12/30))</f>
        <v>0</v>
      </c>
      <c r="R66" s="175">
        <f>ABS(Assumptions!$D$14*(R12/30))</f>
        <v>0</v>
      </c>
      <c r="S66" s="175">
        <f>ABS(Assumptions!$D$14*(S12/30))</f>
        <v>0</v>
      </c>
      <c r="T66" s="175">
        <f>ABS(Assumptions!$D$14*(T12/30))</f>
        <v>0</v>
      </c>
      <c r="U66" s="175">
        <f>ABS(Assumptions!$D$14*(U12/30))</f>
        <v>0</v>
      </c>
      <c r="V66" s="175">
        <f>ABS(Assumptions!$D$14*(V12/30))</f>
        <v>71188</v>
      </c>
      <c r="W66" s="175">
        <f>ABS(Assumptions!$D$14*(W12/30))</f>
        <v>0</v>
      </c>
      <c r="X66" s="175">
        <f>ABS(Assumptions!$D$14*(X12/30))</f>
        <v>0</v>
      </c>
      <c r="Y66" s="175">
        <f>ABS(Assumptions!$D$14*(Y12/30))</f>
        <v>0</v>
      </c>
      <c r="Z66" s="175">
        <f>ABS(Assumptions!$D$14*(Z12/30))</f>
        <v>0</v>
      </c>
      <c r="AA66" s="175">
        <f>ABS(Assumptions!$D$14*(AA12/30))</f>
        <v>0</v>
      </c>
      <c r="AB66" s="175">
        <f>ABS(Assumptions!$D$14*(AB12/30))</f>
        <v>0</v>
      </c>
      <c r="AC66" s="175">
        <f>ABS(Assumptions!$D$14*(AC12/30))</f>
        <v>594377.6143</v>
      </c>
      <c r="AD66" s="175">
        <f>ABS(Assumptions!$D$14*(AD12/30))</f>
        <v>661784.7383</v>
      </c>
      <c r="AE66" s="175">
        <f>ABS(Assumptions!$D$14*(AE12/30))</f>
        <v>737066.2369</v>
      </c>
      <c r="AF66" s="175">
        <f>ABS(Assumptions!$D$14*(AF12/30))</f>
        <v>804473.3609</v>
      </c>
      <c r="AG66" s="175">
        <f>ABS(Assumptions!$D$14*(AG12/30))</f>
        <v>901646.8595</v>
      </c>
      <c r="AH66" s="175">
        <f>ABS(Assumptions!$D$14*(AH12/30))</f>
        <v>1006694.733</v>
      </c>
      <c r="AI66" s="175">
        <f>ABS(Assumptions!$D$14*(AI12/30))</f>
        <v>1125760.231</v>
      </c>
      <c r="AJ66" s="175">
        <f>ABS(Assumptions!$D$14*(AJ12/30))</f>
        <v>1252700.105</v>
      </c>
      <c r="AK66" s="175">
        <f>ABS(Assumptions!$D$14*(AK12/30))</f>
        <v>1387514.353</v>
      </c>
      <c r="AL66" s="175">
        <f>ABS(Assumptions!$D$14*(AL12/30))</f>
        <v>1544220.601</v>
      </c>
      <c r="AM66" s="175">
        <f>ABS(Assumptions!$D$14*(AM12/30))</f>
        <v>1708801.223</v>
      </c>
      <c r="AN66" s="175">
        <f>ABS(Assumptions!$D$14*(AN12/30))</f>
        <v>1925040.22</v>
      </c>
      <c r="AO66" s="175">
        <f>ABS(Assumptions!$D$14*(AO12/30))</f>
        <v>2136302.843</v>
      </c>
      <c r="AP66" s="175">
        <f>ABS(Assumptions!$D$14*(AP12/30))</f>
        <v>2360738.215</v>
      </c>
      <c r="AQ66" s="175">
        <f>ABS(Assumptions!$D$14*(AQ12/30))</f>
        <v>2636877.961</v>
      </c>
      <c r="AR66" s="175">
        <f>ABS(Assumptions!$D$14*(AR12/30))</f>
        <v>2942738.083</v>
      </c>
      <c r="AS66" s="175">
        <f>ABS(Assumptions!$D$14*(AS12/30))</f>
        <v>3278502.579</v>
      </c>
      <c r="AT66" s="175">
        <f>ABS(Assumptions!$D$14*(AT12/30))</f>
        <v>3644079.449</v>
      </c>
      <c r="AU66" s="175">
        <f>ABS(Assumptions!$D$14*(AU12/30))</f>
        <v>4061360.694</v>
      </c>
      <c r="AV66" s="175">
        <f>ABS(Assumptions!$D$14*(AV12/30))</f>
        <v>4530346.314</v>
      </c>
      <c r="AW66" s="175">
        <f>ABS(Assumptions!$D$14*(AW12/30))</f>
        <v>5058910.683</v>
      </c>
      <c r="AX66" s="175">
        <f>ABS(Assumptions!$D$14*(AX12/30))</f>
        <v>5625207.802</v>
      </c>
      <c r="AY66" s="175">
        <f>ABS(Assumptions!$D$14*(AY12/30))</f>
        <v>6265101.295</v>
      </c>
      <c r="AZ66" s="175">
        <f>ABS(Assumptions!$D$14*(AZ12/30))</f>
        <v>6994523.912</v>
      </c>
      <c r="BA66" s="121"/>
      <c r="BB66" s="175">
        <f t="shared" si="56"/>
        <v>0</v>
      </c>
      <c r="BC66" s="175">
        <f t="shared" si="57"/>
        <v>0</v>
      </c>
      <c r="BD66" s="175">
        <f t="shared" si="58"/>
        <v>1925040.22</v>
      </c>
      <c r="BE66" s="175">
        <f t="shared" si="59"/>
        <v>6994523.912</v>
      </c>
      <c r="BF66" s="175">
        <f>Assumptions!$D$14/365*BF12</f>
        <v>8167248.958</v>
      </c>
      <c r="BG66" s="40"/>
    </row>
    <row r="67" ht="15.75" customHeight="1">
      <c r="A67" s="121"/>
      <c r="B67" s="175" t="s">
        <v>244</v>
      </c>
      <c r="C67" s="174"/>
      <c r="D67" s="175" t="s">
        <v>202</v>
      </c>
      <c r="E67" s="175"/>
      <c r="F67" s="175"/>
      <c r="G67" s="175"/>
      <c r="H67" s="175"/>
      <c r="I67" s="175"/>
      <c r="J67" s="175"/>
      <c r="K67" s="175"/>
      <c r="L67" s="175"/>
      <c r="M67" s="175">
        <f>ABS(Assumptions!$D$16*(M19/30))</f>
        <v>0</v>
      </c>
      <c r="N67" s="175">
        <f>ABS(Assumptions!$D$16*(N19/30))</f>
        <v>0</v>
      </c>
      <c r="O67" s="175">
        <f>ABS(Assumptions!$D$16*(O19/30))</f>
        <v>0</v>
      </c>
      <c r="P67" s="175">
        <f>ABS(Assumptions!$D$16*(P19/30))</f>
        <v>0</v>
      </c>
      <c r="Q67" s="175">
        <f>ABS(Assumptions!$D$16*(Q19/30))</f>
        <v>0</v>
      </c>
      <c r="R67" s="175">
        <f>ABS(Assumptions!$D$16*(R19/30))</f>
        <v>0</v>
      </c>
      <c r="S67" s="175">
        <f>ABS(Assumptions!$D$16*(S19/30))</f>
        <v>0</v>
      </c>
      <c r="T67" s="175">
        <f>ABS(Assumptions!$D$16*(T19/30))</f>
        <v>0</v>
      </c>
      <c r="U67" s="175">
        <f>ABS(Assumptions!$D$16*(U19/30))</f>
        <v>0</v>
      </c>
      <c r="V67" s="175">
        <f>ABS(Assumptions!$D$16*(V19/30))</f>
        <v>0</v>
      </c>
      <c r="W67" s="175">
        <f>ABS(Assumptions!$D$16*(W19/30))</f>
        <v>0</v>
      </c>
      <c r="X67" s="175">
        <f>ABS(Assumptions!$D$16*(X19/30))</f>
        <v>0</v>
      </c>
      <c r="Y67" s="175">
        <f>ABS(Assumptions!$D$16*(Y19/30))</f>
        <v>0</v>
      </c>
      <c r="Z67" s="175">
        <f>ABS(Assumptions!$D$16*(Z19/30))</f>
        <v>0</v>
      </c>
      <c r="AA67" s="175">
        <f>ABS(Assumptions!$D$16*(AA19/30))</f>
        <v>0</v>
      </c>
      <c r="AB67" s="175">
        <f>ABS(Assumptions!$D$16*(AB19/30))</f>
        <v>0</v>
      </c>
      <c r="AC67" s="175">
        <f>ABS(Assumptions!$D$16*(AC19/30))</f>
        <v>0</v>
      </c>
      <c r="AD67" s="175">
        <f>ABS(Assumptions!$D$16*(AD19/30))</f>
        <v>0</v>
      </c>
      <c r="AE67" s="175">
        <f>ABS(Assumptions!$D$16*(AE19/30))</f>
        <v>0</v>
      </c>
      <c r="AF67" s="175">
        <f>ABS(Assumptions!$D$16*(AF19/30))</f>
        <v>0</v>
      </c>
      <c r="AG67" s="175">
        <f>ABS(Assumptions!$D$16*(AG19/30))</f>
        <v>0</v>
      </c>
      <c r="AH67" s="175">
        <f>ABS(Assumptions!$D$16*(AH19/30))</f>
        <v>0</v>
      </c>
      <c r="AI67" s="175">
        <f>ABS(Assumptions!$D$16*(AI19/30))</f>
        <v>0</v>
      </c>
      <c r="AJ67" s="175">
        <f>ABS(Assumptions!$D$16*(AJ19/30))</f>
        <v>0</v>
      </c>
      <c r="AK67" s="175">
        <f>ABS(Assumptions!$D$16*(AK19/30))</f>
        <v>0</v>
      </c>
      <c r="AL67" s="175">
        <f>ABS(Assumptions!$D$16*(AL19/30))</f>
        <v>0</v>
      </c>
      <c r="AM67" s="175">
        <f>ABS(Assumptions!$D$16*(AM19/30))</f>
        <v>0</v>
      </c>
      <c r="AN67" s="175">
        <f>ABS(Assumptions!$D$16*(AN19/30))</f>
        <v>0</v>
      </c>
      <c r="AO67" s="175">
        <f>ABS(Assumptions!$D$16*(AO19/30))</f>
        <v>0</v>
      </c>
      <c r="AP67" s="175">
        <f>ABS(Assumptions!$D$16*(AP19/30))</f>
        <v>0</v>
      </c>
      <c r="AQ67" s="175">
        <f>ABS(Assumptions!$D$16*(AQ19/30))</f>
        <v>0</v>
      </c>
      <c r="AR67" s="175">
        <f>ABS(Assumptions!$D$16*(AR19/30))</f>
        <v>0</v>
      </c>
      <c r="AS67" s="175">
        <f>ABS(Assumptions!$D$16*(AS19/30))</f>
        <v>0</v>
      </c>
      <c r="AT67" s="175">
        <f>ABS(Assumptions!$D$16*(AT19/30))</f>
        <v>0</v>
      </c>
      <c r="AU67" s="175">
        <f>ABS(Assumptions!$D$16*(AU19/30))</f>
        <v>0</v>
      </c>
      <c r="AV67" s="175">
        <f>ABS(Assumptions!$D$16*(AV19/30))</f>
        <v>0</v>
      </c>
      <c r="AW67" s="175">
        <f>ABS(Assumptions!$D$16*(AW19/30))</f>
        <v>0</v>
      </c>
      <c r="AX67" s="175">
        <f>ABS(Assumptions!$D$16*(AX19/30))</f>
        <v>0</v>
      </c>
      <c r="AY67" s="175">
        <f>ABS(Assumptions!$D$16*(AY19/30))</f>
        <v>0</v>
      </c>
      <c r="AZ67" s="175">
        <f>ABS(Assumptions!$D$16*(AZ19/30))</f>
        <v>0</v>
      </c>
      <c r="BA67" s="121"/>
      <c r="BB67" s="175">
        <f t="shared" si="56"/>
        <v>0</v>
      </c>
      <c r="BC67" s="175">
        <f t="shared" si="57"/>
        <v>0</v>
      </c>
      <c r="BD67" s="175">
        <f t="shared" si="58"/>
        <v>0</v>
      </c>
      <c r="BE67" s="175">
        <f t="shared" si="59"/>
        <v>0</v>
      </c>
      <c r="BF67" s="175">
        <v>0.0</v>
      </c>
      <c r="BG67" s="40"/>
    </row>
    <row r="68" ht="12.75" customHeight="1">
      <c r="A68" s="177"/>
      <c r="B68" s="199" t="s">
        <v>245</v>
      </c>
      <c r="C68" s="200"/>
      <c r="D68" s="201" t="s">
        <v>202</v>
      </c>
      <c r="E68" s="199"/>
      <c r="F68" s="199"/>
      <c r="G68" s="199"/>
      <c r="H68" s="199"/>
      <c r="I68" s="199"/>
      <c r="J68" s="199"/>
      <c r="K68" s="199"/>
      <c r="L68" s="199"/>
      <c r="M68" s="199">
        <f t="shared" ref="M68:AZ68" si="60">sum(M64:M67)</f>
        <v>1160347</v>
      </c>
      <c r="N68" s="199">
        <f t="shared" si="60"/>
        <v>1131023.16</v>
      </c>
      <c r="O68" s="199">
        <f t="shared" si="60"/>
        <v>1145121.16</v>
      </c>
      <c r="P68" s="199">
        <f t="shared" si="60"/>
        <v>961154.874</v>
      </c>
      <c r="Q68" s="199">
        <f t="shared" si="60"/>
        <v>865793.034</v>
      </c>
      <c r="R68" s="199">
        <f t="shared" si="60"/>
        <v>762417.594</v>
      </c>
      <c r="S68" s="199">
        <f t="shared" si="60"/>
        <v>659042.154</v>
      </c>
      <c r="T68" s="199">
        <f t="shared" si="60"/>
        <v>555666.714</v>
      </c>
      <c r="U68" s="199">
        <f t="shared" si="60"/>
        <v>744871.274</v>
      </c>
      <c r="V68" s="199">
        <f t="shared" si="60"/>
        <v>1013308.078</v>
      </c>
      <c r="W68" s="199">
        <f t="shared" si="60"/>
        <v>903996.638</v>
      </c>
      <c r="X68" s="199">
        <f t="shared" si="60"/>
        <v>776877.198</v>
      </c>
      <c r="Y68" s="199">
        <f t="shared" si="60"/>
        <v>643139.118</v>
      </c>
      <c r="Z68" s="199">
        <f t="shared" si="60"/>
        <v>3673625.838</v>
      </c>
      <c r="AA68" s="199">
        <f t="shared" si="60"/>
        <v>3494922.558</v>
      </c>
      <c r="AB68" s="199">
        <f t="shared" si="60"/>
        <v>3349609.278</v>
      </c>
      <c r="AC68" s="199">
        <f t="shared" si="60"/>
        <v>4370399.595</v>
      </c>
      <c r="AD68" s="199">
        <f t="shared" si="60"/>
        <v>4509050.142</v>
      </c>
      <c r="AE68" s="199">
        <f t="shared" si="60"/>
        <v>4685018.675</v>
      </c>
      <c r="AF68" s="199">
        <f t="shared" si="60"/>
        <v>4867480.45</v>
      </c>
      <c r="AG68" s="199">
        <f t="shared" si="60"/>
        <v>5130555.485</v>
      </c>
      <c r="AH68" s="199">
        <f t="shared" si="60"/>
        <v>5435696.45</v>
      </c>
      <c r="AI68" s="199">
        <f t="shared" si="60"/>
        <v>5799748.485</v>
      </c>
      <c r="AJ68" s="199">
        <f t="shared" si="60"/>
        <v>6216962.366</v>
      </c>
      <c r="AK68" s="199">
        <f t="shared" si="60"/>
        <v>6699961.038</v>
      </c>
      <c r="AL68" s="199">
        <f t="shared" si="60"/>
        <v>7231129.823</v>
      </c>
      <c r="AM68" s="199">
        <f t="shared" si="60"/>
        <v>7739513.374</v>
      </c>
      <c r="AN68" s="199">
        <f t="shared" si="60"/>
        <v>8388409.999</v>
      </c>
      <c r="AO68" s="199">
        <f t="shared" si="60"/>
        <v>9057277.331</v>
      </c>
      <c r="AP68" s="199">
        <f t="shared" si="60"/>
        <v>9798746.83</v>
      </c>
      <c r="AQ68" s="199">
        <f t="shared" si="60"/>
        <v>10697675.75</v>
      </c>
      <c r="AR68" s="199">
        <f t="shared" si="60"/>
        <v>11726165.7</v>
      </c>
      <c r="AS68" s="199">
        <f t="shared" si="60"/>
        <v>12892294.97</v>
      </c>
      <c r="AT68" s="199">
        <f t="shared" si="60"/>
        <v>14203414.59</v>
      </c>
      <c r="AU68" s="199">
        <f t="shared" si="60"/>
        <v>15725759.3</v>
      </c>
      <c r="AV68" s="199">
        <f t="shared" si="60"/>
        <v>17457913.95</v>
      </c>
      <c r="AW68" s="199">
        <f t="shared" si="60"/>
        <v>19431746.7</v>
      </c>
      <c r="AX68" s="199">
        <f t="shared" si="60"/>
        <v>21620054.34</v>
      </c>
      <c r="AY68" s="199">
        <f t="shared" si="60"/>
        <v>24101531.81</v>
      </c>
      <c r="AZ68" s="199">
        <f t="shared" si="60"/>
        <v>26951212.38</v>
      </c>
      <c r="BA68" s="121"/>
      <c r="BB68" s="202">
        <f t="shared" si="56"/>
        <v>961154.874</v>
      </c>
      <c r="BC68" s="202">
        <f t="shared" si="57"/>
        <v>3349609.278</v>
      </c>
      <c r="BD68" s="202">
        <f t="shared" si="58"/>
        <v>8388409.999</v>
      </c>
      <c r="BE68" s="202">
        <f t="shared" si="59"/>
        <v>26951212.38</v>
      </c>
      <c r="BF68" s="202">
        <f>BF64+BF66+BF67</f>
        <v>66897204.7</v>
      </c>
      <c r="BG68" s="194"/>
    </row>
    <row r="69" ht="15.75" customHeight="1">
      <c r="A69" s="121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  <c r="BA69" s="121"/>
      <c r="BB69" s="174"/>
      <c r="BC69" s="174"/>
      <c r="BD69" s="174"/>
      <c r="BE69" s="174"/>
      <c r="BF69" s="174"/>
      <c r="BG69" s="121"/>
    </row>
    <row r="70" ht="15.75" customHeight="1">
      <c r="A70" s="121"/>
      <c r="B70" s="175" t="s">
        <v>246</v>
      </c>
      <c r="C70" s="174"/>
      <c r="D70" s="175" t="s">
        <v>202</v>
      </c>
      <c r="E70" s="175"/>
      <c r="F70" s="175"/>
      <c r="G70" s="175"/>
      <c r="H70" s="175"/>
      <c r="I70" s="175"/>
      <c r="J70" s="175"/>
      <c r="K70" s="175"/>
      <c r="L70" s="175"/>
      <c r="M70" s="175">
        <v>0.0</v>
      </c>
      <c r="N70" s="175">
        <v>0.0</v>
      </c>
      <c r="O70" s="175">
        <v>0.0</v>
      </c>
      <c r="P70" s="175">
        <v>0.0</v>
      </c>
      <c r="Q70" s="175">
        <v>0.0</v>
      </c>
      <c r="R70" s="175">
        <v>0.0</v>
      </c>
      <c r="S70" s="175">
        <v>0.0</v>
      </c>
      <c r="T70" s="175">
        <v>0.0</v>
      </c>
      <c r="U70" s="175">
        <v>0.0</v>
      </c>
      <c r="V70" s="175">
        <v>0.0</v>
      </c>
      <c r="W70" s="175">
        <v>0.0</v>
      </c>
      <c r="X70" s="175">
        <v>0.0</v>
      </c>
      <c r="Y70" s="175">
        <v>0.0</v>
      </c>
      <c r="Z70" s="175">
        <v>0.0</v>
      </c>
      <c r="AA70" s="175">
        <v>0.0</v>
      </c>
      <c r="AB70" s="175">
        <v>0.0</v>
      </c>
      <c r="AC70" s="175">
        <v>0.0</v>
      </c>
      <c r="AD70" s="175">
        <v>0.0</v>
      </c>
      <c r="AE70" s="175">
        <v>0.0</v>
      </c>
      <c r="AF70" s="175">
        <v>0.0</v>
      </c>
      <c r="AG70" s="175">
        <v>0.0</v>
      </c>
      <c r="AH70" s="175">
        <v>0.0</v>
      </c>
      <c r="AI70" s="175">
        <v>0.0</v>
      </c>
      <c r="AJ70" s="175">
        <v>0.0</v>
      </c>
      <c r="AK70" s="175">
        <v>0.0</v>
      </c>
      <c r="AL70" s="175">
        <v>0.0</v>
      </c>
      <c r="AM70" s="175">
        <v>0.0</v>
      </c>
      <c r="AN70" s="175">
        <v>0.0</v>
      </c>
      <c r="AO70" s="175">
        <v>0.0</v>
      </c>
      <c r="AP70" s="175">
        <v>0.0</v>
      </c>
      <c r="AQ70" s="175">
        <v>0.0</v>
      </c>
      <c r="AR70" s="175">
        <v>0.0</v>
      </c>
      <c r="AS70" s="175">
        <v>0.0</v>
      </c>
      <c r="AT70" s="175">
        <v>0.0</v>
      </c>
      <c r="AU70" s="175">
        <v>0.0</v>
      </c>
      <c r="AV70" s="175">
        <v>0.0</v>
      </c>
      <c r="AW70" s="175">
        <v>0.0</v>
      </c>
      <c r="AX70" s="175">
        <v>0.0</v>
      </c>
      <c r="AY70" s="175">
        <v>0.0</v>
      </c>
      <c r="AZ70" s="175">
        <v>0.0</v>
      </c>
      <c r="BA70" s="121"/>
      <c r="BB70" s="175">
        <f t="shared" ref="BB70:BB72" si="62">P70</f>
        <v>0</v>
      </c>
      <c r="BC70" s="175">
        <f t="shared" ref="BC70:BC72" si="63">AB70</f>
        <v>0</v>
      </c>
      <c r="BD70" s="175">
        <f t="shared" ref="BD70:BD72" si="64">AN70</f>
        <v>0</v>
      </c>
      <c r="BE70" s="175">
        <f t="shared" ref="BE70:BE72" si="65">AZ70</f>
        <v>0</v>
      </c>
      <c r="BF70" s="175">
        <v>0.0</v>
      </c>
      <c r="BG70" s="40"/>
    </row>
    <row r="71" ht="12.75" customHeight="1">
      <c r="A71" s="177"/>
      <c r="B71" s="199" t="s">
        <v>247</v>
      </c>
      <c r="C71" s="200"/>
      <c r="D71" s="201" t="s">
        <v>202</v>
      </c>
      <c r="E71" s="199"/>
      <c r="F71" s="199"/>
      <c r="G71" s="199"/>
      <c r="H71" s="199"/>
      <c r="I71" s="199"/>
      <c r="J71" s="199"/>
      <c r="K71" s="199"/>
      <c r="L71" s="199"/>
      <c r="M71" s="199">
        <f t="shared" ref="M71:AZ71" si="61">M70</f>
        <v>0</v>
      </c>
      <c r="N71" s="199">
        <f t="shared" si="61"/>
        <v>0</v>
      </c>
      <c r="O71" s="199">
        <f t="shared" si="61"/>
        <v>0</v>
      </c>
      <c r="P71" s="199">
        <f t="shared" si="61"/>
        <v>0</v>
      </c>
      <c r="Q71" s="199">
        <f t="shared" si="61"/>
        <v>0</v>
      </c>
      <c r="R71" s="202">
        <f t="shared" si="61"/>
        <v>0</v>
      </c>
      <c r="S71" s="203">
        <f t="shared" si="61"/>
        <v>0</v>
      </c>
      <c r="T71" s="204">
        <f t="shared" si="61"/>
        <v>0</v>
      </c>
      <c r="U71" s="199">
        <f t="shared" si="61"/>
        <v>0</v>
      </c>
      <c r="V71" s="199">
        <f t="shared" si="61"/>
        <v>0</v>
      </c>
      <c r="W71" s="199">
        <f t="shared" si="61"/>
        <v>0</v>
      </c>
      <c r="X71" s="199">
        <f t="shared" si="61"/>
        <v>0</v>
      </c>
      <c r="Y71" s="199">
        <f t="shared" si="61"/>
        <v>0</v>
      </c>
      <c r="Z71" s="199">
        <f t="shared" si="61"/>
        <v>0</v>
      </c>
      <c r="AA71" s="199">
        <f t="shared" si="61"/>
        <v>0</v>
      </c>
      <c r="AB71" s="199">
        <f t="shared" si="61"/>
        <v>0</v>
      </c>
      <c r="AC71" s="199">
        <f t="shared" si="61"/>
        <v>0</v>
      </c>
      <c r="AD71" s="199">
        <f t="shared" si="61"/>
        <v>0</v>
      </c>
      <c r="AE71" s="199">
        <f t="shared" si="61"/>
        <v>0</v>
      </c>
      <c r="AF71" s="199">
        <f t="shared" si="61"/>
        <v>0</v>
      </c>
      <c r="AG71" s="199">
        <f t="shared" si="61"/>
        <v>0</v>
      </c>
      <c r="AH71" s="199">
        <f t="shared" si="61"/>
        <v>0</v>
      </c>
      <c r="AI71" s="199">
        <f t="shared" si="61"/>
        <v>0</v>
      </c>
      <c r="AJ71" s="199">
        <f t="shared" si="61"/>
        <v>0</v>
      </c>
      <c r="AK71" s="199">
        <f t="shared" si="61"/>
        <v>0</v>
      </c>
      <c r="AL71" s="199">
        <f t="shared" si="61"/>
        <v>0</v>
      </c>
      <c r="AM71" s="199">
        <f t="shared" si="61"/>
        <v>0</v>
      </c>
      <c r="AN71" s="199">
        <f t="shared" si="61"/>
        <v>0</v>
      </c>
      <c r="AO71" s="199">
        <f t="shared" si="61"/>
        <v>0</v>
      </c>
      <c r="AP71" s="199">
        <f t="shared" si="61"/>
        <v>0</v>
      </c>
      <c r="AQ71" s="199">
        <f t="shared" si="61"/>
        <v>0</v>
      </c>
      <c r="AR71" s="199">
        <f t="shared" si="61"/>
        <v>0</v>
      </c>
      <c r="AS71" s="199">
        <f t="shared" si="61"/>
        <v>0</v>
      </c>
      <c r="AT71" s="199">
        <f t="shared" si="61"/>
        <v>0</v>
      </c>
      <c r="AU71" s="199">
        <f t="shared" si="61"/>
        <v>0</v>
      </c>
      <c r="AV71" s="199">
        <f t="shared" si="61"/>
        <v>0</v>
      </c>
      <c r="AW71" s="199">
        <f t="shared" si="61"/>
        <v>0</v>
      </c>
      <c r="AX71" s="199">
        <f t="shared" si="61"/>
        <v>0</v>
      </c>
      <c r="AY71" s="199">
        <f t="shared" si="61"/>
        <v>0</v>
      </c>
      <c r="AZ71" s="202">
        <f t="shared" si="61"/>
        <v>0</v>
      </c>
      <c r="BA71" s="121"/>
      <c r="BB71" s="202">
        <f t="shared" si="62"/>
        <v>0</v>
      </c>
      <c r="BC71" s="202">
        <f t="shared" si="63"/>
        <v>0</v>
      </c>
      <c r="BD71" s="202">
        <f t="shared" si="64"/>
        <v>0</v>
      </c>
      <c r="BE71" s="202">
        <f t="shared" si="65"/>
        <v>0</v>
      </c>
      <c r="BF71" s="202">
        <f>BF70</f>
        <v>0</v>
      </c>
      <c r="BG71" s="194"/>
    </row>
    <row r="72" ht="15.75" customHeight="1">
      <c r="A72" s="186"/>
      <c r="B72" s="187" t="s">
        <v>248</v>
      </c>
      <c r="C72" s="188"/>
      <c r="D72" s="187" t="s">
        <v>202</v>
      </c>
      <c r="E72" s="187"/>
      <c r="F72" s="187"/>
      <c r="G72" s="187"/>
      <c r="H72" s="187"/>
      <c r="I72" s="187"/>
      <c r="J72" s="187"/>
      <c r="K72" s="187"/>
      <c r="L72" s="187"/>
      <c r="M72" s="187">
        <f t="shared" ref="M72:AZ72" si="66">M68+M71</f>
        <v>1160347</v>
      </c>
      <c r="N72" s="187">
        <f t="shared" si="66"/>
        <v>1131023.16</v>
      </c>
      <c r="O72" s="187">
        <f t="shared" si="66"/>
        <v>1145121.16</v>
      </c>
      <c r="P72" s="187">
        <f t="shared" si="66"/>
        <v>961154.874</v>
      </c>
      <c r="Q72" s="187">
        <f t="shared" si="66"/>
        <v>865793.034</v>
      </c>
      <c r="R72" s="187">
        <f t="shared" si="66"/>
        <v>762417.594</v>
      </c>
      <c r="S72" s="187">
        <f t="shared" si="66"/>
        <v>659042.154</v>
      </c>
      <c r="T72" s="187">
        <f t="shared" si="66"/>
        <v>555666.714</v>
      </c>
      <c r="U72" s="187">
        <f t="shared" si="66"/>
        <v>744871.274</v>
      </c>
      <c r="V72" s="187">
        <f t="shared" si="66"/>
        <v>1013308.078</v>
      </c>
      <c r="W72" s="187">
        <f t="shared" si="66"/>
        <v>903996.638</v>
      </c>
      <c r="X72" s="187">
        <f t="shared" si="66"/>
        <v>776877.198</v>
      </c>
      <c r="Y72" s="187">
        <f t="shared" si="66"/>
        <v>643139.118</v>
      </c>
      <c r="Z72" s="187">
        <f t="shared" si="66"/>
        <v>3673625.838</v>
      </c>
      <c r="AA72" s="187">
        <f t="shared" si="66"/>
        <v>3494922.558</v>
      </c>
      <c r="AB72" s="187">
        <f t="shared" si="66"/>
        <v>3349609.278</v>
      </c>
      <c r="AC72" s="187">
        <f t="shared" si="66"/>
        <v>4370399.595</v>
      </c>
      <c r="AD72" s="187">
        <f t="shared" si="66"/>
        <v>4509050.142</v>
      </c>
      <c r="AE72" s="187">
        <f t="shared" si="66"/>
        <v>4685018.675</v>
      </c>
      <c r="AF72" s="187">
        <f t="shared" si="66"/>
        <v>4867480.45</v>
      </c>
      <c r="AG72" s="187">
        <f t="shared" si="66"/>
        <v>5130555.485</v>
      </c>
      <c r="AH72" s="187">
        <f t="shared" si="66"/>
        <v>5435696.45</v>
      </c>
      <c r="AI72" s="187">
        <f t="shared" si="66"/>
        <v>5799748.485</v>
      </c>
      <c r="AJ72" s="187">
        <f t="shared" si="66"/>
        <v>6216962.366</v>
      </c>
      <c r="AK72" s="187">
        <f t="shared" si="66"/>
        <v>6699961.038</v>
      </c>
      <c r="AL72" s="187">
        <f t="shared" si="66"/>
        <v>7231129.823</v>
      </c>
      <c r="AM72" s="187">
        <f t="shared" si="66"/>
        <v>7739513.374</v>
      </c>
      <c r="AN72" s="187">
        <f t="shared" si="66"/>
        <v>8388409.999</v>
      </c>
      <c r="AO72" s="187">
        <f t="shared" si="66"/>
        <v>9057277.331</v>
      </c>
      <c r="AP72" s="187">
        <f t="shared" si="66"/>
        <v>9798746.83</v>
      </c>
      <c r="AQ72" s="187">
        <f t="shared" si="66"/>
        <v>10697675.75</v>
      </c>
      <c r="AR72" s="187">
        <f t="shared" si="66"/>
        <v>11726165.7</v>
      </c>
      <c r="AS72" s="187">
        <f t="shared" si="66"/>
        <v>12892294.97</v>
      </c>
      <c r="AT72" s="187">
        <f t="shared" si="66"/>
        <v>14203414.59</v>
      </c>
      <c r="AU72" s="187">
        <f t="shared" si="66"/>
        <v>15725759.3</v>
      </c>
      <c r="AV72" s="187">
        <f t="shared" si="66"/>
        <v>17457913.95</v>
      </c>
      <c r="AW72" s="187">
        <f t="shared" si="66"/>
        <v>19431746.7</v>
      </c>
      <c r="AX72" s="187">
        <f t="shared" si="66"/>
        <v>21620054.34</v>
      </c>
      <c r="AY72" s="187">
        <f t="shared" si="66"/>
        <v>24101531.81</v>
      </c>
      <c r="AZ72" s="190">
        <f t="shared" si="66"/>
        <v>26951212.38</v>
      </c>
      <c r="BA72" s="189"/>
      <c r="BB72" s="190">
        <f t="shared" si="62"/>
        <v>961154.874</v>
      </c>
      <c r="BC72" s="190">
        <f t="shared" si="63"/>
        <v>3349609.278</v>
      </c>
      <c r="BD72" s="190">
        <f t="shared" si="64"/>
        <v>8388409.999</v>
      </c>
      <c r="BE72" s="190">
        <f t="shared" si="65"/>
        <v>26951212.38</v>
      </c>
      <c r="BF72" s="190">
        <f>BF68+BF71</f>
        <v>66897204.7</v>
      </c>
      <c r="BG72" s="191"/>
    </row>
    <row r="73" ht="15.75" customHeight="1">
      <c r="A73" s="121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  <c r="AW73" s="174"/>
      <c r="AX73" s="174"/>
      <c r="AY73" s="174"/>
      <c r="AZ73" s="174"/>
      <c r="BA73" s="121"/>
      <c r="BB73" s="174"/>
      <c r="BC73" s="174"/>
      <c r="BD73" s="174"/>
      <c r="BE73" s="174"/>
      <c r="BF73" s="174"/>
      <c r="BG73" s="121"/>
    </row>
    <row r="74" ht="13.5" customHeight="1">
      <c r="A74" s="177"/>
      <c r="B74" s="178" t="s">
        <v>249</v>
      </c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80"/>
      <c r="S74" s="181"/>
      <c r="T74" s="182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80"/>
      <c r="BA74" s="121"/>
      <c r="BB74" s="180"/>
      <c r="BC74" s="180"/>
      <c r="BD74" s="180"/>
      <c r="BE74" s="180"/>
      <c r="BF74" s="180"/>
      <c r="BG74" s="121"/>
    </row>
    <row r="75" ht="15.75" customHeight="1">
      <c r="A75" s="121"/>
      <c r="B75" s="175" t="s">
        <v>250</v>
      </c>
      <c r="C75" s="174"/>
      <c r="D75" s="175" t="s">
        <v>202</v>
      </c>
      <c r="E75" s="175"/>
      <c r="F75" s="175"/>
      <c r="G75" s="175"/>
      <c r="H75" s="175"/>
      <c r="I75" s="175"/>
      <c r="J75" s="175"/>
      <c r="K75" s="175"/>
      <c r="L75" s="175"/>
      <c r="M75" s="175">
        <f>ABS(Assumptions!$D$15*(M19/30))</f>
        <v>0</v>
      </c>
      <c r="N75" s="175">
        <f>ABS(Assumptions!$D$15*(N19/30))</f>
        <v>0</v>
      </c>
      <c r="O75" s="175">
        <f>ABS(Assumptions!$D$15*(O19/30))</f>
        <v>0</v>
      </c>
      <c r="P75" s="175">
        <f>ABS(Assumptions!$D$15*(P19/30))</f>
        <v>0</v>
      </c>
      <c r="Q75" s="175">
        <f>ABS(Assumptions!$D$15*(Q19/30))</f>
        <v>0</v>
      </c>
      <c r="R75" s="175">
        <f>ABS(Assumptions!$D$15*(R19/30))</f>
        <v>0</v>
      </c>
      <c r="S75" s="175">
        <f>ABS(Assumptions!$D$15*(S19/30))</f>
        <v>0</v>
      </c>
      <c r="T75" s="175">
        <f>ABS(Assumptions!$D$15*(T19/30))</f>
        <v>0</v>
      </c>
      <c r="U75" s="175">
        <f>ABS(Assumptions!$D$15*(U19/30))</f>
        <v>0</v>
      </c>
      <c r="V75" s="175">
        <f>ABS(Assumptions!$D$15*(V19/30))</f>
        <v>0</v>
      </c>
      <c r="W75" s="175">
        <f>ABS(Assumptions!$D$15*(W19/30))</f>
        <v>0</v>
      </c>
      <c r="X75" s="175">
        <f>ABS(Assumptions!$D$15*(X19/30))</f>
        <v>0</v>
      </c>
      <c r="Y75" s="175">
        <f>ABS(Assumptions!$D$15*(Y19/30))</f>
        <v>0</v>
      </c>
      <c r="Z75" s="175">
        <f>ABS(Assumptions!$D$15*(Z19/30))</f>
        <v>0</v>
      </c>
      <c r="AA75" s="175">
        <f>ABS(Assumptions!$D$15*(AA19/30))</f>
        <v>0</v>
      </c>
      <c r="AB75" s="175">
        <f>ABS(Assumptions!$D$15*(AB19/30))</f>
        <v>0</v>
      </c>
      <c r="AC75" s="175">
        <f>ABS(Assumptions!$D$15*(AC19/30))</f>
        <v>1017684.805</v>
      </c>
      <c r="AD75" s="175">
        <f>ABS(Assumptions!$D$15*(AD19/30))</f>
        <v>1132238.846</v>
      </c>
      <c r="AE75" s="175">
        <f>ABS(Assumptions!$D$15*(AE19/30))</f>
        <v>1261257.527</v>
      </c>
      <c r="AF75" s="175">
        <f>ABS(Assumptions!$D$15*(AF19/30))</f>
        <v>1375811.567</v>
      </c>
      <c r="AG75" s="175">
        <f>ABS(Assumptions!$D$15*(AG19/30))</f>
        <v>1540410.307</v>
      </c>
      <c r="AH75" s="175">
        <f>ABS(Assumptions!$D$15*(AH19/30))</f>
        <v>1719473.688</v>
      </c>
      <c r="AI75" s="175">
        <f>ABS(Assumptions!$D$15*(AI19/30))</f>
        <v>1919652.488</v>
      </c>
      <c r="AJ75" s="175">
        <f>ABS(Assumptions!$D$15*(AJ19/30))</f>
        <v>2134295.928</v>
      </c>
      <c r="AK75" s="175">
        <f>ABS(Assumptions!$D$15*(AK19/30))</f>
        <v>2363404.009</v>
      </c>
      <c r="AL75" s="175">
        <f>ABS(Assumptions!$D$15*(AL19/30))</f>
        <v>2628092.149</v>
      </c>
      <c r="AM75" s="175">
        <f>ABS(Assumptions!$D$15*(AM19/30))</f>
        <v>2907244.93</v>
      </c>
      <c r="AN75" s="175">
        <f>ABS(Assumptions!$D$15*(AN19/30))</f>
        <v>3272022.47</v>
      </c>
      <c r="AO75" s="175">
        <f>ABS(Assumptions!$D$15*(AO19/30))</f>
        <v>3625340.47</v>
      </c>
      <c r="AP75" s="175">
        <f>ABS(Assumptions!$D$15*(AP19/30))</f>
        <v>4004916.551</v>
      </c>
      <c r="AQ75" s="175">
        <f>ABS(Assumptions!$D$15*(AQ19/30))</f>
        <v>4470165.091</v>
      </c>
      <c r="AR75" s="175">
        <f>ABS(Assumptions!$D$15*(AR19/30))</f>
        <v>4985410.631</v>
      </c>
      <c r="AS75" s="175">
        <f>ABS(Assumptions!$D$15*(AS19/30))</f>
        <v>5550843.971</v>
      </c>
      <c r="AT75" s="175">
        <f>ABS(Assumptions!$D$15*(AT19/30))</f>
        <v>6166369.711</v>
      </c>
      <c r="AU75" s="175">
        <f>ABS(Assumptions!$D$15*(AU19/30))</f>
        <v>6867567.911</v>
      </c>
      <c r="AV75" s="175">
        <f>ABS(Assumptions!$D$15*(AV19/30))</f>
        <v>7654438.571</v>
      </c>
      <c r="AW75" s="175">
        <f>ABS(Assumptions!$D$15*(AW19/30))</f>
        <v>8541446.33</v>
      </c>
      <c r="AX75" s="175">
        <f>ABS(Assumptions!$D$15*(AX19/30))</f>
        <v>9493058.83</v>
      </c>
      <c r="AY75" s="175">
        <f>ABS(Assumptions!$D$15*(AY19/30))</f>
        <v>10565923.85</v>
      </c>
      <c r="AZ75" s="175">
        <f>ABS(Assumptions!$D$15*(AZ19/30))</f>
        <v>11789161.47</v>
      </c>
      <c r="BA75" s="121"/>
      <c r="BB75" s="175">
        <f t="shared" ref="BB75:BB76" si="68">P75</f>
        <v>0</v>
      </c>
      <c r="BC75" s="175">
        <f t="shared" ref="BC75:BC76" si="69">AB75</f>
        <v>0</v>
      </c>
      <c r="BD75" s="175">
        <f t="shared" ref="BD75:BD76" si="70">AN75</f>
        <v>3272022.47</v>
      </c>
      <c r="BE75" s="175">
        <f t="shared" ref="BE75:BE76" si="71">AZ75</f>
        <v>11789161.47</v>
      </c>
      <c r="BF75" s="175">
        <f>Assumptions!$D$15/365*BF19</f>
        <v>10924325.29</v>
      </c>
      <c r="BG75" s="40"/>
    </row>
    <row r="76" ht="12.75" customHeight="1">
      <c r="A76" s="177"/>
      <c r="B76" s="199" t="s">
        <v>251</v>
      </c>
      <c r="C76" s="200"/>
      <c r="D76" s="201" t="s">
        <v>202</v>
      </c>
      <c r="E76" s="199"/>
      <c r="F76" s="199"/>
      <c r="G76" s="199"/>
      <c r="H76" s="199"/>
      <c r="I76" s="199"/>
      <c r="J76" s="199"/>
      <c r="K76" s="199"/>
      <c r="L76" s="199"/>
      <c r="M76" s="199">
        <f t="shared" ref="M76:AZ76" si="67">sum(M75)</f>
        <v>0</v>
      </c>
      <c r="N76" s="199">
        <f t="shared" si="67"/>
        <v>0</v>
      </c>
      <c r="O76" s="199">
        <f t="shared" si="67"/>
        <v>0</v>
      </c>
      <c r="P76" s="199">
        <f t="shared" si="67"/>
        <v>0</v>
      </c>
      <c r="Q76" s="199">
        <f t="shared" si="67"/>
        <v>0</v>
      </c>
      <c r="R76" s="199">
        <f t="shared" si="67"/>
        <v>0</v>
      </c>
      <c r="S76" s="199">
        <f t="shared" si="67"/>
        <v>0</v>
      </c>
      <c r="T76" s="199">
        <f t="shared" si="67"/>
        <v>0</v>
      </c>
      <c r="U76" s="199">
        <f t="shared" si="67"/>
        <v>0</v>
      </c>
      <c r="V76" s="199">
        <f t="shared" si="67"/>
        <v>0</v>
      </c>
      <c r="W76" s="199">
        <f t="shared" si="67"/>
        <v>0</v>
      </c>
      <c r="X76" s="199">
        <f t="shared" si="67"/>
        <v>0</v>
      </c>
      <c r="Y76" s="199">
        <f t="shared" si="67"/>
        <v>0</v>
      </c>
      <c r="Z76" s="199">
        <f t="shared" si="67"/>
        <v>0</v>
      </c>
      <c r="AA76" s="199">
        <f t="shared" si="67"/>
        <v>0</v>
      </c>
      <c r="AB76" s="199">
        <f t="shared" si="67"/>
        <v>0</v>
      </c>
      <c r="AC76" s="199">
        <f t="shared" si="67"/>
        <v>1017684.805</v>
      </c>
      <c r="AD76" s="199">
        <f t="shared" si="67"/>
        <v>1132238.846</v>
      </c>
      <c r="AE76" s="199">
        <f t="shared" si="67"/>
        <v>1261257.527</v>
      </c>
      <c r="AF76" s="199">
        <f t="shared" si="67"/>
        <v>1375811.567</v>
      </c>
      <c r="AG76" s="199">
        <f t="shared" si="67"/>
        <v>1540410.307</v>
      </c>
      <c r="AH76" s="199">
        <f t="shared" si="67"/>
        <v>1719473.688</v>
      </c>
      <c r="AI76" s="199">
        <f t="shared" si="67"/>
        <v>1919652.488</v>
      </c>
      <c r="AJ76" s="199">
        <f t="shared" si="67"/>
        <v>2134295.928</v>
      </c>
      <c r="AK76" s="199">
        <f t="shared" si="67"/>
        <v>2363404.009</v>
      </c>
      <c r="AL76" s="199">
        <f t="shared" si="67"/>
        <v>2628092.149</v>
      </c>
      <c r="AM76" s="199">
        <f t="shared" si="67"/>
        <v>2907244.93</v>
      </c>
      <c r="AN76" s="199">
        <f t="shared" si="67"/>
        <v>3272022.47</v>
      </c>
      <c r="AO76" s="199">
        <f t="shared" si="67"/>
        <v>3625340.47</v>
      </c>
      <c r="AP76" s="199">
        <f t="shared" si="67"/>
        <v>4004916.551</v>
      </c>
      <c r="AQ76" s="199">
        <f t="shared" si="67"/>
        <v>4470165.091</v>
      </c>
      <c r="AR76" s="199">
        <f t="shared" si="67"/>
        <v>4985410.631</v>
      </c>
      <c r="AS76" s="199">
        <f t="shared" si="67"/>
        <v>5550843.971</v>
      </c>
      <c r="AT76" s="199">
        <f t="shared" si="67"/>
        <v>6166369.711</v>
      </c>
      <c r="AU76" s="199">
        <f t="shared" si="67"/>
        <v>6867567.911</v>
      </c>
      <c r="AV76" s="199">
        <f t="shared" si="67"/>
        <v>7654438.571</v>
      </c>
      <c r="AW76" s="199">
        <f t="shared" si="67"/>
        <v>8541446.33</v>
      </c>
      <c r="AX76" s="199">
        <f t="shared" si="67"/>
        <v>9493058.83</v>
      </c>
      <c r="AY76" s="199">
        <f t="shared" si="67"/>
        <v>10565923.85</v>
      </c>
      <c r="AZ76" s="199">
        <f t="shared" si="67"/>
        <v>11789161.47</v>
      </c>
      <c r="BA76" s="121"/>
      <c r="BB76" s="202">
        <f t="shared" si="68"/>
        <v>0</v>
      </c>
      <c r="BC76" s="202">
        <f t="shared" si="69"/>
        <v>0</v>
      </c>
      <c r="BD76" s="202">
        <f t="shared" si="70"/>
        <v>3272022.47</v>
      </c>
      <c r="BE76" s="202">
        <f t="shared" si="71"/>
        <v>11789161.47</v>
      </c>
      <c r="BF76" s="202">
        <f>BF75</f>
        <v>10924325.29</v>
      </c>
      <c r="BG76" s="194"/>
    </row>
    <row r="77" ht="15.75" customHeight="1">
      <c r="A77" s="121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21"/>
      <c r="BB77" s="174"/>
      <c r="BC77" s="174"/>
      <c r="BD77" s="174"/>
      <c r="BE77" s="174"/>
      <c r="BF77" s="174"/>
      <c r="BG77" s="121"/>
    </row>
    <row r="78" ht="15.75" customHeight="1">
      <c r="A78" s="121"/>
      <c r="B78" s="175" t="s">
        <v>252</v>
      </c>
      <c r="C78" s="174"/>
      <c r="D78" s="175" t="s">
        <v>202</v>
      </c>
      <c r="E78" s="175"/>
      <c r="F78" s="175"/>
      <c r="G78" s="175"/>
      <c r="H78" s="175"/>
      <c r="I78" s="175"/>
      <c r="J78" s="175"/>
      <c r="K78" s="175"/>
      <c r="L78" s="175"/>
      <c r="M78" s="175">
        <v>0.0</v>
      </c>
      <c r="N78" s="175">
        <v>0.0</v>
      </c>
      <c r="O78" s="175">
        <v>0.0</v>
      </c>
      <c r="P78" s="175">
        <v>0.0</v>
      </c>
      <c r="Q78" s="175">
        <v>0.0</v>
      </c>
      <c r="R78" s="175">
        <v>0.0</v>
      </c>
      <c r="S78" s="175">
        <v>0.0</v>
      </c>
      <c r="T78" s="175">
        <v>0.0</v>
      </c>
      <c r="U78" s="175">
        <v>0.0</v>
      </c>
      <c r="V78" s="175">
        <v>0.0</v>
      </c>
      <c r="W78" s="175">
        <v>0.0</v>
      </c>
      <c r="X78" s="175">
        <v>0.0</v>
      </c>
      <c r="Y78" s="175">
        <v>0.0</v>
      </c>
      <c r="Z78" s="175">
        <v>0.0</v>
      </c>
      <c r="AA78" s="175">
        <v>0.0</v>
      </c>
      <c r="AB78" s="175">
        <v>0.0</v>
      </c>
      <c r="AC78" s="175">
        <v>0.0</v>
      </c>
      <c r="AD78" s="175">
        <v>0.0</v>
      </c>
      <c r="AE78" s="175">
        <v>0.0</v>
      </c>
      <c r="AF78" s="175">
        <v>0.0</v>
      </c>
      <c r="AG78" s="175">
        <v>0.0</v>
      </c>
      <c r="AH78" s="175">
        <v>0.0</v>
      </c>
      <c r="AI78" s="175">
        <v>0.0</v>
      </c>
      <c r="AJ78" s="175">
        <v>0.0</v>
      </c>
      <c r="AK78" s="175">
        <v>0.0</v>
      </c>
      <c r="AL78" s="175">
        <v>0.0</v>
      </c>
      <c r="AM78" s="175">
        <v>0.0</v>
      </c>
      <c r="AN78" s="175">
        <v>0.0</v>
      </c>
      <c r="AO78" s="175">
        <v>0.0</v>
      </c>
      <c r="AP78" s="175">
        <v>0.0</v>
      </c>
      <c r="AQ78" s="175">
        <v>0.0</v>
      </c>
      <c r="AR78" s="175">
        <v>0.0</v>
      </c>
      <c r="AS78" s="175">
        <v>0.0</v>
      </c>
      <c r="AT78" s="175">
        <v>0.0</v>
      </c>
      <c r="AU78" s="175">
        <v>0.0</v>
      </c>
      <c r="AV78" s="175">
        <v>0.0</v>
      </c>
      <c r="AW78" s="175">
        <v>0.0</v>
      </c>
      <c r="AX78" s="175">
        <v>0.0</v>
      </c>
      <c r="AY78" s="175">
        <v>0.0</v>
      </c>
      <c r="AZ78" s="175">
        <v>0.0</v>
      </c>
      <c r="BA78" s="121"/>
      <c r="BB78" s="175">
        <f>P78</f>
        <v>0</v>
      </c>
      <c r="BC78" s="175">
        <f t="shared" ref="BC78:BC81" si="73">AB78</f>
        <v>0</v>
      </c>
      <c r="BD78" s="175">
        <f t="shared" ref="BD78:BD81" si="74">AN78</f>
        <v>0</v>
      </c>
      <c r="BE78" s="175">
        <f t="shared" ref="BE78:BE81" si="75">AZ78</f>
        <v>0</v>
      </c>
      <c r="BF78" s="175">
        <v>0.0</v>
      </c>
      <c r="BG78" s="40"/>
    </row>
    <row r="79" ht="15.75" customHeight="1">
      <c r="A79" s="121"/>
      <c r="B79" s="175" t="s">
        <v>233</v>
      </c>
      <c r="C79" s="174"/>
      <c r="D79" s="175" t="s">
        <v>202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>
        <v>0.0</v>
      </c>
      <c r="R79" s="175">
        <v>0.0</v>
      </c>
      <c r="S79" s="175">
        <v>0.0</v>
      </c>
      <c r="T79" s="175">
        <v>0.0</v>
      </c>
      <c r="U79" s="175">
        <v>0.0</v>
      </c>
      <c r="V79" s="175">
        <f>V54</f>
        <v>300000</v>
      </c>
      <c r="W79" s="175">
        <f t="shared" ref="W79:Y79" si="72">V79</f>
        <v>300000</v>
      </c>
      <c r="X79" s="175">
        <f t="shared" si="72"/>
        <v>300000</v>
      </c>
      <c r="Y79" s="175">
        <f t="shared" si="72"/>
        <v>300000</v>
      </c>
      <c r="Z79" s="175">
        <v>0.0</v>
      </c>
      <c r="AA79" s="175">
        <v>0.0</v>
      </c>
      <c r="AB79" s="175">
        <v>0.0</v>
      </c>
      <c r="AC79" s="175">
        <v>0.0</v>
      </c>
      <c r="AD79" s="175">
        <v>0.0</v>
      </c>
      <c r="AE79" s="175">
        <v>0.0</v>
      </c>
      <c r="AF79" s="175">
        <v>0.0</v>
      </c>
      <c r="AG79" s="175">
        <v>0.0</v>
      </c>
      <c r="AH79" s="175">
        <v>0.0</v>
      </c>
      <c r="AI79" s="175">
        <v>0.0</v>
      </c>
      <c r="AJ79" s="175">
        <v>0.0</v>
      </c>
      <c r="AK79" s="175">
        <v>0.0</v>
      </c>
      <c r="AL79" s="175">
        <v>0.0</v>
      </c>
      <c r="AM79" s="175">
        <v>0.0</v>
      </c>
      <c r="AN79" s="175">
        <v>0.0</v>
      </c>
      <c r="AO79" s="175">
        <v>0.0</v>
      </c>
      <c r="AP79" s="175">
        <v>0.0</v>
      </c>
      <c r="AQ79" s="175">
        <v>0.0</v>
      </c>
      <c r="AR79" s="175">
        <v>0.0</v>
      </c>
      <c r="AS79" s="175">
        <v>0.0</v>
      </c>
      <c r="AT79" s="175">
        <v>0.0</v>
      </c>
      <c r="AU79" s="175">
        <v>0.0</v>
      </c>
      <c r="AV79" s="175">
        <v>0.0</v>
      </c>
      <c r="AW79" s="175">
        <v>0.0</v>
      </c>
      <c r="AX79" s="175">
        <v>0.0</v>
      </c>
      <c r="AY79" s="175">
        <v>0.0</v>
      </c>
      <c r="AZ79" s="175">
        <v>0.0</v>
      </c>
      <c r="BA79" s="121"/>
      <c r="BB79" s="175">
        <v>0.0</v>
      </c>
      <c r="BC79" s="175">
        <f t="shared" si="73"/>
        <v>0</v>
      </c>
      <c r="BD79" s="175">
        <f t="shared" si="74"/>
        <v>0</v>
      </c>
      <c r="BE79" s="175">
        <f t="shared" si="75"/>
        <v>0</v>
      </c>
      <c r="BF79" s="175">
        <v>0.0</v>
      </c>
      <c r="BG79" s="40"/>
    </row>
    <row r="80" ht="15.75" customHeight="1">
      <c r="A80" s="121"/>
      <c r="B80" s="192" t="s">
        <v>253</v>
      </c>
      <c r="C80" s="174"/>
      <c r="D80" s="175"/>
      <c r="E80" s="175">
        <f t="shared" ref="E80:AZ80" si="76">MIN(E91,1000)*714</f>
        <v>0</v>
      </c>
      <c r="F80" s="175">
        <f t="shared" si="76"/>
        <v>0</v>
      </c>
      <c r="G80" s="175">
        <f t="shared" si="76"/>
        <v>0</v>
      </c>
      <c r="H80" s="175">
        <f t="shared" si="76"/>
        <v>0</v>
      </c>
      <c r="I80" s="175">
        <f t="shared" si="76"/>
        <v>0</v>
      </c>
      <c r="J80" s="175">
        <f t="shared" si="76"/>
        <v>0</v>
      </c>
      <c r="K80" s="175">
        <f t="shared" si="76"/>
        <v>0</v>
      </c>
      <c r="L80" s="175">
        <f t="shared" si="76"/>
        <v>0</v>
      </c>
      <c r="M80" s="175">
        <f t="shared" si="76"/>
        <v>0</v>
      </c>
      <c r="N80" s="175">
        <f t="shared" si="76"/>
        <v>0</v>
      </c>
      <c r="O80" s="175">
        <f t="shared" si="76"/>
        <v>0</v>
      </c>
      <c r="P80" s="175">
        <f t="shared" si="76"/>
        <v>0</v>
      </c>
      <c r="Q80" s="175">
        <f t="shared" si="76"/>
        <v>0</v>
      </c>
      <c r="R80" s="175">
        <f t="shared" si="76"/>
        <v>0</v>
      </c>
      <c r="S80" s="175">
        <f t="shared" si="76"/>
        <v>0</v>
      </c>
      <c r="T80" s="175">
        <f t="shared" si="76"/>
        <v>0</v>
      </c>
      <c r="U80" s="175">
        <f t="shared" si="76"/>
        <v>0</v>
      </c>
      <c r="V80" s="175">
        <f t="shared" si="76"/>
        <v>0</v>
      </c>
      <c r="W80" s="175">
        <f t="shared" si="76"/>
        <v>0</v>
      </c>
      <c r="X80" s="175">
        <f t="shared" si="76"/>
        <v>0</v>
      </c>
      <c r="Y80" s="175">
        <f t="shared" si="76"/>
        <v>0</v>
      </c>
      <c r="Z80" s="175">
        <f t="shared" si="76"/>
        <v>0</v>
      </c>
      <c r="AA80" s="175">
        <f t="shared" si="76"/>
        <v>0</v>
      </c>
      <c r="AB80" s="175">
        <f t="shared" si="76"/>
        <v>0</v>
      </c>
      <c r="AC80" s="175">
        <f t="shared" si="76"/>
        <v>44982</v>
      </c>
      <c r="AD80" s="175">
        <f t="shared" si="76"/>
        <v>94962</v>
      </c>
      <c r="AE80" s="175">
        <f t="shared" si="76"/>
        <v>150654</v>
      </c>
      <c r="AF80" s="175">
        <f t="shared" si="76"/>
        <v>211344</v>
      </c>
      <c r="AG80" s="175">
        <f t="shared" si="76"/>
        <v>279174</v>
      </c>
      <c r="AH80" s="175">
        <f t="shared" si="76"/>
        <v>354858</v>
      </c>
      <c r="AI80" s="175">
        <f t="shared" si="76"/>
        <v>439110</v>
      </c>
      <c r="AJ80" s="175">
        <f t="shared" si="76"/>
        <v>532644</v>
      </c>
      <c r="AK80" s="175">
        <f t="shared" si="76"/>
        <v>636174</v>
      </c>
      <c r="AL80" s="175">
        <f t="shared" si="76"/>
        <v>714000</v>
      </c>
      <c r="AM80" s="175">
        <f t="shared" si="76"/>
        <v>714000</v>
      </c>
      <c r="AN80" s="175">
        <f t="shared" si="76"/>
        <v>714000</v>
      </c>
      <c r="AO80" s="175">
        <f t="shared" si="76"/>
        <v>714000</v>
      </c>
      <c r="AP80" s="175">
        <f t="shared" si="76"/>
        <v>714000</v>
      </c>
      <c r="AQ80" s="175">
        <f t="shared" si="76"/>
        <v>714000</v>
      </c>
      <c r="AR80" s="175">
        <f t="shared" si="76"/>
        <v>714000</v>
      </c>
      <c r="AS80" s="175">
        <f t="shared" si="76"/>
        <v>714000</v>
      </c>
      <c r="AT80" s="175">
        <f t="shared" si="76"/>
        <v>714000</v>
      </c>
      <c r="AU80" s="175">
        <f t="shared" si="76"/>
        <v>714000</v>
      </c>
      <c r="AV80" s="175">
        <f t="shared" si="76"/>
        <v>714000</v>
      </c>
      <c r="AW80" s="175">
        <f t="shared" si="76"/>
        <v>714000</v>
      </c>
      <c r="AX80" s="175">
        <f t="shared" si="76"/>
        <v>714000</v>
      </c>
      <c r="AY80" s="175">
        <f t="shared" si="76"/>
        <v>714000</v>
      </c>
      <c r="AZ80" s="175">
        <f t="shared" si="76"/>
        <v>714000</v>
      </c>
      <c r="BA80" s="121"/>
      <c r="BB80" s="175"/>
      <c r="BC80" s="175">
        <f t="shared" si="73"/>
        <v>0</v>
      </c>
      <c r="BD80" s="175">
        <f t="shared" si="74"/>
        <v>714000</v>
      </c>
      <c r="BE80" s="175">
        <f t="shared" si="75"/>
        <v>714000</v>
      </c>
      <c r="BF80" s="192">
        <v>0.0</v>
      </c>
      <c r="BG80" s="40"/>
    </row>
    <row r="81" ht="12.75" customHeight="1">
      <c r="A81" s="177"/>
      <c r="B81" s="199" t="s">
        <v>254</v>
      </c>
      <c r="C81" s="200"/>
      <c r="D81" s="201" t="s">
        <v>202</v>
      </c>
      <c r="E81" s="199">
        <f t="shared" ref="E81:AZ81" si="77">E78+E79+E80</f>
        <v>0</v>
      </c>
      <c r="F81" s="199">
        <f t="shared" si="77"/>
        <v>0</v>
      </c>
      <c r="G81" s="199">
        <f t="shared" si="77"/>
        <v>0</v>
      </c>
      <c r="H81" s="199">
        <f t="shared" si="77"/>
        <v>0</v>
      </c>
      <c r="I81" s="199">
        <f t="shared" si="77"/>
        <v>0</v>
      </c>
      <c r="J81" s="199">
        <f t="shared" si="77"/>
        <v>0</v>
      </c>
      <c r="K81" s="199">
        <f t="shared" si="77"/>
        <v>0</v>
      </c>
      <c r="L81" s="199">
        <f t="shared" si="77"/>
        <v>0</v>
      </c>
      <c r="M81" s="199">
        <f t="shared" si="77"/>
        <v>0</v>
      </c>
      <c r="N81" s="199">
        <f t="shared" si="77"/>
        <v>0</v>
      </c>
      <c r="O81" s="199">
        <f t="shared" si="77"/>
        <v>0</v>
      </c>
      <c r="P81" s="199">
        <f t="shared" si="77"/>
        <v>0</v>
      </c>
      <c r="Q81" s="199">
        <f t="shared" si="77"/>
        <v>0</v>
      </c>
      <c r="R81" s="199">
        <f t="shared" si="77"/>
        <v>0</v>
      </c>
      <c r="S81" s="199">
        <f t="shared" si="77"/>
        <v>0</v>
      </c>
      <c r="T81" s="199">
        <f t="shared" si="77"/>
        <v>0</v>
      </c>
      <c r="U81" s="199">
        <f t="shared" si="77"/>
        <v>0</v>
      </c>
      <c r="V81" s="199">
        <f t="shared" si="77"/>
        <v>300000</v>
      </c>
      <c r="W81" s="199">
        <f t="shared" si="77"/>
        <v>300000</v>
      </c>
      <c r="X81" s="199">
        <f t="shared" si="77"/>
        <v>300000</v>
      </c>
      <c r="Y81" s="199">
        <f t="shared" si="77"/>
        <v>300000</v>
      </c>
      <c r="Z81" s="199">
        <f t="shared" si="77"/>
        <v>0</v>
      </c>
      <c r="AA81" s="199">
        <f t="shared" si="77"/>
        <v>0</v>
      </c>
      <c r="AB81" s="199">
        <f t="shared" si="77"/>
        <v>0</v>
      </c>
      <c r="AC81" s="199">
        <f t="shared" si="77"/>
        <v>44982</v>
      </c>
      <c r="AD81" s="199">
        <f t="shared" si="77"/>
        <v>94962</v>
      </c>
      <c r="AE81" s="199">
        <f t="shared" si="77"/>
        <v>150654</v>
      </c>
      <c r="AF81" s="199">
        <f t="shared" si="77"/>
        <v>211344</v>
      </c>
      <c r="AG81" s="199">
        <f t="shared" si="77"/>
        <v>279174</v>
      </c>
      <c r="AH81" s="199">
        <f t="shared" si="77"/>
        <v>354858</v>
      </c>
      <c r="AI81" s="199">
        <f t="shared" si="77"/>
        <v>439110</v>
      </c>
      <c r="AJ81" s="199">
        <f t="shared" si="77"/>
        <v>532644</v>
      </c>
      <c r="AK81" s="199">
        <f t="shared" si="77"/>
        <v>636174</v>
      </c>
      <c r="AL81" s="199">
        <f t="shared" si="77"/>
        <v>714000</v>
      </c>
      <c r="AM81" s="199">
        <f t="shared" si="77"/>
        <v>714000</v>
      </c>
      <c r="AN81" s="199">
        <f t="shared" si="77"/>
        <v>714000</v>
      </c>
      <c r="AO81" s="199">
        <f t="shared" si="77"/>
        <v>714000</v>
      </c>
      <c r="AP81" s="199">
        <f t="shared" si="77"/>
        <v>714000</v>
      </c>
      <c r="AQ81" s="199">
        <f t="shared" si="77"/>
        <v>714000</v>
      </c>
      <c r="AR81" s="199">
        <f t="shared" si="77"/>
        <v>714000</v>
      </c>
      <c r="AS81" s="199">
        <f t="shared" si="77"/>
        <v>714000</v>
      </c>
      <c r="AT81" s="199">
        <f t="shared" si="77"/>
        <v>714000</v>
      </c>
      <c r="AU81" s="199">
        <f t="shared" si="77"/>
        <v>714000</v>
      </c>
      <c r="AV81" s="199">
        <f t="shared" si="77"/>
        <v>714000</v>
      </c>
      <c r="AW81" s="199">
        <f t="shared" si="77"/>
        <v>714000</v>
      </c>
      <c r="AX81" s="199">
        <f t="shared" si="77"/>
        <v>714000</v>
      </c>
      <c r="AY81" s="199">
        <f t="shared" si="77"/>
        <v>714000</v>
      </c>
      <c r="AZ81" s="199">
        <f t="shared" si="77"/>
        <v>714000</v>
      </c>
      <c r="BA81" s="121"/>
      <c r="BB81" s="202">
        <f>P81</f>
        <v>0</v>
      </c>
      <c r="BC81" s="202">
        <f t="shared" si="73"/>
        <v>0</v>
      </c>
      <c r="BD81" s="202">
        <f t="shared" si="74"/>
        <v>714000</v>
      </c>
      <c r="BE81" s="202">
        <f t="shared" si="75"/>
        <v>714000</v>
      </c>
      <c r="BF81" s="202">
        <f>sum(BF78:BF80)</f>
        <v>0</v>
      </c>
      <c r="BG81" s="194"/>
    </row>
    <row r="82" ht="15.75" customHeight="1">
      <c r="A82" s="121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  <c r="AM82" s="174"/>
      <c r="AN82" s="174"/>
      <c r="AO82" s="174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21"/>
      <c r="BB82" s="174"/>
      <c r="BC82" s="174"/>
      <c r="BD82" s="174"/>
      <c r="BE82" s="174"/>
      <c r="BF82" s="174"/>
      <c r="BG82" s="121"/>
    </row>
    <row r="83" ht="15.75" customHeight="1">
      <c r="A83" s="121"/>
      <c r="B83" s="175" t="s">
        <v>255</v>
      </c>
      <c r="C83" s="174"/>
      <c r="D83" s="175" t="s">
        <v>202</v>
      </c>
      <c r="E83" s="175"/>
      <c r="F83" s="175"/>
      <c r="G83" s="175"/>
      <c r="H83" s="175"/>
      <c r="I83" s="175"/>
      <c r="J83" s="175"/>
      <c r="K83" s="175"/>
      <c r="L83" s="175"/>
      <c r="M83" s="175">
        <f>M59</f>
        <v>1111108</v>
      </c>
      <c r="N83" s="175">
        <f t="shared" ref="N83:Y83" si="78">M83</f>
        <v>1111108</v>
      </c>
      <c r="O83" s="175">
        <f t="shared" si="78"/>
        <v>1111108</v>
      </c>
      <c r="P83" s="175">
        <f t="shared" si="78"/>
        <v>1111108</v>
      </c>
      <c r="Q83" s="175">
        <f t="shared" si="78"/>
        <v>1111108</v>
      </c>
      <c r="R83" s="175">
        <f t="shared" si="78"/>
        <v>1111108</v>
      </c>
      <c r="S83" s="175">
        <f t="shared" si="78"/>
        <v>1111108</v>
      </c>
      <c r="T83" s="175">
        <f t="shared" si="78"/>
        <v>1111108</v>
      </c>
      <c r="U83" s="175">
        <f t="shared" si="78"/>
        <v>1111108</v>
      </c>
      <c r="V83" s="175">
        <f t="shared" si="78"/>
        <v>1111108</v>
      </c>
      <c r="W83" s="175">
        <f t="shared" si="78"/>
        <v>1111108</v>
      </c>
      <c r="X83" s="175">
        <f t="shared" si="78"/>
        <v>1111108</v>
      </c>
      <c r="Y83" s="175">
        <f t="shared" si="78"/>
        <v>1111108</v>
      </c>
      <c r="Z83" s="175">
        <f>Y83+Y79</f>
        <v>1411108</v>
      </c>
      <c r="AA83" s="175">
        <f t="shared" ref="AA83:AZ83" si="79">Z83</f>
        <v>1411108</v>
      </c>
      <c r="AB83" s="175">
        <f t="shared" si="79"/>
        <v>1411108</v>
      </c>
      <c r="AC83" s="175">
        <f t="shared" si="79"/>
        <v>1411108</v>
      </c>
      <c r="AD83" s="175">
        <f t="shared" si="79"/>
        <v>1411108</v>
      </c>
      <c r="AE83" s="175">
        <f t="shared" si="79"/>
        <v>1411108</v>
      </c>
      <c r="AF83" s="175">
        <f t="shared" si="79"/>
        <v>1411108</v>
      </c>
      <c r="AG83" s="175">
        <f t="shared" si="79"/>
        <v>1411108</v>
      </c>
      <c r="AH83" s="175">
        <f t="shared" si="79"/>
        <v>1411108</v>
      </c>
      <c r="AI83" s="175">
        <f t="shared" si="79"/>
        <v>1411108</v>
      </c>
      <c r="AJ83" s="175">
        <f t="shared" si="79"/>
        <v>1411108</v>
      </c>
      <c r="AK83" s="175">
        <f t="shared" si="79"/>
        <v>1411108</v>
      </c>
      <c r="AL83" s="175">
        <f t="shared" si="79"/>
        <v>1411108</v>
      </c>
      <c r="AM83" s="175">
        <f t="shared" si="79"/>
        <v>1411108</v>
      </c>
      <c r="AN83" s="175">
        <f t="shared" si="79"/>
        <v>1411108</v>
      </c>
      <c r="AO83" s="175">
        <f t="shared" si="79"/>
        <v>1411108</v>
      </c>
      <c r="AP83" s="175">
        <f t="shared" si="79"/>
        <v>1411108</v>
      </c>
      <c r="AQ83" s="175">
        <f t="shared" si="79"/>
        <v>1411108</v>
      </c>
      <c r="AR83" s="175">
        <f t="shared" si="79"/>
        <v>1411108</v>
      </c>
      <c r="AS83" s="175">
        <f t="shared" si="79"/>
        <v>1411108</v>
      </c>
      <c r="AT83" s="175">
        <f t="shared" si="79"/>
        <v>1411108</v>
      </c>
      <c r="AU83" s="175">
        <f t="shared" si="79"/>
        <v>1411108</v>
      </c>
      <c r="AV83" s="175">
        <f t="shared" si="79"/>
        <v>1411108</v>
      </c>
      <c r="AW83" s="175">
        <f t="shared" si="79"/>
        <v>1411108</v>
      </c>
      <c r="AX83" s="175">
        <f t="shared" si="79"/>
        <v>1411108</v>
      </c>
      <c r="AY83" s="175">
        <f t="shared" si="79"/>
        <v>1411108</v>
      </c>
      <c r="AZ83" s="175">
        <f t="shared" si="79"/>
        <v>1411108</v>
      </c>
      <c r="BA83" s="121"/>
      <c r="BB83" s="175">
        <f t="shared" ref="BB83:BB87" si="81">P83</f>
        <v>1111108</v>
      </c>
      <c r="BC83" s="175">
        <f t="shared" ref="BC83:BC87" si="82">AB83</f>
        <v>1411108</v>
      </c>
      <c r="BD83" s="175">
        <f t="shared" ref="BD83:BD87" si="83">AN83</f>
        <v>1411108</v>
      </c>
      <c r="BE83" s="175">
        <f t="shared" ref="BE83:BE87" si="84">AZ83</f>
        <v>1411108</v>
      </c>
      <c r="BF83" s="175">
        <f t="shared" ref="BF83:BF84" si="85">BE83</f>
        <v>1411108</v>
      </c>
      <c r="BG83" s="40"/>
    </row>
    <row r="84" ht="15.75" customHeight="1">
      <c r="A84" s="121"/>
      <c r="B84" s="175" t="s">
        <v>256</v>
      </c>
      <c r="C84" s="174"/>
      <c r="D84" s="175" t="s">
        <v>202</v>
      </c>
      <c r="E84" s="175"/>
      <c r="F84" s="175"/>
      <c r="G84" s="175"/>
      <c r="H84" s="175"/>
      <c r="I84" s="175"/>
      <c r="J84" s="175"/>
      <c r="K84" s="175"/>
      <c r="L84" s="175"/>
      <c r="M84" s="175">
        <f>M53+M53</f>
        <v>0</v>
      </c>
      <c r="N84" s="175">
        <f t="shared" ref="N84:AZ84" si="80">M84+N53</f>
        <v>0</v>
      </c>
      <c r="O84" s="175">
        <f t="shared" si="80"/>
        <v>0</v>
      </c>
      <c r="P84" s="175">
        <f t="shared" si="80"/>
        <v>0</v>
      </c>
      <c r="Q84" s="175">
        <f t="shared" si="80"/>
        <v>0</v>
      </c>
      <c r="R84" s="175">
        <f t="shared" si="80"/>
        <v>0</v>
      </c>
      <c r="S84" s="175">
        <f t="shared" si="80"/>
        <v>0</v>
      </c>
      <c r="T84" s="175">
        <f t="shared" si="80"/>
        <v>0</v>
      </c>
      <c r="U84" s="175">
        <f t="shared" si="80"/>
        <v>300000</v>
      </c>
      <c r="V84" s="175">
        <f t="shared" si="80"/>
        <v>300000</v>
      </c>
      <c r="W84" s="175">
        <f t="shared" si="80"/>
        <v>300000</v>
      </c>
      <c r="X84" s="175">
        <f t="shared" si="80"/>
        <v>300000</v>
      </c>
      <c r="Y84" s="175">
        <f t="shared" si="80"/>
        <v>300000</v>
      </c>
      <c r="Z84" s="175">
        <f t="shared" si="80"/>
        <v>3550000</v>
      </c>
      <c r="AA84" s="175">
        <f t="shared" si="80"/>
        <v>3550000</v>
      </c>
      <c r="AB84" s="175">
        <f t="shared" si="80"/>
        <v>3550000</v>
      </c>
      <c r="AC84" s="175">
        <f t="shared" si="80"/>
        <v>3550000</v>
      </c>
      <c r="AD84" s="175">
        <f t="shared" si="80"/>
        <v>3550000</v>
      </c>
      <c r="AE84" s="175">
        <f t="shared" si="80"/>
        <v>3550000</v>
      </c>
      <c r="AF84" s="175">
        <f t="shared" si="80"/>
        <v>3550000</v>
      </c>
      <c r="AG84" s="175">
        <f t="shared" si="80"/>
        <v>3550000</v>
      </c>
      <c r="AH84" s="175">
        <f t="shared" si="80"/>
        <v>3550000</v>
      </c>
      <c r="AI84" s="175">
        <f t="shared" si="80"/>
        <v>3550000</v>
      </c>
      <c r="AJ84" s="175">
        <f t="shared" si="80"/>
        <v>3550000</v>
      </c>
      <c r="AK84" s="175">
        <f t="shared" si="80"/>
        <v>3550000</v>
      </c>
      <c r="AL84" s="175">
        <f t="shared" si="80"/>
        <v>3550000</v>
      </c>
      <c r="AM84" s="175">
        <f t="shared" si="80"/>
        <v>3550000</v>
      </c>
      <c r="AN84" s="175">
        <f t="shared" si="80"/>
        <v>3550000</v>
      </c>
      <c r="AO84" s="175">
        <f t="shared" si="80"/>
        <v>3550000</v>
      </c>
      <c r="AP84" s="175">
        <f t="shared" si="80"/>
        <v>3550000</v>
      </c>
      <c r="AQ84" s="175">
        <f t="shared" si="80"/>
        <v>3550000</v>
      </c>
      <c r="AR84" s="175">
        <f t="shared" si="80"/>
        <v>3550000</v>
      </c>
      <c r="AS84" s="175">
        <f t="shared" si="80"/>
        <v>3550000</v>
      </c>
      <c r="AT84" s="175">
        <f t="shared" si="80"/>
        <v>3550000</v>
      </c>
      <c r="AU84" s="175">
        <f t="shared" si="80"/>
        <v>3550000</v>
      </c>
      <c r="AV84" s="175">
        <f t="shared" si="80"/>
        <v>3550000</v>
      </c>
      <c r="AW84" s="175">
        <f t="shared" si="80"/>
        <v>3550000</v>
      </c>
      <c r="AX84" s="175">
        <f t="shared" si="80"/>
        <v>3550000</v>
      </c>
      <c r="AY84" s="175">
        <f t="shared" si="80"/>
        <v>3550000</v>
      </c>
      <c r="AZ84" s="175">
        <f t="shared" si="80"/>
        <v>3550000</v>
      </c>
      <c r="BA84" s="121"/>
      <c r="BB84" s="175">
        <f t="shared" si="81"/>
        <v>0</v>
      </c>
      <c r="BC84" s="175">
        <f t="shared" si="82"/>
        <v>3550000</v>
      </c>
      <c r="BD84" s="175">
        <f t="shared" si="83"/>
        <v>3550000</v>
      </c>
      <c r="BE84" s="175">
        <f t="shared" si="84"/>
        <v>3550000</v>
      </c>
      <c r="BF84" s="175">
        <f t="shared" si="85"/>
        <v>3550000</v>
      </c>
      <c r="BG84" s="40"/>
    </row>
    <row r="85" ht="15.75" customHeight="1">
      <c r="A85" s="121"/>
      <c r="B85" s="175" t="s">
        <v>257</v>
      </c>
      <c r="C85" s="174"/>
      <c r="D85" s="175" t="s">
        <v>202</v>
      </c>
      <c r="E85" s="175"/>
      <c r="F85" s="175"/>
      <c r="G85" s="175"/>
      <c r="H85" s="175"/>
      <c r="I85" s="175"/>
      <c r="J85" s="175"/>
      <c r="K85" s="175"/>
      <c r="L85" s="175"/>
      <c r="M85" s="175">
        <f>M45</f>
        <v>-59000</v>
      </c>
      <c r="N85" s="175">
        <f t="shared" ref="N85:AZ85" si="86">M85+N39</f>
        <v>-98520</v>
      </c>
      <c r="O85" s="175">
        <f t="shared" si="86"/>
        <v>-79520</v>
      </c>
      <c r="P85" s="175">
        <f t="shared" si="86"/>
        <v>-327453</v>
      </c>
      <c r="Q85" s="175">
        <f t="shared" si="86"/>
        <v>-455973</v>
      </c>
      <c r="R85" s="175">
        <f t="shared" si="86"/>
        <v>-595293</v>
      </c>
      <c r="S85" s="175">
        <f t="shared" si="86"/>
        <v>-734613</v>
      </c>
      <c r="T85" s="175">
        <f t="shared" si="86"/>
        <v>-873933</v>
      </c>
      <c r="U85" s="175">
        <f t="shared" si="86"/>
        <v>-1023253</v>
      </c>
      <c r="V85" s="175">
        <f t="shared" si="86"/>
        <v>-1065791</v>
      </c>
      <c r="W85" s="175">
        <f t="shared" si="86"/>
        <v>-1213111</v>
      </c>
      <c r="X85" s="175">
        <f t="shared" si="86"/>
        <v>-1384431</v>
      </c>
      <c r="Y85" s="175">
        <f t="shared" si="86"/>
        <v>-1564671</v>
      </c>
      <c r="Z85" s="175">
        <f t="shared" si="86"/>
        <v>-1860511</v>
      </c>
      <c r="AA85" s="175">
        <f t="shared" si="86"/>
        <v>-2101351</v>
      </c>
      <c r="AB85" s="175">
        <f t="shared" si="86"/>
        <v>-2297191</v>
      </c>
      <c r="AC85" s="175">
        <f t="shared" si="86"/>
        <v>-2353628.315</v>
      </c>
      <c r="AD85" s="175">
        <f t="shared" si="86"/>
        <v>-2388511.73</v>
      </c>
      <c r="AE85" s="175">
        <f t="shared" si="86"/>
        <v>-2400293.601</v>
      </c>
      <c r="AF85" s="175">
        <f t="shared" si="86"/>
        <v>-2390566.196</v>
      </c>
      <c r="AG85" s="175">
        <f t="shared" si="86"/>
        <v>-2349263.911</v>
      </c>
      <c r="AH85" s="175">
        <f t="shared" si="86"/>
        <v>-2281348.029</v>
      </c>
      <c r="AI85" s="175">
        <f t="shared" si="86"/>
        <v>-2174041.782</v>
      </c>
      <c r="AJ85" s="175">
        <f t="shared" si="86"/>
        <v>-2027092.402</v>
      </c>
      <c r="AK85" s="175">
        <f t="shared" si="86"/>
        <v>-1824450.096</v>
      </c>
      <c r="AL85" s="175">
        <f t="shared" si="86"/>
        <v>-1570198.553</v>
      </c>
      <c r="AM85" s="175">
        <f t="shared" si="86"/>
        <v>-1261262.205</v>
      </c>
      <c r="AN85" s="175">
        <f t="shared" si="86"/>
        <v>-878352.3875</v>
      </c>
      <c r="AO85" s="175">
        <f t="shared" si="86"/>
        <v>-453083.7457</v>
      </c>
      <c r="AP85" s="175">
        <f t="shared" si="86"/>
        <v>34643.23358</v>
      </c>
      <c r="AQ85" s="175">
        <f t="shared" si="86"/>
        <v>619118.1392</v>
      </c>
      <c r="AR85" s="175">
        <f t="shared" si="86"/>
        <v>1310822.2</v>
      </c>
      <c r="AS85" s="175">
        <f t="shared" si="86"/>
        <v>2120385.444</v>
      </c>
      <c r="AT85" s="175">
        <f t="shared" si="86"/>
        <v>3057843.501</v>
      </c>
      <c r="AU85" s="175">
        <f t="shared" si="86"/>
        <v>4164509.958</v>
      </c>
      <c r="AV85" s="175">
        <f t="shared" si="86"/>
        <v>5438477.607</v>
      </c>
      <c r="AW85" s="175">
        <f t="shared" si="86"/>
        <v>6903201.302</v>
      </c>
      <c r="AX85" s="175">
        <f t="shared" si="86"/>
        <v>8569906.342</v>
      </c>
      <c r="AY85" s="175">
        <f t="shared" si="86"/>
        <v>10468305.88</v>
      </c>
      <c r="AZ85" s="175">
        <f t="shared" si="86"/>
        <v>12660277.51</v>
      </c>
      <c r="BA85" s="121"/>
      <c r="BB85" s="175">
        <f t="shared" si="81"/>
        <v>-327453</v>
      </c>
      <c r="BC85" s="175">
        <f t="shared" si="82"/>
        <v>-2297191</v>
      </c>
      <c r="BD85" s="175">
        <f t="shared" si="83"/>
        <v>-878352.3875</v>
      </c>
      <c r="BE85" s="175">
        <f t="shared" si="84"/>
        <v>12660277.51</v>
      </c>
      <c r="BF85" s="175">
        <f>BE85+BF39</f>
        <v>51011771.41</v>
      </c>
      <c r="BG85" s="40"/>
    </row>
    <row r="86" ht="12.75" customHeight="1">
      <c r="A86" s="177"/>
      <c r="B86" s="199" t="s">
        <v>258</v>
      </c>
      <c r="C86" s="200"/>
      <c r="D86" s="201" t="s">
        <v>202</v>
      </c>
      <c r="E86" s="199"/>
      <c r="F86" s="199"/>
      <c r="G86" s="199"/>
      <c r="H86" s="199"/>
      <c r="I86" s="199"/>
      <c r="J86" s="199"/>
      <c r="K86" s="199"/>
      <c r="L86" s="199"/>
      <c r="M86" s="199">
        <f t="shared" ref="M86:AZ86" si="87">M83+M84+M85+M42</f>
        <v>1160347</v>
      </c>
      <c r="N86" s="199">
        <f t="shared" si="87"/>
        <v>1131023.16</v>
      </c>
      <c r="O86" s="199">
        <f t="shared" si="87"/>
        <v>1145121.16</v>
      </c>
      <c r="P86" s="199">
        <f t="shared" si="87"/>
        <v>961154.874</v>
      </c>
      <c r="Q86" s="199">
        <f t="shared" si="87"/>
        <v>865793.034</v>
      </c>
      <c r="R86" s="199">
        <f t="shared" si="87"/>
        <v>762417.594</v>
      </c>
      <c r="S86" s="199">
        <f t="shared" si="87"/>
        <v>659042.154</v>
      </c>
      <c r="T86" s="199">
        <f t="shared" si="87"/>
        <v>555666.714</v>
      </c>
      <c r="U86" s="199">
        <f t="shared" si="87"/>
        <v>744871.274</v>
      </c>
      <c r="V86" s="199">
        <f t="shared" si="87"/>
        <v>713308.078</v>
      </c>
      <c r="W86" s="199">
        <f t="shared" si="87"/>
        <v>603996.638</v>
      </c>
      <c r="X86" s="199">
        <f t="shared" si="87"/>
        <v>476877.198</v>
      </c>
      <c r="Y86" s="199">
        <f t="shared" si="87"/>
        <v>343139.118</v>
      </c>
      <c r="Z86" s="199">
        <f t="shared" si="87"/>
        <v>3673625.838</v>
      </c>
      <c r="AA86" s="199">
        <f t="shared" si="87"/>
        <v>3494922.558</v>
      </c>
      <c r="AB86" s="199">
        <f t="shared" si="87"/>
        <v>3349609.278</v>
      </c>
      <c r="AC86" s="199">
        <f t="shared" si="87"/>
        <v>3307732.79</v>
      </c>
      <c r="AD86" s="199">
        <f t="shared" si="87"/>
        <v>3281849.296</v>
      </c>
      <c r="AE86" s="199">
        <f t="shared" si="87"/>
        <v>3273107.148</v>
      </c>
      <c r="AF86" s="199">
        <f t="shared" si="87"/>
        <v>3280324.883</v>
      </c>
      <c r="AG86" s="199">
        <f t="shared" si="87"/>
        <v>3310971.178</v>
      </c>
      <c r="AH86" s="199">
        <f t="shared" si="87"/>
        <v>3361364.762</v>
      </c>
      <c r="AI86" s="199">
        <f t="shared" si="87"/>
        <v>3440985.998</v>
      </c>
      <c r="AJ86" s="199">
        <f t="shared" si="87"/>
        <v>3550022.438</v>
      </c>
      <c r="AK86" s="199">
        <f t="shared" si="87"/>
        <v>3700383.029</v>
      </c>
      <c r="AL86" s="199">
        <f t="shared" si="87"/>
        <v>3889037.674</v>
      </c>
      <c r="AM86" s="199">
        <f t="shared" si="87"/>
        <v>4118268.444</v>
      </c>
      <c r="AN86" s="199">
        <f t="shared" si="87"/>
        <v>4402387.528</v>
      </c>
      <c r="AO86" s="199">
        <f t="shared" si="87"/>
        <v>4717936.861</v>
      </c>
      <c r="AP86" s="199">
        <f t="shared" si="87"/>
        <v>5079830.279</v>
      </c>
      <c r="AQ86" s="199">
        <f t="shared" si="87"/>
        <v>5513510.659</v>
      </c>
      <c r="AR86" s="199">
        <f t="shared" si="87"/>
        <v>6026755.072</v>
      </c>
      <c r="AS86" s="199">
        <f t="shared" si="87"/>
        <v>6627450.999</v>
      </c>
      <c r="AT86" s="199">
        <f t="shared" si="87"/>
        <v>7323044.877</v>
      </c>
      <c r="AU86" s="199">
        <f t="shared" si="87"/>
        <v>8144191.389</v>
      </c>
      <c r="AV86" s="199">
        <f t="shared" si="87"/>
        <v>9089475.384</v>
      </c>
      <c r="AW86" s="199">
        <f t="shared" si="87"/>
        <v>10176300.37</v>
      </c>
      <c r="AX86" s="199">
        <f t="shared" si="87"/>
        <v>11412995.51</v>
      </c>
      <c r="AY86" s="199">
        <f t="shared" si="87"/>
        <v>12821607.96</v>
      </c>
      <c r="AZ86" s="199">
        <f t="shared" si="87"/>
        <v>14448050.91</v>
      </c>
      <c r="BA86" s="121"/>
      <c r="BB86" s="202">
        <f t="shared" si="81"/>
        <v>961154.874</v>
      </c>
      <c r="BC86" s="202">
        <f t="shared" si="82"/>
        <v>3349609.278</v>
      </c>
      <c r="BD86" s="202">
        <f t="shared" si="83"/>
        <v>4402387.528</v>
      </c>
      <c r="BE86" s="202">
        <f t="shared" si="84"/>
        <v>14448050.91</v>
      </c>
      <c r="BF86" s="202">
        <f>sum(BF83:BF85)</f>
        <v>55972879.41</v>
      </c>
      <c r="BG86" s="194"/>
    </row>
    <row r="87" ht="15.75" customHeight="1">
      <c r="A87" s="186"/>
      <c r="B87" s="187" t="s">
        <v>259</v>
      </c>
      <c r="C87" s="188"/>
      <c r="D87" s="187" t="s">
        <v>202</v>
      </c>
      <c r="E87" s="187"/>
      <c r="F87" s="187"/>
      <c r="G87" s="187"/>
      <c r="H87" s="187"/>
      <c r="I87" s="187"/>
      <c r="J87" s="187"/>
      <c r="K87" s="187"/>
      <c r="L87" s="187"/>
      <c r="M87" s="187">
        <f t="shared" ref="M87:AZ87" si="88">M76+M81+M86</f>
        <v>1160347</v>
      </c>
      <c r="N87" s="187">
        <f t="shared" si="88"/>
        <v>1131023.16</v>
      </c>
      <c r="O87" s="187">
        <f t="shared" si="88"/>
        <v>1145121.16</v>
      </c>
      <c r="P87" s="187">
        <f t="shared" si="88"/>
        <v>961154.874</v>
      </c>
      <c r="Q87" s="187">
        <f t="shared" si="88"/>
        <v>865793.034</v>
      </c>
      <c r="R87" s="187">
        <f t="shared" si="88"/>
        <v>762417.594</v>
      </c>
      <c r="S87" s="187">
        <f t="shared" si="88"/>
        <v>659042.154</v>
      </c>
      <c r="T87" s="187">
        <f t="shared" si="88"/>
        <v>555666.714</v>
      </c>
      <c r="U87" s="187">
        <f t="shared" si="88"/>
        <v>744871.274</v>
      </c>
      <c r="V87" s="187">
        <f t="shared" si="88"/>
        <v>1013308.078</v>
      </c>
      <c r="W87" s="187">
        <f t="shared" si="88"/>
        <v>903996.638</v>
      </c>
      <c r="X87" s="187">
        <f t="shared" si="88"/>
        <v>776877.198</v>
      </c>
      <c r="Y87" s="187">
        <f t="shared" si="88"/>
        <v>643139.118</v>
      </c>
      <c r="Z87" s="187">
        <f t="shared" si="88"/>
        <v>3673625.838</v>
      </c>
      <c r="AA87" s="187">
        <f t="shared" si="88"/>
        <v>3494922.558</v>
      </c>
      <c r="AB87" s="187">
        <f t="shared" si="88"/>
        <v>3349609.278</v>
      </c>
      <c r="AC87" s="187">
        <f t="shared" si="88"/>
        <v>4370399.595</v>
      </c>
      <c r="AD87" s="187">
        <f t="shared" si="88"/>
        <v>4509050.142</v>
      </c>
      <c r="AE87" s="187">
        <f t="shared" si="88"/>
        <v>4685018.675</v>
      </c>
      <c r="AF87" s="187">
        <f t="shared" si="88"/>
        <v>4867480.45</v>
      </c>
      <c r="AG87" s="187">
        <f t="shared" si="88"/>
        <v>5130555.485</v>
      </c>
      <c r="AH87" s="187">
        <f t="shared" si="88"/>
        <v>5435696.45</v>
      </c>
      <c r="AI87" s="187">
        <f t="shared" si="88"/>
        <v>5799748.485</v>
      </c>
      <c r="AJ87" s="187">
        <f t="shared" si="88"/>
        <v>6216962.366</v>
      </c>
      <c r="AK87" s="187">
        <f t="shared" si="88"/>
        <v>6699961.038</v>
      </c>
      <c r="AL87" s="187">
        <f t="shared" si="88"/>
        <v>7231129.823</v>
      </c>
      <c r="AM87" s="187">
        <f t="shared" si="88"/>
        <v>7739513.374</v>
      </c>
      <c r="AN87" s="187">
        <f t="shared" si="88"/>
        <v>8388409.999</v>
      </c>
      <c r="AO87" s="187">
        <f t="shared" si="88"/>
        <v>9057277.331</v>
      </c>
      <c r="AP87" s="187">
        <f t="shared" si="88"/>
        <v>9798746.83</v>
      </c>
      <c r="AQ87" s="187">
        <f t="shared" si="88"/>
        <v>10697675.75</v>
      </c>
      <c r="AR87" s="187">
        <f t="shared" si="88"/>
        <v>11726165.7</v>
      </c>
      <c r="AS87" s="187">
        <f t="shared" si="88"/>
        <v>12892294.97</v>
      </c>
      <c r="AT87" s="187">
        <f t="shared" si="88"/>
        <v>14203414.59</v>
      </c>
      <c r="AU87" s="187">
        <f t="shared" si="88"/>
        <v>15725759.3</v>
      </c>
      <c r="AV87" s="187">
        <f t="shared" si="88"/>
        <v>17457913.95</v>
      </c>
      <c r="AW87" s="187">
        <f t="shared" si="88"/>
        <v>19431746.7</v>
      </c>
      <c r="AX87" s="187">
        <f t="shared" si="88"/>
        <v>21620054.34</v>
      </c>
      <c r="AY87" s="187">
        <f t="shared" si="88"/>
        <v>24101531.81</v>
      </c>
      <c r="AZ87" s="190">
        <f t="shared" si="88"/>
        <v>26951212.38</v>
      </c>
      <c r="BA87" s="189"/>
      <c r="BB87" s="190">
        <f t="shared" si="81"/>
        <v>961154.874</v>
      </c>
      <c r="BC87" s="190">
        <f t="shared" si="82"/>
        <v>3349609.278</v>
      </c>
      <c r="BD87" s="190">
        <f t="shared" si="83"/>
        <v>8388409.999</v>
      </c>
      <c r="BE87" s="190">
        <f t="shared" si="84"/>
        <v>26951212.38</v>
      </c>
      <c r="BF87" s="190">
        <f>BF76+BF81+BF86</f>
        <v>66897204.7</v>
      </c>
      <c r="BG87" s="191"/>
    </row>
    <row r="88" ht="15.75" customHeight="1">
      <c r="A88" s="121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/>
      <c r="AU88" s="174"/>
      <c r="AV88" s="174"/>
      <c r="AW88" s="174"/>
      <c r="AX88" s="174"/>
      <c r="AY88" s="174"/>
      <c r="AZ88" s="174"/>
      <c r="BA88" s="121"/>
      <c r="BB88" s="174"/>
      <c r="BC88" s="174"/>
      <c r="BD88" s="174"/>
      <c r="BE88" s="174"/>
      <c r="BF88" s="174"/>
      <c r="BG88" s="121"/>
    </row>
    <row r="89" ht="15.75" customHeight="1">
      <c r="A89" s="121"/>
      <c r="B89" s="215" t="s">
        <v>260</v>
      </c>
      <c r="C89" s="174"/>
      <c r="D89" s="174"/>
      <c r="E89" s="215"/>
      <c r="F89" s="215"/>
      <c r="G89" s="215"/>
      <c r="H89" s="215"/>
      <c r="I89" s="215"/>
      <c r="J89" s="215"/>
      <c r="K89" s="215"/>
      <c r="L89" s="215"/>
      <c r="M89" s="215">
        <f t="shared" ref="M89:AZ89" si="89">M72-M87</f>
        <v>0</v>
      </c>
      <c r="N89" s="215">
        <f t="shared" si="89"/>
        <v>0.0000000002328306437</v>
      </c>
      <c r="O89" s="215">
        <f t="shared" si="89"/>
        <v>0</v>
      </c>
      <c r="P89" s="215">
        <f t="shared" si="89"/>
        <v>0</v>
      </c>
      <c r="Q89" s="215">
        <f t="shared" si="89"/>
        <v>0</v>
      </c>
      <c r="R89" s="215">
        <f t="shared" si="89"/>
        <v>0</v>
      </c>
      <c r="S89" s="215">
        <f t="shared" si="89"/>
        <v>0</v>
      </c>
      <c r="T89" s="215">
        <f t="shared" si="89"/>
        <v>0</v>
      </c>
      <c r="U89" s="215">
        <f t="shared" si="89"/>
        <v>0</v>
      </c>
      <c r="V89" s="215">
        <f t="shared" si="89"/>
        <v>0</v>
      </c>
      <c r="W89" s="215">
        <f t="shared" si="89"/>
        <v>0</v>
      </c>
      <c r="X89" s="215">
        <f t="shared" si="89"/>
        <v>0</v>
      </c>
      <c r="Y89" s="215">
        <f t="shared" si="89"/>
        <v>0</v>
      </c>
      <c r="Z89" s="215">
        <f t="shared" si="89"/>
        <v>0</v>
      </c>
      <c r="AA89" s="215">
        <f t="shared" si="89"/>
        <v>0</v>
      </c>
      <c r="AB89" s="215">
        <f t="shared" si="89"/>
        <v>0</v>
      </c>
      <c r="AC89" s="215">
        <f t="shared" si="89"/>
        <v>0</v>
      </c>
      <c r="AD89" s="215">
        <f t="shared" si="89"/>
        <v>0</v>
      </c>
      <c r="AE89" s="215">
        <f t="shared" si="89"/>
        <v>0</v>
      </c>
      <c r="AF89" s="215">
        <f t="shared" si="89"/>
        <v>0.0000000009313225746</v>
      </c>
      <c r="AG89" s="215">
        <f t="shared" si="89"/>
        <v>0.0000000009313225746</v>
      </c>
      <c r="AH89" s="215">
        <f t="shared" si="89"/>
        <v>0.0000000009313225746</v>
      </c>
      <c r="AI89" s="215">
        <f t="shared" si="89"/>
        <v>0</v>
      </c>
      <c r="AJ89" s="215">
        <f t="shared" si="89"/>
        <v>-0.0000000009313225746</v>
      </c>
      <c r="AK89" s="215">
        <f t="shared" si="89"/>
        <v>0</v>
      </c>
      <c r="AL89" s="215">
        <f t="shared" si="89"/>
        <v>0</v>
      </c>
      <c r="AM89" s="215">
        <f t="shared" si="89"/>
        <v>0</v>
      </c>
      <c r="AN89" s="215">
        <f t="shared" si="89"/>
        <v>-0.0000000009313225746</v>
      </c>
      <c r="AO89" s="215">
        <f t="shared" si="89"/>
        <v>-0.000000001862645149</v>
      </c>
      <c r="AP89" s="215">
        <f t="shared" si="89"/>
        <v>-0.000000001862645149</v>
      </c>
      <c r="AQ89" s="215">
        <f t="shared" si="89"/>
        <v>0</v>
      </c>
      <c r="AR89" s="215">
        <f t="shared" si="89"/>
        <v>-0.000000001862645149</v>
      </c>
      <c r="AS89" s="215">
        <f t="shared" si="89"/>
        <v>-0.000000001862645149</v>
      </c>
      <c r="AT89" s="215">
        <f t="shared" si="89"/>
        <v>-0.000000001862645149</v>
      </c>
      <c r="AU89" s="215">
        <f t="shared" si="89"/>
        <v>-0.000000003725290298</v>
      </c>
      <c r="AV89" s="215">
        <f t="shared" si="89"/>
        <v>-0.000000003725290298</v>
      </c>
      <c r="AW89" s="215">
        <f t="shared" si="89"/>
        <v>-0.000000007450580597</v>
      </c>
      <c r="AX89" s="215">
        <f t="shared" si="89"/>
        <v>-0.000000007450580597</v>
      </c>
      <c r="AY89" s="215">
        <f t="shared" si="89"/>
        <v>0</v>
      </c>
      <c r="AZ89" s="215">
        <f t="shared" si="89"/>
        <v>-0.000000003725290298</v>
      </c>
      <c r="BA89" s="215"/>
      <c r="BB89" s="215">
        <f t="shared" ref="BB89:BF89" si="90">BB72-BB87</f>
        <v>0</v>
      </c>
      <c r="BC89" s="215">
        <f t="shared" si="90"/>
        <v>0</v>
      </c>
      <c r="BD89" s="215">
        <f t="shared" si="90"/>
        <v>-0.0000000009313225746</v>
      </c>
      <c r="BE89" s="215">
        <f t="shared" si="90"/>
        <v>-0.000000003725290298</v>
      </c>
      <c r="BF89" s="215">
        <f t="shared" si="90"/>
        <v>-0.000000007450580597</v>
      </c>
      <c r="BG89" s="216"/>
    </row>
    <row r="90" ht="15.75" customHeight="1">
      <c r="A90" s="121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74"/>
      <c r="AY90" s="174"/>
      <c r="AZ90" s="174"/>
      <c r="BA90" s="121"/>
      <c r="BB90" s="174"/>
      <c r="BC90" s="174"/>
      <c r="BD90" s="174"/>
      <c r="BE90" s="174"/>
      <c r="BF90" s="174"/>
      <c r="BG90" s="121"/>
    </row>
    <row r="91" ht="15.75" customHeight="1">
      <c r="A91" s="121"/>
      <c r="B91" s="183" t="s">
        <v>261</v>
      </c>
      <c r="C91" s="174"/>
      <c r="D91" s="174"/>
      <c r="E91" s="174">
        <f>'Revenue Forecast'!E41</f>
        <v>0</v>
      </c>
      <c r="F91" s="174">
        <f>E91+'Revenue Forecast'!F41</f>
        <v>0</v>
      </c>
      <c r="G91" s="174">
        <f>F91+'Revenue Forecast'!G41</f>
        <v>0</v>
      </c>
      <c r="H91" s="174">
        <f>G91+'Revenue Forecast'!H41</f>
        <v>0</v>
      </c>
      <c r="I91" s="174">
        <f>H91+'Revenue Forecast'!I41</f>
        <v>0</v>
      </c>
      <c r="J91" s="174">
        <f>I91+'Revenue Forecast'!J41</f>
        <v>0</v>
      </c>
      <c r="K91" s="174">
        <f>J91+'Revenue Forecast'!K41</f>
        <v>0</v>
      </c>
      <c r="L91" s="174">
        <f>K91+'Revenue Forecast'!L41</f>
        <v>0</v>
      </c>
      <c r="M91" s="174">
        <f>L91+'Revenue Forecast'!M41</f>
        <v>0</v>
      </c>
      <c r="N91" s="174">
        <f>M91+'Revenue Forecast'!N41</f>
        <v>0</v>
      </c>
      <c r="O91" s="174">
        <f>N91+'Revenue Forecast'!O41</f>
        <v>0</v>
      </c>
      <c r="P91" s="174">
        <f>O91+'Revenue Forecast'!P41</f>
        <v>0</v>
      </c>
      <c r="Q91" s="174">
        <f>P91+'Revenue Forecast'!Q41</f>
        <v>0</v>
      </c>
      <c r="R91" s="174">
        <f>Q91+'Revenue Forecast'!R41</f>
        <v>0</v>
      </c>
      <c r="S91" s="174">
        <f>R91+'Revenue Forecast'!S41</f>
        <v>0</v>
      </c>
      <c r="T91" s="174">
        <f>S91+'Revenue Forecast'!T41</f>
        <v>0</v>
      </c>
      <c r="U91" s="174">
        <f>T91+'Revenue Forecast'!U41</f>
        <v>0</v>
      </c>
      <c r="V91" s="174">
        <f>U91+'Revenue Forecast'!V41</f>
        <v>0</v>
      </c>
      <c r="W91" s="174">
        <f>V91+'Revenue Forecast'!W41</f>
        <v>0</v>
      </c>
      <c r="X91" s="174">
        <f>W91+'Revenue Forecast'!X41</f>
        <v>0</v>
      </c>
      <c r="Y91" s="174">
        <f>X91+'Revenue Forecast'!Y41</f>
        <v>0</v>
      </c>
      <c r="Z91" s="174">
        <f>Y91+'Revenue Forecast'!Z41</f>
        <v>0</v>
      </c>
      <c r="AA91" s="174">
        <f>Z91+'Revenue Forecast'!AA41</f>
        <v>0</v>
      </c>
      <c r="AB91" s="174">
        <f>AA91+'Revenue Forecast'!AB41</f>
        <v>0</v>
      </c>
      <c r="AC91" s="174">
        <f>AB91+'Revenue Forecast'!AC41</f>
        <v>63</v>
      </c>
      <c r="AD91" s="174">
        <f>AC91+'Revenue Forecast'!AD41</f>
        <v>133</v>
      </c>
      <c r="AE91" s="174">
        <f>AD91+'Revenue Forecast'!AE41</f>
        <v>211</v>
      </c>
      <c r="AF91" s="174">
        <f>AE91+'Revenue Forecast'!AF41</f>
        <v>296</v>
      </c>
      <c r="AG91" s="174">
        <f>AF91+'Revenue Forecast'!AG41</f>
        <v>391</v>
      </c>
      <c r="AH91" s="174">
        <f>AG91+'Revenue Forecast'!AH41</f>
        <v>497</v>
      </c>
      <c r="AI91" s="174">
        <f>AH91+'Revenue Forecast'!AI41</f>
        <v>615</v>
      </c>
      <c r="AJ91" s="174">
        <f>AI91+'Revenue Forecast'!AJ41</f>
        <v>746</v>
      </c>
      <c r="AK91" s="174">
        <f>AJ91+'Revenue Forecast'!AK41</f>
        <v>891</v>
      </c>
      <c r="AL91" s="174">
        <f>AK91+'Revenue Forecast'!AL41</f>
        <v>1052</v>
      </c>
      <c r="AM91" s="174">
        <f>AL91+'Revenue Forecast'!AM41</f>
        <v>1230</v>
      </c>
      <c r="AN91" s="174">
        <f>AM91+'Revenue Forecast'!AN41</f>
        <v>1430</v>
      </c>
      <c r="AO91" s="174">
        <f>AN91+'Revenue Forecast'!AO41</f>
        <v>1651</v>
      </c>
      <c r="AP91" s="174">
        <f>AO91+'Revenue Forecast'!AP41</f>
        <v>1895</v>
      </c>
      <c r="AQ91" s="174">
        <f>AP91+'Revenue Forecast'!AQ41</f>
        <v>2167</v>
      </c>
      <c r="AR91" s="174">
        <f>AQ91+'Revenue Forecast'!AR41</f>
        <v>2470</v>
      </c>
      <c r="AS91" s="174">
        <f>AR91+'Revenue Forecast'!AS41</f>
        <v>2807</v>
      </c>
      <c r="AT91" s="174">
        <f>AS91+'Revenue Forecast'!AT41</f>
        <v>3181</v>
      </c>
      <c r="AU91" s="174">
        <f>AT91+'Revenue Forecast'!AU41</f>
        <v>3597</v>
      </c>
      <c r="AV91" s="174">
        <f>AU91+'Revenue Forecast'!AV41</f>
        <v>4060</v>
      </c>
      <c r="AW91" s="174">
        <f>AV91+'Revenue Forecast'!AW41</f>
        <v>4576</v>
      </c>
      <c r="AX91" s="174">
        <f>AW91+'Revenue Forecast'!AX41</f>
        <v>5149</v>
      </c>
      <c r="AY91" s="174">
        <f>AX91+'Revenue Forecast'!AY41</f>
        <v>5786</v>
      </c>
      <c r="AZ91" s="174">
        <f>AY91+'Revenue Forecast'!AZ41</f>
        <v>6496</v>
      </c>
      <c r="BA91" s="121"/>
      <c r="BB91" s="174"/>
      <c r="BC91" s="174"/>
      <c r="BD91" s="174"/>
      <c r="BE91" s="174"/>
      <c r="BF91" s="174"/>
      <c r="BG91" s="121"/>
    </row>
    <row r="92" ht="15.75" customHeight="1">
      <c r="A92" s="121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  <c r="AS92" s="174"/>
      <c r="AT92" s="174"/>
      <c r="AU92" s="174"/>
      <c r="AV92" s="174"/>
      <c r="AW92" s="174"/>
      <c r="AX92" s="174"/>
      <c r="AY92" s="174"/>
      <c r="AZ92" s="174"/>
      <c r="BA92" s="121"/>
      <c r="BB92" s="174"/>
      <c r="BC92" s="174"/>
      <c r="BD92" s="174"/>
      <c r="BE92" s="174"/>
      <c r="BF92" s="174"/>
      <c r="BG92" s="121"/>
    </row>
    <row r="93" ht="15.75" customHeight="1">
      <c r="A93" s="35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35"/>
      <c r="BB93" s="28"/>
      <c r="BC93" s="28"/>
      <c r="BD93" s="28"/>
      <c r="BE93" s="28"/>
      <c r="BF93" s="28"/>
      <c r="BG93" s="35"/>
    </row>
    <row r="94" ht="15.75" customHeight="1">
      <c r="A94" s="35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35"/>
      <c r="BB94" s="28"/>
      <c r="BC94" s="28"/>
      <c r="BD94" s="28"/>
      <c r="BE94" s="28"/>
      <c r="BF94" s="28"/>
      <c r="BG94" s="35"/>
    </row>
    <row r="95" ht="15.75" customHeight="1">
      <c r="A95" s="35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35"/>
      <c r="BB95" s="28"/>
      <c r="BC95" s="28"/>
      <c r="BD95" s="28"/>
      <c r="BE95" s="28"/>
      <c r="BF95" s="28"/>
      <c r="BG95" s="35"/>
    </row>
    <row r="96" ht="15.75" customHeight="1">
      <c r="A96" s="35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35"/>
      <c r="BB96" s="28"/>
      <c r="BC96" s="28"/>
      <c r="BD96" s="28"/>
      <c r="BE96" s="28"/>
      <c r="BF96" s="28"/>
      <c r="BG96" s="35"/>
    </row>
    <row r="97" ht="15.75" customHeight="1">
      <c r="A97" s="35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35"/>
      <c r="BB97" s="28"/>
      <c r="BC97" s="28"/>
      <c r="BD97" s="28"/>
      <c r="BE97" s="28"/>
      <c r="BF97" s="28"/>
      <c r="BG97" s="35"/>
    </row>
    <row r="98" ht="15.75" customHeight="1">
      <c r="A98" s="35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35"/>
      <c r="BB98" s="28"/>
      <c r="BC98" s="28"/>
      <c r="BD98" s="28"/>
      <c r="BE98" s="28"/>
      <c r="BF98" s="28"/>
      <c r="BG98" s="35"/>
    </row>
    <row r="99" ht="15.75" customHeight="1">
      <c r="A99" s="35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35"/>
      <c r="BB99" s="28"/>
      <c r="BC99" s="28"/>
      <c r="BD99" s="28"/>
      <c r="BE99" s="28"/>
      <c r="BF99" s="28"/>
      <c r="BG99" s="35"/>
    </row>
    <row r="100" ht="15.75" customHeight="1">
      <c r="A100" s="35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35"/>
      <c r="BB100" s="28"/>
      <c r="BC100" s="28"/>
      <c r="BD100" s="28"/>
      <c r="BE100" s="28"/>
      <c r="BF100" s="28"/>
      <c r="BG100" s="35"/>
    </row>
    <row r="101" ht="15.75" customHeight="1">
      <c r="A101" s="35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35"/>
      <c r="BB101" s="28"/>
      <c r="BC101" s="28"/>
      <c r="BD101" s="28"/>
      <c r="BE101" s="28"/>
      <c r="BF101" s="28"/>
      <c r="BG101" s="35"/>
    </row>
    <row r="102" ht="15.75" customHeight="1">
      <c r="A102" s="35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35"/>
      <c r="BB102" s="28"/>
      <c r="BC102" s="28"/>
      <c r="BD102" s="28"/>
      <c r="BE102" s="28"/>
      <c r="BF102" s="28"/>
      <c r="BG102" s="35"/>
    </row>
    <row r="103" ht="15.75" customHeight="1">
      <c r="A103" s="35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35"/>
      <c r="BB103" s="28"/>
      <c r="BC103" s="28"/>
      <c r="BD103" s="28"/>
      <c r="BE103" s="28"/>
      <c r="BF103" s="28"/>
      <c r="BG103" s="35"/>
    </row>
    <row r="104" ht="15.75" customHeight="1">
      <c r="A104" s="35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35"/>
      <c r="BB104" s="28"/>
      <c r="BC104" s="28"/>
      <c r="BD104" s="28"/>
      <c r="BE104" s="28"/>
      <c r="BF104" s="28"/>
      <c r="BG104" s="35"/>
    </row>
    <row r="105" ht="15.75" customHeight="1">
      <c r="A105" s="35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35"/>
      <c r="BB105" s="28"/>
      <c r="BC105" s="28"/>
      <c r="BD105" s="28"/>
      <c r="BE105" s="28"/>
      <c r="BF105" s="28"/>
      <c r="BG105" s="35"/>
    </row>
    <row r="106" ht="15.75" customHeight="1">
      <c r="A106" s="35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35"/>
      <c r="BB106" s="28"/>
      <c r="BC106" s="28"/>
      <c r="BD106" s="28"/>
      <c r="BE106" s="28"/>
      <c r="BF106" s="28"/>
      <c r="BG106" s="35"/>
    </row>
    <row r="107" ht="15.75" customHeight="1">
      <c r="A107" s="35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35"/>
      <c r="BB107" s="28"/>
      <c r="BC107" s="28"/>
      <c r="BD107" s="28"/>
      <c r="BE107" s="28"/>
      <c r="BF107" s="28"/>
      <c r="BG107" s="35"/>
    </row>
    <row r="108" ht="15.75" customHeight="1">
      <c r="A108" s="35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35"/>
      <c r="BB108" s="28"/>
      <c r="BC108" s="28"/>
      <c r="BD108" s="28"/>
      <c r="BE108" s="28"/>
      <c r="BF108" s="28"/>
      <c r="BG108" s="35"/>
    </row>
    <row r="109" ht="15.75" customHeight="1">
      <c r="A109" s="35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35"/>
      <c r="BB109" s="28"/>
      <c r="BC109" s="28"/>
      <c r="BD109" s="28"/>
      <c r="BE109" s="28"/>
      <c r="BF109" s="28"/>
      <c r="BG109" s="35"/>
    </row>
    <row r="110" ht="15.75" customHeight="1">
      <c r="A110" s="35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35"/>
      <c r="BB110" s="28"/>
      <c r="BC110" s="28"/>
      <c r="BD110" s="28"/>
      <c r="BE110" s="28"/>
      <c r="BF110" s="28"/>
      <c r="BG110" s="35"/>
    </row>
    <row r="111" ht="15.75" customHeight="1">
      <c r="A111" s="35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35"/>
      <c r="BB111" s="28"/>
      <c r="BC111" s="28"/>
      <c r="BD111" s="28"/>
      <c r="BE111" s="28"/>
      <c r="BF111" s="28"/>
      <c r="BG111" s="35"/>
    </row>
    <row r="112" ht="15.75" customHeight="1">
      <c r="A112" s="35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35"/>
      <c r="BB112" s="28"/>
      <c r="BC112" s="28"/>
      <c r="BD112" s="28"/>
      <c r="BE112" s="28"/>
      <c r="BF112" s="28"/>
      <c r="BG112" s="35"/>
    </row>
    <row r="113" ht="15.75" customHeight="1">
      <c r="A113" s="35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35"/>
      <c r="BB113" s="28"/>
      <c r="BC113" s="28"/>
      <c r="BD113" s="28"/>
      <c r="BE113" s="28"/>
      <c r="BF113" s="28"/>
      <c r="BG113" s="35"/>
    </row>
    <row r="114" ht="15.75" customHeight="1">
      <c r="A114" s="35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35"/>
      <c r="BB114" s="28"/>
      <c r="BC114" s="28"/>
      <c r="BD114" s="28"/>
      <c r="BE114" s="28"/>
      <c r="BF114" s="28"/>
      <c r="BG114" s="35"/>
    </row>
    <row r="115" ht="15.75" customHeight="1">
      <c r="A115" s="35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35"/>
      <c r="BB115" s="28"/>
      <c r="BC115" s="28"/>
      <c r="BD115" s="28"/>
      <c r="BE115" s="28"/>
      <c r="BF115" s="28"/>
      <c r="BG115" s="35"/>
    </row>
    <row r="116" ht="15.75" customHeight="1">
      <c r="A116" s="35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35"/>
      <c r="BB116" s="28"/>
      <c r="BC116" s="28"/>
      <c r="BD116" s="28"/>
      <c r="BE116" s="28"/>
      <c r="BF116" s="28"/>
      <c r="BG116" s="35"/>
    </row>
    <row r="117" ht="15.75" customHeight="1">
      <c r="A117" s="35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35"/>
      <c r="BB117" s="28"/>
      <c r="BC117" s="28"/>
      <c r="BD117" s="28"/>
      <c r="BE117" s="28"/>
      <c r="BF117" s="28"/>
      <c r="BG117" s="35"/>
    </row>
    <row r="118" ht="15.75" customHeight="1">
      <c r="A118" s="35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35"/>
      <c r="BB118" s="28"/>
      <c r="BC118" s="28"/>
      <c r="BD118" s="28"/>
      <c r="BE118" s="28"/>
      <c r="BF118" s="28"/>
      <c r="BG118" s="35"/>
    </row>
    <row r="119" ht="15.75" customHeight="1">
      <c r="A119" s="35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35"/>
      <c r="BB119" s="28"/>
      <c r="BC119" s="28"/>
      <c r="BD119" s="28"/>
      <c r="BE119" s="28"/>
      <c r="BF119" s="28"/>
      <c r="BG119" s="35"/>
    </row>
    <row r="120" ht="15.75" customHeight="1">
      <c r="A120" s="35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35"/>
      <c r="BB120" s="28"/>
      <c r="BC120" s="28"/>
      <c r="BD120" s="28"/>
      <c r="BE120" s="28"/>
      <c r="BF120" s="28"/>
      <c r="BG120" s="35"/>
    </row>
    <row r="121" ht="15.75" customHeight="1">
      <c r="A121" s="35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35"/>
      <c r="BB121" s="28"/>
      <c r="BC121" s="28"/>
      <c r="BD121" s="28"/>
      <c r="BE121" s="28"/>
      <c r="BF121" s="28"/>
      <c r="BG121" s="35"/>
    </row>
    <row r="122" ht="15.75" customHeight="1">
      <c r="A122" s="35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35"/>
      <c r="BB122" s="28"/>
      <c r="BC122" s="28"/>
      <c r="BD122" s="28"/>
      <c r="BE122" s="28"/>
      <c r="BF122" s="28"/>
      <c r="BG122" s="35"/>
    </row>
    <row r="123" ht="15.75" customHeight="1">
      <c r="A123" s="35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35"/>
      <c r="BB123" s="28"/>
      <c r="BC123" s="28"/>
      <c r="BD123" s="28"/>
      <c r="BE123" s="28"/>
      <c r="BF123" s="28"/>
      <c r="BG123" s="35"/>
    </row>
    <row r="124" ht="15.75" customHeight="1">
      <c r="A124" s="35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35"/>
      <c r="BB124" s="28"/>
      <c r="BC124" s="28"/>
      <c r="BD124" s="28"/>
      <c r="BE124" s="28"/>
      <c r="BF124" s="28"/>
      <c r="BG124" s="35"/>
    </row>
    <row r="125" ht="15.75" customHeight="1">
      <c r="A125" s="35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35"/>
      <c r="BB125" s="28"/>
      <c r="BC125" s="28"/>
      <c r="BD125" s="28"/>
      <c r="BE125" s="28"/>
      <c r="BF125" s="28"/>
      <c r="BG125" s="35"/>
    </row>
    <row r="126" ht="15.75" customHeight="1">
      <c r="A126" s="35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35"/>
      <c r="BB126" s="28"/>
      <c r="BC126" s="28"/>
      <c r="BD126" s="28"/>
      <c r="BE126" s="28"/>
      <c r="BF126" s="28"/>
      <c r="BG126" s="35"/>
    </row>
    <row r="127" ht="15.75" customHeight="1">
      <c r="A127" s="35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35"/>
      <c r="BB127" s="28"/>
      <c r="BC127" s="28"/>
      <c r="BD127" s="28"/>
      <c r="BE127" s="28"/>
      <c r="BF127" s="28"/>
      <c r="BG127" s="35"/>
    </row>
    <row r="128" ht="15.75" customHeight="1">
      <c r="A128" s="35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35"/>
      <c r="BB128" s="28"/>
      <c r="BC128" s="28"/>
      <c r="BD128" s="28"/>
      <c r="BE128" s="28"/>
      <c r="BF128" s="28"/>
      <c r="BG128" s="35"/>
    </row>
    <row r="129" ht="15.75" customHeight="1">
      <c r="A129" s="35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35"/>
      <c r="BB129" s="28"/>
      <c r="BC129" s="28"/>
      <c r="BD129" s="28"/>
      <c r="BE129" s="28"/>
      <c r="BF129" s="28"/>
      <c r="BG129" s="35"/>
    </row>
    <row r="130" ht="15.75" customHeight="1">
      <c r="A130" s="35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35"/>
      <c r="BB130" s="28"/>
      <c r="BC130" s="28"/>
      <c r="BD130" s="28"/>
      <c r="BE130" s="28"/>
      <c r="BF130" s="28"/>
      <c r="BG130" s="35"/>
    </row>
    <row r="131" ht="15.75" customHeight="1">
      <c r="A131" s="35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35"/>
      <c r="BB131" s="28"/>
      <c r="BC131" s="28"/>
      <c r="BD131" s="28"/>
      <c r="BE131" s="28"/>
      <c r="BF131" s="28"/>
      <c r="BG131" s="35"/>
    </row>
    <row r="132" ht="15.75" customHeight="1">
      <c r="A132" s="35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35"/>
      <c r="BB132" s="28"/>
      <c r="BC132" s="28"/>
      <c r="BD132" s="28"/>
      <c r="BE132" s="28"/>
      <c r="BF132" s="28"/>
      <c r="BG132" s="35"/>
    </row>
    <row r="133" ht="15.75" customHeight="1">
      <c r="A133" s="35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35"/>
      <c r="BB133" s="28"/>
      <c r="BC133" s="28"/>
      <c r="BD133" s="28"/>
      <c r="BE133" s="28"/>
      <c r="BF133" s="28"/>
      <c r="BG133" s="35"/>
    </row>
    <row r="134" ht="15.75" customHeight="1">
      <c r="A134" s="35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35"/>
      <c r="BB134" s="28"/>
      <c r="BC134" s="28"/>
      <c r="BD134" s="28"/>
      <c r="BE134" s="28"/>
      <c r="BF134" s="28"/>
      <c r="BG134" s="35"/>
    </row>
    <row r="135" ht="15.75" customHeight="1">
      <c r="A135" s="35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35"/>
      <c r="BB135" s="28"/>
      <c r="BC135" s="28"/>
      <c r="BD135" s="28"/>
      <c r="BE135" s="28"/>
      <c r="BF135" s="28"/>
      <c r="BG135" s="35"/>
    </row>
    <row r="136" ht="15.75" customHeight="1">
      <c r="A136" s="35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35"/>
      <c r="BB136" s="28"/>
      <c r="BC136" s="28"/>
      <c r="BD136" s="28"/>
      <c r="BE136" s="28"/>
      <c r="BF136" s="28"/>
      <c r="BG136" s="35"/>
    </row>
    <row r="137" ht="15.75" customHeight="1">
      <c r="A137" s="35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35"/>
      <c r="BB137" s="28"/>
      <c r="BC137" s="28"/>
      <c r="BD137" s="28"/>
      <c r="BE137" s="28"/>
      <c r="BF137" s="28"/>
      <c r="BG137" s="35"/>
    </row>
    <row r="138" ht="15.75" customHeight="1">
      <c r="A138" s="35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35"/>
      <c r="BB138" s="28"/>
      <c r="BC138" s="28"/>
      <c r="BD138" s="28"/>
      <c r="BE138" s="28"/>
      <c r="BF138" s="28"/>
      <c r="BG138" s="35"/>
    </row>
    <row r="139" ht="15.75" customHeight="1">
      <c r="A139" s="35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35"/>
      <c r="BB139" s="28"/>
      <c r="BC139" s="28"/>
      <c r="BD139" s="28"/>
      <c r="BE139" s="28"/>
      <c r="BF139" s="28"/>
      <c r="BG139" s="35"/>
    </row>
    <row r="140" ht="15.75" customHeight="1">
      <c r="A140" s="35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35"/>
      <c r="BB140" s="28"/>
      <c r="BC140" s="28"/>
      <c r="BD140" s="28"/>
      <c r="BE140" s="28"/>
      <c r="BF140" s="28"/>
      <c r="BG140" s="35"/>
    </row>
    <row r="141" ht="15.75" customHeight="1">
      <c r="A141" s="35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35"/>
      <c r="BB141" s="28"/>
      <c r="BC141" s="28"/>
      <c r="BD141" s="28"/>
      <c r="BE141" s="28"/>
      <c r="BF141" s="28"/>
      <c r="BG141" s="35"/>
    </row>
    <row r="142" ht="15.75" customHeight="1">
      <c r="A142" s="35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35"/>
      <c r="BB142" s="28"/>
      <c r="BC142" s="28"/>
      <c r="BD142" s="28"/>
      <c r="BE142" s="28"/>
      <c r="BF142" s="28"/>
      <c r="BG142" s="35"/>
    </row>
    <row r="143" ht="15.75" customHeight="1">
      <c r="A143" s="35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35"/>
      <c r="BB143" s="28"/>
      <c r="BC143" s="28"/>
      <c r="BD143" s="28"/>
      <c r="BE143" s="28"/>
      <c r="BF143" s="28"/>
      <c r="BG143" s="35"/>
    </row>
    <row r="144" ht="15.75" customHeight="1">
      <c r="A144" s="35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35"/>
      <c r="BB144" s="28"/>
      <c r="BC144" s="28"/>
      <c r="BD144" s="28"/>
      <c r="BE144" s="28"/>
      <c r="BF144" s="28"/>
      <c r="BG144" s="35"/>
    </row>
    <row r="145" ht="15.75" customHeight="1">
      <c r="A145" s="35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35"/>
      <c r="BB145" s="28"/>
      <c r="BC145" s="28"/>
      <c r="BD145" s="28"/>
      <c r="BE145" s="28"/>
      <c r="BF145" s="28"/>
      <c r="BG145" s="35"/>
    </row>
    <row r="146" ht="15.75" customHeight="1">
      <c r="A146" s="35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35"/>
      <c r="BB146" s="28"/>
      <c r="BC146" s="28"/>
      <c r="BD146" s="28"/>
      <c r="BE146" s="28"/>
      <c r="BF146" s="28"/>
      <c r="BG146" s="35"/>
    </row>
    <row r="147" ht="15.75" customHeight="1">
      <c r="A147" s="35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35"/>
      <c r="BB147" s="28"/>
      <c r="BC147" s="28"/>
      <c r="BD147" s="28"/>
      <c r="BE147" s="28"/>
      <c r="BF147" s="28"/>
      <c r="BG147" s="35"/>
    </row>
    <row r="148" ht="15.75" customHeight="1">
      <c r="A148" s="35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35"/>
      <c r="BB148" s="28"/>
      <c r="BC148" s="28"/>
      <c r="BD148" s="28"/>
      <c r="BE148" s="28"/>
      <c r="BF148" s="28"/>
      <c r="BG148" s="35"/>
    </row>
    <row r="149" ht="15.75" customHeight="1">
      <c r="A149" s="35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35"/>
      <c r="BB149" s="28"/>
      <c r="BC149" s="28"/>
      <c r="BD149" s="28"/>
      <c r="BE149" s="28"/>
      <c r="BF149" s="28"/>
      <c r="BG149" s="35"/>
    </row>
    <row r="150" ht="15.75" customHeight="1">
      <c r="A150" s="35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35"/>
      <c r="BB150" s="28"/>
      <c r="BC150" s="28"/>
      <c r="BD150" s="28"/>
      <c r="BE150" s="28"/>
      <c r="BF150" s="28"/>
      <c r="BG150" s="35"/>
    </row>
    <row r="151" ht="15.75" customHeight="1">
      <c r="A151" s="35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35"/>
      <c r="BB151" s="28"/>
      <c r="BC151" s="28"/>
      <c r="BD151" s="28"/>
      <c r="BE151" s="28"/>
      <c r="BF151" s="28"/>
      <c r="BG151" s="35"/>
    </row>
    <row r="152" ht="15.75" customHeight="1">
      <c r="A152" s="35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35"/>
      <c r="BB152" s="28"/>
      <c r="BC152" s="28"/>
      <c r="BD152" s="28"/>
      <c r="BE152" s="28"/>
      <c r="BF152" s="28"/>
      <c r="BG152" s="35"/>
    </row>
    <row r="153" ht="15.75" customHeight="1">
      <c r="A153" s="35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35"/>
      <c r="BB153" s="28"/>
      <c r="BC153" s="28"/>
      <c r="BD153" s="28"/>
      <c r="BE153" s="28"/>
      <c r="BF153" s="28"/>
      <c r="BG153" s="35"/>
    </row>
    <row r="154" ht="15.75" customHeight="1">
      <c r="A154" s="35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35"/>
      <c r="BB154" s="28"/>
      <c r="BC154" s="28"/>
      <c r="BD154" s="28"/>
      <c r="BE154" s="28"/>
      <c r="BF154" s="28"/>
      <c r="BG154" s="35"/>
    </row>
    <row r="155" ht="15.75" customHeight="1">
      <c r="A155" s="35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35"/>
      <c r="BB155" s="28"/>
      <c r="BC155" s="28"/>
      <c r="BD155" s="28"/>
      <c r="BE155" s="28"/>
      <c r="BF155" s="28"/>
      <c r="BG155" s="35"/>
    </row>
    <row r="156" ht="15.75" customHeight="1">
      <c r="A156" s="35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35"/>
      <c r="BB156" s="28"/>
      <c r="BC156" s="28"/>
      <c r="BD156" s="28"/>
      <c r="BE156" s="28"/>
      <c r="BF156" s="28"/>
      <c r="BG156" s="35"/>
    </row>
    <row r="157" ht="15.75" customHeight="1">
      <c r="A157" s="35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35"/>
      <c r="BB157" s="28"/>
      <c r="BC157" s="28"/>
      <c r="BD157" s="28"/>
      <c r="BE157" s="28"/>
      <c r="BF157" s="28"/>
      <c r="BG157" s="35"/>
    </row>
    <row r="158" ht="15.75" customHeight="1">
      <c r="A158" s="35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35"/>
      <c r="BB158" s="28"/>
      <c r="BC158" s="28"/>
      <c r="BD158" s="28"/>
      <c r="BE158" s="28"/>
      <c r="BF158" s="28"/>
      <c r="BG158" s="35"/>
    </row>
    <row r="159" ht="15.75" customHeight="1">
      <c r="A159" s="35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35"/>
      <c r="BB159" s="28"/>
      <c r="BC159" s="28"/>
      <c r="BD159" s="28"/>
      <c r="BE159" s="28"/>
      <c r="BF159" s="28"/>
      <c r="BG159" s="35"/>
    </row>
    <row r="160" ht="15.75" customHeight="1">
      <c r="A160" s="35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35"/>
      <c r="BB160" s="28"/>
      <c r="BC160" s="28"/>
      <c r="BD160" s="28"/>
      <c r="BE160" s="28"/>
      <c r="BF160" s="28"/>
      <c r="BG160" s="35"/>
    </row>
    <row r="161" ht="15.75" customHeight="1">
      <c r="A161" s="35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35"/>
      <c r="BB161" s="28"/>
      <c r="BC161" s="28"/>
      <c r="BD161" s="28"/>
      <c r="BE161" s="28"/>
      <c r="BF161" s="28"/>
      <c r="BG161" s="35"/>
    </row>
    <row r="162" ht="15.75" customHeight="1">
      <c r="A162" s="35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35"/>
      <c r="BB162" s="28"/>
      <c r="BC162" s="28"/>
      <c r="BD162" s="28"/>
      <c r="BE162" s="28"/>
      <c r="BF162" s="28"/>
      <c r="BG162" s="35"/>
    </row>
    <row r="163" ht="15.75" customHeight="1">
      <c r="A163" s="35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35"/>
      <c r="BB163" s="28"/>
      <c r="BC163" s="28"/>
      <c r="BD163" s="28"/>
      <c r="BE163" s="28"/>
      <c r="BF163" s="28"/>
      <c r="BG163" s="35"/>
    </row>
    <row r="164" ht="15.75" customHeight="1">
      <c r="A164" s="35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35"/>
      <c r="BB164" s="28"/>
      <c r="BC164" s="28"/>
      <c r="BD164" s="28"/>
      <c r="BE164" s="28"/>
      <c r="BF164" s="28"/>
      <c r="BG164" s="35"/>
    </row>
    <row r="165" ht="15.75" customHeight="1">
      <c r="A165" s="35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35"/>
      <c r="BB165" s="28"/>
      <c r="BC165" s="28"/>
      <c r="BD165" s="28"/>
      <c r="BE165" s="28"/>
      <c r="BF165" s="28"/>
      <c r="BG165" s="35"/>
    </row>
    <row r="166" ht="15.75" customHeight="1">
      <c r="A166" s="35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35"/>
      <c r="BB166" s="28"/>
      <c r="BC166" s="28"/>
      <c r="BD166" s="28"/>
      <c r="BE166" s="28"/>
      <c r="BF166" s="28"/>
      <c r="BG166" s="35"/>
    </row>
    <row r="167" ht="15.75" customHeight="1">
      <c r="A167" s="35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35"/>
      <c r="BB167" s="28"/>
      <c r="BC167" s="28"/>
      <c r="BD167" s="28"/>
      <c r="BE167" s="28"/>
      <c r="BF167" s="28"/>
      <c r="BG167" s="35"/>
    </row>
    <row r="168" ht="15.75" customHeight="1">
      <c r="A168" s="35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35"/>
      <c r="BB168" s="28"/>
      <c r="BC168" s="28"/>
      <c r="BD168" s="28"/>
      <c r="BE168" s="28"/>
      <c r="BF168" s="28"/>
      <c r="BG168" s="35"/>
    </row>
    <row r="169" ht="15.75" customHeight="1">
      <c r="A169" s="35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35"/>
      <c r="BB169" s="28"/>
      <c r="BC169" s="28"/>
      <c r="BD169" s="28"/>
      <c r="BE169" s="28"/>
      <c r="BF169" s="28"/>
      <c r="BG169" s="35"/>
    </row>
    <row r="170" ht="15.75" customHeight="1">
      <c r="A170" s="35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35"/>
      <c r="BB170" s="28"/>
      <c r="BC170" s="28"/>
      <c r="BD170" s="28"/>
      <c r="BE170" s="28"/>
      <c r="BF170" s="28"/>
      <c r="BG170" s="35"/>
    </row>
    <row r="171" ht="15.75" customHeight="1">
      <c r="A171" s="35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35"/>
      <c r="BB171" s="28"/>
      <c r="BC171" s="28"/>
      <c r="BD171" s="28"/>
      <c r="BE171" s="28"/>
      <c r="BF171" s="28"/>
      <c r="BG171" s="35"/>
    </row>
    <row r="172" ht="15.75" customHeight="1">
      <c r="A172" s="35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35"/>
      <c r="BB172" s="28"/>
      <c r="BC172" s="28"/>
      <c r="BD172" s="28"/>
      <c r="BE172" s="28"/>
      <c r="BF172" s="28"/>
      <c r="BG172" s="35"/>
    </row>
    <row r="173" ht="15.75" customHeight="1">
      <c r="A173" s="35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35"/>
      <c r="BB173" s="28"/>
      <c r="BC173" s="28"/>
      <c r="BD173" s="28"/>
      <c r="BE173" s="28"/>
      <c r="BF173" s="28"/>
      <c r="BG173" s="35"/>
    </row>
    <row r="174" ht="15.75" customHeight="1">
      <c r="A174" s="35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35"/>
      <c r="BB174" s="28"/>
      <c r="BC174" s="28"/>
      <c r="BD174" s="28"/>
      <c r="BE174" s="28"/>
      <c r="BF174" s="28"/>
      <c r="BG174" s="35"/>
    </row>
    <row r="175" ht="15.75" customHeight="1">
      <c r="A175" s="35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35"/>
      <c r="BB175" s="28"/>
      <c r="BC175" s="28"/>
      <c r="BD175" s="28"/>
      <c r="BE175" s="28"/>
      <c r="BF175" s="28"/>
      <c r="BG175" s="35"/>
    </row>
    <row r="176" ht="15.75" customHeight="1">
      <c r="A176" s="35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35"/>
      <c r="BB176" s="28"/>
      <c r="BC176" s="28"/>
      <c r="BD176" s="28"/>
      <c r="BE176" s="28"/>
      <c r="BF176" s="28"/>
      <c r="BG176" s="35"/>
    </row>
    <row r="177" ht="15.75" customHeight="1">
      <c r="A177" s="35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35"/>
      <c r="BB177" s="28"/>
      <c r="BC177" s="28"/>
      <c r="BD177" s="28"/>
      <c r="BE177" s="28"/>
      <c r="BF177" s="28"/>
      <c r="BG177" s="35"/>
    </row>
    <row r="178" ht="15.75" customHeight="1">
      <c r="A178" s="35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35"/>
      <c r="BB178" s="28"/>
      <c r="BC178" s="28"/>
      <c r="BD178" s="28"/>
      <c r="BE178" s="28"/>
      <c r="BF178" s="28"/>
      <c r="BG178" s="35"/>
    </row>
    <row r="179" ht="15.75" customHeight="1">
      <c r="A179" s="35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35"/>
      <c r="BB179" s="28"/>
      <c r="BC179" s="28"/>
      <c r="BD179" s="28"/>
      <c r="BE179" s="28"/>
      <c r="BF179" s="28"/>
      <c r="BG179" s="35"/>
    </row>
    <row r="180" ht="15.75" customHeight="1">
      <c r="A180" s="35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35"/>
      <c r="BB180" s="28"/>
      <c r="BC180" s="28"/>
      <c r="BD180" s="28"/>
      <c r="BE180" s="28"/>
      <c r="BF180" s="28"/>
      <c r="BG180" s="35"/>
    </row>
    <row r="181" ht="15.75" customHeight="1">
      <c r="A181" s="35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35"/>
      <c r="BB181" s="28"/>
      <c r="BC181" s="28"/>
      <c r="BD181" s="28"/>
      <c r="BE181" s="28"/>
      <c r="BF181" s="28"/>
      <c r="BG181" s="35"/>
    </row>
    <row r="182" ht="15.75" customHeight="1">
      <c r="A182" s="35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35"/>
      <c r="BB182" s="28"/>
      <c r="BC182" s="28"/>
      <c r="BD182" s="28"/>
      <c r="BE182" s="28"/>
      <c r="BF182" s="28"/>
      <c r="BG182" s="35"/>
    </row>
    <row r="183" ht="15.75" customHeight="1">
      <c r="A183" s="35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35"/>
      <c r="BB183" s="28"/>
      <c r="BC183" s="28"/>
      <c r="BD183" s="28"/>
      <c r="BE183" s="28"/>
      <c r="BF183" s="28"/>
      <c r="BG183" s="35"/>
    </row>
    <row r="184" ht="15.75" customHeight="1">
      <c r="A184" s="35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35"/>
      <c r="BB184" s="28"/>
      <c r="BC184" s="28"/>
      <c r="BD184" s="28"/>
      <c r="BE184" s="28"/>
      <c r="BF184" s="28"/>
      <c r="BG184" s="35"/>
    </row>
    <row r="185" ht="15.75" customHeight="1">
      <c r="A185" s="35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35"/>
      <c r="BB185" s="28"/>
      <c r="BC185" s="28"/>
      <c r="BD185" s="28"/>
      <c r="BE185" s="28"/>
      <c r="BF185" s="28"/>
      <c r="BG185" s="35"/>
    </row>
    <row r="186" ht="15.75" customHeight="1">
      <c r="A186" s="35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35"/>
      <c r="BB186" s="28"/>
      <c r="BC186" s="28"/>
      <c r="BD186" s="28"/>
      <c r="BE186" s="28"/>
      <c r="BF186" s="28"/>
      <c r="BG186" s="35"/>
    </row>
    <row r="187" ht="15.75" customHeight="1">
      <c r="A187" s="35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35"/>
      <c r="BB187" s="28"/>
      <c r="BC187" s="28"/>
      <c r="BD187" s="28"/>
      <c r="BE187" s="28"/>
      <c r="BF187" s="28"/>
      <c r="BG187" s="35"/>
    </row>
    <row r="188" ht="15.75" customHeight="1">
      <c r="A188" s="35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35"/>
      <c r="BB188" s="28"/>
      <c r="BC188" s="28"/>
      <c r="BD188" s="28"/>
      <c r="BE188" s="28"/>
      <c r="BF188" s="28"/>
      <c r="BG188" s="35"/>
    </row>
    <row r="189" ht="15.75" customHeight="1">
      <c r="A189" s="35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35"/>
      <c r="BB189" s="28"/>
      <c r="BC189" s="28"/>
      <c r="BD189" s="28"/>
      <c r="BE189" s="28"/>
      <c r="BF189" s="28"/>
      <c r="BG189" s="35"/>
    </row>
    <row r="190" ht="15.75" customHeight="1">
      <c r="A190" s="35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35"/>
      <c r="BB190" s="28"/>
      <c r="BC190" s="28"/>
      <c r="BD190" s="28"/>
      <c r="BE190" s="28"/>
      <c r="BF190" s="28"/>
      <c r="BG190" s="35"/>
    </row>
    <row r="191" ht="15.75" customHeight="1">
      <c r="A191" s="35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35"/>
      <c r="BB191" s="28"/>
      <c r="BC191" s="28"/>
      <c r="BD191" s="28"/>
      <c r="BE191" s="28"/>
      <c r="BF191" s="28"/>
      <c r="BG191" s="35"/>
    </row>
    <row r="192" ht="15.75" customHeight="1">
      <c r="A192" s="35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35"/>
      <c r="BB192" s="28"/>
      <c r="BC192" s="28"/>
      <c r="BD192" s="28"/>
      <c r="BE192" s="28"/>
      <c r="BF192" s="28"/>
      <c r="BG192" s="35"/>
    </row>
    <row r="193" ht="15.75" customHeight="1">
      <c r="A193" s="35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35"/>
      <c r="BB193" s="28"/>
      <c r="BC193" s="28"/>
      <c r="BD193" s="28"/>
      <c r="BE193" s="28"/>
      <c r="BF193" s="28"/>
      <c r="BG193" s="35"/>
    </row>
    <row r="194" ht="15.75" customHeight="1">
      <c r="A194" s="35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35"/>
      <c r="BB194" s="28"/>
      <c r="BC194" s="28"/>
      <c r="BD194" s="28"/>
      <c r="BE194" s="28"/>
      <c r="BF194" s="28"/>
      <c r="BG194" s="35"/>
    </row>
    <row r="195" ht="15.75" customHeight="1">
      <c r="A195" s="35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35"/>
      <c r="BB195" s="28"/>
      <c r="BC195" s="28"/>
      <c r="BD195" s="28"/>
      <c r="BE195" s="28"/>
      <c r="BF195" s="28"/>
      <c r="BG195" s="35"/>
    </row>
    <row r="196" ht="15.75" customHeight="1">
      <c r="A196" s="35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35"/>
      <c r="BB196" s="28"/>
      <c r="BC196" s="28"/>
      <c r="BD196" s="28"/>
      <c r="BE196" s="28"/>
      <c r="BF196" s="28"/>
      <c r="BG196" s="35"/>
    </row>
    <row r="197" ht="15.75" customHeight="1">
      <c r="A197" s="35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35"/>
      <c r="BB197" s="28"/>
      <c r="BC197" s="28"/>
      <c r="BD197" s="28"/>
      <c r="BE197" s="28"/>
      <c r="BF197" s="28"/>
      <c r="BG197" s="35"/>
    </row>
    <row r="198" ht="15.75" customHeight="1">
      <c r="A198" s="35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35"/>
      <c r="BB198" s="28"/>
      <c r="BC198" s="28"/>
      <c r="BD198" s="28"/>
      <c r="BE198" s="28"/>
      <c r="BF198" s="28"/>
      <c r="BG198" s="35"/>
    </row>
    <row r="199" ht="15.75" customHeight="1">
      <c r="A199" s="35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35"/>
      <c r="BB199" s="28"/>
      <c r="BC199" s="28"/>
      <c r="BD199" s="28"/>
      <c r="BE199" s="28"/>
      <c r="BF199" s="28"/>
      <c r="BG199" s="35"/>
    </row>
    <row r="200" ht="15.75" customHeight="1">
      <c r="A200" s="35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35"/>
      <c r="BB200" s="28"/>
      <c r="BC200" s="28"/>
      <c r="BD200" s="28"/>
      <c r="BE200" s="28"/>
      <c r="BF200" s="28"/>
      <c r="BG200" s="35"/>
    </row>
    <row r="201" ht="15.75" customHeight="1">
      <c r="A201" s="35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35"/>
      <c r="BB201" s="28"/>
      <c r="BC201" s="28"/>
      <c r="BD201" s="28"/>
      <c r="BE201" s="28"/>
      <c r="BF201" s="28"/>
      <c r="BG201" s="35"/>
    </row>
    <row r="202" ht="15.75" customHeight="1">
      <c r="A202" s="35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35"/>
      <c r="BB202" s="28"/>
      <c r="BC202" s="28"/>
      <c r="BD202" s="28"/>
      <c r="BE202" s="28"/>
      <c r="BF202" s="28"/>
      <c r="BG202" s="35"/>
    </row>
    <row r="203" ht="15.75" customHeight="1">
      <c r="A203" s="35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35"/>
      <c r="BB203" s="28"/>
      <c r="BC203" s="28"/>
      <c r="BD203" s="28"/>
      <c r="BE203" s="28"/>
      <c r="BF203" s="28"/>
      <c r="BG203" s="35"/>
    </row>
    <row r="204" ht="15.75" customHeight="1">
      <c r="A204" s="35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35"/>
      <c r="BB204" s="28"/>
      <c r="BC204" s="28"/>
      <c r="BD204" s="28"/>
      <c r="BE204" s="28"/>
      <c r="BF204" s="28"/>
      <c r="BG204" s="35"/>
    </row>
    <row r="205" ht="15.75" customHeight="1">
      <c r="A205" s="35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35"/>
      <c r="BB205" s="28"/>
      <c r="BC205" s="28"/>
      <c r="BD205" s="28"/>
      <c r="BE205" s="28"/>
      <c r="BF205" s="28"/>
      <c r="BG205" s="35"/>
    </row>
    <row r="206" ht="15.75" customHeight="1">
      <c r="A206" s="35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35"/>
      <c r="BB206" s="28"/>
      <c r="BC206" s="28"/>
      <c r="BD206" s="28"/>
      <c r="BE206" s="28"/>
      <c r="BF206" s="28"/>
      <c r="BG206" s="35"/>
    </row>
    <row r="207" ht="15.75" customHeight="1">
      <c r="A207" s="35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35"/>
      <c r="BB207" s="28"/>
      <c r="BC207" s="28"/>
      <c r="BD207" s="28"/>
      <c r="BE207" s="28"/>
      <c r="BF207" s="28"/>
      <c r="BG207" s="35"/>
    </row>
    <row r="208" ht="15.75" customHeight="1">
      <c r="A208" s="35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35"/>
      <c r="BB208" s="28"/>
      <c r="BC208" s="28"/>
      <c r="BD208" s="28"/>
      <c r="BE208" s="28"/>
      <c r="BF208" s="28"/>
      <c r="BG208" s="35"/>
    </row>
    <row r="209" ht="15.75" customHeight="1">
      <c r="A209" s="35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35"/>
      <c r="BB209" s="28"/>
      <c r="BC209" s="28"/>
      <c r="BD209" s="28"/>
      <c r="BE209" s="28"/>
      <c r="BF209" s="28"/>
      <c r="BG209" s="35"/>
    </row>
    <row r="210" ht="15.75" customHeight="1">
      <c r="A210" s="35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35"/>
      <c r="BB210" s="28"/>
      <c r="BC210" s="28"/>
      <c r="BD210" s="28"/>
      <c r="BE210" s="28"/>
      <c r="BF210" s="28"/>
      <c r="BG210" s="35"/>
    </row>
    <row r="211" ht="15.75" customHeight="1">
      <c r="A211" s="35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35"/>
      <c r="BB211" s="28"/>
      <c r="BC211" s="28"/>
      <c r="BD211" s="28"/>
      <c r="BE211" s="28"/>
      <c r="BF211" s="28"/>
      <c r="BG211" s="35"/>
    </row>
    <row r="212" ht="15.75" customHeight="1">
      <c r="A212" s="35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35"/>
      <c r="BB212" s="28"/>
      <c r="BC212" s="28"/>
      <c r="BD212" s="28"/>
      <c r="BE212" s="28"/>
      <c r="BF212" s="28"/>
      <c r="BG212" s="35"/>
    </row>
    <row r="213" ht="15.75" customHeight="1">
      <c r="A213" s="35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35"/>
      <c r="BB213" s="28"/>
      <c r="BC213" s="28"/>
      <c r="BD213" s="28"/>
      <c r="BE213" s="28"/>
      <c r="BF213" s="28"/>
      <c r="BG213" s="35"/>
    </row>
    <row r="214" ht="15.75" customHeight="1">
      <c r="A214" s="35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35"/>
      <c r="BB214" s="28"/>
      <c r="BC214" s="28"/>
      <c r="BD214" s="28"/>
      <c r="BE214" s="28"/>
      <c r="BF214" s="28"/>
      <c r="BG214" s="35"/>
    </row>
    <row r="215" ht="15.75" customHeight="1">
      <c r="A215" s="35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35"/>
      <c r="BB215" s="28"/>
      <c r="BC215" s="28"/>
      <c r="BD215" s="28"/>
      <c r="BE215" s="28"/>
      <c r="BF215" s="28"/>
      <c r="BG215" s="35"/>
    </row>
    <row r="216" ht="15.75" customHeight="1">
      <c r="A216" s="35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35"/>
      <c r="BB216" s="28"/>
      <c r="BC216" s="28"/>
      <c r="BD216" s="28"/>
      <c r="BE216" s="28"/>
      <c r="BF216" s="28"/>
      <c r="BG216" s="35"/>
    </row>
    <row r="217" ht="15.75" customHeight="1">
      <c r="A217" s="35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35"/>
      <c r="BB217" s="28"/>
      <c r="BC217" s="28"/>
      <c r="BD217" s="28"/>
      <c r="BE217" s="28"/>
      <c r="BF217" s="28"/>
      <c r="BG217" s="35"/>
    </row>
    <row r="218" ht="15.75" customHeight="1">
      <c r="A218" s="35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35"/>
      <c r="BB218" s="28"/>
      <c r="BC218" s="28"/>
      <c r="BD218" s="28"/>
      <c r="BE218" s="28"/>
      <c r="BF218" s="28"/>
      <c r="BG218" s="35"/>
    </row>
    <row r="219" ht="15.75" customHeight="1">
      <c r="A219" s="35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35"/>
      <c r="BB219" s="28"/>
      <c r="BC219" s="28"/>
      <c r="BD219" s="28"/>
      <c r="BE219" s="28"/>
      <c r="BF219" s="28"/>
      <c r="BG219" s="35"/>
    </row>
    <row r="220" ht="15.75" customHeight="1">
      <c r="A220" s="35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35"/>
      <c r="BB220" s="28"/>
      <c r="BC220" s="28"/>
      <c r="BD220" s="28"/>
      <c r="BE220" s="28"/>
      <c r="BF220" s="28"/>
      <c r="BG220" s="35"/>
    </row>
    <row r="221" ht="15.75" customHeight="1">
      <c r="A221" s="35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35"/>
      <c r="BB221" s="28"/>
      <c r="BC221" s="28"/>
      <c r="BD221" s="28"/>
      <c r="BE221" s="28"/>
      <c r="BF221" s="28"/>
      <c r="BG221" s="35"/>
    </row>
    <row r="222" ht="15.75" customHeight="1">
      <c r="A222" s="35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35"/>
      <c r="BB222" s="28"/>
      <c r="BC222" s="28"/>
      <c r="BD222" s="28"/>
      <c r="BE222" s="28"/>
      <c r="BF222" s="28"/>
      <c r="BG222" s="35"/>
    </row>
    <row r="223" ht="15.75" customHeight="1">
      <c r="A223" s="35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35"/>
      <c r="BB223" s="28"/>
      <c r="BC223" s="28"/>
      <c r="BD223" s="28"/>
      <c r="BE223" s="28"/>
      <c r="BF223" s="28"/>
      <c r="BG223" s="35"/>
    </row>
    <row r="224" ht="15.75" customHeight="1">
      <c r="A224" s="35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35"/>
      <c r="BB224" s="28"/>
      <c r="BC224" s="28"/>
      <c r="BD224" s="28"/>
      <c r="BE224" s="28"/>
      <c r="BF224" s="28"/>
      <c r="BG224" s="35"/>
    </row>
    <row r="225" ht="15.75" customHeight="1">
      <c r="A225" s="35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35"/>
      <c r="BB225" s="28"/>
      <c r="BC225" s="28"/>
      <c r="BD225" s="28"/>
      <c r="BE225" s="28"/>
      <c r="BF225" s="28"/>
      <c r="BG225" s="35"/>
    </row>
    <row r="226" ht="15.75" customHeight="1">
      <c r="A226" s="35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35"/>
      <c r="BB226" s="28"/>
      <c r="BC226" s="28"/>
      <c r="BD226" s="28"/>
      <c r="BE226" s="28"/>
      <c r="BF226" s="28"/>
      <c r="BG226" s="35"/>
    </row>
    <row r="227" ht="15.75" customHeight="1">
      <c r="A227" s="35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35"/>
      <c r="BB227" s="28"/>
      <c r="BC227" s="28"/>
      <c r="BD227" s="28"/>
      <c r="BE227" s="28"/>
      <c r="BF227" s="28"/>
      <c r="BG227" s="35"/>
    </row>
    <row r="228" ht="15.75" customHeight="1">
      <c r="A228" s="35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35"/>
      <c r="BB228" s="28"/>
      <c r="BC228" s="28"/>
      <c r="BD228" s="28"/>
      <c r="BE228" s="28"/>
      <c r="BF228" s="28"/>
      <c r="BG228" s="35"/>
    </row>
    <row r="229" ht="15.75" customHeight="1">
      <c r="A229" s="35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35"/>
      <c r="BB229" s="28"/>
      <c r="BC229" s="28"/>
      <c r="BD229" s="28"/>
      <c r="BE229" s="28"/>
      <c r="BF229" s="28"/>
      <c r="BG229" s="35"/>
    </row>
    <row r="230" ht="15.75" customHeight="1">
      <c r="A230" s="35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35"/>
      <c r="BB230" s="28"/>
      <c r="BC230" s="28"/>
      <c r="BD230" s="28"/>
      <c r="BE230" s="28"/>
      <c r="BF230" s="28"/>
      <c r="BG230" s="35"/>
    </row>
    <row r="231" ht="15.75" customHeight="1">
      <c r="A231" s="35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35"/>
      <c r="BB231" s="28"/>
      <c r="BC231" s="28"/>
      <c r="BD231" s="28"/>
      <c r="BE231" s="28"/>
      <c r="BF231" s="28"/>
      <c r="BG231" s="35"/>
    </row>
    <row r="232" ht="15.75" customHeight="1">
      <c r="A232" s="35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35"/>
      <c r="BB232" s="28"/>
      <c r="BC232" s="28"/>
      <c r="BD232" s="28"/>
      <c r="BE232" s="28"/>
      <c r="BF232" s="28"/>
      <c r="BG232" s="35"/>
    </row>
    <row r="233" ht="15.75" customHeight="1">
      <c r="A233" s="35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35"/>
      <c r="BB233" s="28"/>
      <c r="BC233" s="28"/>
      <c r="BD233" s="28"/>
      <c r="BE233" s="28"/>
      <c r="BF233" s="28"/>
      <c r="BG233" s="35"/>
    </row>
    <row r="234" ht="15.75" customHeight="1">
      <c r="A234" s="35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35"/>
      <c r="BB234" s="28"/>
      <c r="BC234" s="28"/>
      <c r="BD234" s="28"/>
      <c r="BE234" s="28"/>
      <c r="BF234" s="28"/>
      <c r="BG234" s="35"/>
    </row>
    <row r="235" ht="15.75" customHeight="1">
      <c r="A235" s="35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35"/>
      <c r="BB235" s="28"/>
      <c r="BC235" s="28"/>
      <c r="BD235" s="28"/>
      <c r="BE235" s="28"/>
      <c r="BF235" s="28"/>
      <c r="BG235" s="35"/>
    </row>
    <row r="236" ht="15.75" customHeight="1">
      <c r="A236" s="35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35"/>
      <c r="BB236" s="28"/>
      <c r="BC236" s="28"/>
      <c r="BD236" s="28"/>
      <c r="BE236" s="28"/>
      <c r="BF236" s="28"/>
      <c r="BG236" s="35"/>
    </row>
    <row r="237" ht="15.75" customHeight="1">
      <c r="A237" s="35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35"/>
      <c r="BB237" s="28"/>
      <c r="BC237" s="28"/>
      <c r="BD237" s="28"/>
      <c r="BE237" s="28"/>
      <c r="BF237" s="28"/>
      <c r="BG237" s="35"/>
    </row>
    <row r="238" ht="15.75" customHeight="1">
      <c r="A238" s="35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35"/>
      <c r="BB238" s="28"/>
      <c r="BC238" s="28"/>
      <c r="BD238" s="28"/>
      <c r="BE238" s="28"/>
      <c r="BF238" s="28"/>
      <c r="BG238" s="35"/>
    </row>
    <row r="239" ht="15.75" customHeight="1">
      <c r="A239" s="35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35"/>
      <c r="BB239" s="28"/>
      <c r="BC239" s="28"/>
      <c r="BD239" s="28"/>
      <c r="BE239" s="28"/>
      <c r="BF239" s="28"/>
      <c r="BG239" s="35"/>
    </row>
    <row r="240" ht="15.75" customHeight="1">
      <c r="A240" s="35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35"/>
      <c r="BB240" s="28"/>
      <c r="BC240" s="28"/>
      <c r="BD240" s="28"/>
      <c r="BE240" s="28"/>
      <c r="BF240" s="28"/>
      <c r="BG240" s="35"/>
    </row>
    <row r="241" ht="15.75" customHeight="1">
      <c r="A241" s="35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35"/>
      <c r="BB241" s="28"/>
      <c r="BC241" s="28"/>
      <c r="BD241" s="28"/>
      <c r="BE241" s="28"/>
      <c r="BF241" s="28"/>
      <c r="BG241" s="35"/>
    </row>
    <row r="242" ht="15.75" customHeight="1">
      <c r="A242" s="35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35"/>
      <c r="BB242" s="28"/>
      <c r="BC242" s="28"/>
      <c r="BD242" s="28"/>
      <c r="BE242" s="28"/>
      <c r="BF242" s="28"/>
      <c r="BG242" s="35"/>
    </row>
    <row r="243" ht="15.75" customHeight="1">
      <c r="A243" s="35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35"/>
      <c r="BB243" s="28"/>
      <c r="BC243" s="28"/>
      <c r="BD243" s="28"/>
      <c r="BE243" s="28"/>
      <c r="BF243" s="28"/>
      <c r="BG243" s="35"/>
    </row>
    <row r="244" ht="15.75" customHeight="1">
      <c r="A244" s="35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35"/>
      <c r="BB244" s="28"/>
      <c r="BC244" s="28"/>
      <c r="BD244" s="28"/>
      <c r="BE244" s="28"/>
      <c r="BF244" s="28"/>
      <c r="BG244" s="35"/>
    </row>
    <row r="245" ht="15.75" customHeight="1">
      <c r="A245" s="35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35"/>
      <c r="BB245" s="28"/>
      <c r="BC245" s="28"/>
      <c r="BD245" s="28"/>
      <c r="BE245" s="28"/>
      <c r="BF245" s="28"/>
      <c r="BG245" s="35"/>
    </row>
    <row r="246" ht="15.75" customHeight="1">
      <c r="A246" s="35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35"/>
      <c r="BB246" s="28"/>
      <c r="BC246" s="28"/>
      <c r="BD246" s="28"/>
      <c r="BE246" s="28"/>
      <c r="BF246" s="28"/>
      <c r="BG246" s="35"/>
    </row>
    <row r="247" ht="15.75" customHeight="1">
      <c r="A247" s="35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35"/>
      <c r="BB247" s="28"/>
      <c r="BC247" s="28"/>
      <c r="BD247" s="28"/>
      <c r="BE247" s="28"/>
      <c r="BF247" s="28"/>
      <c r="BG247" s="35"/>
    </row>
    <row r="248" ht="15.75" customHeight="1">
      <c r="A248" s="35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35"/>
      <c r="BB248" s="28"/>
      <c r="BC248" s="28"/>
      <c r="BD248" s="28"/>
      <c r="BE248" s="28"/>
      <c r="BF248" s="28"/>
      <c r="BG248" s="35"/>
    </row>
    <row r="249" ht="15.75" customHeight="1">
      <c r="A249" s="35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35"/>
      <c r="BB249" s="28"/>
      <c r="BC249" s="28"/>
      <c r="BD249" s="28"/>
      <c r="BE249" s="28"/>
      <c r="BF249" s="28"/>
      <c r="BG249" s="35"/>
    </row>
    <row r="250" ht="15.75" customHeight="1">
      <c r="A250" s="35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35"/>
      <c r="BB250" s="28"/>
      <c r="BC250" s="28"/>
      <c r="BD250" s="28"/>
      <c r="BE250" s="28"/>
      <c r="BF250" s="28"/>
      <c r="BG250" s="35"/>
    </row>
    <row r="251" ht="15.75" customHeight="1">
      <c r="A251" s="35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35"/>
      <c r="BB251" s="28"/>
      <c r="BC251" s="28"/>
      <c r="BD251" s="28"/>
      <c r="BE251" s="28"/>
      <c r="BF251" s="28"/>
      <c r="BG251" s="35"/>
    </row>
    <row r="252" ht="15.75" customHeight="1">
      <c r="A252" s="35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35"/>
      <c r="BB252" s="28"/>
      <c r="BC252" s="28"/>
      <c r="BD252" s="28"/>
      <c r="BE252" s="28"/>
      <c r="BF252" s="28"/>
      <c r="BG252" s="35"/>
    </row>
    <row r="253" ht="15.75" customHeight="1">
      <c r="A253" s="35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35"/>
      <c r="BB253" s="28"/>
      <c r="BC253" s="28"/>
      <c r="BD253" s="28"/>
      <c r="BE253" s="28"/>
      <c r="BF253" s="28"/>
      <c r="BG253" s="35"/>
    </row>
    <row r="254" ht="15.75" customHeight="1">
      <c r="A254" s="35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35"/>
      <c r="BB254" s="28"/>
      <c r="BC254" s="28"/>
      <c r="BD254" s="28"/>
      <c r="BE254" s="28"/>
      <c r="BF254" s="28"/>
      <c r="BG254" s="35"/>
    </row>
    <row r="255" ht="15.75" customHeight="1">
      <c r="A255" s="35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35"/>
      <c r="BB255" s="28"/>
      <c r="BC255" s="28"/>
      <c r="BD255" s="28"/>
      <c r="BE255" s="28"/>
      <c r="BF255" s="28"/>
      <c r="BG255" s="35"/>
    </row>
    <row r="256" ht="15.75" customHeight="1">
      <c r="A256" s="35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35"/>
      <c r="BB256" s="28"/>
      <c r="BC256" s="28"/>
      <c r="BD256" s="28"/>
      <c r="BE256" s="28"/>
      <c r="BF256" s="28"/>
      <c r="BG256" s="35"/>
    </row>
    <row r="257" ht="15.75" customHeight="1">
      <c r="A257" s="35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35"/>
      <c r="BB257" s="28"/>
      <c r="BC257" s="28"/>
      <c r="BD257" s="28"/>
      <c r="BE257" s="28"/>
      <c r="BF257" s="28"/>
      <c r="BG257" s="35"/>
    </row>
    <row r="258" ht="15.75" customHeight="1">
      <c r="A258" s="35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35"/>
      <c r="BB258" s="28"/>
      <c r="BC258" s="28"/>
      <c r="BD258" s="28"/>
      <c r="BE258" s="28"/>
      <c r="BF258" s="28"/>
      <c r="BG258" s="35"/>
    </row>
    <row r="259" ht="15.75" customHeight="1">
      <c r="A259" s="35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35"/>
      <c r="BB259" s="28"/>
      <c r="BC259" s="28"/>
      <c r="BD259" s="28"/>
      <c r="BE259" s="28"/>
      <c r="BF259" s="28"/>
      <c r="BG259" s="35"/>
    </row>
    <row r="260" ht="15.75" customHeight="1">
      <c r="A260" s="35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35"/>
      <c r="BB260" s="28"/>
      <c r="BC260" s="28"/>
      <c r="BD260" s="28"/>
      <c r="BE260" s="28"/>
      <c r="BF260" s="28"/>
      <c r="BG260" s="35"/>
    </row>
    <row r="261" ht="15.75" customHeight="1">
      <c r="A261" s="35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35"/>
      <c r="BB261" s="28"/>
      <c r="BC261" s="28"/>
      <c r="BD261" s="28"/>
      <c r="BE261" s="28"/>
      <c r="BF261" s="28"/>
      <c r="BG261" s="35"/>
    </row>
    <row r="262" ht="15.75" customHeight="1">
      <c r="A262" s="35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35"/>
      <c r="BB262" s="28"/>
      <c r="BC262" s="28"/>
      <c r="BD262" s="28"/>
      <c r="BE262" s="28"/>
      <c r="BF262" s="28"/>
      <c r="BG262" s="35"/>
    </row>
    <row r="263" ht="15.75" customHeight="1">
      <c r="A263" s="35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35"/>
      <c r="BB263" s="28"/>
      <c r="BC263" s="28"/>
      <c r="BD263" s="28"/>
      <c r="BE263" s="28"/>
      <c r="BF263" s="28"/>
      <c r="BG263" s="35"/>
    </row>
    <row r="264" ht="15.75" customHeight="1">
      <c r="A264" s="35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35"/>
      <c r="BB264" s="28"/>
      <c r="BC264" s="28"/>
      <c r="BD264" s="28"/>
      <c r="BE264" s="28"/>
      <c r="BF264" s="28"/>
      <c r="BG264" s="35"/>
    </row>
    <row r="265" ht="15.75" customHeight="1">
      <c r="A265" s="35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35"/>
      <c r="BB265" s="28"/>
      <c r="BC265" s="28"/>
      <c r="BD265" s="28"/>
      <c r="BE265" s="28"/>
      <c r="BF265" s="28"/>
      <c r="BG265" s="35"/>
    </row>
    <row r="266" ht="15.75" customHeight="1">
      <c r="A266" s="35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35"/>
      <c r="BB266" s="28"/>
      <c r="BC266" s="28"/>
      <c r="BD266" s="28"/>
      <c r="BE266" s="28"/>
      <c r="BF266" s="28"/>
      <c r="BG266" s="35"/>
    </row>
    <row r="267" ht="15.75" customHeight="1">
      <c r="A267" s="35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35"/>
      <c r="BB267" s="28"/>
      <c r="BC267" s="28"/>
      <c r="BD267" s="28"/>
      <c r="BE267" s="28"/>
      <c r="BF267" s="28"/>
      <c r="BG267" s="35"/>
    </row>
    <row r="268" ht="15.75" customHeight="1">
      <c r="A268" s="35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35"/>
      <c r="BB268" s="28"/>
      <c r="BC268" s="28"/>
      <c r="BD268" s="28"/>
      <c r="BE268" s="28"/>
      <c r="BF268" s="28"/>
      <c r="BG268" s="35"/>
    </row>
    <row r="269" ht="15.75" customHeight="1">
      <c r="A269" s="35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35"/>
      <c r="BB269" s="28"/>
      <c r="BC269" s="28"/>
      <c r="BD269" s="28"/>
      <c r="BE269" s="28"/>
      <c r="BF269" s="28"/>
      <c r="BG269" s="35"/>
    </row>
    <row r="270" ht="15.75" customHeight="1">
      <c r="A270" s="35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35"/>
      <c r="BB270" s="28"/>
      <c r="BC270" s="28"/>
      <c r="BD270" s="28"/>
      <c r="BE270" s="28"/>
      <c r="BF270" s="28"/>
      <c r="BG270" s="35"/>
    </row>
    <row r="271" ht="15.75" customHeight="1">
      <c r="A271" s="35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35"/>
      <c r="BB271" s="28"/>
      <c r="BC271" s="28"/>
      <c r="BD271" s="28"/>
      <c r="BE271" s="28"/>
      <c r="BF271" s="28"/>
      <c r="BG271" s="35"/>
    </row>
    <row r="272" ht="15.75" customHeight="1">
      <c r="A272" s="35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35"/>
      <c r="BB272" s="28"/>
      <c r="BC272" s="28"/>
      <c r="BD272" s="28"/>
      <c r="BE272" s="28"/>
      <c r="BF272" s="28"/>
      <c r="BG272" s="35"/>
    </row>
    <row r="273" ht="15.75" customHeight="1">
      <c r="A273" s="35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35"/>
      <c r="BB273" s="28"/>
      <c r="BC273" s="28"/>
      <c r="BD273" s="28"/>
      <c r="BE273" s="28"/>
      <c r="BF273" s="28"/>
      <c r="BG273" s="35"/>
    </row>
    <row r="274" ht="15.75" customHeight="1">
      <c r="A274" s="35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35"/>
      <c r="BB274" s="28"/>
      <c r="BC274" s="28"/>
      <c r="BD274" s="28"/>
      <c r="BE274" s="28"/>
      <c r="BF274" s="28"/>
      <c r="BG274" s="35"/>
    </row>
    <row r="275" ht="15.75" customHeight="1">
      <c r="A275" s="35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35"/>
      <c r="BB275" s="28"/>
      <c r="BC275" s="28"/>
      <c r="BD275" s="28"/>
      <c r="BE275" s="28"/>
      <c r="BF275" s="28"/>
      <c r="BG275" s="35"/>
    </row>
    <row r="276" ht="15.75" customHeight="1">
      <c r="A276" s="35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35"/>
      <c r="BB276" s="28"/>
      <c r="BC276" s="28"/>
      <c r="BD276" s="28"/>
      <c r="BE276" s="28"/>
      <c r="BF276" s="28"/>
      <c r="BG276" s="35"/>
    </row>
    <row r="277" ht="15.75" customHeight="1">
      <c r="A277" s="35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35"/>
      <c r="BB277" s="28"/>
      <c r="BC277" s="28"/>
      <c r="BD277" s="28"/>
      <c r="BE277" s="28"/>
      <c r="BF277" s="28"/>
      <c r="BG277" s="35"/>
    </row>
    <row r="278" ht="15.75" customHeight="1">
      <c r="A278" s="35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35"/>
      <c r="BB278" s="28"/>
      <c r="BC278" s="28"/>
      <c r="BD278" s="28"/>
      <c r="BE278" s="28"/>
      <c r="BF278" s="28"/>
      <c r="BG278" s="35"/>
    </row>
    <row r="279" ht="15.75" customHeight="1">
      <c r="A279" s="35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35"/>
      <c r="BB279" s="28"/>
      <c r="BC279" s="28"/>
      <c r="BD279" s="28"/>
      <c r="BE279" s="28"/>
      <c r="BF279" s="28"/>
      <c r="BG279" s="35"/>
    </row>
    <row r="280" ht="15.75" customHeight="1">
      <c r="A280" s="35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35"/>
      <c r="BB280" s="28"/>
      <c r="BC280" s="28"/>
      <c r="BD280" s="28"/>
      <c r="BE280" s="28"/>
      <c r="BF280" s="28"/>
      <c r="BG280" s="35"/>
    </row>
    <row r="281" ht="15.75" customHeight="1">
      <c r="A281" s="35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35"/>
      <c r="BB281" s="28"/>
      <c r="BC281" s="28"/>
      <c r="BD281" s="28"/>
      <c r="BE281" s="28"/>
      <c r="BF281" s="28"/>
      <c r="BG281" s="35"/>
    </row>
    <row r="282" ht="15.75" customHeight="1">
      <c r="A282" s="35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35"/>
      <c r="BB282" s="28"/>
      <c r="BC282" s="28"/>
      <c r="BD282" s="28"/>
      <c r="BE282" s="28"/>
      <c r="BF282" s="28"/>
      <c r="BG282" s="35"/>
    </row>
    <row r="283" ht="15.75" customHeight="1">
      <c r="A283" s="35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35"/>
      <c r="BB283" s="28"/>
      <c r="BC283" s="28"/>
      <c r="BD283" s="28"/>
      <c r="BE283" s="28"/>
      <c r="BF283" s="28"/>
      <c r="BG283" s="35"/>
    </row>
    <row r="284" ht="15.75" customHeight="1">
      <c r="A284" s="35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35"/>
      <c r="BB284" s="28"/>
      <c r="BC284" s="28"/>
      <c r="BD284" s="28"/>
      <c r="BE284" s="28"/>
      <c r="BF284" s="28"/>
      <c r="BG284" s="35"/>
    </row>
    <row r="285" ht="15.75" customHeight="1">
      <c r="A285" s="35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35"/>
      <c r="BB285" s="28"/>
      <c r="BC285" s="28"/>
      <c r="BD285" s="28"/>
      <c r="BE285" s="28"/>
      <c r="BF285" s="28"/>
      <c r="BG285" s="35"/>
    </row>
    <row r="286" ht="15.75" customHeight="1">
      <c r="A286" s="35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35"/>
      <c r="BB286" s="28"/>
      <c r="BC286" s="28"/>
      <c r="BD286" s="28"/>
      <c r="BE286" s="28"/>
      <c r="BF286" s="28"/>
      <c r="BG286" s="35"/>
    </row>
    <row r="287" ht="15.75" customHeight="1">
      <c r="A287" s="35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35"/>
      <c r="BB287" s="28"/>
      <c r="BC287" s="28"/>
      <c r="BD287" s="28"/>
      <c r="BE287" s="28"/>
      <c r="BF287" s="28"/>
      <c r="BG287" s="35"/>
    </row>
    <row r="288" ht="15.75" customHeight="1">
      <c r="A288" s="35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35"/>
      <c r="BB288" s="28"/>
      <c r="BC288" s="28"/>
      <c r="BD288" s="28"/>
      <c r="BE288" s="28"/>
      <c r="BF288" s="28"/>
      <c r="BG288" s="35"/>
    </row>
    <row r="289" ht="15.75" customHeight="1">
      <c r="A289" s="35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35"/>
      <c r="BB289" s="28"/>
      <c r="BC289" s="28"/>
      <c r="BD289" s="28"/>
      <c r="BE289" s="28"/>
      <c r="BF289" s="28"/>
      <c r="BG289" s="35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 outlineLevelRow="1"/>
  <cols>
    <col customWidth="1" min="1" max="1" width="2.0"/>
    <col customWidth="1" min="2" max="2" width="32.0"/>
    <col customWidth="1" min="3" max="3" width="21.43"/>
    <col customWidth="1" min="4" max="4" width="5.0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9.29"/>
    <col customWidth="1" min="33" max="33" width="9.86"/>
    <col customWidth="1" min="34" max="34" width="9.57"/>
    <col customWidth="1" min="35" max="35" width="10.57"/>
    <col customWidth="1" min="36" max="36" width="10.29"/>
    <col customWidth="1" min="37" max="37" width="10.57"/>
    <col customWidth="1" min="38" max="38" width="10.86"/>
    <col customWidth="1" min="39" max="39" width="10.43"/>
    <col customWidth="1" min="40" max="40" width="10.14"/>
    <col customWidth="1" min="41" max="41" width="10.43"/>
    <col customWidth="1" min="42" max="42" width="10.14"/>
    <col customWidth="1" min="43" max="43" width="10.86"/>
    <col customWidth="1" min="44" max="45" width="10.71"/>
    <col customWidth="1" min="46" max="46" width="10.86"/>
    <col customWidth="1" min="47" max="48" width="10.57"/>
    <col customWidth="1" min="49" max="52" width="10.86"/>
    <col customWidth="1" min="54" max="54" width="7.57"/>
    <col customWidth="1" min="55" max="55" width="8.43"/>
    <col customWidth="1" min="56" max="56" width="11.43"/>
    <col customWidth="1" min="57" max="57" width="12.14"/>
    <col customWidth="1" min="58" max="58" width="12.71"/>
  </cols>
  <sheetData>
    <row r="1" ht="15.75" customHeight="1">
      <c r="A1" s="154" t="s">
        <v>38</v>
      </c>
      <c r="B1" s="153" t="s">
        <v>262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28"/>
      <c r="BB1" s="154"/>
      <c r="BC1" s="42"/>
      <c r="BD1" s="42"/>
      <c r="BE1" s="42"/>
      <c r="BF1" s="42"/>
      <c r="BG1" s="35"/>
    </row>
    <row r="2" ht="13.5" customHeight="1">
      <c r="A2" s="162"/>
      <c r="B2" s="217"/>
      <c r="C2" s="217"/>
      <c r="D2" s="217"/>
      <c r="E2" s="163" t="s">
        <v>195</v>
      </c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 t="s">
        <v>196</v>
      </c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 t="s">
        <v>197</v>
      </c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 t="s">
        <v>198</v>
      </c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218"/>
      <c r="BB2" s="163"/>
      <c r="BC2" s="163"/>
      <c r="BD2" s="163"/>
      <c r="BE2" s="163"/>
      <c r="BF2" s="163"/>
      <c r="BG2" s="219"/>
    </row>
    <row r="3" ht="13.5" customHeight="1">
      <c r="A3" s="162"/>
      <c r="B3" s="217"/>
      <c r="C3" s="217"/>
      <c r="D3" s="217"/>
      <c r="E3" s="171">
        <v>45658.0</v>
      </c>
      <c r="F3" s="171">
        <v>45689.0</v>
      </c>
      <c r="G3" s="171">
        <v>45717.0</v>
      </c>
      <c r="H3" s="171">
        <v>45748.0</v>
      </c>
      <c r="I3" s="171">
        <v>45778.0</v>
      </c>
      <c r="J3" s="171">
        <v>45809.0</v>
      </c>
      <c r="K3" s="171">
        <v>45839.0</v>
      </c>
      <c r="L3" s="171">
        <v>45870.0</v>
      </c>
      <c r="M3" s="171">
        <v>45901.0</v>
      </c>
      <c r="N3" s="171">
        <v>45931.0</v>
      </c>
      <c r="O3" s="171">
        <v>45962.0</v>
      </c>
      <c r="P3" s="171">
        <v>45992.0</v>
      </c>
      <c r="Q3" s="171">
        <v>46023.0</v>
      </c>
      <c r="R3" s="171">
        <v>46054.0</v>
      </c>
      <c r="S3" s="171">
        <v>46082.0</v>
      </c>
      <c r="T3" s="171">
        <v>46113.0</v>
      </c>
      <c r="U3" s="171">
        <v>46143.0</v>
      </c>
      <c r="V3" s="171">
        <v>46174.0</v>
      </c>
      <c r="W3" s="171">
        <v>46204.0</v>
      </c>
      <c r="X3" s="171">
        <v>46235.0</v>
      </c>
      <c r="Y3" s="171">
        <v>46266.0</v>
      </c>
      <c r="Z3" s="171">
        <v>46296.0</v>
      </c>
      <c r="AA3" s="171">
        <v>46327.0</v>
      </c>
      <c r="AB3" s="171">
        <v>46357.0</v>
      </c>
      <c r="AC3" s="171">
        <v>46388.0</v>
      </c>
      <c r="AD3" s="171">
        <v>46419.0</v>
      </c>
      <c r="AE3" s="171">
        <v>46447.0</v>
      </c>
      <c r="AF3" s="171">
        <v>46478.0</v>
      </c>
      <c r="AG3" s="171">
        <v>46508.0</v>
      </c>
      <c r="AH3" s="171">
        <v>46539.0</v>
      </c>
      <c r="AI3" s="171">
        <v>46569.0</v>
      </c>
      <c r="AJ3" s="171">
        <v>46600.0</v>
      </c>
      <c r="AK3" s="171">
        <v>46631.0</v>
      </c>
      <c r="AL3" s="171">
        <v>46661.0</v>
      </c>
      <c r="AM3" s="171">
        <v>46692.0</v>
      </c>
      <c r="AN3" s="171">
        <v>46722.0</v>
      </c>
      <c r="AO3" s="171">
        <v>46753.0</v>
      </c>
      <c r="AP3" s="171">
        <v>46784.0</v>
      </c>
      <c r="AQ3" s="171">
        <v>46813.0</v>
      </c>
      <c r="AR3" s="171">
        <v>46844.0</v>
      </c>
      <c r="AS3" s="171">
        <v>46874.0</v>
      </c>
      <c r="AT3" s="171">
        <v>46905.0</v>
      </c>
      <c r="AU3" s="171">
        <v>46935.0</v>
      </c>
      <c r="AV3" s="171">
        <v>46966.0</v>
      </c>
      <c r="AW3" s="171">
        <v>46997.0</v>
      </c>
      <c r="AX3" s="171">
        <v>47027.0</v>
      </c>
      <c r="AY3" s="171">
        <v>47058.0</v>
      </c>
      <c r="AZ3" s="171">
        <v>47088.0</v>
      </c>
      <c r="BA3" s="218"/>
      <c r="BB3" s="163">
        <v>2025.0</v>
      </c>
      <c r="BC3" s="163">
        <v>2026.0</v>
      </c>
      <c r="BD3" s="163">
        <v>2027.0</v>
      </c>
      <c r="BE3" s="163">
        <v>2028.0</v>
      </c>
      <c r="BF3" s="163">
        <v>2029.0</v>
      </c>
      <c r="BG3" s="170"/>
    </row>
    <row r="4">
      <c r="A4" s="28"/>
      <c r="B4" s="28"/>
      <c r="C4" s="28"/>
      <c r="D4" s="28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220">
        <v>2.0</v>
      </c>
      <c r="AC4" s="220">
        <v>3.0</v>
      </c>
      <c r="AD4" s="220">
        <v>4.0</v>
      </c>
      <c r="AE4" s="220">
        <v>5.0</v>
      </c>
      <c r="AF4" s="220">
        <v>6.0</v>
      </c>
      <c r="AG4" s="220">
        <v>7.0</v>
      </c>
      <c r="AH4" s="220">
        <v>8.0</v>
      </c>
      <c r="AI4" s="220">
        <v>9.0</v>
      </c>
      <c r="AJ4" s="220">
        <v>10.0</v>
      </c>
      <c r="AK4" s="220">
        <v>11.0</v>
      </c>
      <c r="AL4" s="220">
        <v>12.0</v>
      </c>
      <c r="AM4" s="220">
        <v>13.0</v>
      </c>
      <c r="AN4" s="220">
        <v>14.0</v>
      </c>
      <c r="AO4" s="220">
        <v>15.0</v>
      </c>
      <c r="AP4" s="220">
        <v>16.0</v>
      </c>
      <c r="AQ4" s="220">
        <v>17.0</v>
      </c>
      <c r="AR4" s="220">
        <v>18.0</v>
      </c>
      <c r="AS4" s="220">
        <v>19.0</v>
      </c>
      <c r="AT4" s="220">
        <v>20.0</v>
      </c>
      <c r="AU4" s="220">
        <v>21.0</v>
      </c>
      <c r="AV4" s="220">
        <v>22.0</v>
      </c>
      <c r="AW4" s="220">
        <v>23.0</v>
      </c>
      <c r="AX4" s="220">
        <v>24.0</v>
      </c>
      <c r="AY4" s="220">
        <v>25.0</v>
      </c>
      <c r="AZ4" s="220">
        <v>26.0</v>
      </c>
      <c r="BA4" s="174"/>
      <c r="BB4" s="174"/>
      <c r="BC4" s="174"/>
      <c r="BD4" s="174"/>
      <c r="BE4" s="174"/>
      <c r="BF4" s="174"/>
      <c r="BG4" s="121"/>
    </row>
    <row r="5" ht="13.5" customHeight="1">
      <c r="A5" s="221"/>
      <c r="B5" s="222" t="s">
        <v>263</v>
      </c>
      <c r="C5" s="221"/>
      <c r="D5" s="221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4"/>
      <c r="BB5" s="179"/>
      <c r="BC5" s="181"/>
      <c r="BD5" s="181"/>
      <c r="BE5" s="181"/>
      <c r="BF5" s="181"/>
      <c r="BG5" s="121"/>
    </row>
    <row r="6" ht="15.0" customHeight="1">
      <c r="A6" s="223"/>
      <c r="B6" s="223" t="s">
        <v>264</v>
      </c>
      <c r="C6" s="223"/>
      <c r="D6" s="223" t="s">
        <v>70</v>
      </c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>
        <f t="array" ref="Q6">IF(YEAR(Q$3)=2026,0,ROUND(EXP(0.095*((YEAR(Q$3)-2027)*12+MONTH(Q$3)-1))/SUMPRODUCT(EXP(0.095*(ROW(INDIRECT("1:24"))-1)))*SUM(Assumptions!$D$22:$E$22),0))</f>
        <v>0</v>
      </c>
      <c r="R6" s="223">
        <f t="array" ref="R6">IF(YEAR(R$3)=2026,0,ROUND(EXP(0.095*((YEAR(R$3)-2027)*12+MONTH(R$3)-1))/SUMPRODUCT(EXP(0.095*(ROW(INDIRECT("1:24"))-1)))*SUM(Assumptions!$D$22:$E$22),0))</f>
        <v>0</v>
      </c>
      <c r="S6" s="223">
        <f t="array" ref="S6">IF(YEAR(S$3)=2026,0,ROUND(EXP(0.095*((YEAR(S$3)-2027)*12+MONTH(S$3)-1))/SUMPRODUCT(EXP(0.095*(ROW(INDIRECT("1:24"))-1)))*SUM(Assumptions!$D$22:$E$22),0))</f>
        <v>0</v>
      </c>
      <c r="T6" s="223">
        <f t="array" ref="T6">IF(YEAR(T$3)=2026,0,ROUND(EXP(0.095*((YEAR(T$3)-2027)*12+MONTH(T$3)-1))/SUMPRODUCT(EXP(0.095*(ROW(INDIRECT("1:24"))-1)))*SUM(Assumptions!$D$22:$E$22),0))</f>
        <v>0</v>
      </c>
      <c r="U6" s="223">
        <f t="array" ref="U6">IF(YEAR(U$3)=2026,0,ROUND(EXP(0.095*((YEAR(U$3)-2027)*12+MONTH(U$3)-1))/SUMPRODUCT(EXP(0.095*(ROW(INDIRECT("1:24"))-1)))*SUM(Assumptions!$D$22:$E$22),0))</f>
        <v>0</v>
      </c>
      <c r="V6" s="223">
        <f t="array" ref="V6">IF(YEAR(V$3)=2026,0,ROUND(EXP(0.095*((YEAR(V$3)-2027)*12+MONTH(V$3)-1))/SUMPRODUCT(EXP(0.095*(ROW(INDIRECT("1:24"))-1)))*SUM(Assumptions!$D$22:$E$22),0))</f>
        <v>0</v>
      </c>
      <c r="W6" s="223">
        <f t="array" ref="W6">IF(YEAR(W$3)=2026,0,ROUND(EXP(0.095*((YEAR(W$3)-2027)*12+MONTH(W$3)-1))/SUMPRODUCT(EXP(0.095*(ROW(INDIRECT("1:24"))-1)))*SUM(Assumptions!$D$22:$E$22),0))</f>
        <v>0</v>
      </c>
      <c r="X6" s="223">
        <f t="array" ref="X6">IF(YEAR(X$3)=2026,0,ROUND(EXP(0.095*((YEAR(X$3)-2027)*12+MONTH(X$3)-1))/SUMPRODUCT(EXP(0.095*(ROW(INDIRECT("1:24"))-1)))*SUM(Assumptions!$D$22:$E$22),0))</f>
        <v>0</v>
      </c>
      <c r="Y6" s="223">
        <f t="array" ref="Y6">IF(YEAR(Y$3)=2026,0,ROUND(EXP(0.095*((YEAR(Y$3)-2027)*12+MONTH(Y$3)-1))/SUMPRODUCT(EXP(0.095*(ROW(INDIRECT("1:24"))-1)))*SUM(Assumptions!$D$22:$E$22),0))</f>
        <v>0</v>
      </c>
      <c r="Z6" s="223">
        <f t="array" ref="Z6">IF(YEAR(Z$3)=2026,0,ROUND(EXP(0.095*((YEAR(Z$3)-2027)*12+MONTH(Z$3)-1))/SUMPRODUCT(EXP(0.095*(ROW(INDIRECT("1:24"))-1)))*SUM(Assumptions!$D$22:$E$22),0))</f>
        <v>0</v>
      </c>
      <c r="AA6" s="223">
        <f t="array" ref="AA6">IF(YEAR(AA$3)=2026,0,ROUND(EXP(0.095*((YEAR(AA$3)-2027)*12+MONTH(AA$3)-1))/SUMPRODUCT(EXP(0.095*(ROW(INDIRECT("1:24"))-1)))*SUM(Assumptions!$D$22:$E$22),0))</f>
        <v>0</v>
      </c>
      <c r="AB6" s="223">
        <f t="array" ref="AB6">IF(YEAR(AB$3)=2026,0,ROUND(EXP(0.095*((YEAR(AB$3)-2027)*12+MONTH(AB$3)-1))/SUMPRODUCT(EXP(0.095*(ROW(INDIRECT("1:24"))-1)))*SUM(Assumptions!$D$22:$E$22),0))</f>
        <v>0</v>
      </c>
      <c r="AC6" s="223">
        <f t="array" ref="AC6">IF(YEAR(AC$3)=2026,0,ROUND(EXP(0.091*((YEAR(AC$3)-2027)*12+MONTH(AC$3)-1))/SUMPRODUCT(EXP(0.091*(ROW(INDIRECT("1:24"))-1)))*SUM(Assumptions!$D$22:$E$22),0))</f>
        <v>31</v>
      </c>
      <c r="AD6" s="223">
        <f t="array" ref="AD6">IF(YEAR(AD$3)=2026,0,ROUND(EXP(0.091*((YEAR(AD$3)-2027)*12+MONTH(AD$3)-1))/SUMPRODUCT(EXP(0.091*(ROW(INDIRECT("1:24"))-1)))*SUM(Assumptions!$D$22:$E$22),0))</f>
        <v>34</v>
      </c>
      <c r="AE6" s="223">
        <f t="array" ref="AE6">IF(YEAR(AE$3)=2026,0,ROUND(EXP(0.091*((YEAR(AE$3)-2027)*12+MONTH(AE$3)-1))/SUMPRODUCT(EXP(0.091*(ROW(INDIRECT("1:24"))-1)))*SUM(Assumptions!$D$22:$E$22),0))</f>
        <v>38</v>
      </c>
      <c r="AF6" s="223">
        <f t="array" ref="AF6">IF(YEAR(AF$3)=2026,0,ROUND(EXP(0.091*((YEAR(AF$3)-2027)*12+MONTH(AF$3)-1))/SUMPRODUCT(EXP(0.091*(ROW(INDIRECT("1:24"))-1)))*SUM(Assumptions!$D$22:$E$22),0))</f>
        <v>41</v>
      </c>
      <c r="AG6" s="223">
        <f t="array" ref="AG6">IF(YEAR(AG$3)=2026,0,ROUND(EXP(0.091*((YEAR(AG$3)-2027)*12+MONTH(AG$3)-1))/SUMPRODUCT(EXP(0.091*(ROW(INDIRECT("1:24"))-1)))*SUM(Assumptions!$D$22:$E$22),0))</f>
        <v>45</v>
      </c>
      <c r="AH6" s="223">
        <f t="array" ref="AH6">IF(YEAR(AH$3)=2026,0,ROUND(EXP(0.091*((YEAR(AH$3)-2027)*12+MONTH(AH$3)-1))/SUMPRODUCT(EXP(0.091*(ROW(INDIRECT("1:24"))-1)))*SUM(Assumptions!$D$22:$E$22),0))</f>
        <v>50</v>
      </c>
      <c r="AI6" s="223">
        <f t="array" ref="AI6">IF(YEAR(AI$3)=2026,0,ROUND(EXP(0.091*((YEAR(AI$3)-2027)*12+MONTH(AI$3)-1))/SUMPRODUCT(EXP(0.091*(ROW(INDIRECT("1:24"))-1)))*SUM(Assumptions!$D$22:$E$22),0))</f>
        <v>54</v>
      </c>
      <c r="AJ6" s="223">
        <f t="array" ref="AJ6">IF(YEAR(AJ$3)=2026,0,ROUND(EXP(0.091*((YEAR(AJ$3)-2027)*12+MONTH(AJ$3)-1))/SUMPRODUCT(EXP(0.091*(ROW(INDIRECT("1:24"))-1)))*SUM(Assumptions!$D$22:$E$22),0))</f>
        <v>59</v>
      </c>
      <c r="AK6" s="223">
        <f t="array" ref="AK6">IF(YEAR(AK$3)=2026,0,ROUND(EXP(0.091*((YEAR(AK$3)-2027)*12+MONTH(AK$3)-1))/SUMPRODUCT(EXP(0.091*(ROW(INDIRECT("1:24"))-1)))*SUM(Assumptions!$D$22:$E$22),0))</f>
        <v>65</v>
      </c>
      <c r="AL6" s="223">
        <f t="array" ref="AL6">IF(YEAR(AL$3)=2026,0,ROUND(EXP(0.091*((YEAR(AL$3)-2027)*12+MONTH(AL$3)-1))/SUMPRODUCT(EXP(0.091*(ROW(INDIRECT("1:24"))-1)))*SUM(Assumptions!$D$22:$E$22),0))</f>
        <v>71</v>
      </c>
      <c r="AM6" s="223">
        <f t="array" ref="AM6">IF(YEAR(AM$3)=2026,0,ROUND(EXP(0.091*((YEAR(AM$3)-2027)*12+MONTH(AM$3)-1))/SUMPRODUCT(EXP(0.091*(ROW(INDIRECT("1:24"))-1)))*SUM(Assumptions!$D$22:$E$22),0))</f>
        <v>78</v>
      </c>
      <c r="AN6" s="223">
        <f t="array" ref="AN6">IF(YEAR(AN$3)=2026,0,ROUND(EXP(0.091*((YEAR(AN$3)-2027)*12+MONTH(AN$3)-1))/SUMPRODUCT(EXP(0.091*(ROW(INDIRECT("1:24"))-1)))*SUM(Assumptions!$D$22:$E$22),0))</f>
        <v>86</v>
      </c>
      <c r="AO6" s="223">
        <f t="array" ref="AO6">IF(YEAR(AO$3)=2026,0,ROUND(EXP(0.0915*((YEAR(AO$3)-2027)*12+MONTH(AO$3)-1))/SUMPRODUCT(EXP(0.0915*(ROW(INDIRECT("1:24"))-1)))*SUM(Assumptions!$D$22:$E$22),0))</f>
        <v>93</v>
      </c>
      <c r="AP6" s="223">
        <f t="array" ref="AP6">IF(YEAR(AP$3)=2026,0,ROUND(EXP(0.0915*((YEAR(AP$3)-2027)*12+MONTH(AP$3)-1))/SUMPRODUCT(EXP(0.0915*(ROW(INDIRECT("1:24"))-1)))*SUM(Assumptions!$D$22:$E$22),0))</f>
        <v>102</v>
      </c>
      <c r="AQ6" s="223">
        <f t="array" ref="AQ6">IF(YEAR(AQ$3)=2026,0,ROUND(EXP(0.0915*((YEAR(AQ$3)-2027)*12+MONTH(AQ$3)-1))/SUMPRODUCT(EXP(0.0915*(ROW(INDIRECT("1:24"))-1)))*SUM(Assumptions!$D$22:$E$22),0))</f>
        <v>112</v>
      </c>
      <c r="AR6" s="223">
        <f t="array" ref="AR6">IF(YEAR(AR$3)=2026,0,ROUND(EXP(0.0915*((YEAR(AR$3)-2027)*12+MONTH(AR$3)-1))/SUMPRODUCT(EXP(0.0915*(ROW(INDIRECT("1:24"))-1)))*SUM(Assumptions!$D$22:$E$22),0))</f>
        <v>123</v>
      </c>
      <c r="AS6" s="223">
        <f t="array" ref="AS6">IF(YEAR(AS$3)=2026,0,ROUND(EXP(0.0915*((YEAR(AS$3)-2027)*12+MONTH(AS$3)-1))/SUMPRODUCT(EXP(0.0915*(ROW(INDIRECT("1:24"))-1)))*SUM(Assumptions!$D$22:$E$22),0))</f>
        <v>135</v>
      </c>
      <c r="AT6" s="223">
        <f t="array" ref="AT6">IF(YEAR(AT$3)=2026,0,ROUND(EXP(0.0915*((YEAR(AT$3)-2027)*12+MONTH(AT$3)-1))/SUMPRODUCT(EXP(0.0915*(ROW(INDIRECT("1:24"))-1)))*SUM(Assumptions!$D$22:$E$22),0))</f>
        <v>148</v>
      </c>
      <c r="AU6" s="223">
        <f t="array" ref="AU6">IF(YEAR(AU$3)=2026,0,ROUND(EXP(0.0915*((YEAR(AU$3)-2027)*12+MONTH(AU$3)-1))/SUMPRODUCT(EXP(0.0915*(ROW(INDIRECT("1:24"))-1)))*SUM(Assumptions!$D$22:$E$22),0))</f>
        <v>162</v>
      </c>
      <c r="AV6" s="223">
        <f t="array" ref="AV6">IF(YEAR(AV$3)=2026,0,ROUND(EXP(0.0915*((YEAR(AV$3)-2027)*12+MONTH(AV$3)-1))/SUMPRODUCT(EXP(0.0915*(ROW(INDIRECT("1:24"))-1)))*SUM(Assumptions!$D$22:$E$22),0))</f>
        <v>177</v>
      </c>
      <c r="AW6" s="223">
        <f t="array" ref="AW6">IF(YEAR(AW$3)=2026,0,ROUND(EXP(0.0915*((YEAR(AW$3)-2027)*12+MONTH(AW$3)-1))/SUMPRODUCT(EXP(0.0915*(ROW(INDIRECT("1:24"))-1)))*SUM(Assumptions!$D$22:$E$22),0))</f>
        <v>194</v>
      </c>
      <c r="AX6" s="223">
        <f t="array" ref="AX6">IF(YEAR(AX$3)=2026,0,ROUND(EXP(0.0915*((YEAR(AX$3)-2027)*12+MONTH(AX$3)-1))/SUMPRODUCT(EXP(0.0915*(ROW(INDIRECT("1:24"))-1)))*SUM(Assumptions!$D$22:$E$22),0))</f>
        <v>213</v>
      </c>
      <c r="AY6" s="223">
        <f t="array" ref="AY6">IF(YEAR(AY$3)=2026,0,ROUND(EXP(0.0915*((YEAR(AY$3)-2027)*12+MONTH(AY$3)-1))/SUMPRODUCT(EXP(0.0915*(ROW(INDIRECT("1:24"))-1)))*SUM(Assumptions!$D$22:$E$22),0))</f>
        <v>233</v>
      </c>
      <c r="AZ6" s="223">
        <f t="array" ref="AZ6">IF(YEAR(AZ$3)=2026,0,ROUND(EXP(0.0915*((YEAR(AZ$3)-2027)*12+MONTH(AZ$3)-1))/SUMPRODUCT(EXP(0.0915*(ROW(INDIRECT("1:24"))-1)))*SUM(Assumptions!$D$22:$E$22),0))</f>
        <v>256</v>
      </c>
      <c r="BA6" s="223"/>
      <c r="BB6" s="223">
        <f t="shared" ref="BB6:BB9" si="1">SUM(E6:P6)</f>
        <v>0</v>
      </c>
      <c r="BC6" s="223">
        <f t="shared" ref="BC6:BC9" si="2">SUM(Q6:AB6)</f>
        <v>0</v>
      </c>
      <c r="BD6" s="223">
        <f t="shared" ref="BD6:BD9" si="3">SUM(AC6:AN6)</f>
        <v>652</v>
      </c>
      <c r="BE6" s="223">
        <f t="shared" ref="BE6:BE9" si="4">SUM(AO6:AZ6)</f>
        <v>1948</v>
      </c>
      <c r="BF6" s="223">
        <f>BE6*2</f>
        <v>3896</v>
      </c>
      <c r="BG6" s="223"/>
    </row>
    <row r="7" ht="15.0" customHeight="1">
      <c r="A7" s="175"/>
      <c r="B7" s="175" t="s">
        <v>265</v>
      </c>
      <c r="C7" s="175"/>
      <c r="D7" s="175" t="s">
        <v>202</v>
      </c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>
        <f>Q6*Assumptions!$C$29</f>
        <v>0</v>
      </c>
      <c r="R7" s="175">
        <f>R6*Assumptions!$C$29</f>
        <v>0</v>
      </c>
      <c r="S7" s="175">
        <f>S6*Assumptions!$C$29</f>
        <v>0</v>
      </c>
      <c r="T7" s="175">
        <f>T6*Assumptions!$C$29</f>
        <v>0</v>
      </c>
      <c r="U7" s="175">
        <f>U6*Assumptions!$C$29</f>
        <v>0</v>
      </c>
      <c r="V7" s="175">
        <f>V6*Assumptions!$C$29</f>
        <v>0</v>
      </c>
      <c r="W7" s="175">
        <f>W6*Assumptions!$C$29</f>
        <v>0</v>
      </c>
      <c r="X7" s="175">
        <f>X6*Assumptions!$C$29</f>
        <v>0</v>
      </c>
      <c r="Y7" s="175">
        <f>Y6*Assumptions!$C$29</f>
        <v>0</v>
      </c>
      <c r="Z7" s="175">
        <f>Z6*Assumptions!$C$29</f>
        <v>0</v>
      </c>
      <c r="AA7" s="175">
        <f>AA6*Assumptions!$C$29</f>
        <v>0</v>
      </c>
      <c r="AB7" s="175">
        <f>AB6*Assumptions!$C$29</f>
        <v>0</v>
      </c>
      <c r="AC7" s="175">
        <f>AC6*Assumptions!$C$29</f>
        <v>276694.2149</v>
      </c>
      <c r="AD7" s="175">
        <f>AD6*Assumptions!$C$29</f>
        <v>303471.0744</v>
      </c>
      <c r="AE7" s="175">
        <f>AE6*Assumptions!$C$29</f>
        <v>339173.5537</v>
      </c>
      <c r="AF7" s="175">
        <f>AF6*Assumptions!$C$29</f>
        <v>365950.4132</v>
      </c>
      <c r="AG7" s="175">
        <f>AG6*Assumptions!$C$29</f>
        <v>401652.8926</v>
      </c>
      <c r="AH7" s="175">
        <f>AH6*Assumptions!$C$29</f>
        <v>446280.9917</v>
      </c>
      <c r="AI7" s="175">
        <f>AI6*Assumptions!$C$29</f>
        <v>481983.4711</v>
      </c>
      <c r="AJ7" s="175">
        <f>AJ6*Assumptions!$C$29</f>
        <v>526611.5702</v>
      </c>
      <c r="AK7" s="175">
        <f>AK6*Assumptions!$C$29</f>
        <v>580165.2893</v>
      </c>
      <c r="AL7" s="175">
        <f>AL6*Assumptions!$C$29</f>
        <v>633719.0083</v>
      </c>
      <c r="AM7" s="175">
        <f>AM6*Assumptions!$C$29</f>
        <v>696198.3471</v>
      </c>
      <c r="AN7" s="175">
        <f>AN6*Assumptions!$C$29</f>
        <v>767603.3058</v>
      </c>
      <c r="AO7" s="175">
        <f>AO6*Assumptions!$C$29</f>
        <v>830082.6446</v>
      </c>
      <c r="AP7" s="175">
        <f>AP6*Assumptions!$C$29</f>
        <v>910413.2231</v>
      </c>
      <c r="AQ7" s="175">
        <f>AQ6*Assumptions!$C$29</f>
        <v>999669.4215</v>
      </c>
      <c r="AR7" s="175">
        <f>AR6*Assumptions!$C$29</f>
        <v>1097851.24</v>
      </c>
      <c r="AS7" s="175">
        <f>AS6*Assumptions!$C$29</f>
        <v>1204958.678</v>
      </c>
      <c r="AT7" s="175">
        <f>AT6*Assumptions!$C$29</f>
        <v>1320991.736</v>
      </c>
      <c r="AU7" s="175">
        <f>AU6*Assumptions!$C$29</f>
        <v>1445950.413</v>
      </c>
      <c r="AV7" s="175">
        <f>AV6*Assumptions!$C$29</f>
        <v>1579834.711</v>
      </c>
      <c r="AW7" s="175">
        <f>AW6*Assumptions!$C$29</f>
        <v>1731570.248</v>
      </c>
      <c r="AX7" s="175">
        <f>AX6*Assumptions!$C$29</f>
        <v>1901157.025</v>
      </c>
      <c r="AY7" s="175">
        <f>AY6*Assumptions!$C$29</f>
        <v>2079669.421</v>
      </c>
      <c r="AZ7" s="175">
        <f>AZ6*Assumptions!$C$29</f>
        <v>2284958.678</v>
      </c>
      <c r="BA7" s="175"/>
      <c r="BB7" s="174">
        <f t="shared" si="1"/>
        <v>0</v>
      </c>
      <c r="BC7" s="174">
        <f t="shared" si="2"/>
        <v>0</v>
      </c>
      <c r="BD7" s="174">
        <f t="shared" si="3"/>
        <v>5819504.132</v>
      </c>
      <c r="BE7" s="174">
        <f t="shared" si="4"/>
        <v>17387107.44</v>
      </c>
      <c r="BF7" s="175">
        <f>BF6*Assumptions!$C$29</f>
        <v>34774214.88</v>
      </c>
      <c r="BG7" s="175"/>
    </row>
    <row r="8" ht="15.0" customHeight="1">
      <c r="A8" s="175"/>
      <c r="B8" s="175" t="s">
        <v>266</v>
      </c>
      <c r="C8" s="175"/>
      <c r="D8" s="175" t="s">
        <v>202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>
        <f>Q6*SUMPRODUCT(Assumptions!$E$116:$F$118)</f>
        <v>0</v>
      </c>
      <c r="R8" s="175">
        <f>R6*SUMPRODUCT(Assumptions!$E$116:$F$118)</f>
        <v>0</v>
      </c>
      <c r="S8" s="175">
        <f>S6*SUMPRODUCT(Assumptions!$E$116:$F$118)</f>
        <v>0</v>
      </c>
      <c r="T8" s="175">
        <f>T6*SUMPRODUCT(Assumptions!$E$116:$F$118)</f>
        <v>0</v>
      </c>
      <c r="U8" s="175">
        <f>U6*SUMPRODUCT(Assumptions!$E$116:$F$118)</f>
        <v>0</v>
      </c>
      <c r="V8" s="175">
        <f>V6*SUMPRODUCT(Assumptions!$E$116:$F$118)</f>
        <v>0</v>
      </c>
      <c r="W8" s="175">
        <f>W6*SUMPRODUCT(Assumptions!$E$116:$F$118)</f>
        <v>0</v>
      </c>
      <c r="X8" s="175">
        <f>X6*SUMPRODUCT(Assumptions!$E$116:$F$118)</f>
        <v>0</v>
      </c>
      <c r="Y8" s="175">
        <f>Y6*SUMPRODUCT(Assumptions!$E$116:$F$118)</f>
        <v>0</v>
      </c>
      <c r="Z8" s="175">
        <f>Z6*SUMPRODUCT(Assumptions!$E$116:$F$118)</f>
        <v>0</v>
      </c>
      <c r="AA8" s="175">
        <f>AA6*SUMPRODUCT(Assumptions!$E$116:$F$118)</f>
        <v>0</v>
      </c>
      <c r="AB8" s="175">
        <f>AB6*SUMPRODUCT(Assumptions!$E$116:$F$118)</f>
        <v>0</v>
      </c>
      <c r="AC8" s="175">
        <f>AC6*SUMPRODUCT(Assumptions!$E$116:$E$118,Assumptions!$F$116:$F$118)</f>
        <v>15589.66942</v>
      </c>
      <c r="AD8" s="175">
        <f>AD6*SUMPRODUCT(Assumptions!$E$116:$E$118,Assumptions!$F$116:$F$118)</f>
        <v>17098.34711</v>
      </c>
      <c r="AE8" s="175">
        <f>AE6*SUMPRODUCT(Assumptions!$E$116:$E$118,Assumptions!$F$116:$F$118)</f>
        <v>19109.91736</v>
      </c>
      <c r="AF8" s="175">
        <f>AF6*SUMPRODUCT(Assumptions!$E$116:$E$118,Assumptions!$F$116:$F$118)</f>
        <v>20618.59504</v>
      </c>
      <c r="AG8" s="175">
        <f>AG6*SUMPRODUCT(Assumptions!$E$116:$E$118,Assumptions!$F$116:$F$118)</f>
        <v>22630.16529</v>
      </c>
      <c r="AH8" s="175">
        <f>AH6*SUMPRODUCT(Assumptions!$E$116:$E$118,Assumptions!$F$116:$F$118)</f>
        <v>25144.6281</v>
      </c>
      <c r="AI8" s="175">
        <f>AI6*SUMPRODUCT(Assumptions!$E$116:$E$118,Assumptions!$F$116:$F$118)</f>
        <v>27156.19835</v>
      </c>
      <c r="AJ8" s="175">
        <f>AJ6*SUMPRODUCT(Assumptions!$E$116:$E$118,Assumptions!$F$116:$F$118)</f>
        <v>29670.66116</v>
      </c>
      <c r="AK8" s="175">
        <f>AK6*SUMPRODUCT(Assumptions!$E$116:$E$118,Assumptions!$F$116:$F$118)</f>
        <v>32688.01653</v>
      </c>
      <c r="AL8" s="175">
        <f>AL6*SUMPRODUCT(Assumptions!$E$116:$E$118,Assumptions!$F$116:$F$118)</f>
        <v>35705.3719</v>
      </c>
      <c r="AM8" s="175">
        <f>AM6*SUMPRODUCT(Assumptions!$E$116:$E$118,Assumptions!$F$116:$F$118)</f>
        <v>39225.61983</v>
      </c>
      <c r="AN8" s="175">
        <f>AN6*SUMPRODUCT(Assumptions!$E$116:$E$118,Assumptions!$F$116:$F$118)</f>
        <v>43248.76033</v>
      </c>
      <c r="AO8" s="175">
        <f>AO6*SUMPRODUCT(Assumptions!$E$116:$E$118,Assumptions!$F$116:$F$118)</f>
        <v>46769.00826</v>
      </c>
      <c r="AP8" s="175">
        <f>AP6*SUMPRODUCT(Assumptions!$E$116:$E$118,Assumptions!$F$116:$F$118)</f>
        <v>51295.04132</v>
      </c>
      <c r="AQ8" s="175">
        <f>AQ6*SUMPRODUCT(Assumptions!$E$116:$E$118,Assumptions!$F$116:$F$118)</f>
        <v>56323.96694</v>
      </c>
      <c r="AR8" s="175">
        <f>AR6*SUMPRODUCT(Assumptions!$E$116:$E$118,Assumptions!$F$116:$F$118)</f>
        <v>61855.78512</v>
      </c>
      <c r="AS8" s="175">
        <f>AS6*SUMPRODUCT(Assumptions!$E$116:$E$118,Assumptions!$F$116:$F$118)</f>
        <v>67890.49587</v>
      </c>
      <c r="AT8" s="175">
        <f>AT6*SUMPRODUCT(Assumptions!$E$116:$E$118,Assumptions!$F$116:$F$118)</f>
        <v>74428.09917</v>
      </c>
      <c r="AU8" s="175">
        <f>AU6*SUMPRODUCT(Assumptions!$E$116:$E$118,Assumptions!$F$116:$F$118)</f>
        <v>81468.59504</v>
      </c>
      <c r="AV8" s="175">
        <f>AV6*SUMPRODUCT(Assumptions!$E$116:$E$118,Assumptions!$F$116:$F$118)</f>
        <v>89011.98347</v>
      </c>
      <c r="AW8" s="175">
        <f>AW6*SUMPRODUCT(Assumptions!$E$116:$E$118,Assumptions!$F$116:$F$118)</f>
        <v>97561.15702</v>
      </c>
      <c r="AX8" s="175">
        <f>AX6*SUMPRODUCT(Assumptions!$E$116:$E$118,Assumptions!$F$116:$F$118)</f>
        <v>107116.1157</v>
      </c>
      <c r="AY8" s="175">
        <f>AY6*SUMPRODUCT(Assumptions!$E$116:$E$118,Assumptions!$F$116:$F$118)</f>
        <v>117173.9669</v>
      </c>
      <c r="AZ8" s="175">
        <f>AZ6*SUMPRODUCT(Assumptions!$E$116:$E$118,Assumptions!$F$116:$F$118)</f>
        <v>128740.4959</v>
      </c>
      <c r="BA8" s="175"/>
      <c r="BB8" s="174">
        <f t="shared" si="1"/>
        <v>0</v>
      </c>
      <c r="BC8" s="174">
        <f t="shared" si="2"/>
        <v>0</v>
      </c>
      <c r="BD8" s="174">
        <f t="shared" si="3"/>
        <v>327885.9504</v>
      </c>
      <c r="BE8" s="174">
        <f t="shared" si="4"/>
        <v>979634.7107</v>
      </c>
      <c r="BF8" s="175">
        <f>BF6*SUMPRODUCT(Assumptions!$E$116:$E$118,Assumptions!$F$116:$F$118)</f>
        <v>1959269.421</v>
      </c>
      <c r="BG8" s="175"/>
    </row>
    <row r="9" ht="12.75" customHeight="1">
      <c r="A9" s="28"/>
      <c r="B9" s="224" t="s">
        <v>267</v>
      </c>
      <c r="C9" s="222"/>
      <c r="D9" s="224" t="s">
        <v>202</v>
      </c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>
        <f t="shared" ref="Q9:AZ9" si="5">sum(Q7:Q8)</f>
        <v>0</v>
      </c>
      <c r="R9" s="178">
        <f t="shared" si="5"/>
        <v>0</v>
      </c>
      <c r="S9" s="178">
        <f t="shared" si="5"/>
        <v>0</v>
      </c>
      <c r="T9" s="178">
        <f t="shared" si="5"/>
        <v>0</v>
      </c>
      <c r="U9" s="178">
        <f t="shared" si="5"/>
        <v>0</v>
      </c>
      <c r="V9" s="178">
        <f t="shared" si="5"/>
        <v>0</v>
      </c>
      <c r="W9" s="178">
        <f t="shared" si="5"/>
        <v>0</v>
      </c>
      <c r="X9" s="178">
        <f t="shared" si="5"/>
        <v>0</v>
      </c>
      <c r="Y9" s="178">
        <f t="shared" si="5"/>
        <v>0</v>
      </c>
      <c r="Z9" s="178">
        <f t="shared" si="5"/>
        <v>0</v>
      </c>
      <c r="AA9" s="178">
        <f t="shared" si="5"/>
        <v>0</v>
      </c>
      <c r="AB9" s="178">
        <f t="shared" si="5"/>
        <v>0</v>
      </c>
      <c r="AC9" s="178">
        <f t="shared" si="5"/>
        <v>292283.8843</v>
      </c>
      <c r="AD9" s="178">
        <f t="shared" si="5"/>
        <v>320569.4215</v>
      </c>
      <c r="AE9" s="178">
        <f t="shared" si="5"/>
        <v>358283.4711</v>
      </c>
      <c r="AF9" s="178">
        <f t="shared" si="5"/>
        <v>386569.0083</v>
      </c>
      <c r="AG9" s="178">
        <f t="shared" si="5"/>
        <v>424283.0579</v>
      </c>
      <c r="AH9" s="178">
        <f t="shared" si="5"/>
        <v>471425.6198</v>
      </c>
      <c r="AI9" s="178">
        <f t="shared" si="5"/>
        <v>509139.6694</v>
      </c>
      <c r="AJ9" s="178">
        <f t="shared" si="5"/>
        <v>556282.2314</v>
      </c>
      <c r="AK9" s="178">
        <f t="shared" si="5"/>
        <v>612853.3058</v>
      </c>
      <c r="AL9" s="178">
        <f t="shared" si="5"/>
        <v>669424.3802</v>
      </c>
      <c r="AM9" s="178">
        <f t="shared" si="5"/>
        <v>735423.9669</v>
      </c>
      <c r="AN9" s="178">
        <f t="shared" si="5"/>
        <v>810852.0661</v>
      </c>
      <c r="AO9" s="178">
        <f t="shared" si="5"/>
        <v>876851.6529</v>
      </c>
      <c r="AP9" s="178">
        <f t="shared" si="5"/>
        <v>961708.2645</v>
      </c>
      <c r="AQ9" s="178">
        <f t="shared" si="5"/>
        <v>1055993.388</v>
      </c>
      <c r="AR9" s="178">
        <f t="shared" si="5"/>
        <v>1159707.025</v>
      </c>
      <c r="AS9" s="178">
        <f t="shared" si="5"/>
        <v>1272849.174</v>
      </c>
      <c r="AT9" s="178">
        <f t="shared" si="5"/>
        <v>1395419.835</v>
      </c>
      <c r="AU9" s="178">
        <f t="shared" si="5"/>
        <v>1527419.008</v>
      </c>
      <c r="AV9" s="178">
        <f t="shared" si="5"/>
        <v>1668846.694</v>
      </c>
      <c r="AW9" s="178">
        <f t="shared" si="5"/>
        <v>1829131.405</v>
      </c>
      <c r="AX9" s="178">
        <f t="shared" si="5"/>
        <v>2008273.14</v>
      </c>
      <c r="AY9" s="178">
        <f t="shared" si="5"/>
        <v>2196843.388</v>
      </c>
      <c r="AZ9" s="178">
        <f t="shared" si="5"/>
        <v>2413699.174</v>
      </c>
      <c r="BA9" s="225"/>
      <c r="BB9" s="226">
        <f t="shared" si="1"/>
        <v>0</v>
      </c>
      <c r="BC9" s="226">
        <f t="shared" si="2"/>
        <v>0</v>
      </c>
      <c r="BD9" s="226">
        <f t="shared" si="3"/>
        <v>6147390.083</v>
      </c>
      <c r="BE9" s="226">
        <f t="shared" si="4"/>
        <v>18366742.15</v>
      </c>
      <c r="BF9" s="226">
        <f>BE9*2</f>
        <v>36733484.3</v>
      </c>
      <c r="BG9" s="227"/>
    </row>
    <row r="10">
      <c r="A10" s="28"/>
      <c r="B10" s="28"/>
      <c r="C10" s="28"/>
      <c r="D10" s="28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28"/>
      <c r="AY10" s="228"/>
      <c r="AZ10" s="228"/>
      <c r="BA10" s="174"/>
      <c r="BB10" s="174"/>
      <c r="BC10" s="174"/>
      <c r="BD10" s="174"/>
      <c r="BE10" s="174"/>
      <c r="BF10" s="174"/>
      <c r="BG10" s="121"/>
    </row>
    <row r="11" ht="13.5" customHeight="1">
      <c r="A11" s="221"/>
      <c r="B11" s="229" t="s">
        <v>268</v>
      </c>
      <c r="C11" s="221"/>
      <c r="D11" s="221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4"/>
      <c r="BB11" s="181"/>
      <c r="BC11" s="181"/>
      <c r="BD11" s="181"/>
      <c r="BE11" s="181"/>
      <c r="BF11" s="181"/>
      <c r="BG11" s="121"/>
    </row>
    <row r="12" ht="15.0" customHeight="1">
      <c r="A12" s="223"/>
      <c r="B12" s="230" t="s">
        <v>269</v>
      </c>
      <c r="C12" s="223"/>
      <c r="D12" s="223" t="s">
        <v>70</v>
      </c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>
        <f t="array" ref="Q12">IF(YEAR(Q$3)=2026,0,ROUND(EXP(0.11*((YEAR(Q$3)-2027)*12+MONTH(Q$3)-1))/SUMPRODUCT(EXP(0.11*(ROW(INDIRECT("1:24"))-1)))*SUM(Assumptions!$D$23:$E$23),0))</f>
        <v>0</v>
      </c>
      <c r="R12" s="223">
        <f t="array" ref="R12">IF(YEAR(R$3)=2026,0,ROUND(EXP(0.11*((YEAR(R$3)-2027)*12+MONTH(R$3)-1))/SUMPRODUCT(EXP(0.11*(ROW(INDIRECT("1:24"))-1)))*SUM(Assumptions!$D$23:$E$23),0))</f>
        <v>0</v>
      </c>
      <c r="S12" s="223">
        <f t="array" ref="S12">IF(YEAR(S$3)=2026,0,ROUND(EXP(0.11*((YEAR(S$3)-2027)*12+MONTH(S$3)-1))/SUMPRODUCT(EXP(0.11*(ROW(INDIRECT("1:24"))-1)))*SUM(Assumptions!$D$23:$E$23),0))</f>
        <v>0</v>
      </c>
      <c r="T12" s="223">
        <f t="array" ref="T12">IF(YEAR(T$3)=2026,0,ROUND(EXP(0.11*((YEAR(T$3)-2027)*12+MONTH(T$3)-1))/SUMPRODUCT(EXP(0.11*(ROW(INDIRECT("1:24"))-1)))*SUM(Assumptions!$D$23:$E$23),0))</f>
        <v>0</v>
      </c>
      <c r="U12" s="223">
        <f t="array" ref="U12">IF(YEAR(U$3)=2026,0,ROUND(EXP(0.11*((YEAR(U$3)-2027)*12+MONTH(U$3)-1))/SUMPRODUCT(EXP(0.11*(ROW(INDIRECT("1:24"))-1)))*SUM(Assumptions!$D$23:$E$23),0))</f>
        <v>0</v>
      </c>
      <c r="V12" s="223">
        <f t="array" ref="V12">IF(YEAR(V$3)=2026,0,ROUND(EXP(0.11*((YEAR(V$3)-2027)*12+MONTH(V$3)-1))/SUMPRODUCT(EXP(0.11*(ROW(INDIRECT("1:24"))-1)))*SUM(Assumptions!$D$23:$E$23),0))</f>
        <v>0</v>
      </c>
      <c r="W12" s="223">
        <f t="array" ref="W12">IF(YEAR(W$3)=2026,0,ROUND(EXP(0.11*((YEAR(W$3)-2027)*12+MONTH(W$3)-1))/SUMPRODUCT(EXP(0.11*(ROW(INDIRECT("1:24"))-1)))*SUM(Assumptions!$D$23:$E$23),0))</f>
        <v>0</v>
      </c>
      <c r="X12" s="223">
        <f t="array" ref="X12">IF(YEAR(X$3)=2026,0,ROUND(EXP(0.11*((YEAR(X$3)-2027)*12+MONTH(X$3)-1))/SUMPRODUCT(EXP(0.11*(ROW(INDIRECT("1:24"))-1)))*SUM(Assumptions!$D$23:$E$23),0))</f>
        <v>0</v>
      </c>
      <c r="Y12" s="223">
        <f t="array" ref="Y12">IF(YEAR(Y$3)=2026,0,ROUND(EXP(0.11*((YEAR(Y$3)-2027)*12+MONTH(Y$3)-1))/SUMPRODUCT(EXP(0.11*(ROW(INDIRECT("1:24"))-1)))*SUM(Assumptions!$D$23:$E$23),0))</f>
        <v>0</v>
      </c>
      <c r="Z12" s="223">
        <f t="array" ref="Z12">IF(YEAR(Z$3)=2026,0,ROUND(EXP(0.11*((YEAR(Z$3)-2027)*12+MONTH(Z$3)-1))/SUMPRODUCT(EXP(0.11*(ROW(INDIRECT("1:24"))-1)))*SUM(Assumptions!$D$23:$E$23),0))</f>
        <v>0</v>
      </c>
      <c r="AA12" s="223">
        <f t="array" ref="AA12">IF(YEAR(AA$3)=2026,0,ROUND(EXP(0.11*((YEAR(AA$3)-2027)*12+MONTH(AA$3)-1))/SUMPRODUCT(EXP(0.11*(ROW(INDIRECT("1:24"))-1)))*SUM(Assumptions!$D$23:$E$23),0))</f>
        <v>0</v>
      </c>
      <c r="AB12" s="223">
        <f t="array" ref="AB12">IF(YEAR(AB$3)=2026,0,ROUND(EXP(0.11*((YEAR(AB$3)-2027)*12+MONTH(AB$3)-1))/SUMPRODUCT(EXP(0.11*(ROW(INDIRECT("1:24"))-1)))*SUM(Assumptions!$D$23:$E$23),0))</f>
        <v>0</v>
      </c>
      <c r="AC12" s="223">
        <f t="array" ref="AC12">IF(YEAR(AC$3)=2026,0,ROUND(EXP(0.116*((YEAR(AC$3)-2027)*12+MONTH(AC$3)-1))/SUMPRODUCT(EXP(0.116*(ROW(INDIRECT("1:24"))-1)))*SUM(Assumptions!$D$23:$E$23),0))</f>
        <v>16</v>
      </c>
      <c r="AD12" s="223">
        <f t="array" ref="AD12">IF(YEAR(AD$3)=2026,0,ROUND(EXP(0.116*((YEAR(AD$3)-2027)*12+MONTH(AD$3)-1))/SUMPRODUCT(EXP(0.116*(ROW(INDIRECT("1:24"))-1)))*SUM(Assumptions!$D$23:$E$23),0))</f>
        <v>18</v>
      </c>
      <c r="AE12" s="223">
        <f t="array" ref="AE12">IF(YEAR(AE$3)=2026,0,ROUND(EXP(0.116*((YEAR(AE$3)-2027)*12+MONTH(AE$3)-1))/SUMPRODUCT(EXP(0.116*(ROW(INDIRECT("1:24"))-1)))*SUM(Assumptions!$D$23:$E$23),0))</f>
        <v>20</v>
      </c>
      <c r="AF12" s="223">
        <f t="array" ref="AF12">IF(YEAR(AF$3)=2026,0,ROUND(EXP(0.116*((YEAR(AF$3)-2027)*12+MONTH(AF$3)-1))/SUMPRODUCT(EXP(0.116*(ROW(INDIRECT("1:24"))-1)))*SUM(Assumptions!$D$23:$E$23),0))</f>
        <v>22</v>
      </c>
      <c r="AG12" s="223">
        <f t="array" ref="AG12">IF(YEAR(AG$3)=2026,0,ROUND(EXP(0.116*((YEAR(AG$3)-2027)*12+MONTH(AG$3)-1))/SUMPRODUCT(EXP(0.116*(ROW(INDIRECT("1:24"))-1)))*SUM(Assumptions!$D$23:$E$23),0))</f>
        <v>25</v>
      </c>
      <c r="AH12" s="223">
        <f t="array" ref="AH12">IF(YEAR(AH$3)=2026,0,ROUND(EXP(0.116*((YEAR(AH$3)-2027)*12+MONTH(AH$3)-1))/SUMPRODUCT(EXP(0.116*(ROW(INDIRECT("1:24"))-1)))*SUM(Assumptions!$D$23:$E$23),0))</f>
        <v>28</v>
      </c>
      <c r="AI12" s="223">
        <f t="array" ref="AI12">IF(YEAR(AI$3)=2026,0,ROUND(EXP(0.116*((YEAR(AI$3)-2027)*12+MONTH(AI$3)-1))/SUMPRODUCT(EXP(0.116*(ROW(INDIRECT("1:24"))-1)))*SUM(Assumptions!$D$23:$E$23),0))</f>
        <v>32</v>
      </c>
      <c r="AJ12" s="223">
        <f t="array" ref="AJ12">IF(YEAR(AJ$3)=2026,0,ROUND(EXP(0.116*((YEAR(AJ$3)-2027)*12+MONTH(AJ$3)-1))/SUMPRODUCT(EXP(0.116*(ROW(INDIRECT("1:24"))-1)))*SUM(Assumptions!$D$23:$E$23),0))</f>
        <v>36</v>
      </c>
      <c r="AK12" s="223">
        <f t="array" ref="AK12">IF(YEAR(AK$3)=2026,0,ROUND(EXP(0.116*((YEAR(AK$3)-2027)*12+MONTH(AK$3)-1))/SUMPRODUCT(EXP(0.116*(ROW(INDIRECT("1:24"))-1)))*SUM(Assumptions!$D$23:$E$23),0))</f>
        <v>40</v>
      </c>
      <c r="AL12" s="223">
        <f t="array" ref="AL12">IF(YEAR(AL$3)=2026,0,ROUND(EXP(0.116*((YEAR(AL$3)-2027)*12+MONTH(AL$3)-1))/SUMPRODUCT(EXP(0.116*(ROW(INDIRECT("1:24"))-1)))*SUM(Assumptions!$D$23:$E$23),0))</f>
        <v>45</v>
      </c>
      <c r="AM12" s="223">
        <f t="array" ref="AM12">IF(YEAR(AM$3)=2026,0,ROUND(EXP(0.116*((YEAR(AM$3)-2027)*12+MONTH(AM$3)-1))/SUMPRODUCT(EXP(0.116*(ROW(INDIRECT("1:24"))-1)))*SUM(Assumptions!$D$23:$E$23),0))</f>
        <v>50</v>
      </c>
      <c r="AN12" s="223">
        <f t="array" ref="AN12">IF(YEAR(AN$3)=2026,0,ROUND(EXP(0.116*((YEAR(AN$3)-2027)*12+MONTH(AN$3)-1))/SUMPRODUCT(EXP(0.116*(ROW(INDIRECT("1:24"))-1)))*SUM(Assumptions!$D$23:$E$23),0))</f>
        <v>57</v>
      </c>
      <c r="AO12" s="223">
        <f t="array" ref="AO12">IF(YEAR(AO$3)=2026,0,ROUND(EXP(0.1157*((YEAR(AO$3)-2027)*12+MONTH(AO$3)-1))/SUMPRODUCT(EXP(0.1157*(ROW(INDIRECT("1:24"))-1)))*SUM(Assumptions!$D$23:$E$23),0))</f>
        <v>64</v>
      </c>
      <c r="AP12" s="223">
        <f t="array" ref="AP12">IF(YEAR(AP$3)=2026,0,ROUND(EXP(0.1157*((YEAR(AP$3)-2027)*12+MONTH(AP$3)-1))/SUMPRODUCT(EXP(0.1157*(ROW(INDIRECT("1:24"))-1)))*SUM(Assumptions!$D$23:$E$23),0))</f>
        <v>71</v>
      </c>
      <c r="AQ12" s="223">
        <f t="array" ref="AQ12">IF(YEAR(AQ$3)=2026,0,ROUND(EXP(0.1157*((YEAR(AQ$3)-2027)*12+MONTH(AQ$3)-1))/SUMPRODUCT(EXP(0.1157*(ROW(INDIRECT("1:24"))-1)))*SUM(Assumptions!$D$23:$E$23),0))</f>
        <v>80</v>
      </c>
      <c r="AR12" s="223">
        <f t="array" ref="AR12">IF(YEAR(AR$3)=2026,0,ROUND(EXP(0.1157*((YEAR(AR$3)-2027)*12+MONTH(AR$3)-1))/SUMPRODUCT(EXP(0.1157*(ROW(INDIRECT("1:24"))-1)))*SUM(Assumptions!$D$23:$E$23),0))</f>
        <v>90</v>
      </c>
      <c r="AS12" s="223">
        <f t="array" ref="AS12">IF(YEAR(AS$3)=2026,0,ROUND(EXP(0.1157*((YEAR(AS$3)-2027)*12+MONTH(AS$3)-1))/SUMPRODUCT(EXP(0.1157*(ROW(INDIRECT("1:24"))-1)))*SUM(Assumptions!$D$23:$E$23),0))</f>
        <v>101</v>
      </c>
      <c r="AT12" s="223">
        <f t="array" ref="AT12">IF(YEAR(AT$3)=2026,0,ROUND(EXP(0.1157*((YEAR(AT$3)-2027)*12+MONTH(AT$3)-1))/SUMPRODUCT(EXP(0.1157*(ROW(INDIRECT("1:24"))-1)))*SUM(Assumptions!$D$23:$E$23),0))</f>
        <v>113</v>
      </c>
      <c r="AU12" s="223">
        <f t="array" ref="AU12">IF(YEAR(AU$3)=2026,0,ROUND(EXP(0.1157*((YEAR(AU$3)-2027)*12+MONTH(AU$3)-1))/SUMPRODUCT(EXP(0.1157*(ROW(INDIRECT("1:24"))-1)))*SUM(Assumptions!$D$23:$E$23),0))</f>
        <v>127</v>
      </c>
      <c r="AV12" s="223">
        <f t="array" ref="AV12">IF(YEAR(AV$3)=2026,0,ROUND(EXP(0.1157*((YEAR(AV$3)-2027)*12+MONTH(AV$3)-1))/SUMPRODUCT(EXP(0.1157*(ROW(INDIRECT("1:24"))-1)))*SUM(Assumptions!$D$23:$E$23),0))</f>
        <v>143</v>
      </c>
      <c r="AW12" s="223">
        <f t="array" ref="AW12">IF(YEAR(AW$3)=2026,0,ROUND(EXP(0.1157*((YEAR(AW$3)-2027)*12+MONTH(AW$3)-1))/SUMPRODUCT(EXP(0.1157*(ROW(INDIRECT("1:24"))-1)))*SUM(Assumptions!$D$23:$E$23),0))</f>
        <v>161</v>
      </c>
      <c r="AX12" s="223">
        <f t="array" ref="AX12">IF(YEAR(AX$3)=2026,0,ROUND(EXP(0.1157*((YEAR(AX$3)-2027)*12+MONTH(AX$3)-1))/SUMPRODUCT(EXP(0.1157*(ROW(INDIRECT("1:24"))-1)))*SUM(Assumptions!$D$23:$E$23),0))</f>
        <v>180</v>
      </c>
      <c r="AY12" s="223">
        <f t="array" ref="AY12">IF(YEAR(AY$3)=2026,0,ROUND(EXP(0.1157*((YEAR(AY$3)-2027)*12+MONTH(AY$3)-1))/SUMPRODUCT(EXP(0.1157*(ROW(INDIRECT("1:24"))-1)))*SUM(Assumptions!$D$23:$E$23),0))</f>
        <v>202</v>
      </c>
      <c r="AZ12" s="223">
        <f t="array" ref="AZ12">IF(YEAR(AZ$3)=2026,0,ROUND(EXP(0.1157*((YEAR(AZ$3)-2027)*12+MONTH(AZ$3)-1))/SUMPRODUCT(EXP(0.1157*(ROW(INDIRECT("1:24"))-1)))*SUM(Assumptions!$D$23:$E$23),0))</f>
        <v>227</v>
      </c>
      <c r="BA12" s="223"/>
      <c r="BB12" s="223">
        <f t="shared" ref="BB12:BB15" si="6">SUM(E12:P12)</f>
        <v>0</v>
      </c>
      <c r="BC12" s="223">
        <f t="shared" ref="BC12:BC15" si="7">SUM(Q12:AB12)</f>
        <v>0</v>
      </c>
      <c r="BD12" s="223">
        <f t="shared" ref="BD12:BD15" si="8">SUM(AC12:AN12)</f>
        <v>389</v>
      </c>
      <c r="BE12" s="223">
        <f t="shared" ref="BE12:BE15" si="9">SUM(AO12:AZ12)</f>
        <v>1559</v>
      </c>
      <c r="BF12" s="223">
        <f>BE12*2</f>
        <v>3118</v>
      </c>
      <c r="BG12" s="223"/>
    </row>
    <row r="13" ht="15.0" customHeight="1">
      <c r="A13" s="175"/>
      <c r="B13" s="192" t="s">
        <v>270</v>
      </c>
      <c r="C13" s="175"/>
      <c r="D13" s="175" t="s">
        <v>202</v>
      </c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>
        <f>Q12*Assumptions!$C$32</f>
        <v>0</v>
      </c>
      <c r="R13" s="175">
        <f>R12*Assumptions!$C$32</f>
        <v>0</v>
      </c>
      <c r="S13" s="175">
        <f>S12*Assumptions!$C$32</f>
        <v>0</v>
      </c>
      <c r="T13" s="175">
        <f>T12*Assumptions!$C$32</f>
        <v>0</v>
      </c>
      <c r="U13" s="175">
        <f>U12*Assumptions!$C$32</f>
        <v>0</v>
      </c>
      <c r="V13" s="175">
        <f>V12*Assumptions!$C$32</f>
        <v>0</v>
      </c>
      <c r="W13" s="175">
        <f>W12*Assumptions!$C$32</f>
        <v>0</v>
      </c>
      <c r="X13" s="175">
        <f>X12*Assumptions!$C$32</f>
        <v>0</v>
      </c>
      <c r="Y13" s="175">
        <f>Y12*Assumptions!$C$32</f>
        <v>0</v>
      </c>
      <c r="Z13" s="175">
        <f>Z12*Assumptions!$C$32</f>
        <v>0</v>
      </c>
      <c r="AA13" s="175">
        <f>AA12*Assumptions!$C$32</f>
        <v>0</v>
      </c>
      <c r="AB13" s="175">
        <f>AB12*Assumptions!$C$32</f>
        <v>0</v>
      </c>
      <c r="AC13" s="175">
        <f>AC12*Assumptions!$C$32</f>
        <v>178842.9752</v>
      </c>
      <c r="AD13" s="175">
        <f>AD12*Assumptions!$C$32</f>
        <v>201198.3471</v>
      </c>
      <c r="AE13" s="175">
        <f>AE12*Assumptions!$C$32</f>
        <v>223553.719</v>
      </c>
      <c r="AF13" s="175">
        <f>AF12*Assumptions!$C$32</f>
        <v>245909.0909</v>
      </c>
      <c r="AG13" s="175">
        <f>AG12*Assumptions!$C$32</f>
        <v>279442.1488</v>
      </c>
      <c r="AH13" s="175">
        <f>AH12*Assumptions!$C$32</f>
        <v>312975.2066</v>
      </c>
      <c r="AI13" s="175">
        <f>AI12*Assumptions!$C$32</f>
        <v>357685.9504</v>
      </c>
      <c r="AJ13" s="175">
        <f>AJ12*Assumptions!$C$32</f>
        <v>402396.6942</v>
      </c>
      <c r="AK13" s="175">
        <f>AK12*Assumptions!$C$32</f>
        <v>447107.438</v>
      </c>
      <c r="AL13" s="175">
        <f>AL12*Assumptions!$C$32</f>
        <v>502995.8678</v>
      </c>
      <c r="AM13" s="175">
        <f>AM12*Assumptions!$C$32</f>
        <v>558884.2975</v>
      </c>
      <c r="AN13" s="175">
        <f>AN12*Assumptions!$C$32</f>
        <v>637128.0992</v>
      </c>
      <c r="AO13" s="175">
        <f>AO12*Assumptions!$C$32</f>
        <v>715371.9008</v>
      </c>
      <c r="AP13" s="175">
        <f>AP12*Assumptions!$C$32</f>
        <v>793615.7025</v>
      </c>
      <c r="AQ13" s="175">
        <f>AQ12*Assumptions!$C$32</f>
        <v>894214.876</v>
      </c>
      <c r="AR13" s="175">
        <f>AR12*Assumptions!$C$32</f>
        <v>1005991.736</v>
      </c>
      <c r="AS13" s="175">
        <f>AS12*Assumptions!$C$32</f>
        <v>1128946.281</v>
      </c>
      <c r="AT13" s="175">
        <f>AT12*Assumptions!$C$32</f>
        <v>1263078.512</v>
      </c>
      <c r="AU13" s="175">
        <f>AU12*Assumptions!$C$32</f>
        <v>1419566.116</v>
      </c>
      <c r="AV13" s="175">
        <f>AV12*Assumptions!$C$32</f>
        <v>1598409.091</v>
      </c>
      <c r="AW13" s="175">
        <f>AW12*Assumptions!$C$32</f>
        <v>1799607.438</v>
      </c>
      <c r="AX13" s="175">
        <f>AX12*Assumptions!$C$32</f>
        <v>2011983.471</v>
      </c>
      <c r="AY13" s="175">
        <f>AY12*Assumptions!$C$32</f>
        <v>2257892.562</v>
      </c>
      <c r="AZ13" s="175">
        <f>AZ12*Assumptions!$C$32</f>
        <v>2537334.711</v>
      </c>
      <c r="BA13" s="175"/>
      <c r="BB13" s="174">
        <f t="shared" si="6"/>
        <v>0</v>
      </c>
      <c r="BC13" s="174">
        <f t="shared" si="7"/>
        <v>0</v>
      </c>
      <c r="BD13" s="174">
        <f t="shared" si="8"/>
        <v>4348119.835</v>
      </c>
      <c r="BE13" s="174">
        <f t="shared" si="9"/>
        <v>17426012.4</v>
      </c>
      <c r="BF13" s="175">
        <f>BF12*Assumptions!$C$32</f>
        <v>34852024.79</v>
      </c>
      <c r="BG13" s="175"/>
    </row>
    <row r="14" ht="15.0" customHeight="1">
      <c r="A14" s="175"/>
      <c r="B14" s="192" t="s">
        <v>271</v>
      </c>
      <c r="C14" s="175"/>
      <c r="D14" s="175" t="s">
        <v>202</v>
      </c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>
        <f>Q12*SUMPRODUCT(Assumptions!$E$116:$E$118,Assumptions!$F$116:$F$118)</f>
        <v>0</v>
      </c>
      <c r="R14" s="175">
        <f>R12*SUMPRODUCT(Assumptions!$E$116:$E$118,Assumptions!$F$116:$F$118)</f>
        <v>0</v>
      </c>
      <c r="S14" s="175">
        <f>S12*SUMPRODUCT(Assumptions!$E$116:$E$118,Assumptions!$F$116:$F$118)</f>
        <v>0</v>
      </c>
      <c r="T14" s="175">
        <f>T12*SUMPRODUCT(Assumptions!$E$116:$E$118,Assumptions!$F$116:$F$118)</f>
        <v>0</v>
      </c>
      <c r="U14" s="175">
        <f>U12*SUMPRODUCT(Assumptions!$E$116:$E$118,Assumptions!$F$116:$F$118)</f>
        <v>0</v>
      </c>
      <c r="V14" s="175">
        <f>V12*SUMPRODUCT(Assumptions!$E$116:$E$118,Assumptions!$F$116:$F$118)</f>
        <v>0</v>
      </c>
      <c r="W14" s="175">
        <f>W12*SUMPRODUCT(Assumptions!$E$116:$E$118,Assumptions!$F$116:$F$118)</f>
        <v>0</v>
      </c>
      <c r="X14" s="175">
        <f>X12*SUMPRODUCT(Assumptions!$E$116:$E$118,Assumptions!$F$116:$F$118)</f>
        <v>0</v>
      </c>
      <c r="Y14" s="175">
        <f>Y12*SUMPRODUCT(Assumptions!$E$116:$E$118,Assumptions!$F$116:$F$118)</f>
        <v>0</v>
      </c>
      <c r="Z14" s="175">
        <f>Z12*SUMPRODUCT(Assumptions!$E$116:$E$118,Assumptions!$F$116:$F$118)</f>
        <v>0</v>
      </c>
      <c r="AA14" s="175">
        <f>AA12*SUMPRODUCT(Assumptions!$E$116:$E$118,Assumptions!$F$116:$F$118)</f>
        <v>0</v>
      </c>
      <c r="AB14" s="175">
        <f>AB12*SUMPRODUCT(Assumptions!$E$116:$E$118,Assumptions!$F$116:$F$118)</f>
        <v>0</v>
      </c>
      <c r="AC14" s="175">
        <f>AC12*SUMPRODUCT(Assumptions!$E$116:$E$118,Assumptions!$F$116:$F$118)</f>
        <v>8046.280992</v>
      </c>
      <c r="AD14" s="175">
        <f>AD12*SUMPRODUCT(Assumptions!$E$116:$E$118,Assumptions!$F$116:$F$118)</f>
        <v>9052.066116</v>
      </c>
      <c r="AE14" s="175">
        <f>AE12*SUMPRODUCT(Assumptions!$E$116:$E$118,Assumptions!$F$116:$F$118)</f>
        <v>10057.85124</v>
      </c>
      <c r="AF14" s="175">
        <f>AF12*SUMPRODUCT(Assumptions!$E$116:$E$118,Assumptions!$F$116:$F$118)</f>
        <v>11063.63636</v>
      </c>
      <c r="AG14" s="175">
        <f>AG12*SUMPRODUCT(Assumptions!$E$116:$E$118,Assumptions!$F$116:$F$118)</f>
        <v>12572.31405</v>
      </c>
      <c r="AH14" s="175">
        <f>AH12*SUMPRODUCT(Assumptions!$E$116:$E$118,Assumptions!$F$116:$F$118)</f>
        <v>14080.99174</v>
      </c>
      <c r="AI14" s="175">
        <f>AI12*SUMPRODUCT(Assumptions!$E$116:$E$118,Assumptions!$F$116:$F$118)</f>
        <v>16092.56198</v>
      </c>
      <c r="AJ14" s="175">
        <f>AJ12*SUMPRODUCT(Assumptions!$E$116:$E$118,Assumptions!$F$116:$F$118)</f>
        <v>18104.13223</v>
      </c>
      <c r="AK14" s="175">
        <f>AK12*SUMPRODUCT(Assumptions!$E$116:$E$118,Assumptions!$F$116:$F$118)</f>
        <v>20115.70248</v>
      </c>
      <c r="AL14" s="175">
        <f>AL12*SUMPRODUCT(Assumptions!$E$116:$E$118,Assumptions!$F$116:$F$118)</f>
        <v>22630.16529</v>
      </c>
      <c r="AM14" s="175">
        <f>AM12*SUMPRODUCT(Assumptions!$E$116:$E$118,Assumptions!$F$116:$F$118)</f>
        <v>25144.6281</v>
      </c>
      <c r="AN14" s="175">
        <f>AN12*SUMPRODUCT(Assumptions!$E$116:$E$118,Assumptions!$F$116:$F$118)</f>
        <v>28664.87603</v>
      </c>
      <c r="AO14" s="175">
        <f>AO12*SUMPRODUCT(Assumptions!$E$116:$E$118,Assumptions!$F$116:$F$118)</f>
        <v>32185.12397</v>
      </c>
      <c r="AP14" s="175">
        <f>AP12*SUMPRODUCT(Assumptions!$E$116:$E$118,Assumptions!$F$116:$F$118)</f>
        <v>35705.3719</v>
      </c>
      <c r="AQ14" s="175">
        <f>AQ12*SUMPRODUCT(Assumptions!$E$116:$E$118,Assumptions!$F$116:$F$118)</f>
        <v>40231.40496</v>
      </c>
      <c r="AR14" s="175">
        <f>AR12*SUMPRODUCT(Assumptions!$E$116:$E$118,Assumptions!$F$116:$F$118)</f>
        <v>45260.33058</v>
      </c>
      <c r="AS14" s="175">
        <f>AS12*SUMPRODUCT(Assumptions!$E$116:$E$118,Assumptions!$F$116:$F$118)</f>
        <v>50792.14876</v>
      </c>
      <c r="AT14" s="175">
        <f>AT12*SUMPRODUCT(Assumptions!$E$116:$E$118,Assumptions!$F$116:$F$118)</f>
        <v>56826.8595</v>
      </c>
      <c r="AU14" s="175">
        <f>AU12*SUMPRODUCT(Assumptions!$E$116:$E$118,Assumptions!$F$116:$F$118)</f>
        <v>63867.35537</v>
      </c>
      <c r="AV14" s="175">
        <f>AV12*SUMPRODUCT(Assumptions!$E$116:$E$118,Assumptions!$F$116:$F$118)</f>
        <v>71913.63636</v>
      </c>
      <c r="AW14" s="175">
        <f>AW12*SUMPRODUCT(Assumptions!$E$116:$E$118,Assumptions!$F$116:$F$118)</f>
        <v>80965.70248</v>
      </c>
      <c r="AX14" s="175">
        <f>AX12*SUMPRODUCT(Assumptions!$E$116:$E$118,Assumptions!$F$116:$F$118)</f>
        <v>90520.66116</v>
      </c>
      <c r="AY14" s="175">
        <f>AY12*SUMPRODUCT(Assumptions!$E$116:$E$118,Assumptions!$F$116:$F$118)</f>
        <v>101584.2975</v>
      </c>
      <c r="AZ14" s="175">
        <f>AZ12*SUMPRODUCT(Assumptions!$E$116:$E$118,Assumptions!$F$116:$F$118)</f>
        <v>114156.6116</v>
      </c>
      <c r="BA14" s="175"/>
      <c r="BB14" s="174">
        <f t="shared" si="6"/>
        <v>0</v>
      </c>
      <c r="BC14" s="174">
        <f t="shared" si="7"/>
        <v>0</v>
      </c>
      <c r="BD14" s="174">
        <f t="shared" si="8"/>
        <v>195625.2066</v>
      </c>
      <c r="BE14" s="174">
        <f t="shared" si="9"/>
        <v>784009.5041</v>
      </c>
      <c r="BF14" s="175">
        <f>BF12*SUMPRODUCT(Assumptions!$E$116:$E$118,Assumptions!$F$116:$F$118)</f>
        <v>1568019.008</v>
      </c>
      <c r="BG14" s="175"/>
    </row>
    <row r="15" ht="12.75" customHeight="1">
      <c r="A15" s="61"/>
      <c r="B15" s="231" t="s">
        <v>272</v>
      </c>
      <c r="C15" s="222"/>
      <c r="D15" s="224" t="s">
        <v>202</v>
      </c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>
        <f t="shared" ref="Q15:AZ15" si="10">sum(Q13:Q14)</f>
        <v>0</v>
      </c>
      <c r="R15" s="178">
        <f t="shared" si="10"/>
        <v>0</v>
      </c>
      <c r="S15" s="178">
        <f t="shared" si="10"/>
        <v>0</v>
      </c>
      <c r="T15" s="178">
        <f t="shared" si="10"/>
        <v>0</v>
      </c>
      <c r="U15" s="178">
        <f t="shared" si="10"/>
        <v>0</v>
      </c>
      <c r="V15" s="178">
        <f t="shared" si="10"/>
        <v>0</v>
      </c>
      <c r="W15" s="178">
        <f t="shared" si="10"/>
        <v>0</v>
      </c>
      <c r="X15" s="178">
        <f t="shared" si="10"/>
        <v>0</v>
      </c>
      <c r="Y15" s="178">
        <f t="shared" si="10"/>
        <v>0</v>
      </c>
      <c r="Z15" s="178">
        <f t="shared" si="10"/>
        <v>0</v>
      </c>
      <c r="AA15" s="178">
        <f t="shared" si="10"/>
        <v>0</v>
      </c>
      <c r="AB15" s="178">
        <f t="shared" si="10"/>
        <v>0</v>
      </c>
      <c r="AC15" s="178">
        <f t="shared" si="10"/>
        <v>186889.2562</v>
      </c>
      <c r="AD15" s="178">
        <f t="shared" si="10"/>
        <v>210250.4132</v>
      </c>
      <c r="AE15" s="178">
        <f t="shared" si="10"/>
        <v>233611.5702</v>
      </c>
      <c r="AF15" s="178">
        <f t="shared" si="10"/>
        <v>256972.7273</v>
      </c>
      <c r="AG15" s="178">
        <f t="shared" si="10"/>
        <v>292014.4628</v>
      </c>
      <c r="AH15" s="178">
        <f t="shared" si="10"/>
        <v>327056.1983</v>
      </c>
      <c r="AI15" s="178">
        <f t="shared" si="10"/>
        <v>373778.5124</v>
      </c>
      <c r="AJ15" s="178">
        <f t="shared" si="10"/>
        <v>420500.8264</v>
      </c>
      <c r="AK15" s="178">
        <f t="shared" si="10"/>
        <v>467223.1405</v>
      </c>
      <c r="AL15" s="178">
        <f t="shared" si="10"/>
        <v>525626.0331</v>
      </c>
      <c r="AM15" s="178">
        <f t="shared" si="10"/>
        <v>584028.9256</v>
      </c>
      <c r="AN15" s="178">
        <f t="shared" si="10"/>
        <v>665792.9752</v>
      </c>
      <c r="AO15" s="178">
        <f t="shared" si="10"/>
        <v>747557.0248</v>
      </c>
      <c r="AP15" s="178">
        <f t="shared" si="10"/>
        <v>829321.0744</v>
      </c>
      <c r="AQ15" s="178">
        <f t="shared" si="10"/>
        <v>934446.281</v>
      </c>
      <c r="AR15" s="178">
        <f t="shared" si="10"/>
        <v>1051252.066</v>
      </c>
      <c r="AS15" s="178">
        <f t="shared" si="10"/>
        <v>1179738.43</v>
      </c>
      <c r="AT15" s="178">
        <f t="shared" si="10"/>
        <v>1319905.372</v>
      </c>
      <c r="AU15" s="178">
        <f t="shared" si="10"/>
        <v>1483433.471</v>
      </c>
      <c r="AV15" s="178">
        <f t="shared" si="10"/>
        <v>1670322.727</v>
      </c>
      <c r="AW15" s="178">
        <f t="shared" si="10"/>
        <v>1880573.14</v>
      </c>
      <c r="AX15" s="178">
        <f t="shared" si="10"/>
        <v>2102504.132</v>
      </c>
      <c r="AY15" s="178">
        <f t="shared" si="10"/>
        <v>2359476.86</v>
      </c>
      <c r="AZ15" s="178">
        <f t="shared" si="10"/>
        <v>2651491.322</v>
      </c>
      <c r="BA15" s="225"/>
      <c r="BB15" s="226">
        <f t="shared" si="6"/>
        <v>0</v>
      </c>
      <c r="BC15" s="226">
        <f t="shared" si="7"/>
        <v>0</v>
      </c>
      <c r="BD15" s="226">
        <f t="shared" si="8"/>
        <v>4543745.041</v>
      </c>
      <c r="BE15" s="226">
        <f t="shared" si="9"/>
        <v>18210021.9</v>
      </c>
      <c r="BF15" s="226">
        <f>BE15*2</f>
        <v>36420043.8</v>
      </c>
      <c r="BG15" s="227"/>
    </row>
    <row r="16" ht="12.75" customHeight="1">
      <c r="A16" s="61"/>
      <c r="B16" s="232"/>
      <c r="C16" s="233"/>
      <c r="D16" s="234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25"/>
      <c r="BB16" s="226"/>
      <c r="BC16" s="226"/>
      <c r="BD16" s="226"/>
      <c r="BE16" s="226"/>
      <c r="BF16" s="226"/>
      <c r="BG16" s="227"/>
    </row>
    <row r="17" ht="12.75" customHeight="1">
      <c r="A17" s="221"/>
      <c r="B17" s="229" t="s">
        <v>273</v>
      </c>
      <c r="C17" s="221"/>
      <c r="D17" s="221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4"/>
      <c r="BB17" s="181"/>
      <c r="BC17" s="181"/>
      <c r="BD17" s="181"/>
      <c r="BE17" s="181"/>
      <c r="BF17" s="181"/>
      <c r="BG17" s="121"/>
    </row>
    <row r="18" ht="12.75" customHeight="1">
      <c r="A18" s="223"/>
      <c r="B18" s="230" t="s">
        <v>274</v>
      </c>
      <c r="C18" s="223"/>
      <c r="D18" s="223" t="s">
        <v>70</v>
      </c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>
        <f t="array" ref="Q18">IF(YEAR(Q$3)=2026,0,ROUND(EXP(0.11*((YEAR(Q$3)-2027)*12+MONTH(Q$3)-1))/SUMPRODUCT(EXP(0.11*(ROW(INDIRECT("1:24"))-1)))*SUM(Assumptions!$D$24:$E$24),0))</f>
        <v>0</v>
      </c>
      <c r="R18" s="223">
        <f t="array" ref="R18">IF(YEAR(R$3)=2026,0,ROUND(EXP(0.11*((YEAR(R$3)-2027)*12+MONTH(R$3)-1))/SUMPRODUCT(EXP(0.11*(ROW(INDIRECT("1:24"))-1)))*SUM(Assumptions!$D$24:$E$24),0))</f>
        <v>0</v>
      </c>
      <c r="S18" s="223">
        <f t="array" ref="S18">IF(YEAR(S$3)=2026,0,ROUND(EXP(0.11*((YEAR(S$3)-2027)*12+MONTH(S$3)-1))/SUMPRODUCT(EXP(0.11*(ROW(INDIRECT("1:24"))-1)))*SUM(Assumptions!$D$24:$E$24),0))</f>
        <v>0</v>
      </c>
      <c r="T18" s="223">
        <f t="array" ref="T18">IF(YEAR(T$3)=2026,0,ROUND(EXP(0.11*((YEAR(T$3)-2027)*12+MONTH(T$3)-1))/SUMPRODUCT(EXP(0.11*(ROW(INDIRECT("1:24"))-1)))*SUM(Assumptions!$D$24:$E$24),0))</f>
        <v>0</v>
      </c>
      <c r="U18" s="223">
        <f t="array" ref="U18">IF(YEAR(U$3)=2026,0,ROUND(EXP(0.11*((YEAR(U$3)-2027)*12+MONTH(U$3)-1))/SUMPRODUCT(EXP(0.11*(ROW(INDIRECT("1:24"))-1)))*SUM(Assumptions!$D$24:$E$24),0))</f>
        <v>0</v>
      </c>
      <c r="V18" s="223">
        <f t="array" ref="V18">IF(YEAR(V$3)=2026,0,ROUND(EXP(0.11*((YEAR(V$3)-2027)*12+MONTH(V$3)-1))/SUMPRODUCT(EXP(0.11*(ROW(INDIRECT("1:24"))-1)))*SUM(Assumptions!$D$24:$E$24),0))</f>
        <v>0</v>
      </c>
      <c r="W18" s="223">
        <f t="array" ref="W18">IF(YEAR(W$3)=2026,0,ROUND(EXP(0.11*((YEAR(W$3)-2027)*12+MONTH(W$3)-1))/SUMPRODUCT(EXP(0.11*(ROW(INDIRECT("1:24"))-1)))*SUM(Assumptions!$D$24:$E$24),0))</f>
        <v>0</v>
      </c>
      <c r="X18" s="223">
        <f t="array" ref="X18">IF(YEAR(X$3)=2026,0,ROUND(EXP(0.11*((YEAR(X$3)-2027)*12+MONTH(X$3)-1))/SUMPRODUCT(EXP(0.11*(ROW(INDIRECT("1:24"))-1)))*SUM(Assumptions!$D$24:$E$24),0))</f>
        <v>0</v>
      </c>
      <c r="Y18" s="223">
        <f t="array" ref="Y18">IF(YEAR(Y$3)=2026,0,ROUND(EXP(0.11*((YEAR(Y$3)-2027)*12+MONTH(Y$3)-1))/SUMPRODUCT(EXP(0.11*(ROW(INDIRECT("1:24"))-1)))*SUM(Assumptions!$D$24:$E$24),0))</f>
        <v>0</v>
      </c>
      <c r="Z18" s="223">
        <f t="array" ref="Z18">IF(YEAR(Z$3)=2026,0,ROUND(EXP(0.11*((YEAR(Z$3)-2027)*12+MONTH(Z$3)-1))/SUMPRODUCT(EXP(0.11*(ROW(INDIRECT("1:24"))-1)))*SUM(Assumptions!$D$24:$E$24),0))</f>
        <v>0</v>
      </c>
      <c r="AA18" s="223">
        <f t="array" ref="AA18">IF(YEAR(AA$3)=2026,0,ROUND(EXP(0.11*((YEAR(AA$3)-2027)*12+MONTH(AA$3)-1))/SUMPRODUCT(EXP(0.11*(ROW(INDIRECT("1:24"))-1)))*SUM(Assumptions!$D$24:$E$24),0))</f>
        <v>0</v>
      </c>
      <c r="AB18" s="223">
        <f t="array" ref="AB18">IF(YEAR(AB$3)=2026,0,ROUND(EXP(0.11*((YEAR(AB$3)-2027)*12+MONTH(AB$3)-1))/SUMPRODUCT(EXP(0.11*(ROW(INDIRECT("1:24"))-1)))*SUM(Assumptions!$D$24:$E$24),0))</f>
        <v>0</v>
      </c>
      <c r="AC18" s="223">
        <f t="array" ref="AC18">IF(YEAR(AC$3)=2026,0,ROUND(EXP(0.116*((YEAR(AC$3)-2027)*12+MONTH(AC$3)-1))/SUMPRODUCT(EXP(0.116*(ROW(INDIRECT("1:24"))-1)))*SUM(Assumptions!$D$24:$E$24),0))</f>
        <v>16</v>
      </c>
      <c r="AD18" s="223">
        <f t="array" ref="AD18">IF(YEAR(AD$3)=2026,0,ROUND(EXP(0.116*((YEAR(AD$3)-2027)*12+MONTH(AD$3)-1))/SUMPRODUCT(EXP(0.116*(ROW(INDIRECT("1:24"))-1)))*SUM(Assumptions!$D$24:$E$24),0))</f>
        <v>18</v>
      </c>
      <c r="AE18" s="223">
        <f t="array" ref="AE18">IF(YEAR(AE$3)=2026,0,ROUND(EXP(0.116*((YEAR(AE$3)-2027)*12+MONTH(AE$3)-1))/SUMPRODUCT(EXP(0.116*(ROW(INDIRECT("1:24"))-1)))*SUM(Assumptions!$D$24:$E$24),0))</f>
        <v>20</v>
      </c>
      <c r="AF18" s="223">
        <f t="array" ref="AF18">IF(YEAR(AF$3)=2026,0,ROUND(EXP(0.116*((YEAR(AF$3)-2027)*12+MONTH(AF$3)-1))/SUMPRODUCT(EXP(0.116*(ROW(INDIRECT("1:24"))-1)))*SUM(Assumptions!$D$24:$E$24),0))</f>
        <v>22</v>
      </c>
      <c r="AG18" s="223">
        <f t="array" ref="AG18">IF(YEAR(AG$3)=2026,0,ROUND(EXP(0.116*((YEAR(AG$3)-2027)*12+MONTH(AG$3)-1))/SUMPRODUCT(EXP(0.116*(ROW(INDIRECT("1:24"))-1)))*SUM(Assumptions!$D$24:$E$24),0))</f>
        <v>25</v>
      </c>
      <c r="AH18" s="223">
        <f t="array" ref="AH18">IF(YEAR(AH$3)=2026,0,ROUND(EXP(0.116*((YEAR(AH$3)-2027)*12+MONTH(AH$3)-1))/SUMPRODUCT(EXP(0.116*(ROW(INDIRECT("1:24"))-1)))*SUM(Assumptions!$D$24:$E$24),0))</f>
        <v>28</v>
      </c>
      <c r="AI18" s="223">
        <f t="array" ref="AI18">IF(YEAR(AI$3)=2026,0,ROUND(EXP(0.116*((YEAR(AI$3)-2027)*12+MONTH(AI$3)-1))/SUMPRODUCT(EXP(0.116*(ROW(INDIRECT("1:24"))-1)))*SUM(Assumptions!$D$24:$E$24),0))</f>
        <v>32</v>
      </c>
      <c r="AJ18" s="223">
        <f t="array" ref="AJ18">IF(YEAR(AJ$3)=2026,0,ROUND(EXP(0.116*((YEAR(AJ$3)-2027)*12+MONTH(AJ$3)-1))/SUMPRODUCT(EXP(0.116*(ROW(INDIRECT("1:24"))-1)))*SUM(Assumptions!$D$24:$E$24),0))</f>
        <v>36</v>
      </c>
      <c r="AK18" s="223">
        <f t="array" ref="AK18">IF(YEAR(AK$3)=2026,0,ROUND(EXP(0.116*((YEAR(AK$3)-2027)*12+MONTH(AK$3)-1))/SUMPRODUCT(EXP(0.116*(ROW(INDIRECT("1:24"))-1)))*SUM(Assumptions!$D$24:$E$24),0))</f>
        <v>40</v>
      </c>
      <c r="AL18" s="223">
        <f t="array" ref="AL18">IF(YEAR(AL$3)=2026,0,ROUND(EXP(0.116*((YEAR(AL$3)-2027)*12+MONTH(AL$3)-1))/SUMPRODUCT(EXP(0.116*(ROW(INDIRECT("1:24"))-1)))*SUM(Assumptions!$D$24:$E$24),0))</f>
        <v>45</v>
      </c>
      <c r="AM18" s="223">
        <f t="array" ref="AM18">IF(YEAR(AM$3)=2026,0,ROUND(EXP(0.116*((YEAR(AM$3)-2027)*12+MONTH(AM$3)-1))/SUMPRODUCT(EXP(0.116*(ROW(INDIRECT("1:24"))-1)))*SUM(Assumptions!$D$24:$E$24),0))</f>
        <v>50</v>
      </c>
      <c r="AN18" s="223">
        <f t="array" ref="AN18">IF(YEAR(AN$3)=2026,0,ROUND(EXP(0.116*((YEAR(AN$3)-2027)*12+MONTH(AN$3)-1))/SUMPRODUCT(EXP(0.116*(ROW(INDIRECT("1:24"))-1)))*SUM(Assumptions!$D$24:$E$24),0))</f>
        <v>57</v>
      </c>
      <c r="AO18" s="223">
        <f t="array" ref="AO18">IF(YEAR(AO$3)=2026,0,ROUND(EXP(0.1157*((YEAR(AO$3)-2027)*12+MONTH(AO$3)-1))/SUMPRODUCT(EXP(0.1157*(ROW(INDIRECT("1:24"))-1)))*SUM(Assumptions!$D$24:$E$24),0))</f>
        <v>64</v>
      </c>
      <c r="AP18" s="223">
        <f t="array" ref="AP18">IF(YEAR(AP$3)=2026,0,ROUND(EXP(0.1157*((YEAR(AP$3)-2027)*12+MONTH(AP$3)-1))/SUMPRODUCT(EXP(0.1157*(ROW(INDIRECT("1:24"))-1)))*SUM(Assumptions!$D$24:$E$24),0))</f>
        <v>71</v>
      </c>
      <c r="AQ18" s="223">
        <f t="array" ref="AQ18">IF(YEAR(AQ$3)=2026,0,ROUND(EXP(0.1157*((YEAR(AQ$3)-2027)*12+MONTH(AQ$3)-1))/SUMPRODUCT(EXP(0.1157*(ROW(INDIRECT("1:24"))-1)))*SUM(Assumptions!$D$24:$E$24),0))</f>
        <v>80</v>
      </c>
      <c r="AR18" s="223">
        <f t="array" ref="AR18">IF(YEAR(AR$3)=2026,0,ROUND(EXP(0.1157*((YEAR(AR$3)-2027)*12+MONTH(AR$3)-1))/SUMPRODUCT(EXP(0.1157*(ROW(INDIRECT("1:24"))-1)))*SUM(Assumptions!$D$24:$E$24),0))</f>
        <v>90</v>
      </c>
      <c r="AS18" s="223">
        <f t="array" ref="AS18">IF(YEAR(AS$3)=2026,0,ROUND(EXP(0.1157*((YEAR(AS$3)-2027)*12+MONTH(AS$3)-1))/SUMPRODUCT(EXP(0.1157*(ROW(INDIRECT("1:24"))-1)))*SUM(Assumptions!$D$24:$E$24),0))</f>
        <v>101</v>
      </c>
      <c r="AT18" s="223">
        <f t="array" ref="AT18">IF(YEAR(AT$3)=2026,0,ROUND(EXP(0.1157*((YEAR(AT$3)-2027)*12+MONTH(AT$3)-1))/SUMPRODUCT(EXP(0.1157*(ROW(INDIRECT("1:24"))-1)))*SUM(Assumptions!$D$24:$E$24),0))</f>
        <v>113</v>
      </c>
      <c r="AU18" s="223">
        <f t="array" ref="AU18">IF(YEAR(AU$3)=2026,0,ROUND(EXP(0.1157*((YEAR(AU$3)-2027)*12+MONTH(AU$3)-1))/SUMPRODUCT(EXP(0.1157*(ROW(INDIRECT("1:24"))-1)))*SUM(Assumptions!$D$24:$E$24),0))</f>
        <v>127</v>
      </c>
      <c r="AV18" s="223">
        <f t="array" ref="AV18">IF(YEAR(AV$3)=2026,0,ROUND(EXP(0.1157*((YEAR(AV$3)-2027)*12+MONTH(AV$3)-1))/SUMPRODUCT(EXP(0.1157*(ROW(INDIRECT("1:24"))-1)))*SUM(Assumptions!$D$24:$E$24),0))</f>
        <v>143</v>
      </c>
      <c r="AW18" s="223">
        <f t="array" ref="AW18">IF(YEAR(AW$3)=2026,0,ROUND(EXP(0.1157*((YEAR(AW$3)-2027)*12+MONTH(AW$3)-1))/SUMPRODUCT(EXP(0.1157*(ROW(INDIRECT("1:24"))-1)))*SUM(Assumptions!$D$24:$E$24),0))</f>
        <v>161</v>
      </c>
      <c r="AX18" s="223">
        <f t="array" ref="AX18">IF(YEAR(AX$3)=2026,0,ROUND(EXP(0.1157*((YEAR(AX$3)-2027)*12+MONTH(AX$3)-1))/SUMPRODUCT(EXP(0.1157*(ROW(INDIRECT("1:24"))-1)))*SUM(Assumptions!$D$24:$E$24),0))</f>
        <v>180</v>
      </c>
      <c r="AY18" s="223">
        <f t="array" ref="AY18">IF(YEAR(AY$3)=2026,0,ROUND(EXP(0.1157*((YEAR(AY$3)-2027)*12+MONTH(AY$3)-1))/SUMPRODUCT(EXP(0.1157*(ROW(INDIRECT("1:24"))-1)))*SUM(Assumptions!$D$24:$E$24),0))</f>
        <v>202</v>
      </c>
      <c r="AZ18" s="223">
        <f t="array" ref="AZ18">IF(YEAR(AZ$3)=2026,0,ROUND(EXP(0.1157*((YEAR(AZ$3)-2027)*12+MONTH(AZ$3)-1))/SUMPRODUCT(EXP(0.1157*(ROW(INDIRECT("1:24"))-1)))*SUM(Assumptions!$D$24:$E$24),0))</f>
        <v>227</v>
      </c>
      <c r="BA18" s="223"/>
      <c r="BB18" s="223">
        <f t="shared" ref="BB18:BB21" si="11">SUM(E18:P18)</f>
        <v>0</v>
      </c>
      <c r="BC18" s="223">
        <f t="shared" ref="BC18:BC21" si="12">SUM(Q18:AB18)</f>
        <v>0</v>
      </c>
      <c r="BD18" s="223">
        <f t="shared" ref="BD18:BD21" si="13">SUM(AC18:AN18)</f>
        <v>389</v>
      </c>
      <c r="BE18" s="223">
        <f t="shared" ref="BE18:BE21" si="14">SUM(AO18:AZ18)</f>
        <v>1559</v>
      </c>
      <c r="BF18" s="223">
        <f>BE18*2</f>
        <v>3118</v>
      </c>
      <c r="BG18" s="223"/>
    </row>
    <row r="19" ht="12.75" customHeight="1">
      <c r="A19" s="175"/>
      <c r="B19" s="192" t="s">
        <v>275</v>
      </c>
      <c r="C19" s="175"/>
      <c r="D19" s="175" t="s">
        <v>202</v>
      </c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>
        <f>Q18*Assumptions!$C$33</f>
        <v>0</v>
      </c>
      <c r="R19" s="175">
        <f>R18*Assumptions!$C$33</f>
        <v>0</v>
      </c>
      <c r="S19" s="175">
        <f>S18*Assumptions!$C$33</f>
        <v>0</v>
      </c>
      <c r="T19" s="175">
        <f>T18*Assumptions!$C$33</f>
        <v>0</v>
      </c>
      <c r="U19" s="175">
        <f>U18*Assumptions!$C$33</f>
        <v>0</v>
      </c>
      <c r="V19" s="175">
        <f>V18*Assumptions!$C$33</f>
        <v>0</v>
      </c>
      <c r="W19" s="175">
        <f>W18*Assumptions!$C$33</f>
        <v>0</v>
      </c>
      <c r="X19" s="175">
        <f>X18*Assumptions!$C$33</f>
        <v>0</v>
      </c>
      <c r="Y19" s="175">
        <f>Y18*Assumptions!$C$33</f>
        <v>0</v>
      </c>
      <c r="Z19" s="175">
        <f>Z18*Assumptions!$C$33</f>
        <v>0</v>
      </c>
      <c r="AA19" s="175">
        <f>AA18*Assumptions!$C$33</f>
        <v>0</v>
      </c>
      <c r="AB19" s="175">
        <f>AB18*Assumptions!$C$33</f>
        <v>0</v>
      </c>
      <c r="AC19" s="175">
        <f>AC18*Assumptions!$C$33</f>
        <v>227768.595</v>
      </c>
      <c r="AD19" s="175">
        <f>AD18*Assumptions!$C$33</f>
        <v>256239.6694</v>
      </c>
      <c r="AE19" s="175">
        <f>AE18*Assumptions!$C$33</f>
        <v>284710.7438</v>
      </c>
      <c r="AF19" s="175">
        <f>AF18*Assumptions!$C$33</f>
        <v>313181.8182</v>
      </c>
      <c r="AG19" s="175">
        <f>AG18*Assumptions!$C$33</f>
        <v>355888.4298</v>
      </c>
      <c r="AH19" s="175">
        <f>AH18*Assumptions!$C$33</f>
        <v>398595.0413</v>
      </c>
      <c r="AI19" s="175">
        <f>AI18*Assumptions!$C$33</f>
        <v>455537.1901</v>
      </c>
      <c r="AJ19" s="175">
        <f>AJ18*Assumptions!$C$33</f>
        <v>512479.3388</v>
      </c>
      <c r="AK19" s="175">
        <f>AK18*Assumptions!$C$33</f>
        <v>569421.4876</v>
      </c>
      <c r="AL19" s="175">
        <f>AL18*Assumptions!$C$33</f>
        <v>640599.1736</v>
      </c>
      <c r="AM19" s="175">
        <f>AM18*Assumptions!$C$33</f>
        <v>711776.8595</v>
      </c>
      <c r="AN19" s="175">
        <f>AN18*Assumptions!$C$33</f>
        <v>811425.6198</v>
      </c>
      <c r="AO19" s="175">
        <f>AO18*Assumptions!$C$33</f>
        <v>911074.3802</v>
      </c>
      <c r="AP19" s="175">
        <f>AP18*Assumptions!$C$33</f>
        <v>1010723.14</v>
      </c>
      <c r="AQ19" s="175">
        <f>AQ18*Assumptions!$C$33</f>
        <v>1138842.975</v>
      </c>
      <c r="AR19" s="175">
        <f>AR18*Assumptions!$C$33</f>
        <v>1281198.347</v>
      </c>
      <c r="AS19" s="175">
        <f>AS18*Assumptions!$C$33</f>
        <v>1437789.256</v>
      </c>
      <c r="AT19" s="175">
        <f>AT18*Assumptions!$C$33</f>
        <v>1608615.702</v>
      </c>
      <c r="AU19" s="175">
        <f>AU18*Assumptions!$C$33</f>
        <v>1807913.223</v>
      </c>
      <c r="AV19" s="175">
        <f>AV18*Assumptions!$C$33</f>
        <v>2035681.818</v>
      </c>
      <c r="AW19" s="175">
        <f>AW18*Assumptions!$C$33</f>
        <v>2291921.488</v>
      </c>
      <c r="AX19" s="175">
        <f>AX18*Assumptions!$C$33</f>
        <v>2562396.694</v>
      </c>
      <c r="AY19" s="175">
        <f>AY18*Assumptions!$C$33</f>
        <v>2875578.512</v>
      </c>
      <c r="AZ19" s="175">
        <f>AZ18*Assumptions!$C$33</f>
        <v>3231466.942</v>
      </c>
      <c r="BA19" s="175"/>
      <c r="BB19" s="174">
        <f t="shared" si="11"/>
        <v>0</v>
      </c>
      <c r="BC19" s="174">
        <f t="shared" si="12"/>
        <v>0</v>
      </c>
      <c r="BD19" s="174">
        <f t="shared" si="13"/>
        <v>5537623.967</v>
      </c>
      <c r="BE19" s="174">
        <f t="shared" si="14"/>
        <v>22193202.48</v>
      </c>
      <c r="BF19" s="175">
        <f>BF18*Assumptions!$C$33</f>
        <v>44386404.96</v>
      </c>
      <c r="BG19" s="175"/>
    </row>
    <row r="20" ht="12.75" customHeight="1">
      <c r="A20" s="175"/>
      <c r="B20" s="192" t="s">
        <v>276</v>
      </c>
      <c r="C20" s="175"/>
      <c r="D20" s="175" t="s">
        <v>202</v>
      </c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>
        <f>Q18*SUMPRODUCT(Assumptions!$E$116:$E$118,Assumptions!$F$116:$F$118)</f>
        <v>0</v>
      </c>
      <c r="R20" s="175">
        <f>R18*SUMPRODUCT(Assumptions!$E$116:$E$118,Assumptions!$F$116:$F$118)</f>
        <v>0</v>
      </c>
      <c r="S20" s="175">
        <f>S18*SUMPRODUCT(Assumptions!$E$116:$E$118,Assumptions!$F$116:$F$118)</f>
        <v>0</v>
      </c>
      <c r="T20" s="175">
        <f>T18*SUMPRODUCT(Assumptions!$E$116:$E$118,Assumptions!$F$116:$F$118)</f>
        <v>0</v>
      </c>
      <c r="U20" s="175">
        <f>U18*SUMPRODUCT(Assumptions!$E$116:$E$118,Assumptions!$F$116:$F$118)</f>
        <v>0</v>
      </c>
      <c r="V20" s="175">
        <f>V18*SUMPRODUCT(Assumptions!$E$116:$E$118,Assumptions!$F$116:$F$118)</f>
        <v>0</v>
      </c>
      <c r="W20" s="175">
        <f>W18*SUMPRODUCT(Assumptions!$E$116:$E$118,Assumptions!$F$116:$F$118)</f>
        <v>0</v>
      </c>
      <c r="X20" s="175">
        <f>X18*SUMPRODUCT(Assumptions!$E$116:$E$118,Assumptions!$F$116:$F$118)</f>
        <v>0</v>
      </c>
      <c r="Y20" s="175">
        <f>Y18*SUMPRODUCT(Assumptions!$E$116:$E$118,Assumptions!$F$116:$F$118)</f>
        <v>0</v>
      </c>
      <c r="Z20" s="175">
        <f>Z18*SUMPRODUCT(Assumptions!$E$116:$E$118,Assumptions!$F$116:$F$118)</f>
        <v>0</v>
      </c>
      <c r="AA20" s="175">
        <f>AA18*SUMPRODUCT(Assumptions!$E$116:$E$118,Assumptions!$F$116:$F$118)</f>
        <v>0</v>
      </c>
      <c r="AB20" s="175">
        <f>AB18*SUMPRODUCT(Assumptions!$E$116:$E$118,Assumptions!$F$116:$F$118)</f>
        <v>0</v>
      </c>
      <c r="AC20" s="175">
        <f>AC18*SUMPRODUCT(Assumptions!$E$116:$E$118,Assumptions!$F$116:$F$118)</f>
        <v>8046.280992</v>
      </c>
      <c r="AD20" s="175">
        <f>AD18*SUMPRODUCT(Assumptions!$E$116:$E$118,Assumptions!$F$116:$F$118)</f>
        <v>9052.066116</v>
      </c>
      <c r="AE20" s="175">
        <f>AE18*SUMPRODUCT(Assumptions!$E$116:$E$118,Assumptions!$F$116:$F$118)</f>
        <v>10057.85124</v>
      </c>
      <c r="AF20" s="175">
        <f>AF18*SUMPRODUCT(Assumptions!$E$116:$E$118,Assumptions!$F$116:$F$118)</f>
        <v>11063.63636</v>
      </c>
      <c r="AG20" s="175">
        <f>AG18*SUMPRODUCT(Assumptions!$E$116:$E$118,Assumptions!$F$116:$F$118)</f>
        <v>12572.31405</v>
      </c>
      <c r="AH20" s="175">
        <f>AH18*SUMPRODUCT(Assumptions!$E$116:$E$118,Assumptions!$F$116:$F$118)</f>
        <v>14080.99174</v>
      </c>
      <c r="AI20" s="175">
        <f>AI18*SUMPRODUCT(Assumptions!$E$116:$E$118,Assumptions!$F$116:$F$118)</f>
        <v>16092.56198</v>
      </c>
      <c r="AJ20" s="175">
        <f>AJ18*SUMPRODUCT(Assumptions!$E$116:$E$118,Assumptions!$F$116:$F$118)</f>
        <v>18104.13223</v>
      </c>
      <c r="AK20" s="175">
        <f>AK18*SUMPRODUCT(Assumptions!$E$116:$E$118,Assumptions!$F$116:$F$118)</f>
        <v>20115.70248</v>
      </c>
      <c r="AL20" s="175">
        <f>AL18*SUMPRODUCT(Assumptions!$E$116:$E$118,Assumptions!$F$116:$F$118)</f>
        <v>22630.16529</v>
      </c>
      <c r="AM20" s="175">
        <f>AM18*SUMPRODUCT(Assumptions!$E$116:$E$118,Assumptions!$F$116:$F$118)</f>
        <v>25144.6281</v>
      </c>
      <c r="AN20" s="175">
        <f>AN18*SUMPRODUCT(Assumptions!$E$116:$E$118,Assumptions!$F$116:$F$118)</f>
        <v>28664.87603</v>
      </c>
      <c r="AO20" s="175">
        <f>AO18*SUMPRODUCT(Assumptions!$E$116:$E$118,Assumptions!$F$116:$F$118)</f>
        <v>32185.12397</v>
      </c>
      <c r="AP20" s="175">
        <f>AP18*SUMPRODUCT(Assumptions!$E$116:$E$118,Assumptions!$F$116:$F$118)</f>
        <v>35705.3719</v>
      </c>
      <c r="AQ20" s="175">
        <f>AQ18*SUMPRODUCT(Assumptions!$E$116:$E$118,Assumptions!$F$116:$F$118)</f>
        <v>40231.40496</v>
      </c>
      <c r="AR20" s="175">
        <f>AR18*SUMPRODUCT(Assumptions!$E$116:$E$118,Assumptions!$F$116:$F$118)</f>
        <v>45260.33058</v>
      </c>
      <c r="AS20" s="175">
        <f>AS18*SUMPRODUCT(Assumptions!$E$116:$E$118,Assumptions!$F$116:$F$118)</f>
        <v>50792.14876</v>
      </c>
      <c r="AT20" s="175">
        <f>AT18*SUMPRODUCT(Assumptions!$E$116:$E$118,Assumptions!$F$116:$F$118)</f>
        <v>56826.8595</v>
      </c>
      <c r="AU20" s="175">
        <f>AU18*SUMPRODUCT(Assumptions!$E$116:$E$118,Assumptions!$F$116:$F$118)</f>
        <v>63867.35537</v>
      </c>
      <c r="AV20" s="175">
        <f>AV18*SUMPRODUCT(Assumptions!$E$116:$E$118,Assumptions!$F$116:$F$118)</f>
        <v>71913.63636</v>
      </c>
      <c r="AW20" s="175">
        <f>AW18*SUMPRODUCT(Assumptions!$E$116:$E$118,Assumptions!$F$116:$F$118)</f>
        <v>80965.70248</v>
      </c>
      <c r="AX20" s="175">
        <f>AX18*SUMPRODUCT(Assumptions!$E$116:$E$118,Assumptions!$F$116:$F$118)</f>
        <v>90520.66116</v>
      </c>
      <c r="AY20" s="175">
        <f>AY18*SUMPRODUCT(Assumptions!$E$116:$E$118,Assumptions!$F$116:$F$118)</f>
        <v>101584.2975</v>
      </c>
      <c r="AZ20" s="175">
        <f>AZ18*SUMPRODUCT(Assumptions!$E$116:$E$118,Assumptions!$F$116:$F$118)</f>
        <v>114156.6116</v>
      </c>
      <c r="BA20" s="175"/>
      <c r="BB20" s="174">
        <f t="shared" si="11"/>
        <v>0</v>
      </c>
      <c r="BC20" s="174">
        <f t="shared" si="12"/>
        <v>0</v>
      </c>
      <c r="BD20" s="174">
        <f t="shared" si="13"/>
        <v>195625.2066</v>
      </c>
      <c r="BE20" s="174">
        <f t="shared" si="14"/>
        <v>784009.5041</v>
      </c>
      <c r="BF20" s="175">
        <f>BF18*SUMPRODUCT(Assumptions!$E$116:$E$118,Assumptions!$F$116:$F$118)</f>
        <v>1568019.008</v>
      </c>
      <c r="BG20" s="175"/>
    </row>
    <row r="21" ht="12.75" customHeight="1">
      <c r="A21" s="61"/>
      <c r="B21" s="231" t="s">
        <v>277</v>
      </c>
      <c r="C21" s="222"/>
      <c r="D21" s="224" t="s">
        <v>202</v>
      </c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>
        <f t="shared" ref="Q21:AZ21" si="15">sum(Q19:Q20)</f>
        <v>0</v>
      </c>
      <c r="R21" s="178">
        <f t="shared" si="15"/>
        <v>0</v>
      </c>
      <c r="S21" s="178">
        <f t="shared" si="15"/>
        <v>0</v>
      </c>
      <c r="T21" s="178">
        <f t="shared" si="15"/>
        <v>0</v>
      </c>
      <c r="U21" s="178">
        <f t="shared" si="15"/>
        <v>0</v>
      </c>
      <c r="V21" s="178">
        <f t="shared" si="15"/>
        <v>0</v>
      </c>
      <c r="W21" s="178">
        <f t="shared" si="15"/>
        <v>0</v>
      </c>
      <c r="X21" s="178">
        <f t="shared" si="15"/>
        <v>0</v>
      </c>
      <c r="Y21" s="178">
        <f t="shared" si="15"/>
        <v>0</v>
      </c>
      <c r="Z21" s="178">
        <f t="shared" si="15"/>
        <v>0</v>
      </c>
      <c r="AA21" s="178">
        <f t="shared" si="15"/>
        <v>0</v>
      </c>
      <c r="AB21" s="178">
        <f t="shared" si="15"/>
        <v>0</v>
      </c>
      <c r="AC21" s="178">
        <f t="shared" si="15"/>
        <v>235814.876</v>
      </c>
      <c r="AD21" s="178">
        <f t="shared" si="15"/>
        <v>265291.7355</v>
      </c>
      <c r="AE21" s="178">
        <f t="shared" si="15"/>
        <v>294768.595</v>
      </c>
      <c r="AF21" s="178">
        <f t="shared" si="15"/>
        <v>324245.4545</v>
      </c>
      <c r="AG21" s="178">
        <f t="shared" si="15"/>
        <v>368460.7438</v>
      </c>
      <c r="AH21" s="178">
        <f t="shared" si="15"/>
        <v>412676.0331</v>
      </c>
      <c r="AI21" s="178">
        <f t="shared" si="15"/>
        <v>471629.7521</v>
      </c>
      <c r="AJ21" s="178">
        <f t="shared" si="15"/>
        <v>530583.4711</v>
      </c>
      <c r="AK21" s="178">
        <f t="shared" si="15"/>
        <v>589537.1901</v>
      </c>
      <c r="AL21" s="178">
        <f t="shared" si="15"/>
        <v>663229.3388</v>
      </c>
      <c r="AM21" s="178">
        <f t="shared" si="15"/>
        <v>736921.4876</v>
      </c>
      <c r="AN21" s="178">
        <f t="shared" si="15"/>
        <v>840090.4959</v>
      </c>
      <c r="AO21" s="178">
        <f t="shared" si="15"/>
        <v>943259.5041</v>
      </c>
      <c r="AP21" s="178">
        <f t="shared" si="15"/>
        <v>1046428.512</v>
      </c>
      <c r="AQ21" s="178">
        <f t="shared" si="15"/>
        <v>1179074.38</v>
      </c>
      <c r="AR21" s="178">
        <f t="shared" si="15"/>
        <v>1326458.678</v>
      </c>
      <c r="AS21" s="178">
        <f t="shared" si="15"/>
        <v>1488581.405</v>
      </c>
      <c r="AT21" s="178">
        <f t="shared" si="15"/>
        <v>1665442.562</v>
      </c>
      <c r="AU21" s="178">
        <f t="shared" si="15"/>
        <v>1871780.579</v>
      </c>
      <c r="AV21" s="178">
        <f t="shared" si="15"/>
        <v>2107595.455</v>
      </c>
      <c r="AW21" s="178">
        <f t="shared" si="15"/>
        <v>2372887.19</v>
      </c>
      <c r="AX21" s="178">
        <f t="shared" si="15"/>
        <v>2652917.355</v>
      </c>
      <c r="AY21" s="178">
        <f t="shared" si="15"/>
        <v>2977162.81</v>
      </c>
      <c r="AZ21" s="178">
        <f t="shared" si="15"/>
        <v>3345623.554</v>
      </c>
      <c r="BA21" s="225"/>
      <c r="BB21" s="226">
        <f t="shared" si="11"/>
        <v>0</v>
      </c>
      <c r="BC21" s="226">
        <f t="shared" si="12"/>
        <v>0</v>
      </c>
      <c r="BD21" s="226">
        <f t="shared" si="13"/>
        <v>5733249.174</v>
      </c>
      <c r="BE21" s="226">
        <f t="shared" si="14"/>
        <v>22977211.98</v>
      </c>
      <c r="BF21" s="226">
        <f>BE21*2</f>
        <v>45954423.97</v>
      </c>
      <c r="BG21" s="227"/>
    </row>
    <row r="22">
      <c r="A22" s="28"/>
      <c r="B22" s="28"/>
      <c r="C22" s="28"/>
      <c r="D22" s="28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21"/>
    </row>
    <row r="23" ht="13.5" customHeight="1">
      <c r="A23" s="221"/>
      <c r="B23" s="222" t="s">
        <v>278</v>
      </c>
      <c r="C23" s="221"/>
      <c r="D23" s="224" t="s">
        <v>202</v>
      </c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4"/>
      <c r="BB23" s="181"/>
      <c r="BC23" s="181"/>
      <c r="BD23" s="181"/>
      <c r="BE23" s="181"/>
      <c r="BF23" s="181"/>
      <c r="BG23" s="121"/>
    </row>
    <row r="24" ht="15.0" customHeight="1">
      <c r="A24" s="236"/>
      <c r="B24" s="237" t="s">
        <v>279</v>
      </c>
      <c r="C24" s="236"/>
      <c r="D24" s="223" t="s">
        <v>70</v>
      </c>
      <c r="E24" s="238">
        <f t="shared" ref="E24:AZ24" si="16">E6+E12+E18</f>
        <v>0</v>
      </c>
      <c r="F24" s="238">
        <f t="shared" si="16"/>
        <v>0</v>
      </c>
      <c r="G24" s="238">
        <f t="shared" si="16"/>
        <v>0</v>
      </c>
      <c r="H24" s="238">
        <f t="shared" si="16"/>
        <v>0</v>
      </c>
      <c r="I24" s="238">
        <f t="shared" si="16"/>
        <v>0</v>
      </c>
      <c r="J24" s="238">
        <f t="shared" si="16"/>
        <v>0</v>
      </c>
      <c r="K24" s="238">
        <f t="shared" si="16"/>
        <v>0</v>
      </c>
      <c r="L24" s="238">
        <f t="shared" si="16"/>
        <v>0</v>
      </c>
      <c r="M24" s="238">
        <f t="shared" si="16"/>
        <v>0</v>
      </c>
      <c r="N24" s="238">
        <f t="shared" si="16"/>
        <v>0</v>
      </c>
      <c r="O24" s="238">
        <f t="shared" si="16"/>
        <v>0</v>
      </c>
      <c r="P24" s="238">
        <f t="shared" si="16"/>
        <v>0</v>
      </c>
      <c r="Q24" s="223">
        <f t="shared" si="16"/>
        <v>0</v>
      </c>
      <c r="R24" s="223">
        <f t="shared" si="16"/>
        <v>0</v>
      </c>
      <c r="S24" s="223">
        <f t="shared" si="16"/>
        <v>0</v>
      </c>
      <c r="T24" s="223">
        <f t="shared" si="16"/>
        <v>0</v>
      </c>
      <c r="U24" s="223">
        <f t="shared" si="16"/>
        <v>0</v>
      </c>
      <c r="V24" s="223">
        <f t="shared" si="16"/>
        <v>0</v>
      </c>
      <c r="W24" s="223">
        <f t="shared" si="16"/>
        <v>0</v>
      </c>
      <c r="X24" s="223">
        <f t="shared" si="16"/>
        <v>0</v>
      </c>
      <c r="Y24" s="223">
        <f t="shared" si="16"/>
        <v>0</v>
      </c>
      <c r="Z24" s="223">
        <f t="shared" si="16"/>
        <v>0</v>
      </c>
      <c r="AA24" s="223">
        <f t="shared" si="16"/>
        <v>0</v>
      </c>
      <c r="AB24" s="223">
        <f t="shared" si="16"/>
        <v>0</v>
      </c>
      <c r="AC24" s="223">
        <f t="shared" si="16"/>
        <v>63</v>
      </c>
      <c r="AD24" s="223">
        <f t="shared" si="16"/>
        <v>70</v>
      </c>
      <c r="AE24" s="223">
        <f t="shared" si="16"/>
        <v>78</v>
      </c>
      <c r="AF24" s="223">
        <f t="shared" si="16"/>
        <v>85</v>
      </c>
      <c r="AG24" s="223">
        <f t="shared" si="16"/>
        <v>95</v>
      </c>
      <c r="AH24" s="223">
        <f t="shared" si="16"/>
        <v>106</v>
      </c>
      <c r="AI24" s="223">
        <f t="shared" si="16"/>
        <v>118</v>
      </c>
      <c r="AJ24" s="223">
        <f t="shared" si="16"/>
        <v>131</v>
      </c>
      <c r="AK24" s="223">
        <f t="shared" si="16"/>
        <v>145</v>
      </c>
      <c r="AL24" s="223">
        <f t="shared" si="16"/>
        <v>161</v>
      </c>
      <c r="AM24" s="223">
        <f t="shared" si="16"/>
        <v>178</v>
      </c>
      <c r="AN24" s="223">
        <f t="shared" si="16"/>
        <v>200</v>
      </c>
      <c r="AO24" s="223">
        <f t="shared" si="16"/>
        <v>221</v>
      </c>
      <c r="AP24" s="223">
        <f t="shared" si="16"/>
        <v>244</v>
      </c>
      <c r="AQ24" s="223">
        <f t="shared" si="16"/>
        <v>272</v>
      </c>
      <c r="AR24" s="223">
        <f t="shared" si="16"/>
        <v>303</v>
      </c>
      <c r="AS24" s="223">
        <f t="shared" si="16"/>
        <v>337</v>
      </c>
      <c r="AT24" s="223">
        <f t="shared" si="16"/>
        <v>374</v>
      </c>
      <c r="AU24" s="223">
        <f t="shared" si="16"/>
        <v>416</v>
      </c>
      <c r="AV24" s="223">
        <f t="shared" si="16"/>
        <v>463</v>
      </c>
      <c r="AW24" s="223">
        <f t="shared" si="16"/>
        <v>516</v>
      </c>
      <c r="AX24" s="223">
        <f t="shared" si="16"/>
        <v>573</v>
      </c>
      <c r="AY24" s="223">
        <f t="shared" si="16"/>
        <v>637</v>
      </c>
      <c r="AZ24" s="223">
        <f t="shared" si="16"/>
        <v>710</v>
      </c>
      <c r="BA24" s="239"/>
      <c r="BB24" s="239">
        <f t="shared" ref="BB24:BB25" si="17">SUM(E24:P24)</f>
        <v>0</v>
      </c>
      <c r="BC24" s="239">
        <f t="shared" ref="BC24:BC25" si="18">SUM(Q24:AB24)</f>
        <v>0</v>
      </c>
      <c r="BD24" s="239">
        <f t="shared" ref="BD24:BD25" si="19">SUM(AC24:AN24)</f>
        <v>1430</v>
      </c>
      <c r="BE24" s="239">
        <f t="shared" ref="BE24:BE25" si="20">SUM(AO24:AZ24)</f>
        <v>5066</v>
      </c>
      <c r="BF24" s="239">
        <f>BF6+BF12+BF18</f>
        <v>10132</v>
      </c>
      <c r="BG24" s="240"/>
    </row>
    <row r="25" ht="12.75" customHeight="1">
      <c r="A25" s="61"/>
      <c r="B25" s="224" t="s">
        <v>280</v>
      </c>
      <c r="C25" s="222"/>
      <c r="D25" s="224" t="s">
        <v>202</v>
      </c>
      <c r="E25" s="178">
        <f>E6*Assumptions!$C$35+E12*Assumptions!$C$36+E18*Assumptions!$C$37</f>
        <v>0</v>
      </c>
      <c r="F25" s="178">
        <f>F6*Assumptions!$C$35+F12*Assumptions!$C$36+F18*Assumptions!$C$37</f>
        <v>0</v>
      </c>
      <c r="G25" s="178">
        <f>G6*Assumptions!$C$35+G12*Assumptions!$C$36+G18*Assumptions!$C$37</f>
        <v>0</v>
      </c>
      <c r="H25" s="178">
        <f>H6*Assumptions!$C$35+H12*Assumptions!$C$36+H18*Assumptions!$C$37</f>
        <v>0</v>
      </c>
      <c r="I25" s="178">
        <f>I6*Assumptions!$C$35+I12*Assumptions!$C$36+I18*Assumptions!$C$37</f>
        <v>0</v>
      </c>
      <c r="J25" s="178">
        <f>J6*Assumptions!$C$35+J12*Assumptions!$C$36+J18*Assumptions!$C$37</f>
        <v>0</v>
      </c>
      <c r="K25" s="178">
        <f>K6*Assumptions!$C$35+K12*Assumptions!$C$36+K18*Assumptions!$C$37</f>
        <v>0</v>
      </c>
      <c r="L25" s="178">
        <f>L6*Assumptions!$C$35+L12*Assumptions!$C$36+L18*Assumptions!$C$37</f>
        <v>0</v>
      </c>
      <c r="M25" s="178">
        <f>M6*Assumptions!$C$35+M12*Assumptions!$C$36+M18*Assumptions!$C$37</f>
        <v>0</v>
      </c>
      <c r="N25" s="178">
        <f>N6*Assumptions!$C$35+N12*Assumptions!$C$36+N18*Assumptions!$C$37</f>
        <v>0</v>
      </c>
      <c r="O25" s="178">
        <f>O6*Assumptions!$C$35+O12*Assumptions!$C$36+O18*Assumptions!$C$37</f>
        <v>0</v>
      </c>
      <c r="P25" s="178">
        <f>P6*Assumptions!$C$35+P12*Assumptions!$C$36+P18*Assumptions!$C$37</f>
        <v>0</v>
      </c>
      <c r="Q25" s="178">
        <f>Q6*Assumptions!$C$35+Q12*Assumptions!$C$36+Q18*Assumptions!$C$37</f>
        <v>0</v>
      </c>
      <c r="R25" s="178">
        <f>R6*Assumptions!$C$35+R12*Assumptions!$C$36+R18*Assumptions!$C$37</f>
        <v>0</v>
      </c>
      <c r="S25" s="178">
        <f>S6*Assumptions!$C$35+S12*Assumptions!$C$36+S18*Assumptions!$C$37</f>
        <v>0</v>
      </c>
      <c r="T25" s="178">
        <f>T6*Assumptions!$C$35+T12*Assumptions!$C$36+T18*Assumptions!$C$37</f>
        <v>0</v>
      </c>
      <c r="U25" s="178">
        <f>U6*Assumptions!$C$35+U12*Assumptions!$C$36+U18*Assumptions!$C$37</f>
        <v>0</v>
      </c>
      <c r="V25" s="178">
        <f>V6*Assumptions!$C$35+V12*Assumptions!$C$36+V18*Assumptions!$C$37</f>
        <v>0</v>
      </c>
      <c r="W25" s="178">
        <f>W6*Assumptions!$C$35+W12*Assumptions!$C$36+W18*Assumptions!$C$37</f>
        <v>0</v>
      </c>
      <c r="X25" s="178">
        <f>X6*Assumptions!$C$35+X12*Assumptions!$C$36+X18*Assumptions!$C$37</f>
        <v>0</v>
      </c>
      <c r="Y25" s="178">
        <f>Y6*Assumptions!$C$35+Y12*Assumptions!$C$36+Y18*Assumptions!$C$37</f>
        <v>0</v>
      </c>
      <c r="Z25" s="178">
        <f>Z6*Assumptions!$C$35+Z12*Assumptions!$C$36+Z18*Assumptions!$C$37</f>
        <v>0</v>
      </c>
      <c r="AA25" s="178">
        <f>AA6*Assumptions!$C$35+AA12*Assumptions!$C$36+AA18*Assumptions!$C$37</f>
        <v>0</v>
      </c>
      <c r="AB25" s="178">
        <f>AB6*Assumptions!$C$35+AB12*Assumptions!$C$36+AB18*Assumptions!$C$37</f>
        <v>0</v>
      </c>
      <c r="AC25" s="178">
        <f>AC6*Assumptions!$C$35+AC12*Assumptions!$C$36+AC18*Assumptions!$C$37</f>
        <v>172231.405</v>
      </c>
      <c r="AD25" s="178">
        <f>AD6*Assumptions!$C$35+AD12*Assumptions!$C$36+AD18*Assumptions!$C$37</f>
        <v>191735.5372</v>
      </c>
      <c r="AE25" s="178">
        <f>AE6*Assumptions!$C$35+AE12*Assumptions!$C$36+AE18*Assumptions!$C$37</f>
        <v>213553.719</v>
      </c>
      <c r="AF25" s="178">
        <f>AF6*Assumptions!$C$35+AF12*Assumptions!$C$36+AF18*Assumptions!$C$37</f>
        <v>233057.8512</v>
      </c>
      <c r="AG25" s="178">
        <f>AG6*Assumptions!$C$35+AG12*Assumptions!$C$36+AG18*Assumptions!$C$37</f>
        <v>261157.0248</v>
      </c>
      <c r="AH25" s="178">
        <f>AH6*Assumptions!$C$35+AH12*Assumptions!$C$36+AH18*Assumptions!$C$37</f>
        <v>291570.2479</v>
      </c>
      <c r="AI25" s="178">
        <f>AI6*Assumptions!$C$35+AI12*Assumptions!$C$36+AI18*Assumptions!$C$37</f>
        <v>325950.4132</v>
      </c>
      <c r="AJ25" s="178">
        <f>AJ6*Assumptions!$C$35+AJ12*Assumptions!$C$36+AJ18*Assumptions!$C$37</f>
        <v>362644.6281</v>
      </c>
      <c r="AK25" s="178">
        <f>AK6*Assumptions!$C$35+AK12*Assumptions!$C$36+AK18*Assumptions!$C$37</f>
        <v>401652.8926</v>
      </c>
      <c r="AL25" s="178">
        <f>AL6*Assumptions!$C$35+AL12*Assumptions!$C$36+AL18*Assumptions!$C$37</f>
        <v>446942.1488</v>
      </c>
      <c r="AM25" s="178">
        <f>AM6*Assumptions!$C$35+AM12*Assumptions!$C$36+AM18*Assumptions!$C$37</f>
        <v>494545.4545</v>
      </c>
      <c r="AN25" s="178">
        <f>AN6*Assumptions!$C$35+AN12*Assumptions!$C$36+AN18*Assumptions!$C$37</f>
        <v>557024.7934</v>
      </c>
      <c r="AO25" s="178">
        <f>AO6*Assumptions!$C$35+AO12*Assumptions!$C$36+AO18*Assumptions!$C$37</f>
        <v>617190.0826</v>
      </c>
      <c r="AP25" s="178">
        <f>AP6*Assumptions!$C$35+AP12*Assumptions!$C$36+AP18*Assumptions!$C$37</f>
        <v>681983.4711</v>
      </c>
      <c r="AQ25" s="178">
        <f>AQ6*Assumptions!$C$35+AQ12*Assumptions!$C$36+AQ18*Assumptions!$C$37</f>
        <v>761652.8926</v>
      </c>
      <c r="AR25" s="178">
        <f>AR6*Assumptions!$C$35+AR12*Assumptions!$C$36+AR18*Assumptions!$C$37</f>
        <v>849917.3554</v>
      </c>
      <c r="AS25" s="178">
        <f>AS6*Assumptions!$C$35+AS12*Assumptions!$C$36+AS18*Assumptions!$C$37</f>
        <v>946776.8595</v>
      </c>
      <c r="AT25" s="178">
        <f>AT6*Assumptions!$C$35+AT12*Assumptions!$C$36+AT18*Assumptions!$C$37</f>
        <v>1052231.405</v>
      </c>
      <c r="AU25" s="178">
        <f>AU6*Assumptions!$C$35+AU12*Assumptions!$C$36+AU18*Assumptions!$C$37</f>
        <v>1172561.983</v>
      </c>
      <c r="AV25" s="178">
        <f>AV6*Assumptions!$C$35+AV12*Assumptions!$C$36+AV18*Assumptions!$C$37</f>
        <v>1307768.595</v>
      </c>
      <c r="AW25" s="178">
        <f>AW6*Assumptions!$C$35+AW12*Assumptions!$C$36+AW18*Assumptions!$C$37</f>
        <v>1460165.289</v>
      </c>
      <c r="AX25" s="178">
        <f>AX6*Assumptions!$C$35+AX12*Assumptions!$C$36+AX18*Assumptions!$C$37</f>
        <v>1623471.074</v>
      </c>
      <c r="AY25" s="178">
        <f>AY6*Assumptions!$C$35+AY12*Assumptions!$C$36+AY18*Assumptions!$C$37</f>
        <v>1807933.884</v>
      </c>
      <c r="AZ25" s="178">
        <f>AZ6*Assumptions!$C$35+AZ12*Assumptions!$C$36+AZ18*Assumptions!$C$37</f>
        <v>2018181.818</v>
      </c>
      <c r="BA25" s="225"/>
      <c r="BB25" s="226">
        <f t="shared" si="17"/>
        <v>0</v>
      </c>
      <c r="BC25" s="226">
        <f t="shared" si="18"/>
        <v>0</v>
      </c>
      <c r="BD25" s="226">
        <f t="shared" si="19"/>
        <v>3952066.116</v>
      </c>
      <c r="BE25" s="226">
        <f t="shared" si="20"/>
        <v>14299834.71</v>
      </c>
      <c r="BF25" s="226">
        <f>BE25*2</f>
        <v>28599669.42</v>
      </c>
      <c r="BG25" s="227"/>
    </row>
    <row r="26">
      <c r="A26" s="28"/>
      <c r="B26" s="28"/>
      <c r="C26" s="28"/>
      <c r="D26" s="28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21"/>
    </row>
    <row r="27" ht="13.5" customHeight="1">
      <c r="A27" s="221"/>
      <c r="B27" s="222" t="s">
        <v>281</v>
      </c>
      <c r="C27" s="221"/>
      <c r="D27" s="221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4"/>
      <c r="BB27" s="181"/>
      <c r="BC27" s="181"/>
      <c r="BD27" s="181"/>
      <c r="BE27" s="181"/>
      <c r="BF27" s="181"/>
      <c r="BG27" s="121"/>
    </row>
    <row r="28" ht="15.0" customHeight="1">
      <c r="A28" s="236"/>
      <c r="B28" s="237" t="s">
        <v>282</v>
      </c>
      <c r="C28" s="236"/>
      <c r="D28" s="223" t="s">
        <v>70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23">
        <f t="shared" ref="Q28:AC28" si="21">Q6</f>
        <v>0</v>
      </c>
      <c r="R28" s="223">
        <f t="shared" si="21"/>
        <v>0</v>
      </c>
      <c r="S28" s="223">
        <f t="shared" si="21"/>
        <v>0</v>
      </c>
      <c r="T28" s="223">
        <f t="shared" si="21"/>
        <v>0</v>
      </c>
      <c r="U28" s="223">
        <f t="shared" si="21"/>
        <v>0</v>
      </c>
      <c r="V28" s="223">
        <f t="shared" si="21"/>
        <v>0</v>
      </c>
      <c r="W28" s="223">
        <f t="shared" si="21"/>
        <v>0</v>
      </c>
      <c r="X28" s="223">
        <f t="shared" si="21"/>
        <v>0</v>
      </c>
      <c r="Y28" s="223">
        <f t="shared" si="21"/>
        <v>0</v>
      </c>
      <c r="Z28" s="223">
        <f t="shared" si="21"/>
        <v>0</v>
      </c>
      <c r="AA28" s="223">
        <f t="shared" si="21"/>
        <v>0</v>
      </c>
      <c r="AB28" s="223">
        <f t="shared" si="21"/>
        <v>0</v>
      </c>
      <c r="AC28" s="223">
        <f t="shared" si="21"/>
        <v>31</v>
      </c>
      <c r="AD28" s="223">
        <f t="shared" ref="AD28:AZ28" si="22">AC28+AD6</f>
        <v>65</v>
      </c>
      <c r="AE28" s="223">
        <f t="shared" si="22"/>
        <v>103</v>
      </c>
      <c r="AF28" s="223">
        <f t="shared" si="22"/>
        <v>144</v>
      </c>
      <c r="AG28" s="223">
        <f t="shared" si="22"/>
        <v>189</v>
      </c>
      <c r="AH28" s="223">
        <f t="shared" si="22"/>
        <v>239</v>
      </c>
      <c r="AI28" s="223">
        <f t="shared" si="22"/>
        <v>293</v>
      </c>
      <c r="AJ28" s="223">
        <f t="shared" si="22"/>
        <v>352</v>
      </c>
      <c r="AK28" s="223">
        <f t="shared" si="22"/>
        <v>417</v>
      </c>
      <c r="AL28" s="223">
        <f t="shared" si="22"/>
        <v>488</v>
      </c>
      <c r="AM28" s="223">
        <f t="shared" si="22"/>
        <v>566</v>
      </c>
      <c r="AN28" s="223">
        <f t="shared" si="22"/>
        <v>652</v>
      </c>
      <c r="AO28" s="223">
        <f t="shared" si="22"/>
        <v>745</v>
      </c>
      <c r="AP28" s="223">
        <f t="shared" si="22"/>
        <v>847</v>
      </c>
      <c r="AQ28" s="223">
        <f t="shared" si="22"/>
        <v>959</v>
      </c>
      <c r="AR28" s="223">
        <f t="shared" si="22"/>
        <v>1082</v>
      </c>
      <c r="AS28" s="223">
        <f t="shared" si="22"/>
        <v>1217</v>
      </c>
      <c r="AT28" s="223">
        <f t="shared" si="22"/>
        <v>1365</v>
      </c>
      <c r="AU28" s="223">
        <f t="shared" si="22"/>
        <v>1527</v>
      </c>
      <c r="AV28" s="223">
        <f t="shared" si="22"/>
        <v>1704</v>
      </c>
      <c r="AW28" s="223">
        <f t="shared" si="22"/>
        <v>1898</v>
      </c>
      <c r="AX28" s="223">
        <f t="shared" si="22"/>
        <v>2111</v>
      </c>
      <c r="AY28" s="223">
        <f t="shared" si="22"/>
        <v>2344</v>
      </c>
      <c r="AZ28" s="223">
        <f t="shared" si="22"/>
        <v>2600</v>
      </c>
      <c r="BA28" s="239"/>
      <c r="BB28" s="239">
        <f t="shared" ref="BB28:BB31" si="25">SUM(E28:P28)</f>
        <v>0</v>
      </c>
      <c r="BC28" s="239">
        <f t="shared" ref="BC28:BC31" si="26">SUM(Q28:AB28)</f>
        <v>0</v>
      </c>
      <c r="BD28" s="239">
        <f t="shared" ref="BD28:BD30" si="27">AN28</f>
        <v>652</v>
      </c>
      <c r="BE28" s="239">
        <f t="shared" ref="BE28:BE30" si="28">AZ28</f>
        <v>2600</v>
      </c>
      <c r="BF28" s="239">
        <f>BF24*0.4</f>
        <v>4052.8</v>
      </c>
      <c r="BG28" s="240"/>
    </row>
    <row r="29" ht="15.0" customHeight="1">
      <c r="A29" s="236"/>
      <c r="B29" s="241" t="s">
        <v>283</v>
      </c>
      <c r="C29" s="236"/>
      <c r="D29" s="223" t="s">
        <v>70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23">
        <f t="shared" ref="Q29:AC29" si="23">Q12</f>
        <v>0</v>
      </c>
      <c r="R29" s="223">
        <f t="shared" si="23"/>
        <v>0</v>
      </c>
      <c r="S29" s="223">
        <f t="shared" si="23"/>
        <v>0</v>
      </c>
      <c r="T29" s="223">
        <f t="shared" si="23"/>
        <v>0</v>
      </c>
      <c r="U29" s="223">
        <f t="shared" si="23"/>
        <v>0</v>
      </c>
      <c r="V29" s="223">
        <f t="shared" si="23"/>
        <v>0</v>
      </c>
      <c r="W29" s="223">
        <f t="shared" si="23"/>
        <v>0</v>
      </c>
      <c r="X29" s="223">
        <f t="shared" si="23"/>
        <v>0</v>
      </c>
      <c r="Y29" s="223">
        <f t="shared" si="23"/>
        <v>0</v>
      </c>
      <c r="Z29" s="223">
        <f t="shared" si="23"/>
        <v>0</v>
      </c>
      <c r="AA29" s="223">
        <f t="shared" si="23"/>
        <v>0</v>
      </c>
      <c r="AB29" s="223">
        <f t="shared" si="23"/>
        <v>0</v>
      </c>
      <c r="AC29" s="223">
        <f t="shared" si="23"/>
        <v>16</v>
      </c>
      <c r="AD29" s="223">
        <f t="shared" ref="AD29:AZ29" si="24">AC29+AD12</f>
        <v>34</v>
      </c>
      <c r="AE29" s="223">
        <f t="shared" si="24"/>
        <v>54</v>
      </c>
      <c r="AF29" s="223">
        <f t="shared" si="24"/>
        <v>76</v>
      </c>
      <c r="AG29" s="223">
        <f t="shared" si="24"/>
        <v>101</v>
      </c>
      <c r="AH29" s="223">
        <f t="shared" si="24"/>
        <v>129</v>
      </c>
      <c r="AI29" s="223">
        <f t="shared" si="24"/>
        <v>161</v>
      </c>
      <c r="AJ29" s="223">
        <f t="shared" si="24"/>
        <v>197</v>
      </c>
      <c r="AK29" s="223">
        <f t="shared" si="24"/>
        <v>237</v>
      </c>
      <c r="AL29" s="223">
        <f t="shared" si="24"/>
        <v>282</v>
      </c>
      <c r="AM29" s="223">
        <f t="shared" si="24"/>
        <v>332</v>
      </c>
      <c r="AN29" s="223">
        <f t="shared" si="24"/>
        <v>389</v>
      </c>
      <c r="AO29" s="223">
        <f t="shared" si="24"/>
        <v>453</v>
      </c>
      <c r="AP29" s="223">
        <f t="shared" si="24"/>
        <v>524</v>
      </c>
      <c r="AQ29" s="223">
        <f t="shared" si="24"/>
        <v>604</v>
      </c>
      <c r="AR29" s="223">
        <f t="shared" si="24"/>
        <v>694</v>
      </c>
      <c r="AS29" s="223">
        <f t="shared" si="24"/>
        <v>795</v>
      </c>
      <c r="AT29" s="223">
        <f t="shared" si="24"/>
        <v>908</v>
      </c>
      <c r="AU29" s="223">
        <f t="shared" si="24"/>
        <v>1035</v>
      </c>
      <c r="AV29" s="223">
        <f t="shared" si="24"/>
        <v>1178</v>
      </c>
      <c r="AW29" s="223">
        <f t="shared" si="24"/>
        <v>1339</v>
      </c>
      <c r="AX29" s="223">
        <f t="shared" si="24"/>
        <v>1519</v>
      </c>
      <c r="AY29" s="223">
        <f t="shared" si="24"/>
        <v>1721</v>
      </c>
      <c r="AZ29" s="223">
        <f t="shared" si="24"/>
        <v>1948</v>
      </c>
      <c r="BA29" s="239"/>
      <c r="BB29" s="239">
        <f t="shared" si="25"/>
        <v>0</v>
      </c>
      <c r="BC29" s="239">
        <f t="shared" si="26"/>
        <v>0</v>
      </c>
      <c r="BD29" s="239">
        <f t="shared" si="27"/>
        <v>389</v>
      </c>
      <c r="BE29" s="239">
        <f t="shared" si="28"/>
        <v>1948</v>
      </c>
      <c r="BF29" s="239">
        <f>BF24*0.3</f>
        <v>3039.6</v>
      </c>
      <c r="BG29" s="121"/>
    </row>
    <row r="30" ht="15.0" customHeight="1">
      <c r="A30" s="236"/>
      <c r="B30" s="241" t="s">
        <v>284</v>
      </c>
      <c r="C30" s="236"/>
      <c r="D30" s="223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23">
        <f t="shared" ref="Q30:AC30" si="29">Q18</f>
        <v>0</v>
      </c>
      <c r="R30" s="223">
        <f t="shared" si="29"/>
        <v>0</v>
      </c>
      <c r="S30" s="223">
        <f t="shared" si="29"/>
        <v>0</v>
      </c>
      <c r="T30" s="223">
        <f t="shared" si="29"/>
        <v>0</v>
      </c>
      <c r="U30" s="223">
        <f t="shared" si="29"/>
        <v>0</v>
      </c>
      <c r="V30" s="223">
        <f t="shared" si="29"/>
        <v>0</v>
      </c>
      <c r="W30" s="223">
        <f t="shared" si="29"/>
        <v>0</v>
      </c>
      <c r="X30" s="223">
        <f t="shared" si="29"/>
        <v>0</v>
      </c>
      <c r="Y30" s="223">
        <f t="shared" si="29"/>
        <v>0</v>
      </c>
      <c r="Z30" s="223">
        <f t="shared" si="29"/>
        <v>0</v>
      </c>
      <c r="AA30" s="223">
        <f t="shared" si="29"/>
        <v>0</v>
      </c>
      <c r="AB30" s="223">
        <f t="shared" si="29"/>
        <v>0</v>
      </c>
      <c r="AC30" s="223">
        <f t="shared" si="29"/>
        <v>16</v>
      </c>
      <c r="AD30" s="223">
        <f t="shared" ref="AD30:AZ30" si="30">AC30+AD18</f>
        <v>34</v>
      </c>
      <c r="AE30" s="223">
        <f t="shared" si="30"/>
        <v>54</v>
      </c>
      <c r="AF30" s="223">
        <f t="shared" si="30"/>
        <v>76</v>
      </c>
      <c r="AG30" s="223">
        <f t="shared" si="30"/>
        <v>101</v>
      </c>
      <c r="AH30" s="223">
        <f t="shared" si="30"/>
        <v>129</v>
      </c>
      <c r="AI30" s="223">
        <f t="shared" si="30"/>
        <v>161</v>
      </c>
      <c r="AJ30" s="223">
        <f t="shared" si="30"/>
        <v>197</v>
      </c>
      <c r="AK30" s="223">
        <f t="shared" si="30"/>
        <v>237</v>
      </c>
      <c r="AL30" s="223">
        <f t="shared" si="30"/>
        <v>282</v>
      </c>
      <c r="AM30" s="223">
        <f t="shared" si="30"/>
        <v>332</v>
      </c>
      <c r="AN30" s="223">
        <f t="shared" si="30"/>
        <v>389</v>
      </c>
      <c r="AO30" s="223">
        <f t="shared" si="30"/>
        <v>453</v>
      </c>
      <c r="AP30" s="223">
        <f t="shared" si="30"/>
        <v>524</v>
      </c>
      <c r="AQ30" s="223">
        <f t="shared" si="30"/>
        <v>604</v>
      </c>
      <c r="AR30" s="223">
        <f t="shared" si="30"/>
        <v>694</v>
      </c>
      <c r="AS30" s="223">
        <f t="shared" si="30"/>
        <v>795</v>
      </c>
      <c r="AT30" s="223">
        <f t="shared" si="30"/>
        <v>908</v>
      </c>
      <c r="AU30" s="223">
        <f t="shared" si="30"/>
        <v>1035</v>
      </c>
      <c r="AV30" s="223">
        <f t="shared" si="30"/>
        <v>1178</v>
      </c>
      <c r="AW30" s="223">
        <f t="shared" si="30"/>
        <v>1339</v>
      </c>
      <c r="AX30" s="223">
        <f t="shared" si="30"/>
        <v>1519</v>
      </c>
      <c r="AY30" s="223">
        <f t="shared" si="30"/>
        <v>1721</v>
      </c>
      <c r="AZ30" s="223">
        <f t="shared" si="30"/>
        <v>1948</v>
      </c>
      <c r="BA30" s="239"/>
      <c r="BB30" s="239">
        <f t="shared" si="25"/>
        <v>0</v>
      </c>
      <c r="BC30" s="239">
        <f t="shared" si="26"/>
        <v>0</v>
      </c>
      <c r="BD30" s="239">
        <f t="shared" si="27"/>
        <v>389</v>
      </c>
      <c r="BE30" s="239">
        <f t="shared" si="28"/>
        <v>1948</v>
      </c>
      <c r="BF30" s="239">
        <f>BF24*0.3</f>
        <v>3039.6</v>
      </c>
      <c r="BG30" s="121"/>
    </row>
    <row r="31" ht="12.75" customHeight="1">
      <c r="A31" s="61"/>
      <c r="B31" s="224" t="s">
        <v>285</v>
      </c>
      <c r="C31" s="222"/>
      <c r="D31" s="224" t="s">
        <v>202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>
        <f>Q41*SUMPRODUCT(Assumptions!$E$128:$E$129,Assumptions!$F$128:$F$129)</f>
        <v>0</v>
      </c>
      <c r="R31" s="178">
        <f>R41*SUMPRODUCT(Assumptions!$E$128:$E$129,Assumptions!$F$128:$F$129)</f>
        <v>0</v>
      </c>
      <c r="S31" s="178">
        <f>S41*SUMPRODUCT(Assumptions!$E$128:$E$129,Assumptions!$F$128:$F$129)</f>
        <v>0</v>
      </c>
      <c r="T31" s="178">
        <f>T41*SUMPRODUCT(Assumptions!$E$128:$E$129,Assumptions!$F$128:$F$129)</f>
        <v>0</v>
      </c>
      <c r="U31" s="178">
        <f>U41*SUMPRODUCT(Assumptions!$E$128:$E$129,Assumptions!$F$128:$F$129)</f>
        <v>0</v>
      </c>
      <c r="V31" s="178">
        <f>V41*SUMPRODUCT(Assumptions!$E$128:$E$129,Assumptions!$F$128:$F$129)</f>
        <v>0</v>
      </c>
      <c r="W31" s="178">
        <f>W41*SUMPRODUCT(Assumptions!$E$128:$E$129,Assumptions!$F$128:$F$129)</f>
        <v>0</v>
      </c>
      <c r="X31" s="178">
        <f>X41*SUMPRODUCT(Assumptions!$E$128:$E$129,Assumptions!$F$128:$F$129)</f>
        <v>0</v>
      </c>
      <c r="Y31" s="178">
        <f>Y41*SUMPRODUCT(Assumptions!$E$128:$E$129,Assumptions!$F$128:$F$129)</f>
        <v>0</v>
      </c>
      <c r="Z31" s="178">
        <f>Z41*SUMPRODUCT(Assumptions!$E$128:$E$129,Assumptions!$F$128:$F$129)</f>
        <v>0</v>
      </c>
      <c r="AA31" s="178">
        <f>AA41*SUMPRODUCT(Assumptions!$E$128:$E$129,Assumptions!$F$128:$F$129)</f>
        <v>0</v>
      </c>
      <c r="AB31" s="178">
        <f>AB41*SUMPRODUCT(Assumptions!$E$128:$E$129,Assumptions!$F$128:$F$129)</f>
        <v>0</v>
      </c>
      <c r="AC31" s="178">
        <f>AC41*SUMPRODUCT(Assumptions!$E$128:$E$129,Assumptions!$F$128:$F$129)+Q31</f>
        <v>4347</v>
      </c>
      <c r="AD31" s="178">
        <f>AD41*SUMPRODUCT(Assumptions!$E$128:$E$129,Assumptions!$F$128:$F$129)+R31</f>
        <v>4830</v>
      </c>
      <c r="AE31" s="178">
        <f>AE41*SUMPRODUCT(Assumptions!$E$128:$E$129,Assumptions!$F$128:$F$129)+S31</f>
        <v>5382</v>
      </c>
      <c r="AF31" s="178">
        <f>AF41*SUMPRODUCT(Assumptions!$E$128:$E$129,Assumptions!$F$128:$F$129)+T31</f>
        <v>5865</v>
      </c>
      <c r="AG31" s="178">
        <f>AG41*SUMPRODUCT(Assumptions!$E$128:$E$129,Assumptions!$F$128:$F$129)+U31</f>
        <v>6555</v>
      </c>
      <c r="AH31" s="178">
        <f>AH41*SUMPRODUCT(Assumptions!$E$128:$E$129,Assumptions!$F$128:$F$129)+V31</f>
        <v>7314</v>
      </c>
      <c r="AI31" s="178">
        <f>AI41*SUMPRODUCT(Assumptions!$E$128:$E$129,Assumptions!$F$128:$F$129)+W31</f>
        <v>8142</v>
      </c>
      <c r="AJ31" s="178">
        <f>AJ41*SUMPRODUCT(Assumptions!$E$128:$E$129,Assumptions!$F$128:$F$129)+X31</f>
        <v>9039</v>
      </c>
      <c r="AK31" s="178">
        <f>AK41*SUMPRODUCT(Assumptions!$E$128:$E$129,Assumptions!$F$128:$F$129)+Y31</f>
        <v>10005</v>
      </c>
      <c r="AL31" s="178">
        <f>AL41*SUMPRODUCT(Assumptions!$E$128:$E$129,Assumptions!$F$128:$F$129)+Z31</f>
        <v>11109</v>
      </c>
      <c r="AM31" s="178">
        <f>AM41*SUMPRODUCT(Assumptions!$E$128:$E$129,Assumptions!$F$128:$F$129)+AA31</f>
        <v>12282</v>
      </c>
      <c r="AN31" s="178">
        <f>AN41*SUMPRODUCT(Assumptions!$E$128:$E$129,Assumptions!$F$128:$F$129)+AB31</f>
        <v>13800</v>
      </c>
      <c r="AO31" s="178">
        <f>AO41*SUMPRODUCT(Assumptions!$E$128:$E$129,Assumptions!$F$128:$F$129)+AC31</f>
        <v>19596</v>
      </c>
      <c r="AP31" s="178">
        <f>AP41*SUMPRODUCT(Assumptions!$E$128:$E$129,Assumptions!$F$128:$F$129)+AD31</f>
        <v>21666</v>
      </c>
      <c r="AQ31" s="178">
        <f>AQ41*SUMPRODUCT(Assumptions!$E$128:$E$129,Assumptions!$F$128:$F$129)+AE31</f>
        <v>24150</v>
      </c>
      <c r="AR31" s="178">
        <f>AR41*SUMPRODUCT(Assumptions!$E$128:$E$129,Assumptions!$F$128:$F$129)+AF31</f>
        <v>26772</v>
      </c>
      <c r="AS31" s="178">
        <f>AS41*SUMPRODUCT(Assumptions!$E$128:$E$129,Assumptions!$F$128:$F$129)+AG31</f>
        <v>29808</v>
      </c>
      <c r="AT31" s="178">
        <f>AT41*SUMPRODUCT(Assumptions!$E$128:$E$129,Assumptions!$F$128:$F$129)+AH31</f>
        <v>33120</v>
      </c>
      <c r="AU31" s="178">
        <f>AU41*SUMPRODUCT(Assumptions!$E$128:$E$129,Assumptions!$F$128:$F$129)+AI31</f>
        <v>36846</v>
      </c>
      <c r="AV31" s="178">
        <f>AV41*SUMPRODUCT(Assumptions!$E$128:$E$129,Assumptions!$F$128:$F$129)+AJ31</f>
        <v>40986</v>
      </c>
      <c r="AW31" s="178">
        <f>AW41*SUMPRODUCT(Assumptions!$E$128:$E$129,Assumptions!$F$128:$F$129)+AK31</f>
        <v>45609</v>
      </c>
      <c r="AX31" s="178">
        <f>AX41*SUMPRODUCT(Assumptions!$E$128:$E$129,Assumptions!$F$128:$F$129)+AL31</f>
        <v>50646</v>
      </c>
      <c r="AY31" s="178">
        <f>AY41*SUMPRODUCT(Assumptions!$E$128:$E$129,Assumptions!$F$128:$F$129)+AM31</f>
        <v>56235</v>
      </c>
      <c r="AZ31" s="178">
        <f>AZ41*SUMPRODUCT(Assumptions!$E$128:$E$129,Assumptions!$F$128:$F$129)+AN31</f>
        <v>62790</v>
      </c>
      <c r="BA31" s="225"/>
      <c r="BB31" s="226">
        <f t="shared" si="25"/>
        <v>0</v>
      </c>
      <c r="BC31" s="226">
        <f t="shared" si="26"/>
        <v>0</v>
      </c>
      <c r="BD31" s="226">
        <f>SUM(AC31:AN31)</f>
        <v>98670</v>
      </c>
      <c r="BE31" s="226">
        <f>SUM(AO31:AZ31)</f>
        <v>448224</v>
      </c>
      <c r="BF31" s="226">
        <f>(BE31*2)+BE31</f>
        <v>1344672</v>
      </c>
      <c r="BG31" s="121"/>
    </row>
    <row r="32" ht="13.5" customHeight="1">
      <c r="A32" s="92"/>
      <c r="C32" s="28"/>
      <c r="D32" s="28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21"/>
    </row>
    <row r="33" ht="13.5" customHeight="1">
      <c r="A33" s="178"/>
      <c r="B33" s="178" t="s">
        <v>286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21"/>
    </row>
    <row r="34" ht="15.0" customHeight="1">
      <c r="A34" s="28"/>
      <c r="B34" s="48" t="s">
        <v>287</v>
      </c>
      <c r="C34" s="28"/>
      <c r="D34" s="175" t="s">
        <v>202</v>
      </c>
      <c r="E34" s="175">
        <v>0.0</v>
      </c>
      <c r="F34" s="175">
        <v>0.0</v>
      </c>
      <c r="G34" s="175">
        <v>0.0</v>
      </c>
      <c r="H34" s="175">
        <v>0.0</v>
      </c>
      <c r="I34" s="175">
        <v>0.0</v>
      </c>
      <c r="J34" s="175">
        <v>0.0</v>
      </c>
      <c r="K34" s="175">
        <v>0.0</v>
      </c>
      <c r="L34" s="175">
        <v>0.0</v>
      </c>
      <c r="M34" s="175">
        <v>0.0</v>
      </c>
      <c r="N34" s="175">
        <v>19480.0</v>
      </c>
      <c r="O34" s="175">
        <v>78000.0</v>
      </c>
      <c r="P34" s="175">
        <v>0.0</v>
      </c>
      <c r="Q34" s="175">
        <v>0.0</v>
      </c>
      <c r="R34" s="175">
        <v>0.0</v>
      </c>
      <c r="S34" s="175">
        <v>0.0</v>
      </c>
      <c r="T34" s="175">
        <v>0.0</v>
      </c>
      <c r="U34" s="175">
        <v>0.0</v>
      </c>
      <c r="V34" s="175">
        <v>106782.0</v>
      </c>
      <c r="W34" s="175">
        <v>0.0</v>
      </c>
      <c r="X34" s="175">
        <v>0.0</v>
      </c>
      <c r="Y34" s="175">
        <v>0.0</v>
      </c>
      <c r="Z34" s="175">
        <v>0.0</v>
      </c>
      <c r="AA34" s="175">
        <v>0.0</v>
      </c>
      <c r="AB34" s="175">
        <v>0.0</v>
      </c>
      <c r="AC34" s="175">
        <v>0.0</v>
      </c>
      <c r="AD34" s="175">
        <v>0.0</v>
      </c>
      <c r="AE34" s="175">
        <v>0.0</v>
      </c>
      <c r="AF34" s="175">
        <v>0.0</v>
      </c>
      <c r="AG34" s="175">
        <v>0.0</v>
      </c>
      <c r="AH34" s="175">
        <v>0.0</v>
      </c>
      <c r="AI34" s="175">
        <v>0.0</v>
      </c>
      <c r="AJ34" s="175">
        <v>0.0</v>
      </c>
      <c r="AK34" s="175">
        <v>0.0</v>
      </c>
      <c r="AL34" s="175">
        <v>0.0</v>
      </c>
      <c r="AM34" s="175">
        <v>0.0</v>
      </c>
      <c r="AN34" s="175">
        <v>0.0</v>
      </c>
      <c r="AO34" s="175">
        <v>0.0</v>
      </c>
      <c r="AP34" s="175">
        <v>0.0</v>
      </c>
      <c r="AQ34" s="175">
        <v>0.0</v>
      </c>
      <c r="AR34" s="175">
        <v>0.0</v>
      </c>
      <c r="AS34" s="175">
        <v>0.0</v>
      </c>
      <c r="AT34" s="175">
        <v>0.0</v>
      </c>
      <c r="AU34" s="175">
        <v>0.0</v>
      </c>
      <c r="AV34" s="175">
        <v>0.0</v>
      </c>
      <c r="AW34" s="175">
        <v>0.0</v>
      </c>
      <c r="AX34" s="175">
        <v>0.0</v>
      </c>
      <c r="AY34" s="175">
        <v>0.0</v>
      </c>
      <c r="AZ34" s="175">
        <v>0.0</v>
      </c>
      <c r="BA34" s="174"/>
      <c r="BB34" s="174">
        <f t="shared" ref="BB34:BB35" si="32">SUM(E34:P34)</f>
        <v>97480</v>
      </c>
      <c r="BC34" s="174">
        <f t="shared" ref="BC34:BC35" si="33">SUM(Q34:AB34)</f>
        <v>106782</v>
      </c>
      <c r="BD34" s="174">
        <f>SUM(AC34:AN34)</f>
        <v>0</v>
      </c>
      <c r="BE34" s="174">
        <f>SUM(AO34:AZ34)</f>
        <v>0</v>
      </c>
      <c r="BF34" s="174">
        <v>0.0</v>
      </c>
      <c r="BG34" s="121"/>
    </row>
    <row r="35" ht="12.75" customHeight="1">
      <c r="A35" s="61"/>
      <c r="B35" s="242" t="s">
        <v>288</v>
      </c>
      <c r="C35" s="243"/>
      <c r="D35" s="224" t="s">
        <v>202</v>
      </c>
      <c r="E35" s="199">
        <f t="shared" ref="E35:AZ35" si="31">sum(E34)</f>
        <v>0</v>
      </c>
      <c r="F35" s="199">
        <f t="shared" si="31"/>
        <v>0</v>
      </c>
      <c r="G35" s="199">
        <f t="shared" si="31"/>
        <v>0</v>
      </c>
      <c r="H35" s="199">
        <f t="shared" si="31"/>
        <v>0</v>
      </c>
      <c r="I35" s="199">
        <f t="shared" si="31"/>
        <v>0</v>
      </c>
      <c r="J35" s="199">
        <f t="shared" si="31"/>
        <v>0</v>
      </c>
      <c r="K35" s="199">
        <f t="shared" si="31"/>
        <v>0</v>
      </c>
      <c r="L35" s="199">
        <f t="shared" si="31"/>
        <v>0</v>
      </c>
      <c r="M35" s="199">
        <f t="shared" si="31"/>
        <v>0</v>
      </c>
      <c r="N35" s="199">
        <f t="shared" si="31"/>
        <v>19480</v>
      </c>
      <c r="O35" s="199">
        <f t="shared" si="31"/>
        <v>78000</v>
      </c>
      <c r="P35" s="199">
        <f t="shared" si="31"/>
        <v>0</v>
      </c>
      <c r="Q35" s="199">
        <f t="shared" si="31"/>
        <v>0</v>
      </c>
      <c r="R35" s="199">
        <f t="shared" si="31"/>
        <v>0</v>
      </c>
      <c r="S35" s="199">
        <f t="shared" si="31"/>
        <v>0</v>
      </c>
      <c r="T35" s="199">
        <f t="shared" si="31"/>
        <v>0</v>
      </c>
      <c r="U35" s="199">
        <f t="shared" si="31"/>
        <v>0</v>
      </c>
      <c r="V35" s="199">
        <f t="shared" si="31"/>
        <v>106782</v>
      </c>
      <c r="W35" s="199">
        <f t="shared" si="31"/>
        <v>0</v>
      </c>
      <c r="X35" s="199">
        <f t="shared" si="31"/>
        <v>0</v>
      </c>
      <c r="Y35" s="199">
        <f t="shared" si="31"/>
        <v>0</v>
      </c>
      <c r="Z35" s="199">
        <f t="shared" si="31"/>
        <v>0</v>
      </c>
      <c r="AA35" s="199">
        <f t="shared" si="31"/>
        <v>0</v>
      </c>
      <c r="AB35" s="199">
        <f t="shared" si="31"/>
        <v>0</v>
      </c>
      <c r="AC35" s="199">
        <f t="shared" si="31"/>
        <v>0</v>
      </c>
      <c r="AD35" s="199">
        <f t="shared" si="31"/>
        <v>0</v>
      </c>
      <c r="AE35" s="199">
        <f t="shared" si="31"/>
        <v>0</v>
      </c>
      <c r="AF35" s="199">
        <f t="shared" si="31"/>
        <v>0</v>
      </c>
      <c r="AG35" s="199">
        <f t="shared" si="31"/>
        <v>0</v>
      </c>
      <c r="AH35" s="199">
        <f t="shared" si="31"/>
        <v>0</v>
      </c>
      <c r="AI35" s="199">
        <f t="shared" si="31"/>
        <v>0</v>
      </c>
      <c r="AJ35" s="199">
        <f t="shared" si="31"/>
        <v>0</v>
      </c>
      <c r="AK35" s="199">
        <f t="shared" si="31"/>
        <v>0</v>
      </c>
      <c r="AL35" s="199">
        <f t="shared" si="31"/>
        <v>0</v>
      </c>
      <c r="AM35" s="199">
        <f t="shared" si="31"/>
        <v>0</v>
      </c>
      <c r="AN35" s="199">
        <f t="shared" si="31"/>
        <v>0</v>
      </c>
      <c r="AO35" s="199">
        <f t="shared" si="31"/>
        <v>0</v>
      </c>
      <c r="AP35" s="199">
        <f t="shared" si="31"/>
        <v>0</v>
      </c>
      <c r="AQ35" s="199">
        <f t="shared" si="31"/>
        <v>0</v>
      </c>
      <c r="AR35" s="199">
        <f t="shared" si="31"/>
        <v>0</v>
      </c>
      <c r="AS35" s="199">
        <f t="shared" si="31"/>
        <v>0</v>
      </c>
      <c r="AT35" s="199">
        <f t="shared" si="31"/>
        <v>0</v>
      </c>
      <c r="AU35" s="199">
        <f t="shared" si="31"/>
        <v>0</v>
      </c>
      <c r="AV35" s="199">
        <f t="shared" si="31"/>
        <v>0</v>
      </c>
      <c r="AW35" s="199">
        <f t="shared" si="31"/>
        <v>0</v>
      </c>
      <c r="AX35" s="199">
        <f t="shared" si="31"/>
        <v>0</v>
      </c>
      <c r="AY35" s="199">
        <f t="shared" si="31"/>
        <v>0</v>
      </c>
      <c r="AZ35" s="199">
        <f t="shared" si="31"/>
        <v>0</v>
      </c>
      <c r="BA35" s="225"/>
      <c r="BB35" s="201">
        <f t="shared" si="32"/>
        <v>97480</v>
      </c>
      <c r="BC35" s="244">
        <f t="shared" si="33"/>
        <v>106782</v>
      </c>
      <c r="BD35" s="244">
        <f t="shared" ref="BD35:BF35" si="34">BD34</f>
        <v>0</v>
      </c>
      <c r="BE35" s="244">
        <f t="shared" si="34"/>
        <v>0</v>
      </c>
      <c r="BF35" s="244">
        <f t="shared" si="34"/>
        <v>0</v>
      </c>
      <c r="BG35" s="121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35"/>
    </row>
    <row r="37" ht="15.75" customHeight="1">
      <c r="A37" s="245"/>
      <c r="B37" s="246" t="s">
        <v>289</v>
      </c>
      <c r="C37" s="245"/>
      <c r="D37" s="245"/>
      <c r="E37" s="247">
        <f t="shared" ref="E37:AZ37" si="35">E9+E15+E21+E25+E31+E35</f>
        <v>0</v>
      </c>
      <c r="F37" s="247">
        <f t="shared" si="35"/>
        <v>0</v>
      </c>
      <c r="G37" s="247">
        <f t="shared" si="35"/>
        <v>0</v>
      </c>
      <c r="H37" s="247">
        <f t="shared" si="35"/>
        <v>0</v>
      </c>
      <c r="I37" s="247">
        <f t="shared" si="35"/>
        <v>0</v>
      </c>
      <c r="J37" s="247">
        <f t="shared" si="35"/>
        <v>0</v>
      </c>
      <c r="K37" s="247">
        <f t="shared" si="35"/>
        <v>0</v>
      </c>
      <c r="L37" s="247">
        <f t="shared" si="35"/>
        <v>0</v>
      </c>
      <c r="M37" s="247">
        <f t="shared" si="35"/>
        <v>0</v>
      </c>
      <c r="N37" s="247">
        <f t="shared" si="35"/>
        <v>19480</v>
      </c>
      <c r="O37" s="247">
        <f t="shared" si="35"/>
        <v>78000</v>
      </c>
      <c r="P37" s="247">
        <f t="shared" si="35"/>
        <v>0</v>
      </c>
      <c r="Q37" s="247">
        <f t="shared" si="35"/>
        <v>0</v>
      </c>
      <c r="R37" s="247">
        <f t="shared" si="35"/>
        <v>0</v>
      </c>
      <c r="S37" s="247">
        <f t="shared" si="35"/>
        <v>0</v>
      </c>
      <c r="T37" s="247">
        <f t="shared" si="35"/>
        <v>0</v>
      </c>
      <c r="U37" s="247">
        <f t="shared" si="35"/>
        <v>0</v>
      </c>
      <c r="V37" s="247">
        <f t="shared" si="35"/>
        <v>106782</v>
      </c>
      <c r="W37" s="247">
        <f t="shared" si="35"/>
        <v>0</v>
      </c>
      <c r="X37" s="247">
        <f t="shared" si="35"/>
        <v>0</v>
      </c>
      <c r="Y37" s="247">
        <f t="shared" si="35"/>
        <v>0</v>
      </c>
      <c r="Z37" s="247">
        <f t="shared" si="35"/>
        <v>0</v>
      </c>
      <c r="AA37" s="247">
        <f t="shared" si="35"/>
        <v>0</v>
      </c>
      <c r="AB37" s="247">
        <f t="shared" si="35"/>
        <v>0</v>
      </c>
      <c r="AC37" s="247">
        <f t="shared" si="35"/>
        <v>891566.4215</v>
      </c>
      <c r="AD37" s="247">
        <f t="shared" si="35"/>
        <v>992677.1074</v>
      </c>
      <c r="AE37" s="247">
        <f t="shared" si="35"/>
        <v>1105599.355</v>
      </c>
      <c r="AF37" s="247">
        <f t="shared" si="35"/>
        <v>1206710.041</v>
      </c>
      <c r="AG37" s="247">
        <f t="shared" si="35"/>
        <v>1352470.289</v>
      </c>
      <c r="AH37" s="247">
        <f t="shared" si="35"/>
        <v>1510042.099</v>
      </c>
      <c r="AI37" s="247">
        <f t="shared" si="35"/>
        <v>1688640.347</v>
      </c>
      <c r="AJ37" s="247">
        <f t="shared" si="35"/>
        <v>1879050.157</v>
      </c>
      <c r="AK37" s="247">
        <f t="shared" si="35"/>
        <v>2081271.529</v>
      </c>
      <c r="AL37" s="247">
        <f t="shared" si="35"/>
        <v>2316330.901</v>
      </c>
      <c r="AM37" s="247">
        <f t="shared" si="35"/>
        <v>2563201.835</v>
      </c>
      <c r="AN37" s="247">
        <f t="shared" si="35"/>
        <v>2887560.331</v>
      </c>
      <c r="AO37" s="247">
        <f t="shared" si="35"/>
        <v>3204454.264</v>
      </c>
      <c r="AP37" s="247">
        <f t="shared" si="35"/>
        <v>3541107.322</v>
      </c>
      <c r="AQ37" s="247">
        <f t="shared" si="35"/>
        <v>3955316.942</v>
      </c>
      <c r="AR37" s="247">
        <f t="shared" si="35"/>
        <v>4414107.124</v>
      </c>
      <c r="AS37" s="247">
        <f t="shared" si="35"/>
        <v>4917753.868</v>
      </c>
      <c r="AT37" s="247">
        <f t="shared" si="35"/>
        <v>5466119.174</v>
      </c>
      <c r="AU37" s="247">
        <f t="shared" si="35"/>
        <v>6092041.041</v>
      </c>
      <c r="AV37" s="247">
        <f t="shared" si="35"/>
        <v>6795519.471</v>
      </c>
      <c r="AW37" s="247">
        <f t="shared" si="35"/>
        <v>7588366.025</v>
      </c>
      <c r="AX37" s="247">
        <f t="shared" si="35"/>
        <v>8437811.702</v>
      </c>
      <c r="AY37" s="247">
        <f t="shared" si="35"/>
        <v>9397651.942</v>
      </c>
      <c r="AZ37" s="247">
        <f t="shared" si="35"/>
        <v>10491785.87</v>
      </c>
      <c r="BA37" s="101"/>
      <c r="BB37" s="247">
        <f t="shared" ref="BB37:BC37" si="36">BB9+BB15+BB21+BB25+BB31+BB35</f>
        <v>97480</v>
      </c>
      <c r="BC37" s="247">
        <f t="shared" si="36"/>
        <v>106782</v>
      </c>
      <c r="BD37" s="247">
        <f>SUM(AC37:AN37)</f>
        <v>20475120.41</v>
      </c>
      <c r="BE37" s="247">
        <f>SUM(AO37:AZ37)</f>
        <v>74302034.74</v>
      </c>
      <c r="BF37" s="247">
        <f>BF9+BF15+BF21+BF25+BF31+BF35</f>
        <v>149052293.5</v>
      </c>
      <c r="BG37" s="191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35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35"/>
    </row>
    <row r="40" ht="15.75" customHeight="1" outlineLevel="1">
      <c r="A40" s="61"/>
      <c r="B40" s="61" t="s">
        <v>290</v>
      </c>
      <c r="C40" s="61"/>
      <c r="D40" s="61"/>
      <c r="E40" s="225">
        <f t="shared" ref="E40:AZ40" si="37">sum(E28:E30)</f>
        <v>0</v>
      </c>
      <c r="F40" s="225">
        <f t="shared" si="37"/>
        <v>0</v>
      </c>
      <c r="G40" s="225">
        <f t="shared" si="37"/>
        <v>0</v>
      </c>
      <c r="H40" s="225">
        <f t="shared" si="37"/>
        <v>0</v>
      </c>
      <c r="I40" s="225">
        <f t="shared" si="37"/>
        <v>0</v>
      </c>
      <c r="J40" s="225">
        <f t="shared" si="37"/>
        <v>0</v>
      </c>
      <c r="K40" s="225">
        <f t="shared" si="37"/>
        <v>0</v>
      </c>
      <c r="L40" s="225">
        <f t="shared" si="37"/>
        <v>0</v>
      </c>
      <c r="M40" s="225">
        <f t="shared" si="37"/>
        <v>0</v>
      </c>
      <c r="N40" s="225">
        <f t="shared" si="37"/>
        <v>0</v>
      </c>
      <c r="O40" s="225">
        <f t="shared" si="37"/>
        <v>0</v>
      </c>
      <c r="P40" s="225">
        <f t="shared" si="37"/>
        <v>0</v>
      </c>
      <c r="Q40" s="225">
        <f t="shared" si="37"/>
        <v>0</v>
      </c>
      <c r="R40" s="225">
        <f t="shared" si="37"/>
        <v>0</v>
      </c>
      <c r="S40" s="225">
        <f t="shared" si="37"/>
        <v>0</v>
      </c>
      <c r="T40" s="225">
        <f t="shared" si="37"/>
        <v>0</v>
      </c>
      <c r="U40" s="225">
        <f t="shared" si="37"/>
        <v>0</v>
      </c>
      <c r="V40" s="225">
        <f t="shared" si="37"/>
        <v>0</v>
      </c>
      <c r="W40" s="225">
        <f t="shared" si="37"/>
        <v>0</v>
      </c>
      <c r="X40" s="225">
        <f t="shared" si="37"/>
        <v>0</v>
      </c>
      <c r="Y40" s="225">
        <f t="shared" si="37"/>
        <v>0</v>
      </c>
      <c r="Z40" s="225">
        <f t="shared" si="37"/>
        <v>0</v>
      </c>
      <c r="AA40" s="225">
        <f t="shared" si="37"/>
        <v>0</v>
      </c>
      <c r="AB40" s="225">
        <f t="shared" si="37"/>
        <v>0</v>
      </c>
      <c r="AC40" s="225">
        <f t="shared" si="37"/>
        <v>63</v>
      </c>
      <c r="AD40" s="225">
        <f t="shared" si="37"/>
        <v>133</v>
      </c>
      <c r="AE40" s="225">
        <f t="shared" si="37"/>
        <v>211</v>
      </c>
      <c r="AF40" s="225">
        <f t="shared" si="37"/>
        <v>296</v>
      </c>
      <c r="AG40" s="225">
        <f t="shared" si="37"/>
        <v>391</v>
      </c>
      <c r="AH40" s="225">
        <f t="shared" si="37"/>
        <v>497</v>
      </c>
      <c r="AI40" s="225">
        <f t="shared" si="37"/>
        <v>615</v>
      </c>
      <c r="AJ40" s="225">
        <f t="shared" si="37"/>
        <v>746</v>
      </c>
      <c r="AK40" s="225">
        <f t="shared" si="37"/>
        <v>891</v>
      </c>
      <c r="AL40" s="225">
        <f t="shared" si="37"/>
        <v>1052</v>
      </c>
      <c r="AM40" s="225">
        <f t="shared" si="37"/>
        <v>1230</v>
      </c>
      <c r="AN40" s="225">
        <f t="shared" si="37"/>
        <v>1430</v>
      </c>
      <c r="AO40" s="225">
        <f t="shared" si="37"/>
        <v>1651</v>
      </c>
      <c r="AP40" s="225">
        <f t="shared" si="37"/>
        <v>1895</v>
      </c>
      <c r="AQ40" s="225">
        <f t="shared" si="37"/>
        <v>2167</v>
      </c>
      <c r="AR40" s="225">
        <f t="shared" si="37"/>
        <v>2470</v>
      </c>
      <c r="AS40" s="225">
        <f t="shared" si="37"/>
        <v>2807</v>
      </c>
      <c r="AT40" s="225">
        <f t="shared" si="37"/>
        <v>3181</v>
      </c>
      <c r="AU40" s="225">
        <f t="shared" si="37"/>
        <v>3597</v>
      </c>
      <c r="AV40" s="225">
        <f t="shared" si="37"/>
        <v>4060</v>
      </c>
      <c r="AW40" s="225">
        <f t="shared" si="37"/>
        <v>4576</v>
      </c>
      <c r="AX40" s="225">
        <f t="shared" si="37"/>
        <v>5149</v>
      </c>
      <c r="AY40" s="225">
        <f t="shared" si="37"/>
        <v>5786</v>
      </c>
      <c r="AZ40" s="225">
        <f t="shared" si="37"/>
        <v>6496</v>
      </c>
      <c r="BA40" s="61"/>
      <c r="BB40" s="225">
        <f t="shared" ref="BB40:BF40" si="38">sum(BB28:BB30)</f>
        <v>0</v>
      </c>
      <c r="BC40" s="225">
        <f t="shared" si="38"/>
        <v>0</v>
      </c>
      <c r="BD40" s="225">
        <f t="shared" si="38"/>
        <v>1430</v>
      </c>
      <c r="BE40" s="225">
        <f t="shared" si="38"/>
        <v>6496</v>
      </c>
      <c r="BF40" s="225">
        <f t="shared" si="38"/>
        <v>10132</v>
      </c>
      <c r="BG40" s="96"/>
    </row>
    <row r="41" ht="15.75" customHeight="1" outlineLevel="1">
      <c r="A41" s="61"/>
      <c r="B41" s="61" t="s">
        <v>46</v>
      </c>
      <c r="C41" s="61"/>
      <c r="D41" s="61" t="s">
        <v>70</v>
      </c>
      <c r="E41" s="225">
        <f t="shared" ref="E41:AZ41" si="39">E6+E12+E18</f>
        <v>0</v>
      </c>
      <c r="F41" s="225">
        <f t="shared" si="39"/>
        <v>0</v>
      </c>
      <c r="G41" s="225">
        <f t="shared" si="39"/>
        <v>0</v>
      </c>
      <c r="H41" s="225">
        <f t="shared" si="39"/>
        <v>0</v>
      </c>
      <c r="I41" s="225">
        <f t="shared" si="39"/>
        <v>0</v>
      </c>
      <c r="J41" s="225">
        <f t="shared" si="39"/>
        <v>0</v>
      </c>
      <c r="K41" s="225">
        <f t="shared" si="39"/>
        <v>0</v>
      </c>
      <c r="L41" s="225">
        <f t="shared" si="39"/>
        <v>0</v>
      </c>
      <c r="M41" s="225">
        <f t="shared" si="39"/>
        <v>0</v>
      </c>
      <c r="N41" s="225">
        <f t="shared" si="39"/>
        <v>0</v>
      </c>
      <c r="O41" s="225">
        <f t="shared" si="39"/>
        <v>0</v>
      </c>
      <c r="P41" s="225">
        <f t="shared" si="39"/>
        <v>0</v>
      </c>
      <c r="Q41" s="225">
        <f t="shared" si="39"/>
        <v>0</v>
      </c>
      <c r="R41" s="225">
        <f t="shared" si="39"/>
        <v>0</v>
      </c>
      <c r="S41" s="225">
        <f t="shared" si="39"/>
        <v>0</v>
      </c>
      <c r="T41" s="225">
        <f t="shared" si="39"/>
        <v>0</v>
      </c>
      <c r="U41" s="225">
        <f t="shared" si="39"/>
        <v>0</v>
      </c>
      <c r="V41" s="225">
        <f t="shared" si="39"/>
        <v>0</v>
      </c>
      <c r="W41" s="225">
        <f t="shared" si="39"/>
        <v>0</v>
      </c>
      <c r="X41" s="225">
        <f t="shared" si="39"/>
        <v>0</v>
      </c>
      <c r="Y41" s="225">
        <f t="shared" si="39"/>
        <v>0</v>
      </c>
      <c r="Z41" s="225">
        <f t="shared" si="39"/>
        <v>0</v>
      </c>
      <c r="AA41" s="225">
        <f t="shared" si="39"/>
        <v>0</v>
      </c>
      <c r="AB41" s="225">
        <f t="shared" si="39"/>
        <v>0</v>
      </c>
      <c r="AC41" s="225">
        <f t="shared" si="39"/>
        <v>63</v>
      </c>
      <c r="AD41" s="225">
        <f t="shared" si="39"/>
        <v>70</v>
      </c>
      <c r="AE41" s="225">
        <f t="shared" si="39"/>
        <v>78</v>
      </c>
      <c r="AF41" s="225">
        <f t="shared" si="39"/>
        <v>85</v>
      </c>
      <c r="AG41" s="225">
        <f t="shared" si="39"/>
        <v>95</v>
      </c>
      <c r="AH41" s="225">
        <f t="shared" si="39"/>
        <v>106</v>
      </c>
      <c r="AI41" s="225">
        <f t="shared" si="39"/>
        <v>118</v>
      </c>
      <c r="AJ41" s="225">
        <f t="shared" si="39"/>
        <v>131</v>
      </c>
      <c r="AK41" s="225">
        <f t="shared" si="39"/>
        <v>145</v>
      </c>
      <c r="AL41" s="225">
        <f t="shared" si="39"/>
        <v>161</v>
      </c>
      <c r="AM41" s="225">
        <f t="shared" si="39"/>
        <v>178</v>
      </c>
      <c r="AN41" s="225">
        <f t="shared" si="39"/>
        <v>200</v>
      </c>
      <c r="AO41" s="225">
        <f t="shared" si="39"/>
        <v>221</v>
      </c>
      <c r="AP41" s="225">
        <f t="shared" si="39"/>
        <v>244</v>
      </c>
      <c r="AQ41" s="225">
        <f t="shared" si="39"/>
        <v>272</v>
      </c>
      <c r="AR41" s="225">
        <f t="shared" si="39"/>
        <v>303</v>
      </c>
      <c r="AS41" s="225">
        <f t="shared" si="39"/>
        <v>337</v>
      </c>
      <c r="AT41" s="225">
        <f t="shared" si="39"/>
        <v>374</v>
      </c>
      <c r="AU41" s="225">
        <f t="shared" si="39"/>
        <v>416</v>
      </c>
      <c r="AV41" s="225">
        <f t="shared" si="39"/>
        <v>463</v>
      </c>
      <c r="AW41" s="225">
        <f t="shared" si="39"/>
        <v>516</v>
      </c>
      <c r="AX41" s="225">
        <f t="shared" si="39"/>
        <v>573</v>
      </c>
      <c r="AY41" s="225">
        <f t="shared" si="39"/>
        <v>637</v>
      </c>
      <c r="AZ41" s="225">
        <f t="shared" si="39"/>
        <v>710</v>
      </c>
      <c r="BA41" s="225"/>
      <c r="BB41" s="225">
        <v>0.0</v>
      </c>
      <c r="BC41" s="225">
        <v>0.0</v>
      </c>
      <c r="BD41" s="225">
        <f>SUM(AC41:AN41)</f>
        <v>1430</v>
      </c>
      <c r="BE41" s="225">
        <f>SUM(AO41:AZ41)</f>
        <v>5066</v>
      </c>
      <c r="BF41" s="225">
        <f>BF24</f>
        <v>10132</v>
      </c>
      <c r="BG41" s="227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35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197"/>
      <c r="BF43" s="28"/>
      <c r="BG43" s="35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197"/>
      <c r="BF44" s="28"/>
      <c r="BG44" s="35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Y45" s="28"/>
      <c r="AZ45" s="28"/>
      <c r="BA45" s="28"/>
      <c r="BB45" s="28"/>
      <c r="BC45" s="28"/>
      <c r="BD45" s="197"/>
      <c r="BE45" s="197"/>
      <c r="BF45" s="28"/>
      <c r="BG45" s="35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197"/>
      <c r="BE46" s="197"/>
      <c r="BF46" s="28"/>
      <c r="BG46" s="35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35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35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35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35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35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35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35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35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35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35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35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35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35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35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35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35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35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35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35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35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35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35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35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35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35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35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35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35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35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35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35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35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35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35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35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35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35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35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35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35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35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35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35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35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35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35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35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35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35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35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35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35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35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35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35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35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35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35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35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35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35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35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35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35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35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35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35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35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35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35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35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35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35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35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35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35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35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35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35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35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35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35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35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35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35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35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35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35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35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35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35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35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35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35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35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35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35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35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35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35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35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35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35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35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35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35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35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35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35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35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35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35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35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35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35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35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35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35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35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35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35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35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35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35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35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35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35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35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35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35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35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35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35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35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35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35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35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35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35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35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35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35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35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35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35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35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35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35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35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35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35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35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35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35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35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35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35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35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35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35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35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35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35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35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35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35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35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35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35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35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35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35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35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35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35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35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35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35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35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35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35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35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35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35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35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35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35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35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35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35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35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35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35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35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3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Col="1"/>
  <cols>
    <col customWidth="1" min="1" max="1" width="2.0"/>
    <col customWidth="1" min="2" max="2" width="37.57"/>
    <col customWidth="1" min="3" max="3" width="12.0"/>
    <col customWidth="1" min="4" max="4" width="2.57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10.14"/>
    <col customWidth="1" min="33" max="33" width="9.86"/>
    <col customWidth="1" min="34" max="34" width="10.0"/>
    <col customWidth="1" min="35" max="35" width="10.14"/>
    <col customWidth="1" min="36" max="36" width="10.43"/>
    <col customWidth="1" min="37" max="37" width="10.29"/>
    <col customWidth="1" min="38" max="38" width="10.43"/>
    <col customWidth="1" min="39" max="40" width="10.57"/>
    <col customWidth="1" min="41" max="42" width="10.43"/>
    <col customWidth="1" min="43" max="44" width="10.86"/>
    <col customWidth="1" min="45" max="45" width="11.0"/>
    <col customWidth="1" min="46" max="46" width="10.0"/>
    <col customWidth="1" min="47" max="48" width="10.86"/>
    <col customWidth="1" min="49" max="49" width="10.57"/>
    <col customWidth="1" min="50" max="50" width="10.71"/>
    <col customWidth="1" min="51" max="51" width="10.43"/>
    <col customWidth="1" min="52" max="52" width="10.57"/>
    <col customWidth="1" min="53" max="53" width="17.43"/>
    <col customWidth="1" hidden="1" min="54" max="54" width="14.43"/>
    <col customWidth="1" min="55" max="55" width="6.14"/>
    <col customWidth="1" min="56" max="56" width="10.86"/>
    <col customWidth="1" min="57" max="57" width="11.29"/>
    <col customWidth="1" min="58" max="58" width="11.71" outlineLevel="1"/>
  </cols>
  <sheetData>
    <row r="1" ht="15.75" customHeight="1">
      <c r="A1" s="156"/>
      <c r="B1" s="153" t="s">
        <v>291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74"/>
      <c r="BB1" s="156"/>
      <c r="BC1" s="158"/>
      <c r="BD1" s="158"/>
      <c r="BE1" s="158"/>
      <c r="BF1" s="158"/>
      <c r="BG1" s="160"/>
    </row>
    <row r="2" ht="13.5" customHeight="1">
      <c r="A2" s="156"/>
      <c r="B2" s="156"/>
      <c r="C2" s="156"/>
      <c r="D2" s="156"/>
      <c r="E2" s="248">
        <v>2025.0</v>
      </c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163" t="s">
        <v>196</v>
      </c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163" t="s">
        <v>197</v>
      </c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163" t="s">
        <v>198</v>
      </c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174"/>
      <c r="BB2" s="156"/>
      <c r="BC2" s="249"/>
      <c r="BD2" s="249"/>
      <c r="BE2" s="249"/>
      <c r="BF2" s="156"/>
      <c r="BG2" s="160"/>
    </row>
    <row r="3" ht="13.5" customHeight="1">
      <c r="A3" s="156"/>
      <c r="B3" s="156"/>
      <c r="C3" s="156"/>
      <c r="D3" s="156"/>
      <c r="E3" s="171">
        <v>45658.0</v>
      </c>
      <c r="F3" s="171">
        <v>45689.0</v>
      </c>
      <c r="G3" s="171">
        <v>45717.0</v>
      </c>
      <c r="H3" s="171">
        <v>45748.0</v>
      </c>
      <c r="I3" s="171">
        <v>45778.0</v>
      </c>
      <c r="J3" s="171">
        <v>45809.0</v>
      </c>
      <c r="K3" s="171">
        <v>45839.0</v>
      </c>
      <c r="L3" s="171">
        <v>45870.0</v>
      </c>
      <c r="M3" s="171">
        <v>45901.0</v>
      </c>
      <c r="N3" s="171">
        <v>45931.0</v>
      </c>
      <c r="O3" s="171">
        <v>45962.0</v>
      </c>
      <c r="P3" s="171">
        <v>45992.0</v>
      </c>
      <c r="Q3" s="171">
        <v>46023.0</v>
      </c>
      <c r="R3" s="171">
        <v>46054.0</v>
      </c>
      <c r="S3" s="171">
        <v>46082.0</v>
      </c>
      <c r="T3" s="171">
        <v>46113.0</v>
      </c>
      <c r="U3" s="171">
        <v>46143.0</v>
      </c>
      <c r="V3" s="171">
        <v>46174.0</v>
      </c>
      <c r="W3" s="171">
        <v>46204.0</v>
      </c>
      <c r="X3" s="171">
        <v>46235.0</v>
      </c>
      <c r="Y3" s="171">
        <v>46266.0</v>
      </c>
      <c r="Z3" s="171">
        <v>46296.0</v>
      </c>
      <c r="AA3" s="171">
        <v>46327.0</v>
      </c>
      <c r="AB3" s="171">
        <v>46357.0</v>
      </c>
      <c r="AC3" s="171">
        <v>46388.0</v>
      </c>
      <c r="AD3" s="171">
        <v>46419.0</v>
      </c>
      <c r="AE3" s="171">
        <v>46447.0</v>
      </c>
      <c r="AF3" s="171">
        <v>46478.0</v>
      </c>
      <c r="AG3" s="171">
        <v>46508.0</v>
      </c>
      <c r="AH3" s="171">
        <v>46539.0</v>
      </c>
      <c r="AI3" s="171">
        <v>46569.0</v>
      </c>
      <c r="AJ3" s="171">
        <v>46600.0</v>
      </c>
      <c r="AK3" s="171">
        <v>46631.0</v>
      </c>
      <c r="AL3" s="171">
        <v>46661.0</v>
      </c>
      <c r="AM3" s="171">
        <v>46692.0</v>
      </c>
      <c r="AN3" s="171">
        <v>46722.0</v>
      </c>
      <c r="AO3" s="171">
        <v>46753.0</v>
      </c>
      <c r="AP3" s="171">
        <v>46784.0</v>
      </c>
      <c r="AQ3" s="171">
        <v>46813.0</v>
      </c>
      <c r="AR3" s="171">
        <v>46844.0</v>
      </c>
      <c r="AS3" s="171">
        <v>46874.0</v>
      </c>
      <c r="AT3" s="171">
        <v>46905.0</v>
      </c>
      <c r="AU3" s="171">
        <v>46935.0</v>
      </c>
      <c r="AV3" s="171">
        <v>46966.0</v>
      </c>
      <c r="AW3" s="171">
        <v>46997.0</v>
      </c>
      <c r="AX3" s="171">
        <v>47027.0</v>
      </c>
      <c r="AY3" s="171">
        <v>47058.0</v>
      </c>
      <c r="AZ3" s="171">
        <v>47088.0</v>
      </c>
      <c r="BA3" s="174"/>
      <c r="BB3" s="249">
        <v>2025.0</v>
      </c>
      <c r="BC3" s="249">
        <v>2026.0</v>
      </c>
      <c r="BD3" s="249">
        <v>2027.0</v>
      </c>
      <c r="BE3" s="249">
        <v>2028.0</v>
      </c>
      <c r="BF3" s="249">
        <v>2029.0</v>
      </c>
      <c r="BG3" s="160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21"/>
    </row>
    <row r="5" ht="13.5" customHeight="1">
      <c r="A5" s="35"/>
      <c r="B5" s="62"/>
      <c r="C5" s="35"/>
      <c r="D5" s="35"/>
      <c r="E5" s="35"/>
      <c r="F5" s="35"/>
      <c r="G5" s="35"/>
      <c r="H5" s="35"/>
      <c r="I5" s="35"/>
      <c r="J5" s="35"/>
      <c r="K5" s="35"/>
      <c r="L5" s="35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74"/>
      <c r="BB5" s="174"/>
      <c r="BC5" s="174"/>
      <c r="BD5" s="174"/>
      <c r="BE5" s="174"/>
      <c r="BF5" s="174"/>
      <c r="BG5" s="121"/>
    </row>
    <row r="6" ht="13.5" customHeight="1">
      <c r="A6" s="221"/>
      <c r="B6" s="224" t="s">
        <v>47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4"/>
      <c r="BB6" s="179"/>
      <c r="BC6" s="181"/>
      <c r="BD6" s="181"/>
      <c r="BE6" s="181"/>
      <c r="BF6" s="181"/>
      <c r="BG6" s="121"/>
    </row>
    <row r="7" ht="15.0" customHeight="1">
      <c r="A7" s="28"/>
      <c r="B7" s="48" t="s">
        <v>47</v>
      </c>
      <c r="C7" s="28"/>
      <c r="D7" s="209" t="s">
        <v>202</v>
      </c>
      <c r="E7" s="250"/>
      <c r="F7" s="250"/>
      <c r="G7" s="250"/>
      <c r="H7" s="250"/>
      <c r="I7" s="250"/>
      <c r="J7" s="250"/>
      <c r="K7" s="250"/>
      <c r="L7" s="250"/>
      <c r="M7" s="175"/>
      <c r="N7" s="175"/>
      <c r="O7" s="175"/>
      <c r="P7" s="175"/>
      <c r="Q7" s="175">
        <f>IFNA('Revenue Forecast'!Q6*VLOOKUP('Revenue Forecast'!$BD$41+'Revenue Forecast'!$BE$41,Assumptions!$B$70:$C$72,2,TRUE),0)</f>
        <v>0</v>
      </c>
      <c r="R7" s="175">
        <f>IFNA('Revenue Forecast'!R6*VLOOKUP('Revenue Forecast'!$BD$41+'Revenue Forecast'!$BE$41,Assumptions!$B$70:$C$72,2,TRUE),0)</f>
        <v>0</v>
      </c>
      <c r="S7" s="175">
        <f>IFNA('Revenue Forecast'!S6*VLOOKUP('Revenue Forecast'!$BD$41+'Revenue Forecast'!$BE$41,Assumptions!$B$70:$C$72,2,TRUE),0)</f>
        <v>0</v>
      </c>
      <c r="T7" s="175">
        <f>IFNA('Revenue Forecast'!T6*VLOOKUP('Revenue Forecast'!$BD$41+'Revenue Forecast'!$BE$41,Assumptions!$B$70:$C$72,2,TRUE),0)</f>
        <v>0</v>
      </c>
      <c r="U7" s="175">
        <f>IFNA('Revenue Forecast'!U6*VLOOKUP('Revenue Forecast'!$BD$41+'Revenue Forecast'!$BE$41,Assumptions!$B$70:$C$72,2,TRUE),0)</f>
        <v>0</v>
      </c>
      <c r="V7" s="175">
        <f>IFNA('Revenue Forecast'!V6*VLOOKUP('Revenue Forecast'!$BD$41+'Revenue Forecast'!$BE$41,Assumptions!$B$70:$C$72,2,TRUE),0)</f>
        <v>0</v>
      </c>
      <c r="W7" s="175">
        <f>IFNA('Revenue Forecast'!W6*VLOOKUP('Revenue Forecast'!$BD$41+'Revenue Forecast'!$BE$41,Assumptions!$B$70:$C$72,2,TRUE),0)</f>
        <v>0</v>
      </c>
      <c r="X7" s="175">
        <f>IFNA('Revenue Forecast'!X6*VLOOKUP('Revenue Forecast'!$BD$41+'Revenue Forecast'!$BE$41,Assumptions!$B$70:$C$72,2,TRUE),0)</f>
        <v>0</v>
      </c>
      <c r="Y7" s="175">
        <f>IFNA('Revenue Forecast'!Y6*VLOOKUP('Revenue Forecast'!$BD$41+'Revenue Forecast'!$BE$41,Assumptions!$B$70:$C$72,2,TRUE),0)</f>
        <v>0</v>
      </c>
      <c r="Z7" s="175">
        <f>IFNA('Revenue Forecast'!Z6*VLOOKUP('Revenue Forecast'!$BD$41+'Revenue Forecast'!$BE$41,Assumptions!$B$70:$C$72,2,TRUE),0)</f>
        <v>0</v>
      </c>
      <c r="AA7" s="175">
        <f>IFNA('Revenue Forecast'!AA6*VLOOKUP('Revenue Forecast'!$BD$41+'Revenue Forecast'!$BE$41,Assumptions!$B$70:$C$72,2,TRUE),0)</f>
        <v>0</v>
      </c>
      <c r="AB7" s="175">
        <f>IFNA('Revenue Forecast'!AB6*VLOOKUP('Revenue Forecast'!$BD$41+'Revenue Forecast'!$BE$41,Assumptions!$B$70:$C$72,2,TRUE),0)</f>
        <v>0</v>
      </c>
      <c r="AC7" s="175">
        <f>IFNA('Revenue Forecast'!AC6*VLOOKUP('Revenue Forecast'!$BD$41+'Revenue Forecast'!$BE$41,Assumptions!$B$70:$C$72,2,TRUE),0)</f>
        <v>219462.764</v>
      </c>
      <c r="AD7" s="175">
        <f>IFNA('Revenue Forecast'!AD6*VLOOKUP('Revenue Forecast'!$BD$41+'Revenue Forecast'!$BE$41,Assumptions!$B$70:$C$72,2,TRUE),0)</f>
        <v>240701.096</v>
      </c>
      <c r="AE7" s="175">
        <f>IFNA('Revenue Forecast'!AE6*VLOOKUP('Revenue Forecast'!$BD$41+'Revenue Forecast'!$BE$41,Assumptions!$B$70:$C$72,2,TRUE),0)</f>
        <v>269018.872</v>
      </c>
      <c r="AF7" s="175">
        <f>IFNA('Revenue Forecast'!AF6*VLOOKUP('Revenue Forecast'!$BD$41+'Revenue Forecast'!$BE$41,Assumptions!$B$70:$C$72,2,TRUE),0)</f>
        <v>290257.204</v>
      </c>
      <c r="AG7" s="175">
        <f>IFNA('Revenue Forecast'!AG6*VLOOKUP('Revenue Forecast'!$BD$41+'Revenue Forecast'!$BE$41,Assumptions!$B$70:$C$72,2,TRUE),0)</f>
        <v>318574.98</v>
      </c>
      <c r="AH7" s="175">
        <f>IFNA('Revenue Forecast'!AH6*VLOOKUP('Revenue Forecast'!$BD$41+'Revenue Forecast'!$BE$41,Assumptions!$B$70:$C$72,2,TRUE),0)</f>
        <v>353972.2</v>
      </c>
      <c r="AI7" s="175">
        <f>IFNA('Revenue Forecast'!AI6*VLOOKUP('Revenue Forecast'!$BD$41+'Revenue Forecast'!$BE$41,Assumptions!$B$70:$C$72,2,TRUE),0)</f>
        <v>382289.976</v>
      </c>
      <c r="AJ7" s="175">
        <f>IFNA('Revenue Forecast'!AJ6*VLOOKUP('Revenue Forecast'!$BD$41+'Revenue Forecast'!$BE$41,Assumptions!$B$70:$C$72,2,TRUE),0)</f>
        <v>417687.196</v>
      </c>
      <c r="AK7" s="175">
        <f>IFNA('Revenue Forecast'!AK6*VLOOKUP('Revenue Forecast'!$BD$41+'Revenue Forecast'!$BE$41,Assumptions!$B$70:$C$72,2,TRUE),0)</f>
        <v>460163.86</v>
      </c>
      <c r="AL7" s="175">
        <f>IFNA('Revenue Forecast'!AL6*VLOOKUP('Revenue Forecast'!$BD$41+'Revenue Forecast'!$BE$41,Assumptions!$B$70:$C$72,2,TRUE),0)</f>
        <v>502640.524</v>
      </c>
      <c r="AM7" s="175">
        <f>IFNA('Revenue Forecast'!AM6*VLOOKUP('Revenue Forecast'!$BD$41+'Revenue Forecast'!$BE$41,Assumptions!$B$70:$C$72,2,TRUE),0)</f>
        <v>552196.632</v>
      </c>
      <c r="AN7" s="175">
        <f>IFNA('Revenue Forecast'!AN6*VLOOKUP('Revenue Forecast'!$BD$41+'Revenue Forecast'!$BE$41,Assumptions!$B$70:$C$72,2,TRUE),0)</f>
        <v>608832.184</v>
      </c>
      <c r="AO7" s="175">
        <f>IFNA('Revenue Forecast'!AO6*VLOOKUP('Revenue Forecast'!$BD$41+'Revenue Forecast'!$BE$41,Assumptions!$B$70:$C$72,2,TRUE),0)</f>
        <v>658388.292</v>
      </c>
      <c r="AP7" s="175">
        <f>IFNA('Revenue Forecast'!AP6*VLOOKUP('Revenue Forecast'!$BD$41+'Revenue Forecast'!$BE$41,Assumptions!$B$70:$C$72,2,TRUE),0)</f>
        <v>722103.288</v>
      </c>
      <c r="AQ7" s="175">
        <f>IFNA('Revenue Forecast'!AQ6*VLOOKUP('Revenue Forecast'!$BD$41+'Revenue Forecast'!$BE$41,Assumptions!$B$70:$C$72,2,TRUE),0)</f>
        <v>792897.728</v>
      </c>
      <c r="AR7" s="175">
        <f>IFNA('Revenue Forecast'!AR6*VLOOKUP('Revenue Forecast'!$BD$41+'Revenue Forecast'!$BE$41,Assumptions!$B$70:$C$72,2,TRUE),0)</f>
        <v>870771.612</v>
      </c>
      <c r="AS7" s="175">
        <f>IFNA('Revenue Forecast'!AS6*VLOOKUP('Revenue Forecast'!$BD$41+'Revenue Forecast'!$BE$41,Assumptions!$B$70:$C$72,2,TRUE),0)</f>
        <v>955724.94</v>
      </c>
      <c r="AT7" s="175">
        <f>IFNA('Revenue Forecast'!AT6*VLOOKUP('Revenue Forecast'!$BD$41+'Revenue Forecast'!$BE$41,Assumptions!$B$70:$C$72,2,TRUE),0)</f>
        <v>1047757.712</v>
      </c>
      <c r="AU7" s="175">
        <f>IFNA('Revenue Forecast'!AU6*VLOOKUP('Revenue Forecast'!$BD$41+'Revenue Forecast'!$BE$41,Assumptions!$B$70:$C$72,2,TRUE),0)</f>
        <v>1146869.928</v>
      </c>
      <c r="AV7" s="175">
        <f>IFNA('Revenue Forecast'!AV6*VLOOKUP('Revenue Forecast'!$BD$41+'Revenue Forecast'!$BE$41,Assumptions!$B$70:$C$72,2,TRUE),0)</f>
        <v>1253061.588</v>
      </c>
      <c r="AW7" s="175">
        <f>IFNA('Revenue Forecast'!AW6*VLOOKUP('Revenue Forecast'!$BD$41+'Revenue Forecast'!$BE$41,Assumptions!$B$70:$C$72,2,TRUE),0)</f>
        <v>1373412.136</v>
      </c>
      <c r="AX7" s="175">
        <f>IFNA('Revenue Forecast'!AX6*VLOOKUP('Revenue Forecast'!$BD$41+'Revenue Forecast'!$BE$41,Assumptions!$B$70:$C$72,2,TRUE),0)</f>
        <v>1507921.572</v>
      </c>
      <c r="AY7" s="175">
        <f>IFNA('Revenue Forecast'!AY6*VLOOKUP('Revenue Forecast'!$BD$41+'Revenue Forecast'!$BE$41,Assumptions!$B$70:$C$72,2,TRUE),0)</f>
        <v>1649510.452</v>
      </c>
      <c r="AZ7" s="175">
        <f>IFNA('Revenue Forecast'!AZ6*VLOOKUP('Revenue Forecast'!$BD$41+'Revenue Forecast'!$BE$41,Assumptions!$B$70:$C$72,2,TRUE),0)</f>
        <v>1812337.664</v>
      </c>
      <c r="BA7" s="174"/>
      <c r="BB7" s="174"/>
      <c r="BC7" s="174">
        <f t="shared" ref="BC7:BC9" si="1">SUM(Q7:AB7)</f>
        <v>0</v>
      </c>
      <c r="BD7" s="174">
        <f t="shared" ref="BD7:BD9" si="2">SUM(AC7:AN7)</f>
        <v>4615797.488</v>
      </c>
      <c r="BE7" s="174">
        <f t="shared" ref="BE7:BE9" si="3">SUM(AO7:AZ7)</f>
        <v>13790756.91</v>
      </c>
      <c r="BF7" s="174">
        <f>'Revenue Forecast'!BF6*Assumptions!$G$53</f>
        <v>19480000</v>
      </c>
      <c r="BG7" s="121"/>
    </row>
    <row r="8">
      <c r="A8" s="28"/>
      <c r="B8" s="28" t="s">
        <v>292</v>
      </c>
      <c r="C8" s="28"/>
      <c r="D8" s="209" t="s">
        <v>202</v>
      </c>
      <c r="E8" s="28"/>
      <c r="F8" s="28"/>
      <c r="G8" s="28"/>
      <c r="H8" s="28"/>
      <c r="I8" s="28"/>
      <c r="J8" s="28"/>
      <c r="K8" s="28"/>
      <c r="L8" s="28"/>
      <c r="M8" s="174"/>
      <c r="N8" s="174"/>
      <c r="O8" s="174"/>
      <c r="P8" s="174"/>
      <c r="Q8" s="174">
        <f>'Revenue Forecast'!Q6*SUMPRODUCT(Assumptions!$E$116:$E$118,Assumptions!$G$116:$G$118)</f>
        <v>0</v>
      </c>
      <c r="R8" s="174">
        <f>'Revenue Forecast'!R6*SUMPRODUCT(Assumptions!$E$116:$E$118,Assumptions!$G$116:$G$118)</f>
        <v>0</v>
      </c>
      <c r="S8" s="174">
        <f>'Revenue Forecast'!S6*SUMPRODUCT(Assumptions!$E$116:$E$118,Assumptions!$G$116:$G$118)</f>
        <v>0</v>
      </c>
      <c r="T8" s="174">
        <f>'Revenue Forecast'!T6*SUMPRODUCT(Assumptions!$E$116:$E$118,Assumptions!$G$116:$G$118)</f>
        <v>0</v>
      </c>
      <c r="U8" s="174">
        <f>'Revenue Forecast'!U6*SUMPRODUCT(Assumptions!$E$116:$E$118,Assumptions!$G$116:$G$118)</f>
        <v>0</v>
      </c>
      <c r="V8" s="174">
        <f>'Revenue Forecast'!V6*SUMPRODUCT(Assumptions!$E$116:$E$118,Assumptions!$G$116:$G$118)</f>
        <v>0</v>
      </c>
      <c r="W8" s="174">
        <f>'Revenue Forecast'!W6*SUMPRODUCT(Assumptions!$E$116:$E$118,Assumptions!$G$116:$G$118)</f>
        <v>0</v>
      </c>
      <c r="X8" s="174">
        <f>'Revenue Forecast'!X6*SUMPRODUCT(Assumptions!$E$116:$E$118,Assumptions!$G$116:$G$118)</f>
        <v>0</v>
      </c>
      <c r="Y8" s="174">
        <f>'Revenue Forecast'!Y6*SUMPRODUCT(Assumptions!$E$116:$E$118,Assumptions!$G$116:$G$118)</f>
        <v>0</v>
      </c>
      <c r="Z8" s="174">
        <f>'Revenue Forecast'!Z6*SUMPRODUCT(Assumptions!$E$116:$E$118,Assumptions!$G$116:$G$118)</f>
        <v>0</v>
      </c>
      <c r="AA8" s="174">
        <f>'Revenue Forecast'!AA6*SUMPRODUCT(Assumptions!$E$116:$E$118,Assumptions!$G$116:$G$118)</f>
        <v>0</v>
      </c>
      <c r="AB8" s="174">
        <f>'Revenue Forecast'!AB6*SUMPRODUCT(Assumptions!$E$116:$E$118,Assumptions!$G$116:$G$118)</f>
        <v>0</v>
      </c>
      <c r="AC8" s="174">
        <f>'Revenue Forecast'!AC6*SUMPRODUCT(Assumptions!$E$116:$E$118,Assumptions!$G$116:$G$118)</f>
        <v>6751.8</v>
      </c>
      <c r="AD8" s="174">
        <f>'Revenue Forecast'!AD6*SUMPRODUCT(Assumptions!$E$116:$E$118,Assumptions!$G$116:$G$118)</f>
        <v>7405.2</v>
      </c>
      <c r="AE8" s="174">
        <f>'Revenue Forecast'!AE6*SUMPRODUCT(Assumptions!$E$116:$E$118,Assumptions!$G$116:$G$118)</f>
        <v>8276.4</v>
      </c>
      <c r="AF8" s="174">
        <f>'Revenue Forecast'!AF6*SUMPRODUCT(Assumptions!$E$116:$E$118,Assumptions!$G$116:$G$118)</f>
        <v>8929.8</v>
      </c>
      <c r="AG8" s="174">
        <f>'Revenue Forecast'!AG6*SUMPRODUCT(Assumptions!$E$116:$E$118,Assumptions!$G$116:$G$118)</f>
        <v>9801</v>
      </c>
      <c r="AH8" s="174">
        <f>'Revenue Forecast'!AH6*SUMPRODUCT(Assumptions!$E$116:$E$118,Assumptions!$G$116:$G$118)</f>
        <v>10890</v>
      </c>
      <c r="AI8" s="174">
        <f>'Revenue Forecast'!AI6*SUMPRODUCT(Assumptions!$E$116:$E$118,Assumptions!$G$116:$G$118)</f>
        <v>11761.2</v>
      </c>
      <c r="AJ8" s="174">
        <f>'Revenue Forecast'!AJ6*SUMPRODUCT(Assumptions!$E$116:$E$118,Assumptions!$G$116:$G$118)</f>
        <v>12850.2</v>
      </c>
      <c r="AK8" s="174">
        <f>'Revenue Forecast'!AK6*SUMPRODUCT(Assumptions!$E$116:$E$118,Assumptions!$G$116:$G$118)</f>
        <v>14157</v>
      </c>
      <c r="AL8" s="174">
        <f>'Revenue Forecast'!AL6*SUMPRODUCT(Assumptions!$E$116:$E$118,Assumptions!$G$116:$G$118)</f>
        <v>15463.8</v>
      </c>
      <c r="AM8" s="174">
        <f>'Revenue Forecast'!AM6*SUMPRODUCT(Assumptions!$E$116:$E$118,Assumptions!$G$116:$G$118)</f>
        <v>16988.4</v>
      </c>
      <c r="AN8" s="174">
        <f>'Revenue Forecast'!AN6*SUMPRODUCT(Assumptions!$E$116:$E$118,Assumptions!$G$116:$G$118)</f>
        <v>18730.8</v>
      </c>
      <c r="AO8" s="174">
        <f>'Revenue Forecast'!AO6*SUMPRODUCT(Assumptions!$E$116:$E$118,Assumptions!$G$116:$G$118)</f>
        <v>20255.4</v>
      </c>
      <c r="AP8" s="174">
        <f>'Revenue Forecast'!AP6*SUMPRODUCT(Assumptions!$E$116:$E$118,Assumptions!$G$116:$G$118)</f>
        <v>22215.6</v>
      </c>
      <c r="AQ8" s="174">
        <f>'Revenue Forecast'!AQ6*SUMPRODUCT(Assumptions!$E$116:$E$118,Assumptions!$G$116:$G$118)</f>
        <v>24393.6</v>
      </c>
      <c r="AR8" s="174">
        <f>'Revenue Forecast'!AR6*SUMPRODUCT(Assumptions!$E$116:$E$118,Assumptions!$G$116:$G$118)</f>
        <v>26789.4</v>
      </c>
      <c r="AS8" s="174">
        <f>'Revenue Forecast'!AS6*SUMPRODUCT(Assumptions!$E$116:$E$118,Assumptions!$G$116:$G$118)</f>
        <v>29403</v>
      </c>
      <c r="AT8" s="174">
        <f>'Revenue Forecast'!AT6*SUMPRODUCT(Assumptions!$E$116:$E$118,Assumptions!$G$116:$G$118)</f>
        <v>32234.4</v>
      </c>
      <c r="AU8" s="174">
        <f>'Revenue Forecast'!AU6*SUMPRODUCT(Assumptions!$E$116:$E$118,Assumptions!$G$116:$G$118)</f>
        <v>35283.6</v>
      </c>
      <c r="AV8" s="174">
        <f>'Revenue Forecast'!AV6*SUMPRODUCT(Assumptions!$E$116:$E$118,Assumptions!$G$116:$G$118)</f>
        <v>38550.6</v>
      </c>
      <c r="AW8" s="174">
        <f>'Revenue Forecast'!AW6*SUMPRODUCT(Assumptions!$E$116:$E$118,Assumptions!$G$116:$G$118)</f>
        <v>42253.2</v>
      </c>
      <c r="AX8" s="174">
        <f>'Revenue Forecast'!AX6*SUMPRODUCT(Assumptions!$E$116:$E$118,Assumptions!$G$116:$G$118)</f>
        <v>46391.4</v>
      </c>
      <c r="AY8" s="174">
        <f>'Revenue Forecast'!AY6*SUMPRODUCT(Assumptions!$E$116:$E$118,Assumptions!$G$116:$G$118)</f>
        <v>50747.4</v>
      </c>
      <c r="AZ8" s="174">
        <f>'Revenue Forecast'!AZ6*SUMPRODUCT(Assumptions!$E$116:$E$118,Assumptions!$G$116:$G$118)</f>
        <v>55756.8</v>
      </c>
      <c r="BA8" s="174"/>
      <c r="BB8" s="174"/>
      <c r="BC8" s="174">
        <f t="shared" si="1"/>
        <v>0</v>
      </c>
      <c r="BD8" s="174">
        <f t="shared" si="2"/>
        <v>142005.6</v>
      </c>
      <c r="BE8" s="174">
        <f t="shared" si="3"/>
        <v>424274.4</v>
      </c>
      <c r="BF8" s="174">
        <f>'Revenue Forecast'!BF6*SUMPRODUCT(Assumptions!$E$116:$E$118,Assumptions!$G$116:$G$118)</f>
        <v>848548.8</v>
      </c>
      <c r="BG8" s="121"/>
    </row>
    <row r="9" ht="12.75" customHeight="1">
      <c r="A9" s="28"/>
      <c r="B9" s="224" t="s">
        <v>293</v>
      </c>
      <c r="C9" s="222"/>
      <c r="D9" s="224" t="s">
        <v>202</v>
      </c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>
        <f t="shared" ref="Q9:AZ9" si="4">sum(Q7:Q8)</f>
        <v>0</v>
      </c>
      <c r="R9" s="178">
        <f t="shared" si="4"/>
        <v>0</v>
      </c>
      <c r="S9" s="178">
        <f t="shared" si="4"/>
        <v>0</v>
      </c>
      <c r="T9" s="178">
        <f t="shared" si="4"/>
        <v>0</v>
      </c>
      <c r="U9" s="178">
        <f t="shared" si="4"/>
        <v>0</v>
      </c>
      <c r="V9" s="178">
        <f t="shared" si="4"/>
        <v>0</v>
      </c>
      <c r="W9" s="178">
        <f t="shared" si="4"/>
        <v>0</v>
      </c>
      <c r="X9" s="178">
        <f t="shared" si="4"/>
        <v>0</v>
      </c>
      <c r="Y9" s="178">
        <f t="shared" si="4"/>
        <v>0</v>
      </c>
      <c r="Z9" s="178">
        <f t="shared" si="4"/>
        <v>0</v>
      </c>
      <c r="AA9" s="178">
        <f t="shared" si="4"/>
        <v>0</v>
      </c>
      <c r="AB9" s="178">
        <f t="shared" si="4"/>
        <v>0</v>
      </c>
      <c r="AC9" s="178">
        <f t="shared" si="4"/>
        <v>226214.564</v>
      </c>
      <c r="AD9" s="178">
        <f t="shared" si="4"/>
        <v>248106.296</v>
      </c>
      <c r="AE9" s="178">
        <f t="shared" si="4"/>
        <v>277295.272</v>
      </c>
      <c r="AF9" s="178">
        <f t="shared" si="4"/>
        <v>299187.004</v>
      </c>
      <c r="AG9" s="178">
        <f t="shared" si="4"/>
        <v>328375.98</v>
      </c>
      <c r="AH9" s="178">
        <f t="shared" si="4"/>
        <v>364862.2</v>
      </c>
      <c r="AI9" s="178">
        <f t="shared" si="4"/>
        <v>394051.176</v>
      </c>
      <c r="AJ9" s="178">
        <f t="shared" si="4"/>
        <v>430537.396</v>
      </c>
      <c r="AK9" s="178">
        <f t="shared" si="4"/>
        <v>474320.86</v>
      </c>
      <c r="AL9" s="178">
        <f t="shared" si="4"/>
        <v>518104.324</v>
      </c>
      <c r="AM9" s="178">
        <f t="shared" si="4"/>
        <v>569185.032</v>
      </c>
      <c r="AN9" s="178">
        <f t="shared" si="4"/>
        <v>627562.984</v>
      </c>
      <c r="AO9" s="178">
        <f t="shared" si="4"/>
        <v>678643.692</v>
      </c>
      <c r="AP9" s="178">
        <f t="shared" si="4"/>
        <v>744318.888</v>
      </c>
      <c r="AQ9" s="178">
        <f t="shared" si="4"/>
        <v>817291.328</v>
      </c>
      <c r="AR9" s="178">
        <f t="shared" si="4"/>
        <v>897561.012</v>
      </c>
      <c r="AS9" s="178">
        <f t="shared" si="4"/>
        <v>985127.94</v>
      </c>
      <c r="AT9" s="178">
        <f t="shared" si="4"/>
        <v>1079992.112</v>
      </c>
      <c r="AU9" s="178">
        <f t="shared" si="4"/>
        <v>1182153.528</v>
      </c>
      <c r="AV9" s="178">
        <f t="shared" si="4"/>
        <v>1291612.188</v>
      </c>
      <c r="AW9" s="178">
        <f t="shared" si="4"/>
        <v>1415665.336</v>
      </c>
      <c r="AX9" s="178">
        <f t="shared" si="4"/>
        <v>1554312.972</v>
      </c>
      <c r="AY9" s="178">
        <f t="shared" si="4"/>
        <v>1700257.852</v>
      </c>
      <c r="AZ9" s="178">
        <f t="shared" si="4"/>
        <v>1868094.464</v>
      </c>
      <c r="BA9" s="174"/>
      <c r="BB9" s="226">
        <f>SUM(E9:P9)</f>
        <v>0</v>
      </c>
      <c r="BC9" s="226">
        <f t="shared" si="1"/>
        <v>0</v>
      </c>
      <c r="BD9" s="226">
        <f t="shared" si="2"/>
        <v>4757803.088</v>
      </c>
      <c r="BE9" s="226">
        <f t="shared" si="3"/>
        <v>14215031.31</v>
      </c>
      <c r="BF9" s="226">
        <f>sum(BF7:BF8)</f>
        <v>20328548.8</v>
      </c>
      <c r="BG9" s="227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21"/>
    </row>
    <row r="11" ht="13.5" customHeight="1">
      <c r="A11" s="221"/>
      <c r="B11" s="231" t="s">
        <v>268</v>
      </c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4"/>
      <c r="BB11" s="179"/>
      <c r="BC11" s="181"/>
      <c r="BD11" s="181"/>
      <c r="BE11" s="181"/>
      <c r="BF11" s="181"/>
      <c r="BG11" s="121"/>
    </row>
    <row r="12" ht="15.0" customHeight="1">
      <c r="A12" s="28"/>
      <c r="B12" s="53" t="s">
        <v>294</v>
      </c>
      <c r="C12" s="28"/>
      <c r="D12" s="209" t="s">
        <v>202</v>
      </c>
      <c r="E12" s="250"/>
      <c r="F12" s="250"/>
      <c r="G12" s="250"/>
      <c r="H12" s="250"/>
      <c r="I12" s="250"/>
      <c r="J12" s="250"/>
      <c r="K12" s="250"/>
      <c r="L12" s="250"/>
      <c r="M12" s="175"/>
      <c r="N12" s="175"/>
      <c r="O12" s="175"/>
      <c r="P12" s="175"/>
      <c r="Q12" s="175">
        <f>IFNA('Revenue Forecast'!Q12*(VLOOKUP('Revenue Forecast'!$BD$41+'Revenue Forecast'!$BE$41,Assumptions!$B$70:$C$72,2,TRUE)+VLOOKUP('Revenue Forecast'!$BD$12+'Revenue Forecast'!$BE$12,Assumptions!$B$82:$C$84,2,TRUE)+Assumptions!$E$78),0)</f>
        <v>0</v>
      </c>
      <c r="R12" s="175">
        <f>IFNA('Revenue Forecast'!R12*(VLOOKUP('Revenue Forecast'!$BD$41+'Revenue Forecast'!$BE$41,Assumptions!$B$70:$C$72,2,TRUE)+VLOOKUP('Revenue Forecast'!$BD$12+'Revenue Forecast'!$BE$12,Assumptions!$B$82:$C$84,2,TRUE)+Assumptions!$E$78),0)</f>
        <v>0</v>
      </c>
      <c r="S12" s="175">
        <f>IFNA('Revenue Forecast'!S12*(VLOOKUP('Revenue Forecast'!$BD$41+'Revenue Forecast'!$BE$41,Assumptions!$B$70:$C$72,2,TRUE)+VLOOKUP('Revenue Forecast'!$BD$12+'Revenue Forecast'!$BE$12,Assumptions!$B$82:$C$84,2,TRUE)+Assumptions!$E$78),0)</f>
        <v>0</v>
      </c>
      <c r="T12" s="175">
        <f>IFNA('Revenue Forecast'!T12*(VLOOKUP('Revenue Forecast'!$BD$41+'Revenue Forecast'!$BE$41,Assumptions!$B$70:$C$72,2,TRUE)+VLOOKUP('Revenue Forecast'!$BD$12+'Revenue Forecast'!$BE$12,Assumptions!$B$82:$C$84,2,TRUE)+Assumptions!$E$78),0)</f>
        <v>0</v>
      </c>
      <c r="U12" s="175">
        <f>IFNA('Revenue Forecast'!U12*(VLOOKUP('Revenue Forecast'!$BD$41+'Revenue Forecast'!$BE$41,Assumptions!$B$70:$C$72,2,TRUE)+VLOOKUP('Revenue Forecast'!$BD$12+'Revenue Forecast'!$BE$12,Assumptions!$B$82:$C$84,2,TRUE)+Assumptions!$E$78),0)</f>
        <v>0</v>
      </c>
      <c r="V12" s="175">
        <f>IFNA('Revenue Forecast'!V12*(VLOOKUP('Revenue Forecast'!$BD$41+'Revenue Forecast'!$BE$41,Assumptions!$B$70:$C$72,2,TRUE)+VLOOKUP('Revenue Forecast'!$BD$12+'Revenue Forecast'!$BE$12,Assumptions!$B$82:$C$84,2,TRUE)+Assumptions!$E$78),0)</f>
        <v>0</v>
      </c>
      <c r="W12" s="175">
        <f>IFNA('Revenue Forecast'!W12*(VLOOKUP('Revenue Forecast'!$BD$41+'Revenue Forecast'!$BE$41,Assumptions!$B$70:$C$72,2,TRUE)+VLOOKUP('Revenue Forecast'!$BD$12+'Revenue Forecast'!$BE$12,Assumptions!$B$82:$C$84,2,TRUE)+Assumptions!$E$78),0)</f>
        <v>0</v>
      </c>
      <c r="X12" s="175">
        <f>IFNA('Revenue Forecast'!X12*(VLOOKUP('Revenue Forecast'!$BD$41+'Revenue Forecast'!$BE$41,Assumptions!$B$70:$C$72,2,TRUE)+VLOOKUP('Revenue Forecast'!$BD$12+'Revenue Forecast'!$BE$12,Assumptions!$B$82:$C$84,2,TRUE)+Assumptions!$E$78),0)</f>
        <v>0</v>
      </c>
      <c r="Y12" s="175">
        <f>IFNA('Revenue Forecast'!Y12*(VLOOKUP('Revenue Forecast'!$BD$41+'Revenue Forecast'!$BE$41,Assumptions!$B$70:$C$72,2,TRUE)+VLOOKUP('Revenue Forecast'!$BD$12+'Revenue Forecast'!$BE$12,Assumptions!$B$82:$C$84,2,TRUE)+Assumptions!$E$78),0)</f>
        <v>0</v>
      </c>
      <c r="Z12" s="175">
        <f>IFNA('Revenue Forecast'!Z12*(VLOOKUP('Revenue Forecast'!$BD$41+'Revenue Forecast'!$BE$41,Assumptions!$B$70:$C$72,2,TRUE)+VLOOKUP('Revenue Forecast'!$BD$12+'Revenue Forecast'!$BE$12,Assumptions!$B$82:$C$84,2,TRUE)+Assumptions!$E$78),0)</f>
        <v>0</v>
      </c>
      <c r="AA12" s="175">
        <f>IFNA('Revenue Forecast'!AA12*(VLOOKUP('Revenue Forecast'!$BD$41+'Revenue Forecast'!$BE$41,Assumptions!$B$70:$C$72,2,TRUE)+VLOOKUP('Revenue Forecast'!$BD$12+'Revenue Forecast'!$BE$12,Assumptions!$B$82:$C$84,2,TRUE)+Assumptions!$E$78),0)</f>
        <v>0</v>
      </c>
      <c r="AB12" s="175">
        <f>IFNA('Revenue Forecast'!AB12*(VLOOKUP('Revenue Forecast'!$BD$41+'Revenue Forecast'!$BE$41,Assumptions!$B$70:$C$72,2,TRUE)+VLOOKUP('Revenue Forecast'!$BD$12+'Revenue Forecast'!$BE$12,Assumptions!$B$82:$C$84,2,TRUE)+Assumptions!$E$78),0)</f>
        <v>0</v>
      </c>
      <c r="AC12" s="175">
        <f>IFNA('Revenue Forecast'!AC12*(VLOOKUP('Revenue Forecast'!$BD$41+'Revenue Forecast'!$BE$41,Assumptions!$B$70:$C$72,2,TRUE)+VLOOKUP('Revenue Forecast'!$BD$12+'Revenue Forecast'!$BE$12,Assumptions!$B$82:$C$84,2,TRUE)+Assumptions!$E$78),0)</f>
        <v>133724.864</v>
      </c>
      <c r="AD12" s="175">
        <f>IFNA('Revenue Forecast'!AD12*(VLOOKUP('Revenue Forecast'!$BD$41+'Revenue Forecast'!$BE$41,Assumptions!$B$70:$C$72,2,TRUE)+VLOOKUP('Revenue Forecast'!$BD$12+'Revenue Forecast'!$BE$12,Assumptions!$B$82:$C$84,2,TRUE)+Assumptions!$E$78),0)</f>
        <v>150440.472</v>
      </c>
      <c r="AE12" s="175">
        <f>IFNA('Revenue Forecast'!AE12*(VLOOKUP('Revenue Forecast'!$BD$41+'Revenue Forecast'!$BE$41,Assumptions!$B$70:$C$72,2,TRUE)+VLOOKUP('Revenue Forecast'!$BD$12+'Revenue Forecast'!$BE$12,Assumptions!$B$82:$C$84,2,TRUE)+Assumptions!$E$78),0)</f>
        <v>167156.08</v>
      </c>
      <c r="AF12" s="175">
        <f>IFNA('Revenue Forecast'!AF12*(VLOOKUP('Revenue Forecast'!$BD$41+'Revenue Forecast'!$BE$41,Assumptions!$B$70:$C$72,2,TRUE)+VLOOKUP('Revenue Forecast'!$BD$12+'Revenue Forecast'!$BE$12,Assumptions!$B$82:$C$84,2,TRUE)+Assumptions!$E$78),0)</f>
        <v>183871.688</v>
      </c>
      <c r="AG12" s="175">
        <f>IFNA('Revenue Forecast'!AG12*(VLOOKUP('Revenue Forecast'!$BD$41+'Revenue Forecast'!$BE$41,Assumptions!$B$70:$C$72,2,TRUE)+VLOOKUP('Revenue Forecast'!$BD$12+'Revenue Forecast'!$BE$12,Assumptions!$B$82:$C$84,2,TRUE)+Assumptions!$E$78),0)</f>
        <v>208945.1</v>
      </c>
      <c r="AH12" s="175">
        <f>IFNA('Revenue Forecast'!AH12*(VLOOKUP('Revenue Forecast'!$BD$41+'Revenue Forecast'!$BE$41,Assumptions!$B$70:$C$72,2,TRUE)+VLOOKUP('Revenue Forecast'!$BD$12+'Revenue Forecast'!$BE$12,Assumptions!$B$82:$C$84,2,TRUE)+Assumptions!$E$78),0)</f>
        <v>234018.512</v>
      </c>
      <c r="AI12" s="175">
        <f>IFNA('Revenue Forecast'!AI12*(VLOOKUP('Revenue Forecast'!$BD$41+'Revenue Forecast'!$BE$41,Assumptions!$B$70:$C$72,2,TRUE)+VLOOKUP('Revenue Forecast'!$BD$12+'Revenue Forecast'!$BE$12,Assumptions!$B$82:$C$84,2,TRUE)+Assumptions!$E$78),0)</f>
        <v>267449.728</v>
      </c>
      <c r="AJ12" s="175">
        <f>IFNA('Revenue Forecast'!AJ12*(VLOOKUP('Revenue Forecast'!$BD$41+'Revenue Forecast'!$BE$41,Assumptions!$B$70:$C$72,2,TRUE)+VLOOKUP('Revenue Forecast'!$BD$12+'Revenue Forecast'!$BE$12,Assumptions!$B$82:$C$84,2,TRUE)+Assumptions!$E$78),0)</f>
        <v>300880.944</v>
      </c>
      <c r="AK12" s="175">
        <f>IFNA('Revenue Forecast'!AK12*(VLOOKUP('Revenue Forecast'!$BD$41+'Revenue Forecast'!$BE$41,Assumptions!$B$70:$C$72,2,TRUE)+VLOOKUP('Revenue Forecast'!$BD$12+'Revenue Forecast'!$BE$12,Assumptions!$B$82:$C$84,2,TRUE)+Assumptions!$E$78),0)</f>
        <v>334312.16</v>
      </c>
      <c r="AL12" s="175">
        <f>IFNA('Revenue Forecast'!AL12*(VLOOKUP('Revenue Forecast'!$BD$41+'Revenue Forecast'!$BE$41,Assumptions!$B$70:$C$72,2,TRUE)+VLOOKUP('Revenue Forecast'!$BD$12+'Revenue Forecast'!$BE$12,Assumptions!$B$82:$C$84,2,TRUE)+Assumptions!$E$78),0)</f>
        <v>376101.18</v>
      </c>
      <c r="AM12" s="175">
        <f>IFNA('Revenue Forecast'!AM12*(VLOOKUP('Revenue Forecast'!$BD$41+'Revenue Forecast'!$BE$41,Assumptions!$B$70:$C$72,2,TRUE)+VLOOKUP('Revenue Forecast'!$BD$12+'Revenue Forecast'!$BE$12,Assumptions!$B$82:$C$84,2,TRUE)+Assumptions!$E$78),0)</f>
        <v>417890.2</v>
      </c>
      <c r="AN12" s="175">
        <f>IFNA('Revenue Forecast'!AN12*(VLOOKUP('Revenue Forecast'!$BD$41+'Revenue Forecast'!$BE$41,Assumptions!$B$70:$C$72,2,TRUE)+VLOOKUP('Revenue Forecast'!$BD$12+'Revenue Forecast'!$BE$12,Assumptions!$B$82:$C$84,2,TRUE)+Assumptions!$E$78),0)</f>
        <v>476394.828</v>
      </c>
      <c r="AO12" s="175">
        <f>IFNA('Revenue Forecast'!AO12*(VLOOKUP('Revenue Forecast'!$BD$41+'Revenue Forecast'!$BE$41,Assumptions!$B$70:$C$72,2,TRUE)+VLOOKUP('Revenue Forecast'!$BD$12+'Revenue Forecast'!$BE$12,Assumptions!$B$82:$C$84,2,TRUE)+Assumptions!$E$78),0)</f>
        <v>534899.456</v>
      </c>
      <c r="AP12" s="175">
        <f>IFNA('Revenue Forecast'!AP12*(VLOOKUP('Revenue Forecast'!$BD$41+'Revenue Forecast'!$BE$41,Assumptions!$B$70:$C$72,2,TRUE)+VLOOKUP('Revenue Forecast'!$BD$12+'Revenue Forecast'!$BE$12,Assumptions!$B$82:$C$84,2,TRUE)+Assumptions!$E$78),0)</f>
        <v>593404.084</v>
      </c>
      <c r="AQ12" s="175">
        <f>IFNA('Revenue Forecast'!AQ12*(VLOOKUP('Revenue Forecast'!$BD$41+'Revenue Forecast'!$BE$41,Assumptions!$B$70:$C$72,2,TRUE)+VLOOKUP('Revenue Forecast'!$BD$12+'Revenue Forecast'!$BE$12,Assumptions!$B$82:$C$84,2,TRUE)+Assumptions!$E$78),0)</f>
        <v>668624.32</v>
      </c>
      <c r="AR12" s="175">
        <f>IFNA('Revenue Forecast'!AR12*(VLOOKUP('Revenue Forecast'!$BD$41+'Revenue Forecast'!$BE$41,Assumptions!$B$70:$C$72,2,TRUE)+VLOOKUP('Revenue Forecast'!$BD$12+'Revenue Forecast'!$BE$12,Assumptions!$B$82:$C$84,2,TRUE)+Assumptions!$E$78),0)</f>
        <v>752202.36</v>
      </c>
      <c r="AS12" s="175">
        <f>IFNA('Revenue Forecast'!AS12*(VLOOKUP('Revenue Forecast'!$BD$41+'Revenue Forecast'!$BE$41,Assumptions!$B$70:$C$72,2,TRUE)+VLOOKUP('Revenue Forecast'!$BD$12+'Revenue Forecast'!$BE$12,Assumptions!$B$82:$C$84,2,TRUE)+Assumptions!$E$78),0)</f>
        <v>844138.204</v>
      </c>
      <c r="AT12" s="175">
        <f>IFNA('Revenue Forecast'!AT12*(VLOOKUP('Revenue Forecast'!$BD$41+'Revenue Forecast'!$BE$41,Assumptions!$B$70:$C$72,2,TRUE)+VLOOKUP('Revenue Forecast'!$BD$12+'Revenue Forecast'!$BE$12,Assumptions!$B$82:$C$84,2,TRUE)+Assumptions!$E$78),0)</f>
        <v>944431.852</v>
      </c>
      <c r="AU12" s="175">
        <f>IFNA('Revenue Forecast'!AU12*(VLOOKUP('Revenue Forecast'!$BD$41+'Revenue Forecast'!$BE$41,Assumptions!$B$70:$C$72,2,TRUE)+VLOOKUP('Revenue Forecast'!$BD$12+'Revenue Forecast'!$BE$12,Assumptions!$B$82:$C$84,2,TRUE)+Assumptions!$E$78),0)</f>
        <v>1061441.108</v>
      </c>
      <c r="AV12" s="175">
        <f>IFNA('Revenue Forecast'!AV12*(VLOOKUP('Revenue Forecast'!$BD$41+'Revenue Forecast'!$BE$41,Assumptions!$B$70:$C$72,2,TRUE)+VLOOKUP('Revenue Forecast'!$BD$12+'Revenue Forecast'!$BE$12,Assumptions!$B$82:$C$84,2,TRUE)+Assumptions!$E$78),0)</f>
        <v>1195165.972</v>
      </c>
      <c r="AW12" s="175">
        <f>IFNA('Revenue Forecast'!AW12*(VLOOKUP('Revenue Forecast'!$BD$41+'Revenue Forecast'!$BE$41,Assumptions!$B$70:$C$72,2,TRUE)+VLOOKUP('Revenue Forecast'!$BD$12+'Revenue Forecast'!$BE$12,Assumptions!$B$82:$C$84,2,TRUE)+Assumptions!$E$78),0)</f>
        <v>1345606.444</v>
      </c>
      <c r="AX12" s="175">
        <f>IFNA('Revenue Forecast'!AX12*(VLOOKUP('Revenue Forecast'!$BD$41+'Revenue Forecast'!$BE$41,Assumptions!$B$70:$C$72,2,TRUE)+VLOOKUP('Revenue Forecast'!$BD$12+'Revenue Forecast'!$BE$12,Assumptions!$B$82:$C$84,2,TRUE)+Assumptions!$E$78),0)</f>
        <v>1504404.72</v>
      </c>
      <c r="AY12" s="175">
        <f>IFNA('Revenue Forecast'!AY12*(VLOOKUP('Revenue Forecast'!$BD$41+'Revenue Forecast'!$BE$41,Assumptions!$B$70:$C$72,2,TRUE)+VLOOKUP('Revenue Forecast'!$BD$12+'Revenue Forecast'!$BE$12,Assumptions!$B$82:$C$84,2,TRUE)+Assumptions!$E$78),0)</f>
        <v>1688276.408</v>
      </c>
      <c r="AZ12" s="175">
        <f>IFNA('Revenue Forecast'!AZ12*(VLOOKUP('Revenue Forecast'!$BD$41+'Revenue Forecast'!$BE$41,Assumptions!$B$70:$C$72,2,TRUE)+VLOOKUP('Revenue Forecast'!$BD$12+'Revenue Forecast'!$BE$12,Assumptions!$B$82:$C$84,2,TRUE)+Assumptions!$E$78),0)</f>
        <v>1897221.508</v>
      </c>
      <c r="BA12" s="174"/>
      <c r="BB12" s="174"/>
      <c r="BC12" s="174">
        <f t="shared" ref="BC12:BC14" si="5">SUM(Q12:AB12)</f>
        <v>0</v>
      </c>
      <c r="BD12" s="174">
        <f t="shared" ref="BD12:BD14" si="6">SUM(AC12:AN12)</f>
        <v>3251185.756</v>
      </c>
      <c r="BE12" s="174">
        <f t="shared" ref="BE12:BE14" si="7">SUM(AO12:AZ12)</f>
        <v>13029816.44</v>
      </c>
      <c r="BF12" s="174">
        <f>'Revenue Forecast'!BF12*(Assumptions!$G$53+Assumptions!$C$84+Assumptions!$E$78)</f>
        <v>18877837.46</v>
      </c>
      <c r="BG12" s="121"/>
    </row>
    <row r="13">
      <c r="A13" s="28"/>
      <c r="B13" s="28" t="s">
        <v>292</v>
      </c>
      <c r="C13" s="28"/>
      <c r="D13" s="209" t="s">
        <v>202</v>
      </c>
      <c r="E13" s="28"/>
      <c r="F13" s="28"/>
      <c r="G13" s="28"/>
      <c r="H13" s="28"/>
      <c r="I13" s="28"/>
      <c r="J13" s="28"/>
      <c r="K13" s="28"/>
      <c r="L13" s="28"/>
      <c r="M13" s="174"/>
      <c r="N13" s="174"/>
      <c r="O13" s="174"/>
      <c r="P13" s="174"/>
      <c r="Q13" s="174">
        <f>'Revenue Forecast'!Q12*SUMPRODUCT(Assumptions!$E$116:$E$118,Assumptions!$G$116:$G$118)</f>
        <v>0</v>
      </c>
      <c r="R13" s="174">
        <f>'Revenue Forecast'!R12*SUMPRODUCT(Assumptions!$E$116:$E$118,Assumptions!$G$116:$G$118)</f>
        <v>0</v>
      </c>
      <c r="S13" s="174">
        <f>'Revenue Forecast'!S12*SUMPRODUCT(Assumptions!$E$116:$E$118,Assumptions!$G$116:$G$118)</f>
        <v>0</v>
      </c>
      <c r="T13" s="174">
        <f>'Revenue Forecast'!T12*SUMPRODUCT(Assumptions!$E$116:$E$118,Assumptions!$G$116:$G$118)</f>
        <v>0</v>
      </c>
      <c r="U13" s="174">
        <f>'Revenue Forecast'!U12*SUMPRODUCT(Assumptions!$E$116:$E$118,Assumptions!$G$116:$G$118)</f>
        <v>0</v>
      </c>
      <c r="V13" s="174">
        <f>'Revenue Forecast'!V12*SUMPRODUCT(Assumptions!$E$116:$E$118,Assumptions!$G$116:$G$118)</f>
        <v>0</v>
      </c>
      <c r="W13" s="174">
        <f>'Revenue Forecast'!W12*SUMPRODUCT(Assumptions!$E$116:$E$118,Assumptions!$G$116:$G$118)</f>
        <v>0</v>
      </c>
      <c r="X13" s="174">
        <f>'Revenue Forecast'!X12*SUMPRODUCT(Assumptions!$E$116:$E$118,Assumptions!$G$116:$G$118)</f>
        <v>0</v>
      </c>
      <c r="Y13" s="174">
        <f>'Revenue Forecast'!Y12*SUMPRODUCT(Assumptions!$E$116:$E$118,Assumptions!$G$116:$G$118)</f>
        <v>0</v>
      </c>
      <c r="Z13" s="174">
        <f>'Revenue Forecast'!Z12*SUMPRODUCT(Assumptions!$E$116:$E$118,Assumptions!$G$116:$G$118)</f>
        <v>0</v>
      </c>
      <c r="AA13" s="174">
        <f>'Revenue Forecast'!AA12*SUMPRODUCT(Assumptions!$E$116:$E$118,Assumptions!$G$116:$G$118)</f>
        <v>0</v>
      </c>
      <c r="AB13" s="174">
        <f>'Revenue Forecast'!AB12*SUMPRODUCT(Assumptions!$E$116:$E$118,Assumptions!$G$116:$G$118)</f>
        <v>0</v>
      </c>
      <c r="AC13" s="174">
        <f>'Revenue Forecast'!AC12*SUMPRODUCT(Assumptions!$E$116:$E$118,Assumptions!$G$116:$G$118)</f>
        <v>3484.8</v>
      </c>
      <c r="AD13" s="174">
        <f>'Revenue Forecast'!AD12*SUMPRODUCT(Assumptions!$E$116:$E$118,Assumptions!$G$116:$G$118)</f>
        <v>3920.4</v>
      </c>
      <c r="AE13" s="174">
        <f>'Revenue Forecast'!AE12*SUMPRODUCT(Assumptions!$E$116:$E$118,Assumptions!$G$116:$G$118)</f>
        <v>4356</v>
      </c>
      <c r="AF13" s="174">
        <f>'Revenue Forecast'!AF12*SUMPRODUCT(Assumptions!$E$116:$E$118,Assumptions!$G$116:$G$118)</f>
        <v>4791.6</v>
      </c>
      <c r="AG13" s="174">
        <f>'Revenue Forecast'!AG12*SUMPRODUCT(Assumptions!$E$116:$E$118,Assumptions!$G$116:$G$118)</f>
        <v>5445</v>
      </c>
      <c r="AH13" s="174">
        <f>'Revenue Forecast'!AH12*SUMPRODUCT(Assumptions!$E$116:$E$118,Assumptions!$G$116:$G$118)</f>
        <v>6098.4</v>
      </c>
      <c r="AI13" s="174">
        <f>'Revenue Forecast'!AI12*SUMPRODUCT(Assumptions!$E$116:$E$118,Assumptions!$G$116:$G$118)</f>
        <v>6969.6</v>
      </c>
      <c r="AJ13" s="174">
        <f>'Revenue Forecast'!AJ12*SUMPRODUCT(Assumptions!$E$116:$E$118,Assumptions!$G$116:$G$118)</f>
        <v>7840.8</v>
      </c>
      <c r="AK13" s="174">
        <f>'Revenue Forecast'!AK12*SUMPRODUCT(Assumptions!$E$116:$E$118,Assumptions!$G$116:$G$118)</f>
        <v>8712</v>
      </c>
      <c r="AL13" s="174">
        <f>'Revenue Forecast'!AL12*SUMPRODUCT(Assumptions!$E$116:$E$118,Assumptions!$G$116:$G$118)</f>
        <v>9801</v>
      </c>
      <c r="AM13" s="174">
        <f>'Revenue Forecast'!AM12*SUMPRODUCT(Assumptions!$E$116:$E$118,Assumptions!$G$116:$G$118)</f>
        <v>10890</v>
      </c>
      <c r="AN13" s="174">
        <f>'Revenue Forecast'!AN12*SUMPRODUCT(Assumptions!$E$116:$E$118,Assumptions!$G$116:$G$118)</f>
        <v>12414.6</v>
      </c>
      <c r="AO13" s="174">
        <f>'Revenue Forecast'!AO12*SUMPRODUCT(Assumptions!$E$116:$E$118,Assumptions!$G$116:$G$118)</f>
        <v>13939.2</v>
      </c>
      <c r="AP13" s="174">
        <f>'Revenue Forecast'!AP12*SUMPRODUCT(Assumptions!$E$116:$E$118,Assumptions!$G$116:$G$118)</f>
        <v>15463.8</v>
      </c>
      <c r="AQ13" s="174">
        <f>'Revenue Forecast'!AQ12*SUMPRODUCT(Assumptions!$E$116:$E$118,Assumptions!$G$116:$G$118)</f>
        <v>17424</v>
      </c>
      <c r="AR13" s="174">
        <f>'Revenue Forecast'!AR12*SUMPRODUCT(Assumptions!$E$116:$E$118,Assumptions!$G$116:$G$118)</f>
        <v>19602</v>
      </c>
      <c r="AS13" s="174">
        <f>'Revenue Forecast'!AS12*SUMPRODUCT(Assumptions!$E$116:$E$118,Assumptions!$G$116:$G$118)</f>
        <v>21997.8</v>
      </c>
      <c r="AT13" s="174">
        <f>'Revenue Forecast'!AT12*SUMPRODUCT(Assumptions!$E$116:$E$118,Assumptions!$G$116:$G$118)</f>
        <v>24611.4</v>
      </c>
      <c r="AU13" s="174">
        <f>'Revenue Forecast'!AU12*SUMPRODUCT(Assumptions!$E$116:$E$118,Assumptions!$G$116:$G$118)</f>
        <v>27660.6</v>
      </c>
      <c r="AV13" s="174">
        <f>'Revenue Forecast'!AV12*SUMPRODUCT(Assumptions!$E$116:$E$118,Assumptions!$G$116:$G$118)</f>
        <v>31145.4</v>
      </c>
      <c r="AW13" s="174">
        <f>'Revenue Forecast'!AW12*SUMPRODUCT(Assumptions!$E$116:$E$118,Assumptions!$G$116:$G$118)</f>
        <v>35065.8</v>
      </c>
      <c r="AX13" s="174">
        <f>'Revenue Forecast'!AX12*SUMPRODUCT(Assumptions!$E$116:$E$118,Assumptions!$G$116:$G$118)</f>
        <v>39204</v>
      </c>
      <c r="AY13" s="174">
        <f>'Revenue Forecast'!AY12*SUMPRODUCT(Assumptions!$E$116:$E$118,Assumptions!$G$116:$G$118)</f>
        <v>43995.6</v>
      </c>
      <c r="AZ13" s="174">
        <f>'Revenue Forecast'!AZ12*SUMPRODUCT(Assumptions!$E$116:$E$118,Assumptions!$G$116:$G$118)</f>
        <v>49440.6</v>
      </c>
      <c r="BA13" s="174"/>
      <c r="BB13" s="174"/>
      <c r="BC13" s="174">
        <f t="shared" si="5"/>
        <v>0</v>
      </c>
      <c r="BD13" s="174">
        <f t="shared" si="6"/>
        <v>84724.2</v>
      </c>
      <c r="BE13" s="174">
        <f t="shared" si="7"/>
        <v>339550.2</v>
      </c>
      <c r="BF13" s="174">
        <f>'Revenue Forecast'!BF12*SUMPRODUCT(Assumptions!$E$116:$E$118,Assumptions!$G$116:$G$118)</f>
        <v>679100.4</v>
      </c>
      <c r="BG13" s="121"/>
    </row>
    <row r="14" ht="12.75" customHeight="1">
      <c r="A14" s="28"/>
      <c r="B14" s="231" t="s">
        <v>295</v>
      </c>
      <c r="C14" s="222"/>
      <c r="D14" s="224" t="s">
        <v>202</v>
      </c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>
        <f t="shared" ref="Q14:AZ14" si="8">sum(Q12:Q13)</f>
        <v>0</v>
      </c>
      <c r="R14" s="178">
        <f t="shared" si="8"/>
        <v>0</v>
      </c>
      <c r="S14" s="178">
        <f t="shared" si="8"/>
        <v>0</v>
      </c>
      <c r="T14" s="178">
        <f t="shared" si="8"/>
        <v>0</v>
      </c>
      <c r="U14" s="178">
        <f t="shared" si="8"/>
        <v>0</v>
      </c>
      <c r="V14" s="178">
        <f t="shared" si="8"/>
        <v>0</v>
      </c>
      <c r="W14" s="178">
        <f t="shared" si="8"/>
        <v>0</v>
      </c>
      <c r="X14" s="178">
        <f t="shared" si="8"/>
        <v>0</v>
      </c>
      <c r="Y14" s="178">
        <f t="shared" si="8"/>
        <v>0</v>
      </c>
      <c r="Z14" s="178">
        <f t="shared" si="8"/>
        <v>0</v>
      </c>
      <c r="AA14" s="178">
        <f t="shared" si="8"/>
        <v>0</v>
      </c>
      <c r="AB14" s="178">
        <f t="shared" si="8"/>
        <v>0</v>
      </c>
      <c r="AC14" s="178">
        <f t="shared" si="8"/>
        <v>137209.664</v>
      </c>
      <c r="AD14" s="178">
        <f t="shared" si="8"/>
        <v>154360.872</v>
      </c>
      <c r="AE14" s="178">
        <f t="shared" si="8"/>
        <v>171512.08</v>
      </c>
      <c r="AF14" s="178">
        <f t="shared" si="8"/>
        <v>188663.288</v>
      </c>
      <c r="AG14" s="178">
        <f t="shared" si="8"/>
        <v>214390.1</v>
      </c>
      <c r="AH14" s="178">
        <f t="shared" si="8"/>
        <v>240116.912</v>
      </c>
      <c r="AI14" s="178">
        <f t="shared" si="8"/>
        <v>274419.328</v>
      </c>
      <c r="AJ14" s="178">
        <f t="shared" si="8"/>
        <v>308721.744</v>
      </c>
      <c r="AK14" s="178">
        <f t="shared" si="8"/>
        <v>343024.16</v>
      </c>
      <c r="AL14" s="178">
        <f t="shared" si="8"/>
        <v>385902.18</v>
      </c>
      <c r="AM14" s="178">
        <f t="shared" si="8"/>
        <v>428780.2</v>
      </c>
      <c r="AN14" s="178">
        <f t="shared" si="8"/>
        <v>488809.428</v>
      </c>
      <c r="AO14" s="178">
        <f t="shared" si="8"/>
        <v>548838.656</v>
      </c>
      <c r="AP14" s="178">
        <f t="shared" si="8"/>
        <v>608867.884</v>
      </c>
      <c r="AQ14" s="178">
        <f t="shared" si="8"/>
        <v>686048.32</v>
      </c>
      <c r="AR14" s="178">
        <f t="shared" si="8"/>
        <v>771804.36</v>
      </c>
      <c r="AS14" s="178">
        <f t="shared" si="8"/>
        <v>866136.004</v>
      </c>
      <c r="AT14" s="178">
        <f t="shared" si="8"/>
        <v>969043.252</v>
      </c>
      <c r="AU14" s="178">
        <f t="shared" si="8"/>
        <v>1089101.708</v>
      </c>
      <c r="AV14" s="178">
        <f t="shared" si="8"/>
        <v>1226311.372</v>
      </c>
      <c r="AW14" s="178">
        <f t="shared" si="8"/>
        <v>1380672.244</v>
      </c>
      <c r="AX14" s="178">
        <f t="shared" si="8"/>
        <v>1543608.72</v>
      </c>
      <c r="AY14" s="178">
        <f t="shared" si="8"/>
        <v>1732272.008</v>
      </c>
      <c r="AZ14" s="178">
        <f t="shared" si="8"/>
        <v>1946662.108</v>
      </c>
      <c r="BA14" s="174"/>
      <c r="BB14" s="226">
        <f>SUM(E14:P14)</f>
        <v>0</v>
      </c>
      <c r="BC14" s="226">
        <f t="shared" si="5"/>
        <v>0</v>
      </c>
      <c r="BD14" s="226">
        <f t="shared" si="6"/>
        <v>3335909.956</v>
      </c>
      <c r="BE14" s="226">
        <f t="shared" si="7"/>
        <v>13369366.64</v>
      </c>
      <c r="BF14" s="226">
        <f>sum(BF12:BF13)</f>
        <v>19556937.86</v>
      </c>
      <c r="BG14" s="227"/>
    </row>
    <row r="15" ht="12.75" customHeight="1">
      <c r="A15" s="28"/>
      <c r="B15" s="232"/>
      <c r="C15" s="233"/>
      <c r="D15" s="234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174"/>
      <c r="BB15" s="226"/>
      <c r="BC15" s="226"/>
      <c r="BD15" s="226"/>
      <c r="BE15" s="226"/>
      <c r="BF15" s="226"/>
      <c r="BG15" s="227"/>
    </row>
    <row r="16" ht="12.75" customHeight="1">
      <c r="A16" s="28"/>
      <c r="B16" s="232" t="s">
        <v>273</v>
      </c>
      <c r="C16" s="233"/>
      <c r="D16" s="234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174"/>
      <c r="BB16" s="226"/>
      <c r="BC16" s="226"/>
      <c r="BD16" s="226"/>
      <c r="BE16" s="226"/>
      <c r="BF16" s="226"/>
      <c r="BG16" s="227"/>
    </row>
    <row r="17" ht="12.75" customHeight="1">
      <c r="A17" s="28"/>
      <c r="B17" s="232" t="s">
        <v>296</v>
      </c>
      <c r="C17" s="233"/>
      <c r="D17" s="234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>
        <f>IFNA('Revenue Forecast'!Q18*(VLOOKUP('Revenue Forecast'!$BD$41+'Revenue Forecast'!$BE$41,Assumptions!$B$70:$C$72,2,TRUE)+VLOOKUP('Revenue Forecast'!$BD$18+'Revenue Forecast'!$BE$18,Assumptions!$E$82:$F$84,2,TRUE)+Assumptions!$E$78),0)</f>
        <v>0</v>
      </c>
      <c r="R17" s="235">
        <f>IFNA('Revenue Forecast'!R18*(VLOOKUP('Revenue Forecast'!$BD$41+'Revenue Forecast'!$BE$41,Assumptions!$B$70:$C$72,2,TRUE)+VLOOKUP('Revenue Forecast'!$BD$18+'Revenue Forecast'!$BE$18,Assumptions!$E$82:$F$84,2,TRUE)+Assumptions!$E$78),0)</f>
        <v>0</v>
      </c>
      <c r="S17" s="235">
        <f>IFNA('Revenue Forecast'!S18*(VLOOKUP('Revenue Forecast'!$BD$41+'Revenue Forecast'!$BE$41,Assumptions!$B$70:$C$72,2,TRUE)+VLOOKUP('Revenue Forecast'!$BD$18+'Revenue Forecast'!$BE$18,Assumptions!$E$82:$F$84,2,TRUE)+Assumptions!$E$78),0)</f>
        <v>0</v>
      </c>
      <c r="T17" s="235">
        <f>IFNA('Revenue Forecast'!T18*(VLOOKUP('Revenue Forecast'!$BD$41+'Revenue Forecast'!$BE$41,Assumptions!$B$70:$C$72,2,TRUE)+VLOOKUP('Revenue Forecast'!$BD$18+'Revenue Forecast'!$BE$18,Assumptions!$E$82:$F$84,2,TRUE)+Assumptions!$E$78),0)</f>
        <v>0</v>
      </c>
      <c r="U17" s="235">
        <f>IFNA('Revenue Forecast'!U18*(VLOOKUP('Revenue Forecast'!$BD$41+'Revenue Forecast'!$BE$41,Assumptions!$B$70:$C$72,2,TRUE)+VLOOKUP('Revenue Forecast'!$BD$18+'Revenue Forecast'!$BE$18,Assumptions!$E$82:$F$84,2,TRUE)+Assumptions!$E$78),0)</f>
        <v>0</v>
      </c>
      <c r="V17" s="235">
        <f>IFNA('Revenue Forecast'!V18*(VLOOKUP('Revenue Forecast'!$BD$41+'Revenue Forecast'!$BE$41,Assumptions!$B$70:$C$72,2,TRUE)+VLOOKUP('Revenue Forecast'!$BD$18+'Revenue Forecast'!$BE$18,Assumptions!$E$82:$F$84,2,TRUE)+Assumptions!$E$78),0)</f>
        <v>0</v>
      </c>
      <c r="W17" s="235">
        <f>IFNA('Revenue Forecast'!W18*(VLOOKUP('Revenue Forecast'!$BD$41+'Revenue Forecast'!$BE$41,Assumptions!$B$70:$C$72,2,TRUE)+VLOOKUP('Revenue Forecast'!$BD$18+'Revenue Forecast'!$BE$18,Assumptions!$E$82:$F$84,2,TRUE)+Assumptions!$E$78),0)</f>
        <v>0</v>
      </c>
      <c r="X17" s="235">
        <f>IFNA('Revenue Forecast'!X18*(VLOOKUP('Revenue Forecast'!$BD$41+'Revenue Forecast'!$BE$41,Assumptions!$B$70:$C$72,2,TRUE)+VLOOKUP('Revenue Forecast'!$BD$18+'Revenue Forecast'!$BE$18,Assumptions!$E$82:$F$84,2,TRUE)+Assumptions!$E$78),0)</f>
        <v>0</v>
      </c>
      <c r="Y17" s="235">
        <f>IFNA('Revenue Forecast'!Y18*(VLOOKUP('Revenue Forecast'!$BD$41+'Revenue Forecast'!$BE$41,Assumptions!$B$70:$C$72,2,TRUE)+VLOOKUP('Revenue Forecast'!$BD$18+'Revenue Forecast'!$BE$18,Assumptions!$E$82:$F$84,2,TRUE)+Assumptions!$E$78),0)</f>
        <v>0</v>
      </c>
      <c r="Z17" s="235">
        <f>IFNA('Revenue Forecast'!Z18*(VLOOKUP('Revenue Forecast'!$BD$41+'Revenue Forecast'!$BE$41,Assumptions!$B$70:$C$72,2,TRUE)+VLOOKUP('Revenue Forecast'!$BD$18+'Revenue Forecast'!$BE$18,Assumptions!$E$82:$F$84,2,TRUE)+Assumptions!$E$78),0)</f>
        <v>0</v>
      </c>
      <c r="AA17" s="235">
        <f>IFNA('Revenue Forecast'!AA18*(VLOOKUP('Revenue Forecast'!$BD$41+'Revenue Forecast'!$BE$41,Assumptions!$B$70:$C$72,2,TRUE)+VLOOKUP('Revenue Forecast'!$BD$18+'Revenue Forecast'!$BE$18,Assumptions!$E$82:$F$84,2,TRUE)+Assumptions!$E$78),0)</f>
        <v>0</v>
      </c>
      <c r="AB17" s="235">
        <f>IFNA('Revenue Forecast'!AB18*(VLOOKUP('Revenue Forecast'!$BD$41+'Revenue Forecast'!$BE$41,Assumptions!$B$70:$C$72,2,TRUE)+VLOOKUP('Revenue Forecast'!$BD$18+'Revenue Forecast'!$BE$18,Assumptions!$E$82:$F$84,2,TRUE)+Assumptions!$E$78),0)</f>
        <v>0</v>
      </c>
      <c r="AC17" s="235">
        <f>IFNA('Revenue Forecast'!AC18*(VLOOKUP('Revenue Forecast'!$BD$41+'Revenue Forecast'!$BE$41,Assumptions!$B$70:$C$72,2,TRUE)+VLOOKUP('Revenue Forecast'!$BD$18+'Revenue Forecast'!$BE$18,Assumptions!$E$82:$F$84,2,TRUE)+Assumptions!$E$78),0)</f>
        <v>137312.704</v>
      </c>
      <c r="AD17" s="235">
        <f>IFNA('Revenue Forecast'!AD18*(VLOOKUP('Revenue Forecast'!$BD$41+'Revenue Forecast'!$BE$41,Assumptions!$B$70:$C$72,2,TRUE)+VLOOKUP('Revenue Forecast'!$BD$18+'Revenue Forecast'!$BE$18,Assumptions!$E$82:$F$84,2,TRUE)+Assumptions!$E$78),0)</f>
        <v>154476.792</v>
      </c>
      <c r="AE17" s="235">
        <f>IFNA('Revenue Forecast'!AE18*(VLOOKUP('Revenue Forecast'!$BD$41+'Revenue Forecast'!$BE$41,Assumptions!$B$70:$C$72,2,TRUE)+VLOOKUP('Revenue Forecast'!$BD$18+'Revenue Forecast'!$BE$18,Assumptions!$E$82:$F$84,2,TRUE)+Assumptions!$E$78),0)</f>
        <v>171640.88</v>
      </c>
      <c r="AF17" s="235">
        <f>IFNA('Revenue Forecast'!AF18*(VLOOKUP('Revenue Forecast'!$BD$41+'Revenue Forecast'!$BE$41,Assumptions!$B$70:$C$72,2,TRUE)+VLOOKUP('Revenue Forecast'!$BD$18+'Revenue Forecast'!$BE$18,Assumptions!$E$82:$F$84,2,TRUE)+Assumptions!$E$78),0)</f>
        <v>188804.968</v>
      </c>
      <c r="AG17" s="235">
        <f>IFNA('Revenue Forecast'!AG18*(VLOOKUP('Revenue Forecast'!$BD$41+'Revenue Forecast'!$BE$41,Assumptions!$B$70:$C$72,2,TRUE)+VLOOKUP('Revenue Forecast'!$BD$18+'Revenue Forecast'!$BE$18,Assumptions!$E$82:$F$84,2,TRUE)+Assumptions!$E$78),0)</f>
        <v>214551.1</v>
      </c>
      <c r="AH17" s="235">
        <f>IFNA('Revenue Forecast'!AH18*(VLOOKUP('Revenue Forecast'!$BD$41+'Revenue Forecast'!$BE$41,Assumptions!$B$70:$C$72,2,TRUE)+VLOOKUP('Revenue Forecast'!$BD$18+'Revenue Forecast'!$BE$18,Assumptions!$E$82:$F$84,2,TRUE)+Assumptions!$E$78),0)</f>
        <v>240297.232</v>
      </c>
      <c r="AI17" s="235">
        <f>IFNA('Revenue Forecast'!AI18*(VLOOKUP('Revenue Forecast'!$BD$41+'Revenue Forecast'!$BE$41,Assumptions!$B$70:$C$72,2,TRUE)+VLOOKUP('Revenue Forecast'!$BD$18+'Revenue Forecast'!$BE$18,Assumptions!$E$82:$F$84,2,TRUE)+Assumptions!$E$78),0)</f>
        <v>274625.408</v>
      </c>
      <c r="AJ17" s="235">
        <f>IFNA('Revenue Forecast'!AJ18*(VLOOKUP('Revenue Forecast'!$BD$41+'Revenue Forecast'!$BE$41,Assumptions!$B$70:$C$72,2,TRUE)+VLOOKUP('Revenue Forecast'!$BD$18+'Revenue Forecast'!$BE$18,Assumptions!$E$82:$F$84,2,TRUE)+Assumptions!$E$78),0)</f>
        <v>308953.584</v>
      </c>
      <c r="AK17" s="235">
        <f>IFNA('Revenue Forecast'!AK18*(VLOOKUP('Revenue Forecast'!$BD$41+'Revenue Forecast'!$BE$41,Assumptions!$B$70:$C$72,2,TRUE)+VLOOKUP('Revenue Forecast'!$BD$18+'Revenue Forecast'!$BE$18,Assumptions!$E$82:$F$84,2,TRUE)+Assumptions!$E$78),0)</f>
        <v>343281.76</v>
      </c>
      <c r="AL17" s="235">
        <f>IFNA('Revenue Forecast'!AL18*(VLOOKUP('Revenue Forecast'!$BD$41+'Revenue Forecast'!$BE$41,Assumptions!$B$70:$C$72,2,TRUE)+VLOOKUP('Revenue Forecast'!$BD$18+'Revenue Forecast'!$BE$18,Assumptions!$E$82:$F$84,2,TRUE)+Assumptions!$E$78),0)</f>
        <v>386191.98</v>
      </c>
      <c r="AM17" s="235">
        <f>IFNA('Revenue Forecast'!AM18*(VLOOKUP('Revenue Forecast'!$BD$41+'Revenue Forecast'!$BE$41,Assumptions!$B$70:$C$72,2,TRUE)+VLOOKUP('Revenue Forecast'!$BD$18+'Revenue Forecast'!$BE$18,Assumptions!$E$82:$F$84,2,TRUE)+Assumptions!$E$78),0)</f>
        <v>429102.2</v>
      </c>
      <c r="AN17" s="235">
        <f>IFNA('Revenue Forecast'!AN18*(VLOOKUP('Revenue Forecast'!$BD$41+'Revenue Forecast'!$BE$41,Assumptions!$B$70:$C$72,2,TRUE)+VLOOKUP('Revenue Forecast'!$BD$18+'Revenue Forecast'!$BE$18,Assumptions!$E$82:$F$84,2,TRUE)+Assumptions!$E$78),0)</f>
        <v>489176.508</v>
      </c>
      <c r="AO17" s="235">
        <f>IFNA('Revenue Forecast'!AO18*(VLOOKUP('Revenue Forecast'!$BD$41+'Revenue Forecast'!$BE$41,Assumptions!$B$70:$C$72,2,TRUE)+VLOOKUP('Revenue Forecast'!$BD$18+'Revenue Forecast'!$BE$18,Assumptions!$E$82:$F$84,2,TRUE)+Assumptions!$E$78),0)</f>
        <v>549250.816</v>
      </c>
      <c r="AP17" s="235">
        <f>IFNA('Revenue Forecast'!AP18*(VLOOKUP('Revenue Forecast'!$BD$41+'Revenue Forecast'!$BE$41,Assumptions!$B$70:$C$72,2,TRUE)+VLOOKUP('Revenue Forecast'!$BD$18+'Revenue Forecast'!$BE$18,Assumptions!$E$82:$F$84,2,TRUE)+Assumptions!$E$78),0)</f>
        <v>609325.124</v>
      </c>
      <c r="AQ17" s="235">
        <f>IFNA('Revenue Forecast'!AQ18*(VLOOKUP('Revenue Forecast'!$BD$41+'Revenue Forecast'!$BE$41,Assumptions!$B$70:$C$72,2,TRUE)+VLOOKUP('Revenue Forecast'!$BD$18+'Revenue Forecast'!$BE$18,Assumptions!$E$82:$F$84,2,TRUE)+Assumptions!$E$78),0)</f>
        <v>686563.52</v>
      </c>
      <c r="AR17" s="235">
        <f>IFNA('Revenue Forecast'!AR18*(VLOOKUP('Revenue Forecast'!$BD$41+'Revenue Forecast'!$BE$41,Assumptions!$B$70:$C$72,2,TRUE)+VLOOKUP('Revenue Forecast'!$BD$18+'Revenue Forecast'!$BE$18,Assumptions!$E$82:$F$84,2,TRUE)+Assumptions!$E$78),0)</f>
        <v>772383.96</v>
      </c>
      <c r="AS17" s="235">
        <f>IFNA('Revenue Forecast'!AS18*(VLOOKUP('Revenue Forecast'!$BD$41+'Revenue Forecast'!$BE$41,Assumptions!$B$70:$C$72,2,TRUE)+VLOOKUP('Revenue Forecast'!$BD$18+'Revenue Forecast'!$BE$18,Assumptions!$E$82:$F$84,2,TRUE)+Assumptions!$E$78),0)</f>
        <v>866786.444</v>
      </c>
      <c r="AT17" s="235">
        <f>IFNA('Revenue Forecast'!AT18*(VLOOKUP('Revenue Forecast'!$BD$41+'Revenue Forecast'!$BE$41,Assumptions!$B$70:$C$72,2,TRUE)+VLOOKUP('Revenue Forecast'!$BD$18+'Revenue Forecast'!$BE$18,Assumptions!$E$82:$F$84,2,TRUE)+Assumptions!$E$78),0)</f>
        <v>969770.972</v>
      </c>
      <c r="AU17" s="235">
        <f>IFNA('Revenue Forecast'!AU18*(VLOOKUP('Revenue Forecast'!$BD$41+'Revenue Forecast'!$BE$41,Assumptions!$B$70:$C$72,2,TRUE)+VLOOKUP('Revenue Forecast'!$BD$18+'Revenue Forecast'!$BE$18,Assumptions!$E$82:$F$84,2,TRUE)+Assumptions!$E$78),0)</f>
        <v>1089919.588</v>
      </c>
      <c r="AV17" s="235">
        <f>IFNA('Revenue Forecast'!AV18*(VLOOKUP('Revenue Forecast'!$BD$41+'Revenue Forecast'!$BE$41,Assumptions!$B$70:$C$72,2,TRUE)+VLOOKUP('Revenue Forecast'!$BD$18+'Revenue Forecast'!$BE$18,Assumptions!$E$82:$F$84,2,TRUE)+Assumptions!$E$78),0)</f>
        <v>1227232.292</v>
      </c>
      <c r="AW17" s="235">
        <f>IFNA('Revenue Forecast'!AW18*(VLOOKUP('Revenue Forecast'!$BD$41+'Revenue Forecast'!$BE$41,Assumptions!$B$70:$C$72,2,TRUE)+VLOOKUP('Revenue Forecast'!$BD$18+'Revenue Forecast'!$BE$18,Assumptions!$E$82:$F$84,2,TRUE)+Assumptions!$E$78),0)</f>
        <v>1381709.084</v>
      </c>
      <c r="AX17" s="235">
        <f>IFNA('Revenue Forecast'!AX18*(VLOOKUP('Revenue Forecast'!$BD$41+'Revenue Forecast'!$BE$41,Assumptions!$B$70:$C$72,2,TRUE)+VLOOKUP('Revenue Forecast'!$BD$18+'Revenue Forecast'!$BE$18,Assumptions!$E$82:$F$84,2,TRUE)+Assumptions!$E$78),0)</f>
        <v>1544767.92</v>
      </c>
      <c r="AY17" s="235">
        <f>IFNA('Revenue Forecast'!AY18*(VLOOKUP('Revenue Forecast'!$BD$41+'Revenue Forecast'!$BE$41,Assumptions!$B$70:$C$72,2,TRUE)+VLOOKUP('Revenue Forecast'!$BD$18+'Revenue Forecast'!$BE$18,Assumptions!$E$82:$F$84,2,TRUE)+Assumptions!$E$78),0)</f>
        <v>1733572.888</v>
      </c>
      <c r="AZ17" s="235">
        <f>IFNA('Revenue Forecast'!AZ18*(VLOOKUP('Revenue Forecast'!$BD$41+'Revenue Forecast'!$BE$41,Assumptions!$B$70:$C$72,2,TRUE)+VLOOKUP('Revenue Forecast'!$BD$18+'Revenue Forecast'!$BE$18,Assumptions!$E$82:$F$84,2,TRUE)+Assumptions!$E$78),0)</f>
        <v>1948123.988</v>
      </c>
      <c r="BA17" s="174"/>
      <c r="BB17" s="226"/>
      <c r="BC17" s="226">
        <f t="shared" ref="BC17:BC18" si="9">SUM(Q17:AB17)</f>
        <v>0</v>
      </c>
      <c r="BD17" s="226">
        <f t="shared" ref="BD17:BD18" si="10">SUM(AC17:AN17)</f>
        <v>3338415.116</v>
      </c>
      <c r="BE17" s="226">
        <f t="shared" ref="BE17:BE18" si="11">SUM(AO17:AZ17)</f>
        <v>13379406.6</v>
      </c>
      <c r="BF17" s="226">
        <f>'Revenue Forecast'!BF18*(Assumptions!$G$53+Assumptions!$F$84+Assumptions!$E$78)</f>
        <v>19444159.8</v>
      </c>
      <c r="BG17" s="227"/>
    </row>
    <row r="18" ht="12.75" customHeight="1">
      <c r="A18" s="28"/>
      <c r="B18" s="232" t="s">
        <v>292</v>
      </c>
      <c r="C18" s="233"/>
      <c r="D18" s="234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>
        <f>'Revenue Forecast'!Q18*SUMPRODUCT(Assumptions!$E$116:$E$118,Assumptions!$G$116:$G$118)</f>
        <v>0</v>
      </c>
      <c r="R18" s="235">
        <f>'Revenue Forecast'!R18*SUMPRODUCT(Assumptions!$E$116:$E$118,Assumptions!$G$116:$G$118)</f>
        <v>0</v>
      </c>
      <c r="S18" s="235">
        <f>'Revenue Forecast'!S18*SUMPRODUCT(Assumptions!$E$116:$E$118,Assumptions!$G$116:$G$118)</f>
        <v>0</v>
      </c>
      <c r="T18" s="235">
        <f>'Revenue Forecast'!T18*SUMPRODUCT(Assumptions!$E$116:$E$118,Assumptions!$G$116:$G$118)</f>
        <v>0</v>
      </c>
      <c r="U18" s="235">
        <f>'Revenue Forecast'!U18*SUMPRODUCT(Assumptions!$E$116:$E$118,Assumptions!$G$116:$G$118)</f>
        <v>0</v>
      </c>
      <c r="V18" s="235">
        <f>'Revenue Forecast'!V18*SUMPRODUCT(Assumptions!$E$116:$E$118,Assumptions!$G$116:$G$118)</f>
        <v>0</v>
      </c>
      <c r="W18" s="235">
        <f>'Revenue Forecast'!W18*SUMPRODUCT(Assumptions!$E$116:$E$118,Assumptions!$G$116:$G$118)</f>
        <v>0</v>
      </c>
      <c r="X18" s="235">
        <f>'Revenue Forecast'!X18*SUMPRODUCT(Assumptions!$E$116:$E$118,Assumptions!$G$116:$G$118)</f>
        <v>0</v>
      </c>
      <c r="Y18" s="235">
        <f>'Revenue Forecast'!Y18*SUMPRODUCT(Assumptions!$E$116:$E$118,Assumptions!$G$116:$G$118)</f>
        <v>0</v>
      </c>
      <c r="Z18" s="235">
        <f>'Revenue Forecast'!Z18*SUMPRODUCT(Assumptions!$E$116:$E$118,Assumptions!$G$116:$G$118)</f>
        <v>0</v>
      </c>
      <c r="AA18" s="235">
        <f>'Revenue Forecast'!AA18*SUMPRODUCT(Assumptions!$E$116:$E$118,Assumptions!$G$116:$G$118)</f>
        <v>0</v>
      </c>
      <c r="AB18" s="235">
        <f>'Revenue Forecast'!AB18*SUMPRODUCT(Assumptions!$E$116:$E$118,Assumptions!$G$116:$G$118)</f>
        <v>0</v>
      </c>
      <c r="AC18" s="235">
        <f>'Revenue Forecast'!AC18*SUMPRODUCT(Assumptions!$E$116:$E$118,Assumptions!$G$116:$G$118)</f>
        <v>3484.8</v>
      </c>
      <c r="AD18" s="235">
        <f>'Revenue Forecast'!AD18*SUMPRODUCT(Assumptions!$E$116:$E$118,Assumptions!$G$116:$G$118)</f>
        <v>3920.4</v>
      </c>
      <c r="AE18" s="235">
        <f>'Revenue Forecast'!AE18*SUMPRODUCT(Assumptions!$E$116:$E$118,Assumptions!$G$116:$G$118)</f>
        <v>4356</v>
      </c>
      <c r="AF18" s="235">
        <f>'Revenue Forecast'!AF18*SUMPRODUCT(Assumptions!$E$116:$E$118,Assumptions!$G$116:$G$118)</f>
        <v>4791.6</v>
      </c>
      <c r="AG18" s="235">
        <f>'Revenue Forecast'!AG18*SUMPRODUCT(Assumptions!$E$116:$E$118,Assumptions!$G$116:$G$118)</f>
        <v>5445</v>
      </c>
      <c r="AH18" s="235">
        <f>'Revenue Forecast'!AH18*SUMPRODUCT(Assumptions!$E$116:$E$118,Assumptions!$G$116:$G$118)</f>
        <v>6098.4</v>
      </c>
      <c r="AI18" s="235">
        <f>'Revenue Forecast'!AI18*SUMPRODUCT(Assumptions!$E$116:$E$118,Assumptions!$G$116:$G$118)</f>
        <v>6969.6</v>
      </c>
      <c r="AJ18" s="235">
        <f>'Revenue Forecast'!AJ18*SUMPRODUCT(Assumptions!$E$116:$E$118,Assumptions!$G$116:$G$118)</f>
        <v>7840.8</v>
      </c>
      <c r="AK18" s="235">
        <f>'Revenue Forecast'!AK18*SUMPRODUCT(Assumptions!$E$116:$E$118,Assumptions!$G$116:$G$118)</f>
        <v>8712</v>
      </c>
      <c r="AL18" s="235">
        <f>'Revenue Forecast'!AL18*SUMPRODUCT(Assumptions!$E$116:$E$118,Assumptions!$G$116:$G$118)</f>
        <v>9801</v>
      </c>
      <c r="AM18" s="235">
        <f>'Revenue Forecast'!AM18*SUMPRODUCT(Assumptions!$E$116:$E$118,Assumptions!$G$116:$G$118)</f>
        <v>10890</v>
      </c>
      <c r="AN18" s="235">
        <f>'Revenue Forecast'!AN18*SUMPRODUCT(Assumptions!$E$116:$E$118,Assumptions!$G$116:$G$118)</f>
        <v>12414.6</v>
      </c>
      <c r="AO18" s="235">
        <f>'Revenue Forecast'!AO18*SUMPRODUCT(Assumptions!$E$116:$E$118,Assumptions!$G$116:$G$118)</f>
        <v>13939.2</v>
      </c>
      <c r="AP18" s="235">
        <f>'Revenue Forecast'!AP18*SUMPRODUCT(Assumptions!$E$116:$E$118,Assumptions!$G$116:$G$118)</f>
        <v>15463.8</v>
      </c>
      <c r="AQ18" s="235">
        <f>'Revenue Forecast'!AQ18*SUMPRODUCT(Assumptions!$E$116:$E$118,Assumptions!$G$116:$G$118)</f>
        <v>17424</v>
      </c>
      <c r="AR18" s="235">
        <f>'Revenue Forecast'!AR18*SUMPRODUCT(Assumptions!$E$116:$E$118,Assumptions!$G$116:$G$118)</f>
        <v>19602</v>
      </c>
      <c r="AS18" s="235">
        <f>'Revenue Forecast'!AS18*SUMPRODUCT(Assumptions!$E$116:$E$118,Assumptions!$G$116:$G$118)</f>
        <v>21997.8</v>
      </c>
      <c r="AT18" s="235">
        <f>'Revenue Forecast'!AT18*SUMPRODUCT(Assumptions!$E$116:$E$118,Assumptions!$G$116:$G$118)</f>
        <v>24611.4</v>
      </c>
      <c r="AU18" s="235">
        <f>'Revenue Forecast'!AU18*SUMPRODUCT(Assumptions!$E$116:$E$118,Assumptions!$G$116:$G$118)</f>
        <v>27660.6</v>
      </c>
      <c r="AV18" s="235">
        <f>'Revenue Forecast'!AV18*SUMPRODUCT(Assumptions!$E$116:$E$118,Assumptions!$G$116:$G$118)</f>
        <v>31145.4</v>
      </c>
      <c r="AW18" s="235">
        <f>'Revenue Forecast'!AW18*SUMPRODUCT(Assumptions!$E$116:$E$118,Assumptions!$G$116:$G$118)</f>
        <v>35065.8</v>
      </c>
      <c r="AX18" s="235">
        <f>'Revenue Forecast'!AX18*SUMPRODUCT(Assumptions!$E$116:$E$118,Assumptions!$G$116:$G$118)</f>
        <v>39204</v>
      </c>
      <c r="AY18" s="235">
        <f>'Revenue Forecast'!AY18*SUMPRODUCT(Assumptions!$E$116:$E$118,Assumptions!$G$116:$G$118)</f>
        <v>43995.6</v>
      </c>
      <c r="AZ18" s="235">
        <f>'Revenue Forecast'!AZ18*SUMPRODUCT(Assumptions!$E$116:$E$118,Assumptions!$G$116:$G$118)</f>
        <v>49440.6</v>
      </c>
      <c r="BA18" s="174"/>
      <c r="BB18" s="226"/>
      <c r="BC18" s="226">
        <f t="shared" si="9"/>
        <v>0</v>
      </c>
      <c r="BD18" s="226">
        <f t="shared" si="10"/>
        <v>84724.2</v>
      </c>
      <c r="BE18" s="226">
        <f t="shared" si="11"/>
        <v>339550.2</v>
      </c>
      <c r="BF18" s="226">
        <f>'Revenue Forecast'!BF18*SUMPRODUCT(Assumptions!$E$116:$E$118,Assumptions!$G$116:$G$118)</f>
        <v>679100.4</v>
      </c>
      <c r="BG18" s="227"/>
    </row>
    <row r="19" ht="12.75" customHeight="1">
      <c r="A19" s="28"/>
      <c r="B19" s="232" t="s">
        <v>297</v>
      </c>
      <c r="C19" s="233"/>
      <c r="D19" s="23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>
        <f t="shared" ref="Q19:AZ19" si="12">sum(Q17:Q18)</f>
        <v>0</v>
      </c>
      <c r="R19" s="235">
        <f t="shared" si="12"/>
        <v>0</v>
      </c>
      <c r="S19" s="235">
        <f t="shared" si="12"/>
        <v>0</v>
      </c>
      <c r="T19" s="235">
        <f t="shared" si="12"/>
        <v>0</v>
      </c>
      <c r="U19" s="235">
        <f t="shared" si="12"/>
        <v>0</v>
      </c>
      <c r="V19" s="235">
        <f t="shared" si="12"/>
        <v>0</v>
      </c>
      <c r="W19" s="235">
        <f t="shared" si="12"/>
        <v>0</v>
      </c>
      <c r="X19" s="235">
        <f t="shared" si="12"/>
        <v>0</v>
      </c>
      <c r="Y19" s="235">
        <f t="shared" si="12"/>
        <v>0</v>
      </c>
      <c r="Z19" s="235">
        <f t="shared" si="12"/>
        <v>0</v>
      </c>
      <c r="AA19" s="235">
        <f t="shared" si="12"/>
        <v>0</v>
      </c>
      <c r="AB19" s="235">
        <f t="shared" si="12"/>
        <v>0</v>
      </c>
      <c r="AC19" s="235">
        <f t="shared" si="12"/>
        <v>140797.504</v>
      </c>
      <c r="AD19" s="235">
        <f t="shared" si="12"/>
        <v>158397.192</v>
      </c>
      <c r="AE19" s="235">
        <f t="shared" si="12"/>
        <v>175996.88</v>
      </c>
      <c r="AF19" s="235">
        <f t="shared" si="12"/>
        <v>193596.568</v>
      </c>
      <c r="AG19" s="235">
        <f t="shared" si="12"/>
        <v>219996.1</v>
      </c>
      <c r="AH19" s="235">
        <f t="shared" si="12"/>
        <v>246395.632</v>
      </c>
      <c r="AI19" s="235">
        <f t="shared" si="12"/>
        <v>281595.008</v>
      </c>
      <c r="AJ19" s="235">
        <f t="shared" si="12"/>
        <v>316794.384</v>
      </c>
      <c r="AK19" s="235">
        <f t="shared" si="12"/>
        <v>351993.76</v>
      </c>
      <c r="AL19" s="235">
        <f t="shared" si="12"/>
        <v>395992.98</v>
      </c>
      <c r="AM19" s="235">
        <f t="shared" si="12"/>
        <v>439992.2</v>
      </c>
      <c r="AN19" s="235">
        <f t="shared" si="12"/>
        <v>501591.108</v>
      </c>
      <c r="AO19" s="235">
        <f t="shared" si="12"/>
        <v>563190.016</v>
      </c>
      <c r="AP19" s="235">
        <f t="shared" si="12"/>
        <v>624788.924</v>
      </c>
      <c r="AQ19" s="235">
        <f t="shared" si="12"/>
        <v>703987.52</v>
      </c>
      <c r="AR19" s="235">
        <f t="shared" si="12"/>
        <v>791985.96</v>
      </c>
      <c r="AS19" s="235">
        <f t="shared" si="12"/>
        <v>888784.244</v>
      </c>
      <c r="AT19" s="235">
        <f t="shared" si="12"/>
        <v>994382.372</v>
      </c>
      <c r="AU19" s="235">
        <f t="shared" si="12"/>
        <v>1117580.188</v>
      </c>
      <c r="AV19" s="235">
        <f t="shared" si="12"/>
        <v>1258377.692</v>
      </c>
      <c r="AW19" s="235">
        <f t="shared" si="12"/>
        <v>1416774.884</v>
      </c>
      <c r="AX19" s="235">
        <f t="shared" si="12"/>
        <v>1583971.92</v>
      </c>
      <c r="AY19" s="235">
        <f t="shared" si="12"/>
        <v>1777568.488</v>
      </c>
      <c r="AZ19" s="235">
        <f t="shared" si="12"/>
        <v>1997564.588</v>
      </c>
      <c r="BA19" s="174"/>
      <c r="BB19" s="226"/>
      <c r="BC19" s="226">
        <f t="shared" ref="BC19:BF19" si="13">sum(BC17:BC18)</f>
        <v>0</v>
      </c>
      <c r="BD19" s="226">
        <f t="shared" si="13"/>
        <v>3423139.316</v>
      </c>
      <c r="BE19" s="226">
        <f t="shared" si="13"/>
        <v>13718956.8</v>
      </c>
      <c r="BF19" s="226">
        <f t="shared" si="13"/>
        <v>20123260.2</v>
      </c>
      <c r="BG19" s="227"/>
    </row>
    <row r="20">
      <c r="BA20" s="174"/>
    </row>
    <row r="21" ht="13.5" customHeight="1">
      <c r="A21" s="221"/>
      <c r="B21" s="224" t="s">
        <v>298</v>
      </c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4"/>
      <c r="BB21" s="179"/>
      <c r="BC21" s="181"/>
      <c r="BD21" s="181"/>
      <c r="BE21" s="181"/>
      <c r="BF21" s="181"/>
      <c r="BG21" s="121"/>
    </row>
    <row r="22" ht="15.0" customHeight="1">
      <c r="A22" s="28"/>
      <c r="B22" s="53" t="s">
        <v>299</v>
      </c>
      <c r="C22" s="28"/>
      <c r="D22" s="209" t="s">
        <v>202</v>
      </c>
      <c r="E22" s="250"/>
      <c r="F22" s="250"/>
      <c r="G22" s="250"/>
      <c r="H22" s="250"/>
      <c r="I22" s="250"/>
      <c r="J22" s="250"/>
      <c r="K22" s="250"/>
      <c r="L22" s="250"/>
      <c r="M22" s="175"/>
      <c r="N22" s="175"/>
      <c r="O22" s="175"/>
      <c r="P22" s="175"/>
      <c r="Q22" s="175">
        <f>'Revenue Forecast'!Q25</f>
        <v>0</v>
      </c>
      <c r="R22" s="175">
        <f>'Revenue Forecast'!R25</f>
        <v>0</v>
      </c>
      <c r="S22" s="175">
        <f>'Revenue Forecast'!S25</f>
        <v>0</v>
      </c>
      <c r="T22" s="175">
        <f>'Revenue Forecast'!T25</f>
        <v>0</v>
      </c>
      <c r="U22" s="175">
        <f>'Revenue Forecast'!U25</f>
        <v>0</v>
      </c>
      <c r="V22" s="175">
        <f>'Revenue Forecast'!V25</f>
        <v>0</v>
      </c>
      <c r="W22" s="175">
        <f>'Revenue Forecast'!W25</f>
        <v>0</v>
      </c>
      <c r="X22" s="175">
        <f>'Revenue Forecast'!X25</f>
        <v>0</v>
      </c>
      <c r="Y22" s="175">
        <f>'Revenue Forecast'!Y25</f>
        <v>0</v>
      </c>
      <c r="Z22" s="175">
        <f>'Revenue Forecast'!Z25</f>
        <v>0</v>
      </c>
      <c r="AA22" s="175">
        <f>'Revenue Forecast'!AA25</f>
        <v>0</v>
      </c>
      <c r="AB22" s="175">
        <f>'Revenue Forecast'!AB25</f>
        <v>0</v>
      </c>
      <c r="AC22" s="175">
        <f>'Revenue Forecast'!AC25</f>
        <v>172231.405</v>
      </c>
      <c r="AD22" s="175">
        <f>'Revenue Forecast'!AD25</f>
        <v>191735.5372</v>
      </c>
      <c r="AE22" s="175">
        <f>'Revenue Forecast'!AE25</f>
        <v>213553.719</v>
      </c>
      <c r="AF22" s="175">
        <f>'Revenue Forecast'!AF25</f>
        <v>233057.8512</v>
      </c>
      <c r="AG22" s="175">
        <f>'Revenue Forecast'!AG25</f>
        <v>261157.0248</v>
      </c>
      <c r="AH22" s="175">
        <f>'Revenue Forecast'!AH25</f>
        <v>291570.2479</v>
      </c>
      <c r="AI22" s="175">
        <f>'Revenue Forecast'!AI25</f>
        <v>325950.4132</v>
      </c>
      <c r="AJ22" s="175">
        <f>'Revenue Forecast'!AJ25</f>
        <v>362644.6281</v>
      </c>
      <c r="AK22" s="175">
        <f>'Revenue Forecast'!AK25</f>
        <v>401652.8926</v>
      </c>
      <c r="AL22" s="175">
        <f>'Revenue Forecast'!AL25</f>
        <v>446942.1488</v>
      </c>
      <c r="AM22" s="175">
        <f>'Revenue Forecast'!AM25</f>
        <v>494545.4545</v>
      </c>
      <c r="AN22" s="175">
        <f>'Revenue Forecast'!AN25</f>
        <v>557024.7934</v>
      </c>
      <c r="AO22" s="175">
        <f>'Revenue Forecast'!AO25</f>
        <v>617190.0826</v>
      </c>
      <c r="AP22" s="175">
        <f>'Revenue Forecast'!AP25</f>
        <v>681983.4711</v>
      </c>
      <c r="AQ22" s="175">
        <f>'Revenue Forecast'!AQ25</f>
        <v>761652.8926</v>
      </c>
      <c r="AR22" s="175">
        <f>'Revenue Forecast'!AR25</f>
        <v>849917.3554</v>
      </c>
      <c r="AS22" s="175">
        <f>'Revenue Forecast'!AS25</f>
        <v>946776.8595</v>
      </c>
      <c r="AT22" s="175">
        <f>'Revenue Forecast'!AT25</f>
        <v>1052231.405</v>
      </c>
      <c r="AU22" s="175">
        <f>'Revenue Forecast'!AU25</f>
        <v>1172561.983</v>
      </c>
      <c r="AV22" s="175">
        <f>'Revenue Forecast'!AV25</f>
        <v>1307768.595</v>
      </c>
      <c r="AW22" s="175">
        <f>'Revenue Forecast'!AW25</f>
        <v>1460165.289</v>
      </c>
      <c r="AX22" s="175">
        <f>'Revenue Forecast'!AX25</f>
        <v>1623471.074</v>
      </c>
      <c r="AY22" s="175">
        <f>'Revenue Forecast'!AY25</f>
        <v>1807933.884</v>
      </c>
      <c r="AZ22" s="175">
        <f>'Revenue Forecast'!AZ25</f>
        <v>2018181.818</v>
      </c>
      <c r="BA22" s="174"/>
      <c r="BB22" s="174">
        <f>'Revenue Forecast'!BB25</f>
        <v>0</v>
      </c>
      <c r="BC22" s="174">
        <f>'Revenue Forecast'!BC25</f>
        <v>0</v>
      </c>
      <c r="BD22" s="174">
        <f>'Revenue Forecast'!BD25</f>
        <v>3952066.116</v>
      </c>
      <c r="BE22" s="174">
        <f>'Revenue Forecast'!BE25</f>
        <v>14299834.71</v>
      </c>
      <c r="BF22" s="174">
        <f>'Revenue Forecast'!BF25</f>
        <v>28599669.42</v>
      </c>
      <c r="BG22" s="174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21"/>
    </row>
    <row r="24" ht="13.5" customHeight="1">
      <c r="A24" s="221"/>
      <c r="B24" s="222" t="s">
        <v>281</v>
      </c>
      <c r="C24" s="221"/>
      <c r="D24" s="221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4"/>
      <c r="BB24" s="181"/>
      <c r="BC24" s="181"/>
      <c r="BD24" s="181"/>
      <c r="BE24" s="181"/>
      <c r="BF24" s="181"/>
      <c r="BG24" s="121"/>
    </row>
    <row r="25" ht="15.0" customHeight="1">
      <c r="A25" s="236"/>
      <c r="B25" s="237" t="s">
        <v>282</v>
      </c>
      <c r="C25" s="236"/>
      <c r="D25" s="223" t="s">
        <v>70</v>
      </c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23" t="str">
        <f t="shared" ref="Q25:AB25" si="14">Q4</f>
        <v/>
      </c>
      <c r="R25" s="223" t="str">
        <f t="shared" si="14"/>
        <v/>
      </c>
      <c r="S25" s="223" t="str">
        <f t="shared" si="14"/>
        <v/>
      </c>
      <c r="T25" s="223" t="str">
        <f t="shared" si="14"/>
        <v/>
      </c>
      <c r="U25" s="223" t="str">
        <f t="shared" si="14"/>
        <v/>
      </c>
      <c r="V25" s="223" t="str">
        <f t="shared" si="14"/>
        <v/>
      </c>
      <c r="W25" s="223" t="str">
        <f t="shared" si="14"/>
        <v/>
      </c>
      <c r="X25" s="223" t="str">
        <f t="shared" si="14"/>
        <v/>
      </c>
      <c r="Y25" s="223" t="str">
        <f t="shared" si="14"/>
        <v/>
      </c>
      <c r="Z25" s="223" t="str">
        <f t="shared" si="14"/>
        <v/>
      </c>
      <c r="AA25" s="223" t="str">
        <f t="shared" si="14"/>
        <v/>
      </c>
      <c r="AB25" s="223" t="str">
        <f t="shared" si="14"/>
        <v/>
      </c>
      <c r="AC25" s="223">
        <f>'Revenue Forecast'!AC6</f>
        <v>31</v>
      </c>
      <c r="AD25" s="223">
        <f>'Revenue Forecast'!AD6+'Revenue Forecast'!AC28</f>
        <v>65</v>
      </c>
      <c r="AE25" s="223">
        <f>'Revenue Forecast'!AE6+'Revenue Forecast'!AD28</f>
        <v>103</v>
      </c>
      <c r="AF25" s="223">
        <f>'Revenue Forecast'!AF6+'Revenue Forecast'!AE28</f>
        <v>144</v>
      </c>
      <c r="AG25" s="223">
        <f>'Revenue Forecast'!AG6+'Revenue Forecast'!AF28</f>
        <v>189</v>
      </c>
      <c r="AH25" s="223">
        <f>'Revenue Forecast'!AH6+'Revenue Forecast'!AG28</f>
        <v>239</v>
      </c>
      <c r="AI25" s="223">
        <f>'Revenue Forecast'!AI6+'Revenue Forecast'!AH28</f>
        <v>293</v>
      </c>
      <c r="AJ25" s="223">
        <f>'Revenue Forecast'!AJ6+'Revenue Forecast'!AI28</f>
        <v>352</v>
      </c>
      <c r="AK25" s="223">
        <f>'Revenue Forecast'!AK6+'Revenue Forecast'!AJ28</f>
        <v>417</v>
      </c>
      <c r="AL25" s="223">
        <f>'Revenue Forecast'!AL6+'Revenue Forecast'!AK28</f>
        <v>488</v>
      </c>
      <c r="AM25" s="223">
        <f>'Revenue Forecast'!AM6+'Revenue Forecast'!AL28</f>
        <v>566</v>
      </c>
      <c r="AN25" s="223">
        <f>'Revenue Forecast'!AN6+'Revenue Forecast'!AM28</f>
        <v>652</v>
      </c>
      <c r="AO25" s="223">
        <f>'Revenue Forecast'!AO6+'Revenue Forecast'!AN28</f>
        <v>745</v>
      </c>
      <c r="AP25" s="223">
        <f>'Revenue Forecast'!AP6+'Revenue Forecast'!AO28</f>
        <v>847</v>
      </c>
      <c r="AQ25" s="223">
        <f>'Revenue Forecast'!AQ6+'Revenue Forecast'!AP28</f>
        <v>959</v>
      </c>
      <c r="AR25" s="223">
        <f>'Revenue Forecast'!AR6+'Revenue Forecast'!AQ28</f>
        <v>1082</v>
      </c>
      <c r="AS25" s="223">
        <f>'Revenue Forecast'!AS6+'Revenue Forecast'!AR28</f>
        <v>1217</v>
      </c>
      <c r="AT25" s="223">
        <f>'Revenue Forecast'!AT6+'Revenue Forecast'!AS28</f>
        <v>1365</v>
      </c>
      <c r="AU25" s="223">
        <f>'Revenue Forecast'!AU6+'Revenue Forecast'!AT28</f>
        <v>1527</v>
      </c>
      <c r="AV25" s="223">
        <f>'Revenue Forecast'!AV6+'Revenue Forecast'!AU28</f>
        <v>1704</v>
      </c>
      <c r="AW25" s="223">
        <f>'Revenue Forecast'!AW6+'Revenue Forecast'!AV28</f>
        <v>1898</v>
      </c>
      <c r="AX25" s="223">
        <f>'Revenue Forecast'!AX6+'Revenue Forecast'!AW28</f>
        <v>2111</v>
      </c>
      <c r="AY25" s="223">
        <f>'Revenue Forecast'!AY6+'Revenue Forecast'!AX28</f>
        <v>2344</v>
      </c>
      <c r="AZ25" s="223">
        <f>'Revenue Forecast'!AZ6+'Revenue Forecast'!AY28</f>
        <v>2600</v>
      </c>
      <c r="BA25" s="239"/>
      <c r="BB25" s="239">
        <f t="shared" ref="BB25:BB27" si="16">SUM(E25:P25)</f>
        <v>0</v>
      </c>
      <c r="BC25" s="239">
        <f t="shared" ref="BC25:BC27" si="17">SUM(Q25:AB25)</f>
        <v>0</v>
      </c>
      <c r="BD25" s="239">
        <f t="shared" ref="BD25:BD26" si="18">AN25</f>
        <v>652</v>
      </c>
      <c r="BE25" s="239">
        <f t="shared" ref="BE25:BE26" si="19">AZ25</f>
        <v>2600</v>
      </c>
      <c r="BF25" s="239">
        <f>'Revenue Forecast'!BF28</f>
        <v>4052.8</v>
      </c>
      <c r="BG25" s="240"/>
    </row>
    <row r="26" ht="15.0" customHeight="1">
      <c r="A26" s="236"/>
      <c r="B26" s="241" t="s">
        <v>283</v>
      </c>
      <c r="C26" s="236"/>
      <c r="D26" s="223" t="s">
        <v>70</v>
      </c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23" t="str">
        <f t="shared" ref="Q26:AB26" si="15">Q10</f>
        <v/>
      </c>
      <c r="R26" s="223" t="str">
        <f t="shared" si="15"/>
        <v/>
      </c>
      <c r="S26" s="223" t="str">
        <f t="shared" si="15"/>
        <v/>
      </c>
      <c r="T26" s="223" t="str">
        <f t="shared" si="15"/>
        <v/>
      </c>
      <c r="U26" s="223" t="str">
        <f t="shared" si="15"/>
        <v/>
      </c>
      <c r="V26" s="223" t="str">
        <f t="shared" si="15"/>
        <v/>
      </c>
      <c r="W26" s="223" t="str">
        <f t="shared" si="15"/>
        <v/>
      </c>
      <c r="X26" s="223" t="str">
        <f t="shared" si="15"/>
        <v/>
      </c>
      <c r="Y26" s="223" t="str">
        <f t="shared" si="15"/>
        <v/>
      </c>
      <c r="Z26" s="223" t="str">
        <f t="shared" si="15"/>
        <v/>
      </c>
      <c r="AA26" s="223" t="str">
        <f t="shared" si="15"/>
        <v/>
      </c>
      <c r="AB26" s="223" t="str">
        <f t="shared" si="15"/>
        <v/>
      </c>
      <c r="AC26" s="223">
        <f>'Revenue Forecast'!AC12</f>
        <v>16</v>
      </c>
      <c r="AD26" s="223">
        <f>'Revenue Forecast'!AD12+'Revenue Forecast'!AC29</f>
        <v>34</v>
      </c>
      <c r="AE26" s="223">
        <f>'Revenue Forecast'!AE12+'Revenue Forecast'!AD29</f>
        <v>54</v>
      </c>
      <c r="AF26" s="223">
        <f>'Revenue Forecast'!AF12+'Revenue Forecast'!AE29</f>
        <v>76</v>
      </c>
      <c r="AG26" s="223">
        <f>'Revenue Forecast'!AG12+'Revenue Forecast'!AF29</f>
        <v>101</v>
      </c>
      <c r="AH26" s="223">
        <f>'Revenue Forecast'!AH12+'Revenue Forecast'!AG29</f>
        <v>129</v>
      </c>
      <c r="AI26" s="223">
        <f>'Revenue Forecast'!AI12+'Revenue Forecast'!AH29</f>
        <v>161</v>
      </c>
      <c r="AJ26" s="223">
        <f>'Revenue Forecast'!AJ12+'Revenue Forecast'!AI29</f>
        <v>197</v>
      </c>
      <c r="AK26" s="223">
        <f>'Revenue Forecast'!AK12+'Revenue Forecast'!AJ29</f>
        <v>237</v>
      </c>
      <c r="AL26" s="223">
        <f>'Revenue Forecast'!AL12+'Revenue Forecast'!AK29</f>
        <v>282</v>
      </c>
      <c r="AM26" s="223">
        <f>'Revenue Forecast'!AM12+'Revenue Forecast'!AL29</f>
        <v>332</v>
      </c>
      <c r="AN26" s="223">
        <f>'Revenue Forecast'!AN12+'Revenue Forecast'!AM29</f>
        <v>389</v>
      </c>
      <c r="AO26" s="223">
        <f>'Revenue Forecast'!AO12+'Revenue Forecast'!AN29</f>
        <v>453</v>
      </c>
      <c r="AP26" s="223">
        <f>'Revenue Forecast'!AP12+'Revenue Forecast'!AO29</f>
        <v>524</v>
      </c>
      <c r="AQ26" s="223">
        <f>'Revenue Forecast'!AQ12+'Revenue Forecast'!AP29</f>
        <v>604</v>
      </c>
      <c r="AR26" s="223">
        <f>'Revenue Forecast'!AR12+'Revenue Forecast'!AQ29</f>
        <v>694</v>
      </c>
      <c r="AS26" s="223">
        <f>'Revenue Forecast'!AS12+'Revenue Forecast'!AR29</f>
        <v>795</v>
      </c>
      <c r="AT26" s="223">
        <f>'Revenue Forecast'!AT12+'Revenue Forecast'!AS29</f>
        <v>908</v>
      </c>
      <c r="AU26" s="223">
        <f>'Revenue Forecast'!AU12+'Revenue Forecast'!AT29</f>
        <v>1035</v>
      </c>
      <c r="AV26" s="223">
        <f>'Revenue Forecast'!AV12+'Revenue Forecast'!AU29</f>
        <v>1178</v>
      </c>
      <c r="AW26" s="223">
        <f>'Revenue Forecast'!AW12+'Revenue Forecast'!AV29</f>
        <v>1339</v>
      </c>
      <c r="AX26" s="223">
        <f>'Revenue Forecast'!AX12+'Revenue Forecast'!AW29</f>
        <v>1519</v>
      </c>
      <c r="AY26" s="223">
        <f>'Revenue Forecast'!AY12+'Revenue Forecast'!AX29</f>
        <v>1721</v>
      </c>
      <c r="AZ26" s="223">
        <f>'Revenue Forecast'!AZ12+'Revenue Forecast'!AY29</f>
        <v>1948</v>
      </c>
      <c r="BA26" s="239"/>
      <c r="BB26" s="239">
        <f t="shared" si="16"/>
        <v>0</v>
      </c>
      <c r="BC26" s="239">
        <f t="shared" si="17"/>
        <v>0</v>
      </c>
      <c r="BD26" s="239">
        <f t="shared" si="18"/>
        <v>389</v>
      </c>
      <c r="BE26" s="239">
        <f t="shared" si="19"/>
        <v>1948</v>
      </c>
      <c r="BF26" s="239">
        <f>'Revenue Forecast'!BF29</f>
        <v>3039.6</v>
      </c>
      <c r="BG26" s="240"/>
    </row>
    <row r="27" ht="12.75" customHeight="1">
      <c r="A27" s="61"/>
      <c r="B27" s="224" t="s">
        <v>285</v>
      </c>
      <c r="C27" s="222"/>
      <c r="D27" s="224" t="s">
        <v>202</v>
      </c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>
        <f>'Revenue Forecast'!Q41*SUMPRODUCT(Assumptions!$E$128:$E$129,Assumptions!$G$128:$G$129)+E27</f>
        <v>0</v>
      </c>
      <c r="R27" s="178">
        <f>'Revenue Forecast'!R41*SUMPRODUCT(Assumptions!$E$128:$E$129,Assumptions!$G$128:$G$129)+F27</f>
        <v>0</v>
      </c>
      <c r="S27" s="178">
        <f>'Revenue Forecast'!S41*SUMPRODUCT(Assumptions!$E$128:$E$129,Assumptions!$G$128:$G$129)+G27</f>
        <v>0</v>
      </c>
      <c r="T27" s="178">
        <f>'Revenue Forecast'!T41*SUMPRODUCT(Assumptions!$E$128:$E$129,Assumptions!$G$128:$G$129)+H27</f>
        <v>0</v>
      </c>
      <c r="U27" s="178">
        <f>'Revenue Forecast'!U41*SUMPRODUCT(Assumptions!$E$128:$E$129,Assumptions!$G$128:$G$129)+I27</f>
        <v>0</v>
      </c>
      <c r="V27" s="178">
        <f>'Revenue Forecast'!V41*SUMPRODUCT(Assumptions!$E$128:$E$129,Assumptions!$G$128:$G$129)+J27</f>
        <v>0</v>
      </c>
      <c r="W27" s="178">
        <f>'Revenue Forecast'!W41*SUMPRODUCT(Assumptions!$E$128:$E$129,Assumptions!$G$128:$G$129)+K27</f>
        <v>0</v>
      </c>
      <c r="X27" s="178">
        <f>'Revenue Forecast'!X41*SUMPRODUCT(Assumptions!$E$128:$E$129,Assumptions!$G$128:$G$129)+L27</f>
        <v>0</v>
      </c>
      <c r="Y27" s="178">
        <f>'Revenue Forecast'!Y41*SUMPRODUCT(Assumptions!$E$128:$E$129,Assumptions!$G$128:$G$129)+M27</f>
        <v>0</v>
      </c>
      <c r="Z27" s="178">
        <f>'Revenue Forecast'!Z41*SUMPRODUCT(Assumptions!$E$128:$E$129,Assumptions!$G$128:$G$129)+N27</f>
        <v>0</v>
      </c>
      <c r="AA27" s="178">
        <f>'Revenue Forecast'!AA41*SUMPRODUCT(Assumptions!$E$128:$E$129,Assumptions!$G$128:$G$129)+O27</f>
        <v>0</v>
      </c>
      <c r="AB27" s="178">
        <f>'Revenue Forecast'!AB41*SUMPRODUCT(Assumptions!$E$128:$E$129,Assumptions!$G$128:$G$129)+P27</f>
        <v>0</v>
      </c>
      <c r="AC27" s="178">
        <f>'Revenue Forecast'!AC41*SUMPRODUCT(Assumptions!$E$128:$E$129,Assumptions!$G$128:$G$129)+Q27</f>
        <v>2003.4</v>
      </c>
      <c r="AD27" s="178">
        <f>'Revenue Forecast'!AD41*SUMPRODUCT(Assumptions!$E$128:$E$129,Assumptions!$G$128:$G$129)+R27</f>
        <v>2226</v>
      </c>
      <c r="AE27" s="178">
        <f>'Revenue Forecast'!AE41*SUMPRODUCT(Assumptions!$E$128:$E$129,Assumptions!$G$128:$G$129)+S27</f>
        <v>2480.4</v>
      </c>
      <c r="AF27" s="178">
        <f>'Revenue Forecast'!AF41*SUMPRODUCT(Assumptions!$E$128:$E$129,Assumptions!$G$128:$G$129)+T27</f>
        <v>2703</v>
      </c>
      <c r="AG27" s="178">
        <f>'Revenue Forecast'!AG41*SUMPRODUCT(Assumptions!$E$128:$E$129,Assumptions!$G$128:$G$129)+U27</f>
        <v>3021</v>
      </c>
      <c r="AH27" s="178">
        <f>'Revenue Forecast'!AH41*SUMPRODUCT(Assumptions!$E$128:$E$129,Assumptions!$G$128:$G$129)+V27</f>
        <v>3370.8</v>
      </c>
      <c r="AI27" s="178">
        <f>'Revenue Forecast'!AI41*SUMPRODUCT(Assumptions!$E$128:$E$129,Assumptions!$G$128:$G$129)+W27</f>
        <v>3752.4</v>
      </c>
      <c r="AJ27" s="178">
        <f>'Revenue Forecast'!AJ41*SUMPRODUCT(Assumptions!$E$128:$E$129,Assumptions!$G$128:$G$129)+X27</f>
        <v>4165.8</v>
      </c>
      <c r="AK27" s="178">
        <f>'Revenue Forecast'!AK41*SUMPRODUCT(Assumptions!$E$128:$E$129,Assumptions!$G$128:$G$129)+Y27</f>
        <v>4611</v>
      </c>
      <c r="AL27" s="178">
        <f>'Revenue Forecast'!AL41*SUMPRODUCT(Assumptions!$E$128:$E$129,Assumptions!$G$128:$G$129)+Z27</f>
        <v>5119.8</v>
      </c>
      <c r="AM27" s="178">
        <f>'Revenue Forecast'!AM41*SUMPRODUCT(Assumptions!$E$128:$E$129,Assumptions!$G$128:$G$129)+AA27</f>
        <v>5660.4</v>
      </c>
      <c r="AN27" s="178">
        <f>'Revenue Forecast'!AN41*SUMPRODUCT(Assumptions!$E$128:$E$129,Assumptions!$G$128:$G$129)+AB27</f>
        <v>6360</v>
      </c>
      <c r="AO27" s="178">
        <f>'Revenue Forecast'!AO41*SUMPRODUCT(Assumptions!$E$128:$E$129,Assumptions!$G$128:$G$129)+AC27</f>
        <v>9031.2</v>
      </c>
      <c r="AP27" s="178">
        <f>'Revenue Forecast'!AP41*SUMPRODUCT(Assumptions!$E$128:$E$129,Assumptions!$G$128:$G$129)+AD27</f>
        <v>9985.2</v>
      </c>
      <c r="AQ27" s="178">
        <f>'Revenue Forecast'!AQ41*SUMPRODUCT(Assumptions!$E$128:$E$129,Assumptions!$G$128:$G$129)+AE27</f>
        <v>11130</v>
      </c>
      <c r="AR27" s="178">
        <f>'Revenue Forecast'!AR41*SUMPRODUCT(Assumptions!$E$128:$E$129,Assumptions!$G$128:$G$129)+AF27</f>
        <v>12338.4</v>
      </c>
      <c r="AS27" s="178">
        <f>'Revenue Forecast'!AS41*SUMPRODUCT(Assumptions!$E$128:$E$129,Assumptions!$G$128:$G$129)+AG27</f>
        <v>13737.6</v>
      </c>
      <c r="AT27" s="178">
        <f>'Revenue Forecast'!AT41*SUMPRODUCT(Assumptions!$E$128:$E$129,Assumptions!$G$128:$G$129)+AH27</f>
        <v>15264</v>
      </c>
      <c r="AU27" s="178">
        <f>'Revenue Forecast'!AU41*SUMPRODUCT(Assumptions!$E$128:$E$129,Assumptions!$G$128:$G$129)+AI27</f>
        <v>16981.2</v>
      </c>
      <c r="AV27" s="178">
        <f>'Revenue Forecast'!AV41*SUMPRODUCT(Assumptions!$E$128:$E$129,Assumptions!$G$128:$G$129)+AJ27</f>
        <v>18889.2</v>
      </c>
      <c r="AW27" s="178">
        <f>'Revenue Forecast'!AW41*SUMPRODUCT(Assumptions!$E$128:$E$129,Assumptions!$G$128:$G$129)+AK27</f>
        <v>21019.8</v>
      </c>
      <c r="AX27" s="178">
        <f>'Revenue Forecast'!AX41*SUMPRODUCT(Assumptions!$E$128:$E$129,Assumptions!$G$128:$G$129)+AL27</f>
        <v>23341.2</v>
      </c>
      <c r="AY27" s="178">
        <f>'Revenue Forecast'!AY41*SUMPRODUCT(Assumptions!$E$128:$E$129,Assumptions!$G$128:$G$129)+AM27</f>
        <v>25917</v>
      </c>
      <c r="AZ27" s="178">
        <f>'Revenue Forecast'!AZ41*SUMPRODUCT(Assumptions!$E$128:$E$129,Assumptions!$G$128:$G$129)+AN27</f>
        <v>28938</v>
      </c>
      <c r="BA27" s="225"/>
      <c r="BB27" s="226">
        <f t="shared" si="16"/>
        <v>0</v>
      </c>
      <c r="BC27" s="226">
        <f t="shared" si="17"/>
        <v>0</v>
      </c>
      <c r="BD27" s="226">
        <f>sum(AC27:AN27)</f>
        <v>45474</v>
      </c>
      <c r="BE27" s="226">
        <f>sum(AO27:AZ27)+BD27</f>
        <v>252046.8</v>
      </c>
      <c r="BF27" s="226">
        <f>(BE27*2)+BE27</f>
        <v>756140.4</v>
      </c>
      <c r="BG27" s="227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21"/>
    </row>
    <row r="29" ht="15.75" customHeight="1">
      <c r="A29" s="249"/>
      <c r="B29" s="153" t="s">
        <v>300</v>
      </c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187">
        <f>M7+M12</f>
        <v>0</v>
      </c>
      <c r="N29" s="187">
        <f t="shared" ref="N29:P29" si="20">N9+N14+N22+N27</f>
        <v>0</v>
      </c>
      <c r="O29" s="187">
        <f t="shared" si="20"/>
        <v>0</v>
      </c>
      <c r="P29" s="187">
        <f t="shared" si="20"/>
        <v>0</v>
      </c>
      <c r="Q29" s="187">
        <f t="shared" ref="Q29:AZ29" si="21">Q9+Q14+Q19+Q22+Q27</f>
        <v>0</v>
      </c>
      <c r="R29" s="187">
        <f t="shared" si="21"/>
        <v>0</v>
      </c>
      <c r="S29" s="187">
        <f t="shared" si="21"/>
        <v>0</v>
      </c>
      <c r="T29" s="187">
        <f t="shared" si="21"/>
        <v>0</v>
      </c>
      <c r="U29" s="187">
        <f t="shared" si="21"/>
        <v>0</v>
      </c>
      <c r="V29" s="187">
        <f t="shared" si="21"/>
        <v>0</v>
      </c>
      <c r="W29" s="187">
        <f t="shared" si="21"/>
        <v>0</v>
      </c>
      <c r="X29" s="187">
        <f t="shared" si="21"/>
        <v>0</v>
      </c>
      <c r="Y29" s="187">
        <f t="shared" si="21"/>
        <v>0</v>
      </c>
      <c r="Z29" s="187">
        <f t="shared" si="21"/>
        <v>0</v>
      </c>
      <c r="AA29" s="187">
        <f t="shared" si="21"/>
        <v>0</v>
      </c>
      <c r="AB29" s="187">
        <f t="shared" si="21"/>
        <v>0</v>
      </c>
      <c r="AC29" s="187">
        <f t="shared" si="21"/>
        <v>678456.537</v>
      </c>
      <c r="AD29" s="187">
        <f t="shared" si="21"/>
        <v>754825.8972</v>
      </c>
      <c r="AE29" s="187">
        <f t="shared" si="21"/>
        <v>840838.351</v>
      </c>
      <c r="AF29" s="187">
        <f t="shared" si="21"/>
        <v>917207.7112</v>
      </c>
      <c r="AG29" s="187">
        <f t="shared" si="21"/>
        <v>1026940.205</v>
      </c>
      <c r="AH29" s="187">
        <f t="shared" si="21"/>
        <v>1146315.792</v>
      </c>
      <c r="AI29" s="187">
        <f t="shared" si="21"/>
        <v>1279768.325</v>
      </c>
      <c r="AJ29" s="187">
        <f t="shared" si="21"/>
        <v>1422863.952</v>
      </c>
      <c r="AK29" s="187">
        <f t="shared" si="21"/>
        <v>1575602.673</v>
      </c>
      <c r="AL29" s="187">
        <f t="shared" si="21"/>
        <v>1752061.433</v>
      </c>
      <c r="AM29" s="187">
        <f t="shared" si="21"/>
        <v>1938163.287</v>
      </c>
      <c r="AN29" s="187">
        <f t="shared" si="21"/>
        <v>2181348.313</v>
      </c>
      <c r="AO29" s="187">
        <f t="shared" si="21"/>
        <v>2416893.647</v>
      </c>
      <c r="AP29" s="187">
        <f t="shared" si="21"/>
        <v>2669944.367</v>
      </c>
      <c r="AQ29" s="187">
        <f t="shared" si="21"/>
        <v>2980110.061</v>
      </c>
      <c r="AR29" s="187">
        <f t="shared" si="21"/>
        <v>3323607.087</v>
      </c>
      <c r="AS29" s="187">
        <f t="shared" si="21"/>
        <v>3700562.648</v>
      </c>
      <c r="AT29" s="187">
        <f t="shared" si="21"/>
        <v>4110913.141</v>
      </c>
      <c r="AU29" s="187">
        <f t="shared" si="21"/>
        <v>4578378.607</v>
      </c>
      <c r="AV29" s="187">
        <f t="shared" si="21"/>
        <v>5102959.047</v>
      </c>
      <c r="AW29" s="187">
        <f t="shared" si="21"/>
        <v>5694297.553</v>
      </c>
      <c r="AX29" s="187">
        <f t="shared" si="21"/>
        <v>6328705.886</v>
      </c>
      <c r="AY29" s="187">
        <f t="shared" si="21"/>
        <v>7043949.232</v>
      </c>
      <c r="AZ29" s="187">
        <f t="shared" si="21"/>
        <v>7859440.978</v>
      </c>
      <c r="BA29" s="225"/>
      <c r="BB29" s="187">
        <f t="shared" ref="BB29:BF29" si="22">BB9+BB14+BB19+BB22+BB27</f>
        <v>0</v>
      </c>
      <c r="BC29" s="251">
        <f t="shared" si="22"/>
        <v>0</v>
      </c>
      <c r="BD29" s="251">
        <f t="shared" si="22"/>
        <v>15514392.48</v>
      </c>
      <c r="BE29" s="251">
        <f t="shared" si="22"/>
        <v>55855236.25</v>
      </c>
      <c r="BF29" s="251">
        <f t="shared" si="22"/>
        <v>89364556.68</v>
      </c>
      <c r="BG29" s="191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207"/>
      <c r="BF30" s="207"/>
      <c r="BG30" s="121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21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252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21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21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21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21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252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21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174"/>
      <c r="BB37" s="28"/>
      <c r="BC37" s="28"/>
      <c r="BD37" s="28"/>
      <c r="BE37" s="28"/>
      <c r="BF37" s="28"/>
      <c r="BG37" s="35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174"/>
      <c r="BB38" s="28"/>
      <c r="BC38" s="28"/>
      <c r="BD38" s="28"/>
      <c r="BE38" s="28"/>
      <c r="BF38" s="28"/>
      <c r="BG38" s="35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174"/>
      <c r="BB39" s="28"/>
      <c r="BC39" s="28"/>
      <c r="BD39" s="28"/>
      <c r="BE39" s="28"/>
      <c r="BF39" s="28"/>
      <c r="BG39" s="35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174"/>
      <c r="BB40" s="28"/>
      <c r="BC40" s="28"/>
      <c r="BD40" s="28"/>
      <c r="BE40" s="28"/>
      <c r="BF40" s="28"/>
      <c r="BG40" s="35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174"/>
      <c r="BB41" s="28"/>
      <c r="BC41" s="28"/>
      <c r="BD41" s="28"/>
      <c r="BE41" s="28"/>
      <c r="BF41" s="28"/>
      <c r="BG41" s="35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174"/>
      <c r="BB42" s="28"/>
      <c r="BC42" s="28"/>
      <c r="BD42" s="28"/>
      <c r="BE42" s="28"/>
      <c r="BF42" s="28"/>
      <c r="BG42" s="35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174"/>
      <c r="BB43" s="28"/>
      <c r="BC43" s="28"/>
      <c r="BD43" s="28"/>
      <c r="BE43" s="28"/>
      <c r="BF43" s="28"/>
      <c r="BG43" s="35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174"/>
      <c r="BB44" s="28"/>
      <c r="BC44" s="28"/>
      <c r="BD44" s="28"/>
      <c r="BE44" s="28"/>
      <c r="BF44" s="28"/>
      <c r="BG44" s="35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174"/>
      <c r="BB45" s="28"/>
      <c r="BC45" s="28"/>
      <c r="BD45" s="28"/>
      <c r="BE45" s="28"/>
      <c r="BF45" s="28"/>
      <c r="BG45" s="35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174"/>
      <c r="BB46" s="28"/>
      <c r="BC46" s="28"/>
      <c r="BD46" s="28"/>
      <c r="BE46" s="28"/>
      <c r="BF46" s="28"/>
      <c r="BG46" s="35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174"/>
      <c r="BB47" s="28"/>
      <c r="BC47" s="28"/>
      <c r="BD47" s="28"/>
      <c r="BE47" s="28"/>
      <c r="BF47" s="28"/>
      <c r="BG47" s="35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174"/>
      <c r="BB48" s="28"/>
      <c r="BC48" s="28"/>
      <c r="BD48" s="28"/>
      <c r="BE48" s="28"/>
      <c r="BF48" s="28"/>
      <c r="BG48" s="35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174"/>
      <c r="BB49" s="28"/>
      <c r="BC49" s="28"/>
      <c r="BD49" s="28"/>
      <c r="BE49" s="28"/>
      <c r="BF49" s="28"/>
      <c r="BG49" s="35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174"/>
      <c r="BB50" s="28"/>
      <c r="BC50" s="28"/>
      <c r="BD50" s="28"/>
      <c r="BE50" s="28"/>
      <c r="BF50" s="28"/>
      <c r="BG50" s="35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174"/>
      <c r="BB51" s="28"/>
      <c r="BC51" s="28"/>
      <c r="BD51" s="28"/>
      <c r="BE51" s="28"/>
      <c r="BF51" s="28"/>
      <c r="BG51" s="35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174"/>
      <c r="BB52" s="28"/>
      <c r="BC52" s="28"/>
      <c r="BD52" s="28"/>
      <c r="BE52" s="28"/>
      <c r="BF52" s="28"/>
      <c r="BG52" s="35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174"/>
      <c r="BB53" s="28"/>
      <c r="BC53" s="28"/>
      <c r="BD53" s="28"/>
      <c r="BE53" s="28"/>
      <c r="BF53" s="28"/>
      <c r="BG53" s="35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174"/>
      <c r="BB54" s="28"/>
      <c r="BC54" s="28"/>
      <c r="BD54" s="28"/>
      <c r="BE54" s="28"/>
      <c r="BF54" s="28"/>
      <c r="BG54" s="35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174"/>
      <c r="BB55" s="28"/>
      <c r="BC55" s="28"/>
      <c r="BD55" s="28"/>
      <c r="BE55" s="28"/>
      <c r="BF55" s="28"/>
      <c r="BG55" s="35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174"/>
      <c r="BB56" s="28"/>
      <c r="BC56" s="28"/>
      <c r="BD56" s="28"/>
      <c r="BE56" s="28"/>
      <c r="BF56" s="28"/>
      <c r="BG56" s="35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174"/>
      <c r="BB57" s="28"/>
      <c r="BC57" s="28"/>
      <c r="BD57" s="28"/>
      <c r="BE57" s="28"/>
      <c r="BF57" s="28"/>
      <c r="BG57" s="35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174"/>
      <c r="BB58" s="28"/>
      <c r="BC58" s="28"/>
      <c r="BD58" s="28"/>
      <c r="BE58" s="28"/>
      <c r="BF58" s="28"/>
      <c r="BG58" s="35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174"/>
      <c r="BB59" s="28"/>
      <c r="BC59" s="28"/>
      <c r="BD59" s="28"/>
      <c r="BE59" s="28"/>
      <c r="BF59" s="28"/>
      <c r="BG59" s="35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174"/>
      <c r="BB60" s="28"/>
      <c r="BC60" s="28"/>
      <c r="BD60" s="28"/>
      <c r="BE60" s="28"/>
      <c r="BF60" s="28"/>
      <c r="BG60" s="35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174"/>
      <c r="BB61" s="28"/>
      <c r="BC61" s="28"/>
      <c r="BD61" s="28"/>
      <c r="BE61" s="28"/>
      <c r="BF61" s="28"/>
      <c r="BG61" s="35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174"/>
      <c r="BB62" s="28"/>
      <c r="BC62" s="28"/>
      <c r="BD62" s="28"/>
      <c r="BE62" s="28"/>
      <c r="BF62" s="28"/>
      <c r="BG62" s="35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174"/>
      <c r="BB63" s="28"/>
      <c r="BC63" s="28"/>
      <c r="BD63" s="28"/>
      <c r="BE63" s="28"/>
      <c r="BF63" s="28"/>
      <c r="BG63" s="35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174"/>
      <c r="BB64" s="28"/>
      <c r="BC64" s="28"/>
      <c r="BD64" s="28"/>
      <c r="BE64" s="28"/>
      <c r="BF64" s="28"/>
      <c r="BG64" s="35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174"/>
      <c r="BB65" s="28"/>
      <c r="BC65" s="28"/>
      <c r="BD65" s="28"/>
      <c r="BE65" s="28"/>
      <c r="BF65" s="28"/>
      <c r="BG65" s="35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174"/>
      <c r="BB66" s="28"/>
      <c r="BC66" s="28"/>
      <c r="BD66" s="28"/>
      <c r="BE66" s="28"/>
      <c r="BF66" s="28"/>
      <c r="BG66" s="35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174"/>
      <c r="BB67" s="28"/>
      <c r="BC67" s="28"/>
      <c r="BD67" s="28"/>
      <c r="BE67" s="28"/>
      <c r="BF67" s="28"/>
      <c r="BG67" s="35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174"/>
      <c r="BB68" s="28"/>
      <c r="BC68" s="28"/>
      <c r="BD68" s="28"/>
      <c r="BE68" s="28"/>
      <c r="BF68" s="28"/>
      <c r="BG68" s="35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174"/>
      <c r="BB69" s="28"/>
      <c r="BC69" s="28"/>
      <c r="BD69" s="28"/>
      <c r="BE69" s="28"/>
      <c r="BF69" s="28"/>
      <c r="BG69" s="35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174"/>
      <c r="BB70" s="28"/>
      <c r="BC70" s="28"/>
      <c r="BD70" s="28"/>
      <c r="BE70" s="28"/>
      <c r="BF70" s="28"/>
      <c r="BG70" s="35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174"/>
      <c r="BB71" s="28"/>
      <c r="BC71" s="28"/>
      <c r="BD71" s="28"/>
      <c r="BE71" s="28"/>
      <c r="BF71" s="28"/>
      <c r="BG71" s="35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174"/>
      <c r="BB72" s="28"/>
      <c r="BC72" s="28"/>
      <c r="BD72" s="28"/>
      <c r="BE72" s="28"/>
      <c r="BF72" s="28"/>
      <c r="BG72" s="35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174"/>
      <c r="BB73" s="28"/>
      <c r="BC73" s="28"/>
      <c r="BD73" s="28"/>
      <c r="BE73" s="28"/>
      <c r="BF73" s="28"/>
      <c r="BG73" s="35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174"/>
      <c r="BB74" s="28"/>
      <c r="BC74" s="28"/>
      <c r="BD74" s="28"/>
      <c r="BE74" s="28"/>
      <c r="BF74" s="28"/>
      <c r="BG74" s="35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174"/>
      <c r="BB75" s="28"/>
      <c r="BC75" s="28"/>
      <c r="BD75" s="28"/>
      <c r="BE75" s="28"/>
      <c r="BF75" s="28"/>
      <c r="BG75" s="35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174"/>
      <c r="BB76" s="28"/>
      <c r="BC76" s="28"/>
      <c r="BD76" s="28"/>
      <c r="BE76" s="28"/>
      <c r="BF76" s="28"/>
      <c r="BG76" s="35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174"/>
      <c r="BB77" s="28"/>
      <c r="BC77" s="28"/>
      <c r="BD77" s="28"/>
      <c r="BE77" s="28"/>
      <c r="BF77" s="28"/>
      <c r="BG77" s="35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174"/>
      <c r="BB78" s="28"/>
      <c r="BC78" s="28"/>
      <c r="BD78" s="28"/>
      <c r="BE78" s="28"/>
      <c r="BF78" s="28"/>
      <c r="BG78" s="35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174"/>
      <c r="BB79" s="28"/>
      <c r="BC79" s="28"/>
      <c r="BD79" s="28"/>
      <c r="BE79" s="28"/>
      <c r="BF79" s="28"/>
      <c r="BG79" s="35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174"/>
      <c r="BB80" s="28"/>
      <c r="BC80" s="28"/>
      <c r="BD80" s="28"/>
      <c r="BE80" s="28"/>
      <c r="BF80" s="28"/>
      <c r="BG80" s="35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174"/>
      <c r="BB81" s="28"/>
      <c r="BC81" s="28"/>
      <c r="BD81" s="28"/>
      <c r="BE81" s="28"/>
      <c r="BF81" s="28"/>
      <c r="BG81" s="35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174"/>
      <c r="BB82" s="28"/>
      <c r="BC82" s="28"/>
      <c r="BD82" s="28"/>
      <c r="BE82" s="28"/>
      <c r="BF82" s="28"/>
      <c r="BG82" s="35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174"/>
      <c r="BB83" s="28"/>
      <c r="BC83" s="28"/>
      <c r="BD83" s="28"/>
      <c r="BE83" s="28"/>
      <c r="BF83" s="28"/>
      <c r="BG83" s="35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174"/>
      <c r="BB84" s="28"/>
      <c r="BC84" s="28"/>
      <c r="BD84" s="28"/>
      <c r="BE84" s="28"/>
      <c r="BF84" s="28"/>
      <c r="BG84" s="35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174"/>
      <c r="BB85" s="28"/>
      <c r="BC85" s="28"/>
      <c r="BD85" s="28"/>
      <c r="BE85" s="28"/>
      <c r="BF85" s="28"/>
      <c r="BG85" s="35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174"/>
      <c r="BB86" s="28"/>
      <c r="BC86" s="28"/>
      <c r="BD86" s="28"/>
      <c r="BE86" s="28"/>
      <c r="BF86" s="28"/>
      <c r="BG86" s="35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174"/>
      <c r="BB87" s="28"/>
      <c r="BC87" s="28"/>
      <c r="BD87" s="28"/>
      <c r="BE87" s="28"/>
      <c r="BF87" s="28"/>
      <c r="BG87" s="35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174"/>
      <c r="BB88" s="28"/>
      <c r="BC88" s="28"/>
      <c r="BD88" s="28"/>
      <c r="BE88" s="28"/>
      <c r="BF88" s="28"/>
      <c r="BG88" s="35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174"/>
      <c r="BB89" s="28"/>
      <c r="BC89" s="28"/>
      <c r="BD89" s="28"/>
      <c r="BE89" s="28"/>
      <c r="BF89" s="28"/>
      <c r="BG89" s="35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174"/>
      <c r="BB90" s="28"/>
      <c r="BC90" s="28"/>
      <c r="BD90" s="28"/>
      <c r="BE90" s="28"/>
      <c r="BF90" s="28"/>
      <c r="BG90" s="35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174"/>
      <c r="BB91" s="28"/>
      <c r="BC91" s="28"/>
      <c r="BD91" s="28"/>
      <c r="BE91" s="28"/>
      <c r="BF91" s="28"/>
      <c r="BG91" s="35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174"/>
      <c r="BB92" s="28"/>
      <c r="BC92" s="28"/>
      <c r="BD92" s="28"/>
      <c r="BE92" s="28"/>
      <c r="BF92" s="28"/>
      <c r="BG92" s="35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174"/>
      <c r="BB93" s="28"/>
      <c r="BC93" s="28"/>
      <c r="BD93" s="28"/>
      <c r="BE93" s="28"/>
      <c r="BF93" s="28"/>
      <c r="BG93" s="35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174"/>
      <c r="BB94" s="28"/>
      <c r="BC94" s="28"/>
      <c r="BD94" s="28"/>
      <c r="BE94" s="28"/>
      <c r="BF94" s="28"/>
      <c r="BG94" s="35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174"/>
      <c r="BB95" s="28"/>
      <c r="BC95" s="28"/>
      <c r="BD95" s="28"/>
      <c r="BE95" s="28"/>
      <c r="BF95" s="28"/>
      <c r="BG95" s="35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174"/>
      <c r="BB96" s="28"/>
      <c r="BC96" s="28"/>
      <c r="BD96" s="28"/>
      <c r="BE96" s="28"/>
      <c r="BF96" s="28"/>
      <c r="BG96" s="35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174"/>
      <c r="BB97" s="28"/>
      <c r="BC97" s="28"/>
      <c r="BD97" s="28"/>
      <c r="BE97" s="28"/>
      <c r="BF97" s="28"/>
      <c r="BG97" s="35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174"/>
      <c r="BB98" s="28"/>
      <c r="BC98" s="28"/>
      <c r="BD98" s="28"/>
      <c r="BE98" s="28"/>
      <c r="BF98" s="28"/>
      <c r="BG98" s="35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174"/>
      <c r="BB99" s="28"/>
      <c r="BC99" s="28"/>
      <c r="BD99" s="28"/>
      <c r="BE99" s="28"/>
      <c r="BF99" s="28"/>
      <c r="BG99" s="35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174"/>
      <c r="BB100" s="28"/>
      <c r="BC100" s="28"/>
      <c r="BD100" s="28"/>
      <c r="BE100" s="28"/>
      <c r="BF100" s="28"/>
      <c r="BG100" s="35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174"/>
      <c r="BB101" s="28"/>
      <c r="BC101" s="28"/>
      <c r="BD101" s="28"/>
      <c r="BE101" s="28"/>
      <c r="BF101" s="28"/>
      <c r="BG101" s="35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174"/>
      <c r="BB102" s="28"/>
      <c r="BC102" s="28"/>
      <c r="BD102" s="28"/>
      <c r="BE102" s="28"/>
      <c r="BF102" s="28"/>
      <c r="BG102" s="35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174"/>
      <c r="BB103" s="28"/>
      <c r="BC103" s="28"/>
      <c r="BD103" s="28"/>
      <c r="BE103" s="28"/>
      <c r="BF103" s="28"/>
      <c r="BG103" s="35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174"/>
      <c r="BB104" s="28"/>
      <c r="BC104" s="28"/>
      <c r="BD104" s="28"/>
      <c r="BE104" s="28"/>
      <c r="BF104" s="28"/>
      <c r="BG104" s="35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174"/>
      <c r="BB105" s="28"/>
      <c r="BC105" s="28"/>
      <c r="BD105" s="28"/>
      <c r="BE105" s="28"/>
      <c r="BF105" s="28"/>
      <c r="BG105" s="35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174"/>
      <c r="BB106" s="28"/>
      <c r="BC106" s="28"/>
      <c r="BD106" s="28"/>
      <c r="BE106" s="28"/>
      <c r="BF106" s="28"/>
      <c r="BG106" s="35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174"/>
      <c r="BB107" s="28"/>
      <c r="BC107" s="28"/>
      <c r="BD107" s="28"/>
      <c r="BE107" s="28"/>
      <c r="BF107" s="28"/>
      <c r="BG107" s="35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174"/>
      <c r="BB108" s="28"/>
      <c r="BC108" s="28"/>
      <c r="BD108" s="28"/>
      <c r="BE108" s="28"/>
      <c r="BF108" s="28"/>
      <c r="BG108" s="35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174"/>
      <c r="BB109" s="28"/>
      <c r="BC109" s="28"/>
      <c r="BD109" s="28"/>
      <c r="BE109" s="28"/>
      <c r="BF109" s="28"/>
      <c r="BG109" s="35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174"/>
      <c r="BB110" s="28"/>
      <c r="BC110" s="28"/>
      <c r="BD110" s="28"/>
      <c r="BE110" s="28"/>
      <c r="BF110" s="28"/>
      <c r="BG110" s="35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174"/>
      <c r="BB111" s="28"/>
      <c r="BC111" s="28"/>
      <c r="BD111" s="28"/>
      <c r="BE111" s="28"/>
      <c r="BF111" s="28"/>
      <c r="BG111" s="35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174"/>
      <c r="BB112" s="28"/>
      <c r="BC112" s="28"/>
      <c r="BD112" s="28"/>
      <c r="BE112" s="28"/>
      <c r="BF112" s="28"/>
      <c r="BG112" s="35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174"/>
      <c r="BB113" s="28"/>
      <c r="BC113" s="28"/>
      <c r="BD113" s="28"/>
      <c r="BE113" s="28"/>
      <c r="BF113" s="28"/>
      <c r="BG113" s="35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174"/>
      <c r="BB114" s="28"/>
      <c r="BC114" s="28"/>
      <c r="BD114" s="28"/>
      <c r="BE114" s="28"/>
      <c r="BF114" s="28"/>
      <c r="BG114" s="35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174"/>
      <c r="BB115" s="28"/>
      <c r="BC115" s="28"/>
      <c r="BD115" s="28"/>
      <c r="BE115" s="28"/>
      <c r="BF115" s="28"/>
      <c r="BG115" s="35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174"/>
      <c r="BB116" s="28"/>
      <c r="BC116" s="28"/>
      <c r="BD116" s="28"/>
      <c r="BE116" s="28"/>
      <c r="BF116" s="28"/>
      <c r="BG116" s="35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174"/>
      <c r="BB117" s="28"/>
      <c r="BC117" s="28"/>
      <c r="BD117" s="28"/>
      <c r="BE117" s="28"/>
      <c r="BF117" s="28"/>
      <c r="BG117" s="35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174"/>
      <c r="BB118" s="28"/>
      <c r="BC118" s="28"/>
      <c r="BD118" s="28"/>
      <c r="BE118" s="28"/>
      <c r="BF118" s="28"/>
      <c r="BG118" s="35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174"/>
      <c r="BB119" s="28"/>
      <c r="BC119" s="28"/>
      <c r="BD119" s="28"/>
      <c r="BE119" s="28"/>
      <c r="BF119" s="28"/>
      <c r="BG119" s="35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174"/>
      <c r="BB120" s="28"/>
      <c r="BC120" s="28"/>
      <c r="BD120" s="28"/>
      <c r="BE120" s="28"/>
      <c r="BF120" s="28"/>
      <c r="BG120" s="35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174"/>
      <c r="BB121" s="28"/>
      <c r="BC121" s="28"/>
      <c r="BD121" s="28"/>
      <c r="BE121" s="28"/>
      <c r="BF121" s="28"/>
      <c r="BG121" s="35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174"/>
      <c r="BB122" s="28"/>
      <c r="BC122" s="28"/>
      <c r="BD122" s="28"/>
      <c r="BE122" s="28"/>
      <c r="BF122" s="28"/>
      <c r="BG122" s="35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174"/>
      <c r="BB123" s="28"/>
      <c r="BC123" s="28"/>
      <c r="BD123" s="28"/>
      <c r="BE123" s="28"/>
      <c r="BF123" s="28"/>
      <c r="BG123" s="35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174"/>
      <c r="BB124" s="28"/>
      <c r="BC124" s="28"/>
      <c r="BD124" s="28"/>
      <c r="BE124" s="28"/>
      <c r="BF124" s="28"/>
      <c r="BG124" s="35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174"/>
      <c r="BB125" s="28"/>
      <c r="BC125" s="28"/>
      <c r="BD125" s="28"/>
      <c r="BE125" s="28"/>
      <c r="BF125" s="28"/>
      <c r="BG125" s="35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174"/>
      <c r="BB126" s="28"/>
      <c r="BC126" s="28"/>
      <c r="BD126" s="28"/>
      <c r="BE126" s="28"/>
      <c r="BF126" s="28"/>
      <c r="BG126" s="35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174"/>
      <c r="BB127" s="28"/>
      <c r="BC127" s="28"/>
      <c r="BD127" s="28"/>
      <c r="BE127" s="28"/>
      <c r="BF127" s="28"/>
      <c r="BG127" s="35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174"/>
      <c r="BB128" s="28"/>
      <c r="BC128" s="28"/>
      <c r="BD128" s="28"/>
      <c r="BE128" s="28"/>
      <c r="BF128" s="28"/>
      <c r="BG128" s="35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174"/>
      <c r="BB129" s="28"/>
      <c r="BC129" s="28"/>
      <c r="BD129" s="28"/>
      <c r="BE129" s="28"/>
      <c r="BF129" s="28"/>
      <c r="BG129" s="35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174"/>
      <c r="BB130" s="28"/>
      <c r="BC130" s="28"/>
      <c r="BD130" s="28"/>
      <c r="BE130" s="28"/>
      <c r="BF130" s="28"/>
      <c r="BG130" s="35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174"/>
      <c r="BB131" s="28"/>
      <c r="BC131" s="28"/>
      <c r="BD131" s="28"/>
      <c r="BE131" s="28"/>
      <c r="BF131" s="28"/>
      <c r="BG131" s="35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174"/>
      <c r="BB132" s="28"/>
      <c r="BC132" s="28"/>
      <c r="BD132" s="28"/>
      <c r="BE132" s="28"/>
      <c r="BF132" s="28"/>
      <c r="BG132" s="35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174"/>
      <c r="BB133" s="28"/>
      <c r="BC133" s="28"/>
      <c r="BD133" s="28"/>
      <c r="BE133" s="28"/>
      <c r="BF133" s="28"/>
      <c r="BG133" s="35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174"/>
      <c r="BB134" s="28"/>
      <c r="BC134" s="28"/>
      <c r="BD134" s="28"/>
      <c r="BE134" s="28"/>
      <c r="BF134" s="28"/>
      <c r="BG134" s="35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174"/>
      <c r="BB135" s="28"/>
      <c r="BC135" s="28"/>
      <c r="BD135" s="28"/>
      <c r="BE135" s="28"/>
      <c r="BF135" s="28"/>
      <c r="BG135" s="35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174"/>
      <c r="BB136" s="28"/>
      <c r="BC136" s="28"/>
      <c r="BD136" s="28"/>
      <c r="BE136" s="28"/>
      <c r="BF136" s="28"/>
      <c r="BG136" s="35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174"/>
      <c r="BB137" s="28"/>
      <c r="BC137" s="28"/>
      <c r="BD137" s="28"/>
      <c r="BE137" s="28"/>
      <c r="BF137" s="28"/>
      <c r="BG137" s="35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174"/>
      <c r="BB138" s="28"/>
      <c r="BC138" s="28"/>
      <c r="BD138" s="28"/>
      <c r="BE138" s="28"/>
      <c r="BF138" s="28"/>
      <c r="BG138" s="35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174"/>
      <c r="BB139" s="28"/>
      <c r="BC139" s="28"/>
      <c r="BD139" s="28"/>
      <c r="BE139" s="28"/>
      <c r="BF139" s="28"/>
      <c r="BG139" s="35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174"/>
      <c r="BB140" s="28"/>
      <c r="BC140" s="28"/>
      <c r="BD140" s="28"/>
      <c r="BE140" s="28"/>
      <c r="BF140" s="28"/>
      <c r="BG140" s="35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174"/>
      <c r="BB141" s="28"/>
      <c r="BC141" s="28"/>
      <c r="BD141" s="28"/>
      <c r="BE141" s="28"/>
      <c r="BF141" s="28"/>
      <c r="BG141" s="35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174"/>
      <c r="BB142" s="28"/>
      <c r="BC142" s="28"/>
      <c r="BD142" s="28"/>
      <c r="BE142" s="28"/>
      <c r="BF142" s="28"/>
      <c r="BG142" s="35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174"/>
      <c r="BB143" s="28"/>
      <c r="BC143" s="28"/>
      <c r="BD143" s="28"/>
      <c r="BE143" s="28"/>
      <c r="BF143" s="28"/>
      <c r="BG143" s="35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174"/>
      <c r="BB144" s="28"/>
      <c r="BC144" s="28"/>
      <c r="BD144" s="28"/>
      <c r="BE144" s="28"/>
      <c r="BF144" s="28"/>
      <c r="BG144" s="35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174"/>
      <c r="BB145" s="28"/>
      <c r="BC145" s="28"/>
      <c r="BD145" s="28"/>
      <c r="BE145" s="28"/>
      <c r="BF145" s="28"/>
      <c r="BG145" s="35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174"/>
      <c r="BB146" s="28"/>
      <c r="BC146" s="28"/>
      <c r="BD146" s="28"/>
      <c r="BE146" s="28"/>
      <c r="BF146" s="28"/>
      <c r="BG146" s="35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174"/>
      <c r="BB147" s="28"/>
      <c r="BC147" s="28"/>
      <c r="BD147" s="28"/>
      <c r="BE147" s="28"/>
      <c r="BF147" s="28"/>
      <c r="BG147" s="35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174"/>
      <c r="BB148" s="28"/>
      <c r="BC148" s="28"/>
      <c r="BD148" s="28"/>
      <c r="BE148" s="28"/>
      <c r="BF148" s="28"/>
      <c r="BG148" s="35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174"/>
      <c r="BB149" s="28"/>
      <c r="BC149" s="28"/>
      <c r="BD149" s="28"/>
      <c r="BE149" s="28"/>
      <c r="BF149" s="28"/>
      <c r="BG149" s="35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174"/>
      <c r="BB150" s="28"/>
      <c r="BC150" s="28"/>
      <c r="BD150" s="28"/>
      <c r="BE150" s="28"/>
      <c r="BF150" s="28"/>
      <c r="BG150" s="35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174"/>
      <c r="BB151" s="28"/>
      <c r="BC151" s="28"/>
      <c r="BD151" s="28"/>
      <c r="BE151" s="28"/>
      <c r="BF151" s="28"/>
      <c r="BG151" s="35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174"/>
      <c r="BB152" s="28"/>
      <c r="BC152" s="28"/>
      <c r="BD152" s="28"/>
      <c r="BE152" s="28"/>
      <c r="BF152" s="28"/>
      <c r="BG152" s="35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174"/>
      <c r="BB153" s="28"/>
      <c r="BC153" s="28"/>
      <c r="BD153" s="28"/>
      <c r="BE153" s="28"/>
      <c r="BF153" s="28"/>
      <c r="BG153" s="35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174"/>
      <c r="BB154" s="28"/>
      <c r="BC154" s="28"/>
      <c r="BD154" s="28"/>
      <c r="BE154" s="28"/>
      <c r="BF154" s="28"/>
      <c r="BG154" s="35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174"/>
      <c r="BB155" s="28"/>
      <c r="BC155" s="28"/>
      <c r="BD155" s="28"/>
      <c r="BE155" s="28"/>
      <c r="BF155" s="28"/>
      <c r="BG155" s="35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174"/>
      <c r="BB156" s="28"/>
      <c r="BC156" s="28"/>
      <c r="BD156" s="28"/>
      <c r="BE156" s="28"/>
      <c r="BF156" s="28"/>
      <c r="BG156" s="35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174"/>
      <c r="BB157" s="28"/>
      <c r="BC157" s="28"/>
      <c r="BD157" s="28"/>
      <c r="BE157" s="28"/>
      <c r="BF157" s="28"/>
      <c r="BG157" s="35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174"/>
      <c r="BB158" s="28"/>
      <c r="BC158" s="28"/>
      <c r="BD158" s="28"/>
      <c r="BE158" s="28"/>
      <c r="BF158" s="28"/>
      <c r="BG158" s="35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174"/>
      <c r="BB159" s="28"/>
      <c r="BC159" s="28"/>
      <c r="BD159" s="28"/>
      <c r="BE159" s="28"/>
      <c r="BF159" s="28"/>
      <c r="BG159" s="35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174"/>
      <c r="BB160" s="28"/>
      <c r="BC160" s="28"/>
      <c r="BD160" s="28"/>
      <c r="BE160" s="28"/>
      <c r="BF160" s="28"/>
      <c r="BG160" s="35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174"/>
      <c r="BB161" s="28"/>
      <c r="BC161" s="28"/>
      <c r="BD161" s="28"/>
      <c r="BE161" s="28"/>
      <c r="BF161" s="28"/>
      <c r="BG161" s="35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174"/>
      <c r="BB162" s="28"/>
      <c r="BC162" s="28"/>
      <c r="BD162" s="28"/>
      <c r="BE162" s="28"/>
      <c r="BF162" s="28"/>
      <c r="BG162" s="35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174"/>
      <c r="BB163" s="28"/>
      <c r="BC163" s="28"/>
      <c r="BD163" s="28"/>
      <c r="BE163" s="28"/>
      <c r="BF163" s="28"/>
      <c r="BG163" s="35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174"/>
      <c r="BB164" s="28"/>
      <c r="BC164" s="28"/>
      <c r="BD164" s="28"/>
      <c r="BE164" s="28"/>
      <c r="BF164" s="28"/>
      <c r="BG164" s="35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174"/>
      <c r="BB165" s="28"/>
      <c r="BC165" s="28"/>
      <c r="BD165" s="28"/>
      <c r="BE165" s="28"/>
      <c r="BF165" s="28"/>
      <c r="BG165" s="35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174"/>
      <c r="BB166" s="28"/>
      <c r="BC166" s="28"/>
      <c r="BD166" s="28"/>
      <c r="BE166" s="28"/>
      <c r="BF166" s="28"/>
      <c r="BG166" s="35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174"/>
      <c r="BB167" s="28"/>
      <c r="BC167" s="28"/>
      <c r="BD167" s="28"/>
      <c r="BE167" s="28"/>
      <c r="BF167" s="28"/>
      <c r="BG167" s="35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174"/>
      <c r="BB168" s="28"/>
      <c r="BC168" s="28"/>
      <c r="BD168" s="28"/>
      <c r="BE168" s="28"/>
      <c r="BF168" s="28"/>
      <c r="BG168" s="35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174"/>
      <c r="BB169" s="28"/>
      <c r="BC169" s="28"/>
      <c r="BD169" s="28"/>
      <c r="BE169" s="28"/>
      <c r="BF169" s="28"/>
      <c r="BG169" s="35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174"/>
      <c r="BB170" s="28"/>
      <c r="BC170" s="28"/>
      <c r="BD170" s="28"/>
      <c r="BE170" s="28"/>
      <c r="BF170" s="28"/>
      <c r="BG170" s="35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174"/>
      <c r="BB171" s="28"/>
      <c r="BC171" s="28"/>
      <c r="BD171" s="28"/>
      <c r="BE171" s="28"/>
      <c r="BF171" s="28"/>
      <c r="BG171" s="35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174"/>
      <c r="BB172" s="28"/>
      <c r="BC172" s="28"/>
      <c r="BD172" s="28"/>
      <c r="BE172" s="28"/>
      <c r="BF172" s="28"/>
      <c r="BG172" s="35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174"/>
      <c r="BB173" s="28"/>
      <c r="BC173" s="28"/>
      <c r="BD173" s="28"/>
      <c r="BE173" s="28"/>
      <c r="BF173" s="28"/>
      <c r="BG173" s="35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174"/>
      <c r="BB174" s="28"/>
      <c r="BC174" s="28"/>
      <c r="BD174" s="28"/>
      <c r="BE174" s="28"/>
      <c r="BF174" s="28"/>
      <c r="BG174" s="35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174"/>
      <c r="BB175" s="28"/>
      <c r="BC175" s="28"/>
      <c r="BD175" s="28"/>
      <c r="BE175" s="28"/>
      <c r="BF175" s="28"/>
      <c r="BG175" s="35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174"/>
      <c r="BB176" s="28"/>
      <c r="BC176" s="28"/>
      <c r="BD176" s="28"/>
      <c r="BE176" s="28"/>
      <c r="BF176" s="28"/>
      <c r="BG176" s="35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174"/>
      <c r="BB177" s="28"/>
      <c r="BC177" s="28"/>
      <c r="BD177" s="28"/>
      <c r="BE177" s="28"/>
      <c r="BF177" s="28"/>
      <c r="BG177" s="35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174"/>
      <c r="BB178" s="28"/>
      <c r="BC178" s="28"/>
      <c r="BD178" s="28"/>
      <c r="BE178" s="28"/>
      <c r="BF178" s="28"/>
      <c r="BG178" s="35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174"/>
      <c r="BB179" s="28"/>
      <c r="BC179" s="28"/>
      <c r="BD179" s="28"/>
      <c r="BE179" s="28"/>
      <c r="BF179" s="28"/>
      <c r="BG179" s="35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174"/>
      <c r="BB180" s="28"/>
      <c r="BC180" s="28"/>
      <c r="BD180" s="28"/>
      <c r="BE180" s="28"/>
      <c r="BF180" s="28"/>
      <c r="BG180" s="35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174"/>
      <c r="BB181" s="28"/>
      <c r="BC181" s="28"/>
      <c r="BD181" s="28"/>
      <c r="BE181" s="28"/>
      <c r="BF181" s="28"/>
      <c r="BG181" s="35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174"/>
      <c r="BB182" s="28"/>
      <c r="BC182" s="28"/>
      <c r="BD182" s="28"/>
      <c r="BE182" s="28"/>
      <c r="BF182" s="28"/>
      <c r="BG182" s="35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174"/>
      <c r="BB183" s="28"/>
      <c r="BC183" s="28"/>
      <c r="BD183" s="28"/>
      <c r="BE183" s="28"/>
      <c r="BF183" s="28"/>
      <c r="BG183" s="35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174"/>
      <c r="BB184" s="28"/>
      <c r="BC184" s="28"/>
      <c r="BD184" s="28"/>
      <c r="BE184" s="28"/>
      <c r="BF184" s="28"/>
      <c r="BG184" s="35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174"/>
      <c r="BB185" s="28"/>
      <c r="BC185" s="28"/>
      <c r="BD185" s="28"/>
      <c r="BE185" s="28"/>
      <c r="BF185" s="28"/>
      <c r="BG185" s="35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174"/>
      <c r="BB186" s="28"/>
      <c r="BC186" s="28"/>
      <c r="BD186" s="28"/>
      <c r="BE186" s="28"/>
      <c r="BF186" s="28"/>
      <c r="BG186" s="35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174"/>
      <c r="BB187" s="28"/>
      <c r="BC187" s="28"/>
      <c r="BD187" s="28"/>
      <c r="BE187" s="28"/>
      <c r="BF187" s="28"/>
      <c r="BG187" s="35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174"/>
      <c r="BB188" s="28"/>
      <c r="BC188" s="28"/>
      <c r="BD188" s="28"/>
      <c r="BE188" s="28"/>
      <c r="BF188" s="28"/>
      <c r="BG188" s="35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174"/>
      <c r="BB189" s="28"/>
      <c r="BC189" s="28"/>
      <c r="BD189" s="28"/>
      <c r="BE189" s="28"/>
      <c r="BF189" s="28"/>
      <c r="BG189" s="35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174"/>
      <c r="BB190" s="28"/>
      <c r="BC190" s="28"/>
      <c r="BD190" s="28"/>
      <c r="BE190" s="28"/>
      <c r="BF190" s="28"/>
      <c r="BG190" s="35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174"/>
      <c r="BB191" s="28"/>
      <c r="BC191" s="28"/>
      <c r="BD191" s="28"/>
      <c r="BE191" s="28"/>
      <c r="BF191" s="28"/>
      <c r="BG191" s="35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174"/>
      <c r="BB192" s="28"/>
      <c r="BC192" s="28"/>
      <c r="BD192" s="28"/>
      <c r="BE192" s="28"/>
      <c r="BF192" s="28"/>
      <c r="BG192" s="35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174"/>
      <c r="BB193" s="28"/>
      <c r="BC193" s="28"/>
      <c r="BD193" s="28"/>
      <c r="BE193" s="28"/>
      <c r="BF193" s="28"/>
      <c r="BG193" s="35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174"/>
      <c r="BB194" s="28"/>
      <c r="BC194" s="28"/>
      <c r="BD194" s="28"/>
      <c r="BE194" s="28"/>
      <c r="BF194" s="28"/>
      <c r="BG194" s="35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174"/>
      <c r="BB195" s="28"/>
      <c r="BC195" s="28"/>
      <c r="BD195" s="28"/>
      <c r="BE195" s="28"/>
      <c r="BF195" s="28"/>
      <c r="BG195" s="35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174"/>
      <c r="BB196" s="28"/>
      <c r="BC196" s="28"/>
      <c r="BD196" s="28"/>
      <c r="BE196" s="28"/>
      <c r="BF196" s="28"/>
      <c r="BG196" s="35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174"/>
      <c r="BB197" s="28"/>
      <c r="BC197" s="28"/>
      <c r="BD197" s="28"/>
      <c r="BE197" s="28"/>
      <c r="BF197" s="28"/>
      <c r="BG197" s="35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174"/>
      <c r="BB198" s="28"/>
      <c r="BC198" s="28"/>
      <c r="BD198" s="28"/>
      <c r="BE198" s="28"/>
      <c r="BF198" s="28"/>
      <c r="BG198" s="35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174"/>
      <c r="BB199" s="28"/>
      <c r="BC199" s="28"/>
      <c r="BD199" s="28"/>
      <c r="BE199" s="28"/>
      <c r="BF199" s="28"/>
      <c r="BG199" s="35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174"/>
      <c r="BB200" s="28"/>
      <c r="BC200" s="28"/>
      <c r="BD200" s="28"/>
      <c r="BE200" s="28"/>
      <c r="BF200" s="28"/>
      <c r="BG200" s="35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174"/>
      <c r="BB201" s="28"/>
      <c r="BC201" s="28"/>
      <c r="BD201" s="28"/>
      <c r="BE201" s="28"/>
      <c r="BF201" s="28"/>
      <c r="BG201" s="35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174"/>
      <c r="BB202" s="28"/>
      <c r="BC202" s="28"/>
      <c r="BD202" s="28"/>
      <c r="BE202" s="28"/>
      <c r="BF202" s="28"/>
      <c r="BG202" s="35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174"/>
      <c r="BB203" s="28"/>
      <c r="BC203" s="28"/>
      <c r="BD203" s="28"/>
      <c r="BE203" s="28"/>
      <c r="BF203" s="28"/>
      <c r="BG203" s="35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174"/>
      <c r="BB204" s="28"/>
      <c r="BC204" s="28"/>
      <c r="BD204" s="28"/>
      <c r="BE204" s="28"/>
      <c r="BF204" s="28"/>
      <c r="BG204" s="35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174"/>
      <c r="BB205" s="28"/>
      <c r="BC205" s="28"/>
      <c r="BD205" s="28"/>
      <c r="BE205" s="28"/>
      <c r="BF205" s="28"/>
      <c r="BG205" s="35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174"/>
      <c r="BB206" s="28"/>
      <c r="BC206" s="28"/>
      <c r="BD206" s="28"/>
      <c r="BE206" s="28"/>
      <c r="BF206" s="28"/>
      <c r="BG206" s="35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174"/>
      <c r="BB207" s="28"/>
      <c r="BC207" s="28"/>
      <c r="BD207" s="28"/>
      <c r="BE207" s="28"/>
      <c r="BF207" s="28"/>
      <c r="BG207" s="35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174"/>
      <c r="BB208" s="28"/>
      <c r="BC208" s="28"/>
      <c r="BD208" s="28"/>
      <c r="BE208" s="28"/>
      <c r="BF208" s="28"/>
      <c r="BG208" s="35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174"/>
      <c r="BB209" s="28"/>
      <c r="BC209" s="28"/>
      <c r="BD209" s="28"/>
      <c r="BE209" s="28"/>
      <c r="BF209" s="28"/>
      <c r="BG209" s="35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174"/>
      <c r="BB210" s="28"/>
      <c r="BC210" s="28"/>
      <c r="BD210" s="28"/>
      <c r="BE210" s="28"/>
      <c r="BF210" s="28"/>
      <c r="BG210" s="35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174"/>
      <c r="BB211" s="28"/>
      <c r="BC211" s="28"/>
      <c r="BD211" s="28"/>
      <c r="BE211" s="28"/>
      <c r="BF211" s="28"/>
      <c r="BG211" s="35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174"/>
      <c r="BB212" s="28"/>
      <c r="BC212" s="28"/>
      <c r="BD212" s="28"/>
      <c r="BE212" s="28"/>
      <c r="BF212" s="28"/>
      <c r="BG212" s="35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174"/>
      <c r="BB213" s="28"/>
      <c r="BC213" s="28"/>
      <c r="BD213" s="28"/>
      <c r="BE213" s="28"/>
      <c r="BF213" s="28"/>
      <c r="BG213" s="35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174"/>
      <c r="BB214" s="28"/>
      <c r="BC214" s="28"/>
      <c r="BD214" s="28"/>
      <c r="BE214" s="28"/>
      <c r="BF214" s="28"/>
      <c r="BG214" s="35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174"/>
      <c r="BB215" s="28"/>
      <c r="BC215" s="28"/>
      <c r="BD215" s="28"/>
      <c r="BE215" s="28"/>
      <c r="BF215" s="28"/>
      <c r="BG215" s="35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174"/>
      <c r="BB216" s="28"/>
      <c r="BC216" s="28"/>
      <c r="BD216" s="28"/>
      <c r="BE216" s="28"/>
      <c r="BF216" s="28"/>
      <c r="BG216" s="35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174"/>
      <c r="BB217" s="28"/>
      <c r="BC217" s="28"/>
      <c r="BD217" s="28"/>
      <c r="BE217" s="28"/>
      <c r="BF217" s="28"/>
      <c r="BG217" s="35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174"/>
      <c r="BB218" s="28"/>
      <c r="BC218" s="28"/>
      <c r="BD218" s="28"/>
      <c r="BE218" s="28"/>
      <c r="BF218" s="28"/>
      <c r="BG218" s="35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174"/>
      <c r="BB219" s="28"/>
      <c r="BC219" s="28"/>
      <c r="BD219" s="28"/>
      <c r="BE219" s="28"/>
      <c r="BF219" s="28"/>
      <c r="BG219" s="35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174"/>
      <c r="BB220" s="28"/>
      <c r="BC220" s="28"/>
      <c r="BD220" s="28"/>
      <c r="BE220" s="28"/>
      <c r="BF220" s="28"/>
      <c r="BG220" s="35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174"/>
      <c r="BB221" s="28"/>
      <c r="BC221" s="28"/>
      <c r="BD221" s="28"/>
      <c r="BE221" s="28"/>
      <c r="BF221" s="28"/>
      <c r="BG221" s="35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174"/>
      <c r="BB222" s="28"/>
      <c r="BC222" s="28"/>
      <c r="BD222" s="28"/>
      <c r="BE222" s="28"/>
      <c r="BF222" s="28"/>
      <c r="BG222" s="35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174"/>
      <c r="BB223" s="28"/>
      <c r="BC223" s="28"/>
      <c r="BD223" s="28"/>
      <c r="BE223" s="28"/>
      <c r="BF223" s="28"/>
      <c r="BG223" s="35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174"/>
      <c r="BB224" s="28"/>
      <c r="BC224" s="28"/>
      <c r="BD224" s="28"/>
      <c r="BE224" s="28"/>
      <c r="BF224" s="28"/>
      <c r="BG224" s="35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174"/>
      <c r="BB225" s="28"/>
      <c r="BC225" s="28"/>
      <c r="BD225" s="28"/>
      <c r="BE225" s="28"/>
      <c r="BF225" s="28"/>
      <c r="BG225" s="35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174"/>
      <c r="BB226" s="28"/>
      <c r="BC226" s="28"/>
      <c r="BD226" s="28"/>
      <c r="BE226" s="28"/>
      <c r="BF226" s="28"/>
      <c r="BG226" s="35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174"/>
      <c r="BB227" s="28"/>
      <c r="BC227" s="28"/>
      <c r="BD227" s="28"/>
      <c r="BE227" s="28"/>
      <c r="BF227" s="28"/>
      <c r="BG227" s="35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174"/>
      <c r="BB228" s="28"/>
      <c r="BC228" s="28"/>
      <c r="BD228" s="28"/>
      <c r="BE228" s="28"/>
      <c r="BF228" s="28"/>
      <c r="BG228" s="35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174"/>
      <c r="BB229" s="28"/>
      <c r="BC229" s="28"/>
      <c r="BD229" s="28"/>
      <c r="BE229" s="28"/>
      <c r="BF229" s="28"/>
      <c r="BG229" s="3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/>
  <cols>
    <col customWidth="1" min="1" max="1" width="2.0"/>
    <col customWidth="1" min="2" max="2" width="42.86"/>
    <col customWidth="1" min="3" max="3" width="12.0"/>
    <col customWidth="1" min="4" max="4" width="5.0"/>
    <col customWidth="1" hidden="1" min="5" max="17" width="9.0" outlineLevel="1"/>
    <col customWidth="1" hidden="1" min="18" max="18" width="9.86" outlineLevel="1"/>
    <col customWidth="1" min="19" max="19" width="9.71"/>
    <col customWidth="1" min="20" max="20" width="9.57"/>
    <col customWidth="1" min="21" max="21" width="9.71"/>
    <col customWidth="1" min="22" max="22" width="9.43"/>
    <col customWidth="1" min="23" max="23" width="10.0"/>
    <col customWidth="1" min="24" max="24" width="9.71"/>
    <col customWidth="1" min="25" max="25" width="9.14"/>
    <col customWidth="1" min="26" max="27" width="9.86"/>
    <col customWidth="1" min="28" max="28" width="9.57"/>
    <col customWidth="1" min="29" max="30" width="9.86"/>
    <col customWidth="1" min="31" max="32" width="9.43"/>
    <col customWidth="1" min="33" max="33" width="9.57"/>
    <col customWidth="1" min="34" max="34" width="9.29"/>
    <col customWidth="1" min="35" max="35" width="9.86"/>
    <col customWidth="1" min="36" max="36" width="9.57"/>
    <col customWidth="1" min="37" max="37" width="8.86"/>
    <col customWidth="1" min="38" max="39" width="9.57"/>
    <col customWidth="1" min="40" max="40" width="9.29"/>
    <col customWidth="1" min="41" max="44" width="9.57"/>
    <col customWidth="1" min="45" max="45" width="9.71"/>
    <col customWidth="1" min="46" max="46" width="9.43"/>
    <col customWidth="1" min="47" max="47" width="10.0"/>
    <col customWidth="1" min="48" max="48" width="9.71"/>
    <col customWidth="1" min="49" max="49" width="9.14"/>
    <col customWidth="1" min="50" max="50" width="9.86"/>
    <col customWidth="1" min="51" max="51" width="9.71"/>
    <col customWidth="1" min="52" max="52" width="9.57"/>
    <col customWidth="1" min="53" max="54" width="9.86"/>
    <col customWidth="1" min="56" max="56" width="8.86"/>
    <col customWidth="1" min="57" max="57" width="10.57"/>
    <col customWidth="1" min="58" max="58" width="11.0"/>
    <col customWidth="1" min="59" max="59" width="10.86"/>
    <col customWidth="1" min="60" max="60" width="10.43" outlineLevel="1"/>
    <col customWidth="1" min="61" max="61" width="17.86" outlineLevel="1"/>
  </cols>
  <sheetData>
    <row r="1" ht="15.75" customHeight="1">
      <c r="A1" s="253"/>
      <c r="B1" s="153" t="s">
        <v>301</v>
      </c>
      <c r="C1" s="154"/>
      <c r="D1" s="2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255"/>
      <c r="Q1" s="255"/>
      <c r="R1" s="255"/>
      <c r="S1" s="255"/>
      <c r="T1" s="255"/>
      <c r="U1" s="255" t="s">
        <v>302</v>
      </c>
      <c r="V1" s="255" t="s">
        <v>303</v>
      </c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188"/>
      <c r="AY1" s="188"/>
      <c r="AZ1" s="188"/>
      <c r="BA1" s="188"/>
      <c r="BB1" s="188"/>
      <c r="BC1" s="174"/>
      <c r="BD1" s="188"/>
      <c r="BE1" s="188"/>
      <c r="BF1" s="188"/>
      <c r="BG1" s="188"/>
      <c r="BH1" s="188"/>
      <c r="BI1" s="174"/>
    </row>
    <row r="2" ht="13.5" customHeight="1">
      <c r="A2" s="161"/>
      <c r="B2" s="162"/>
      <c r="C2" s="162"/>
      <c r="D2" s="162"/>
      <c r="E2" s="163"/>
      <c r="F2" s="163"/>
      <c r="G2" s="163">
        <v>2025.0</v>
      </c>
      <c r="H2" s="163"/>
      <c r="I2" s="163"/>
      <c r="J2" s="163"/>
      <c r="K2" s="163"/>
      <c r="L2" s="163"/>
      <c r="M2" s="163"/>
      <c r="N2" s="163"/>
      <c r="O2" s="163"/>
      <c r="P2" s="256"/>
      <c r="Q2" s="256"/>
      <c r="R2" s="256"/>
      <c r="S2" s="256" t="s">
        <v>196</v>
      </c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 t="s">
        <v>197</v>
      </c>
      <c r="AF2" s="256"/>
      <c r="AG2" s="256"/>
      <c r="AH2" s="256"/>
      <c r="AI2" s="256"/>
      <c r="AJ2" s="256"/>
      <c r="AK2" s="256"/>
      <c r="AL2" s="256"/>
      <c r="AM2" s="256"/>
      <c r="AN2" s="256"/>
      <c r="AO2" s="256"/>
      <c r="AP2" s="256"/>
      <c r="AQ2" s="256" t="s">
        <v>198</v>
      </c>
      <c r="AR2" s="256"/>
      <c r="AS2" s="256"/>
      <c r="AT2" s="256"/>
      <c r="AU2" s="256"/>
      <c r="AV2" s="256"/>
      <c r="AW2" s="256"/>
      <c r="AX2" s="257"/>
      <c r="AY2" s="257"/>
      <c r="AZ2" s="257"/>
      <c r="BA2" s="257"/>
      <c r="BB2" s="257"/>
      <c r="BC2" s="174"/>
      <c r="BD2" s="257"/>
      <c r="BE2" s="257"/>
      <c r="BF2" s="257"/>
      <c r="BG2" s="257"/>
      <c r="BH2" s="257"/>
      <c r="BI2" s="174"/>
    </row>
    <row r="3" ht="13.5" customHeight="1">
      <c r="A3" s="161"/>
      <c r="B3" s="162"/>
      <c r="C3" s="162"/>
      <c r="D3" s="162"/>
      <c r="E3" s="167"/>
      <c r="F3" s="167"/>
      <c r="G3" s="171">
        <v>45658.0</v>
      </c>
      <c r="H3" s="171">
        <v>45689.0</v>
      </c>
      <c r="I3" s="171">
        <v>45717.0</v>
      </c>
      <c r="J3" s="171">
        <v>45748.0</v>
      </c>
      <c r="K3" s="171">
        <v>45778.0</v>
      </c>
      <c r="L3" s="171">
        <v>45809.0</v>
      </c>
      <c r="M3" s="171">
        <v>45839.0</v>
      </c>
      <c r="N3" s="171">
        <v>45870.0</v>
      </c>
      <c r="O3" s="171">
        <v>45901.0</v>
      </c>
      <c r="P3" s="171">
        <v>45931.0</v>
      </c>
      <c r="Q3" s="171">
        <v>45962.0</v>
      </c>
      <c r="R3" s="171">
        <v>45992.0</v>
      </c>
      <c r="S3" s="171">
        <v>46023.0</v>
      </c>
      <c r="T3" s="171">
        <v>46054.0</v>
      </c>
      <c r="U3" s="171">
        <v>46082.0</v>
      </c>
      <c r="V3" s="171">
        <v>46113.0</v>
      </c>
      <c r="W3" s="171">
        <v>46143.0</v>
      </c>
      <c r="X3" s="171">
        <v>46174.0</v>
      </c>
      <c r="Y3" s="171">
        <v>46204.0</v>
      </c>
      <c r="Z3" s="171">
        <v>46235.0</v>
      </c>
      <c r="AA3" s="171">
        <v>46266.0</v>
      </c>
      <c r="AB3" s="171">
        <v>46296.0</v>
      </c>
      <c r="AC3" s="171">
        <v>46327.0</v>
      </c>
      <c r="AD3" s="171">
        <v>46357.0</v>
      </c>
      <c r="AE3" s="171">
        <v>46388.0</v>
      </c>
      <c r="AF3" s="171">
        <v>46419.0</v>
      </c>
      <c r="AG3" s="171">
        <v>46447.0</v>
      </c>
      <c r="AH3" s="171">
        <v>46478.0</v>
      </c>
      <c r="AI3" s="171">
        <v>46508.0</v>
      </c>
      <c r="AJ3" s="171">
        <v>46539.0</v>
      </c>
      <c r="AK3" s="171">
        <v>46569.0</v>
      </c>
      <c r="AL3" s="171">
        <v>46600.0</v>
      </c>
      <c r="AM3" s="171">
        <v>46631.0</v>
      </c>
      <c r="AN3" s="171">
        <v>46661.0</v>
      </c>
      <c r="AO3" s="171">
        <v>46692.0</v>
      </c>
      <c r="AP3" s="171">
        <v>46722.0</v>
      </c>
      <c r="AQ3" s="171">
        <v>46753.0</v>
      </c>
      <c r="AR3" s="171">
        <v>46784.0</v>
      </c>
      <c r="AS3" s="171">
        <v>46813.0</v>
      </c>
      <c r="AT3" s="171">
        <v>46844.0</v>
      </c>
      <c r="AU3" s="171">
        <v>46874.0</v>
      </c>
      <c r="AV3" s="171">
        <v>46905.0</v>
      </c>
      <c r="AW3" s="171">
        <v>46935.0</v>
      </c>
      <c r="AX3" s="171">
        <v>46966.0</v>
      </c>
      <c r="AY3" s="171">
        <v>46997.0</v>
      </c>
      <c r="AZ3" s="171">
        <v>47027.0</v>
      </c>
      <c r="BA3" s="171">
        <v>47058.0</v>
      </c>
      <c r="BB3" s="171">
        <v>47088.0</v>
      </c>
      <c r="BC3" s="174"/>
      <c r="BD3" s="249">
        <v>2025.0</v>
      </c>
      <c r="BE3" s="249">
        <v>2026.0</v>
      </c>
      <c r="BF3" s="249">
        <v>2027.0</v>
      </c>
      <c r="BG3" s="249">
        <v>2028.0</v>
      </c>
      <c r="BH3" s="249">
        <v>2029.0</v>
      </c>
      <c r="BI3" s="174"/>
    </row>
    <row r="4" ht="15.0" customHeight="1">
      <c r="A4" s="35"/>
      <c r="B4" s="28"/>
      <c r="C4" s="28"/>
      <c r="D4" s="85"/>
      <c r="E4" s="28"/>
      <c r="F4" s="28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</row>
    <row r="5" ht="15.75" customHeight="1">
      <c r="A5" s="35"/>
      <c r="B5" s="258" t="s">
        <v>304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174"/>
      <c r="BD5" s="259"/>
      <c r="BE5" s="259"/>
      <c r="BF5" s="259"/>
      <c r="BG5" s="259"/>
      <c r="BH5" s="259"/>
      <c r="BI5" s="174"/>
    </row>
    <row r="6" ht="13.5" customHeight="1">
      <c r="A6" s="35"/>
      <c r="B6" s="38" t="s">
        <v>148</v>
      </c>
      <c r="C6" s="28"/>
      <c r="D6" s="260" t="s">
        <v>202</v>
      </c>
      <c r="E6" s="38"/>
      <c r="F6" s="38"/>
      <c r="G6" s="261"/>
      <c r="H6" s="261"/>
      <c r="I6" s="261"/>
      <c r="J6" s="261"/>
      <c r="K6" s="261"/>
      <c r="L6" s="261"/>
      <c r="M6" s="261"/>
      <c r="N6" s="261"/>
      <c r="O6" s="262">
        <f>Personnel!Q49</f>
        <v>47500</v>
      </c>
      <c r="P6" s="262">
        <f>Personnel!R49</f>
        <v>47500</v>
      </c>
      <c r="Q6" s="262">
        <f>Personnel!S49</f>
        <v>47500</v>
      </c>
      <c r="R6" s="262">
        <f>Personnel!T49</f>
        <v>47500</v>
      </c>
      <c r="S6" s="262">
        <f>Personnel!U49</f>
        <v>50700</v>
      </c>
      <c r="T6" s="262">
        <f>Personnel!V49</f>
        <v>50700</v>
      </c>
      <c r="U6" s="262">
        <f>Personnel!W49</f>
        <v>50700</v>
      </c>
      <c r="V6" s="262">
        <f>Personnel!X49</f>
        <v>50700</v>
      </c>
      <c r="W6" s="262">
        <f>Personnel!Y49</f>
        <v>50700</v>
      </c>
      <c r="X6" s="262">
        <f>Personnel!Z49</f>
        <v>50700</v>
      </c>
      <c r="Y6" s="262">
        <f>Personnel!AA49</f>
        <v>58700</v>
      </c>
      <c r="Z6" s="262">
        <f>Personnel!AB49</f>
        <v>64700</v>
      </c>
      <c r="AA6" s="262">
        <f>Personnel!AC49</f>
        <v>68700</v>
      </c>
      <c r="AB6" s="262">
        <f>Personnel!AD49</f>
        <v>69620</v>
      </c>
      <c r="AC6" s="262">
        <f>Personnel!AE49</f>
        <v>69620</v>
      </c>
      <c r="AD6" s="262">
        <f>Personnel!AF49</f>
        <v>69620</v>
      </c>
      <c r="AE6" s="262">
        <f>Personnel!AG49</f>
        <v>94569.6</v>
      </c>
      <c r="AF6" s="262">
        <f>Personnel!AH49</f>
        <v>94569.6</v>
      </c>
      <c r="AG6" s="262">
        <f>Personnel!AI49</f>
        <v>94569.6</v>
      </c>
      <c r="AH6" s="262">
        <f>Personnel!AJ49</f>
        <v>94569.6</v>
      </c>
      <c r="AI6" s="262">
        <f>Personnel!AK49</f>
        <v>94569.6</v>
      </c>
      <c r="AJ6" s="262">
        <f>Personnel!AL49</f>
        <v>101069.6</v>
      </c>
      <c r="AK6" s="262">
        <f>Personnel!AM49</f>
        <v>101709.6</v>
      </c>
      <c r="AL6" s="262">
        <f>Personnel!AN49</f>
        <v>102189.6</v>
      </c>
      <c r="AM6" s="262">
        <f>Personnel!AO49</f>
        <v>102189.6</v>
      </c>
      <c r="AN6" s="262">
        <f>Personnel!AP49</f>
        <v>102189.6</v>
      </c>
      <c r="AO6" s="262">
        <f>Personnel!AQ49</f>
        <v>102189.6</v>
      </c>
      <c r="AP6" s="262">
        <f>Personnel!AR49</f>
        <v>102189.6</v>
      </c>
      <c r="AQ6" s="262">
        <f>Personnel!AS49</f>
        <v>108635.168</v>
      </c>
      <c r="AR6" s="262">
        <f>Personnel!AT49</f>
        <v>108635.168</v>
      </c>
      <c r="AS6" s="262">
        <f>Personnel!AU49</f>
        <v>108635.168</v>
      </c>
      <c r="AT6" s="262">
        <f>Personnel!AV49</f>
        <v>108635.168</v>
      </c>
      <c r="AU6" s="262">
        <f>Personnel!AW49</f>
        <v>108635.168</v>
      </c>
      <c r="AV6" s="262">
        <f>Personnel!AX49</f>
        <v>109155.168</v>
      </c>
      <c r="AW6" s="262">
        <f>Personnel!AY49</f>
        <v>109846.368</v>
      </c>
      <c r="AX6" s="262">
        <f>Personnel!AZ49</f>
        <v>110364.768</v>
      </c>
      <c r="AY6" s="262">
        <f>Personnel!BA49</f>
        <v>110364.768</v>
      </c>
      <c r="AZ6" s="262">
        <f>Personnel!BB49</f>
        <v>110364.768</v>
      </c>
      <c r="BA6" s="262">
        <f>Personnel!BC49</f>
        <v>110364.768</v>
      </c>
      <c r="BB6" s="262">
        <f>Personnel!BD49</f>
        <v>110364.768</v>
      </c>
      <c r="BC6" s="174"/>
      <c r="BD6" s="262">
        <f t="shared" ref="BD6:BD9" si="1">SUM(G6:R6)</f>
        <v>190000</v>
      </c>
      <c r="BE6" s="262">
        <f t="shared" ref="BE6:BE9" si="2">SUM(S6:AD6)</f>
        <v>705160</v>
      </c>
      <c r="BF6" s="262">
        <f t="shared" ref="BF6:BF9" si="3">SUM(AE6:AP6)</f>
        <v>1186575.2</v>
      </c>
      <c r="BG6" s="262">
        <f t="shared" ref="BG6:BG9" si="4">SUM(AQ6:BB6)</f>
        <v>1314001.216</v>
      </c>
      <c r="BH6" s="262">
        <f>BG6*('Financial Statements'!$BE$7/'Financial Statements'!$BD$7)^0.5</f>
        <v>2271257.872</v>
      </c>
      <c r="BI6" s="174"/>
    </row>
    <row r="7" ht="13.5" customHeight="1">
      <c r="A7" s="35"/>
      <c r="B7" s="38" t="s">
        <v>145</v>
      </c>
      <c r="C7" s="28"/>
      <c r="D7" s="260" t="s">
        <v>202</v>
      </c>
      <c r="E7" s="38"/>
      <c r="F7" s="263"/>
      <c r="G7" s="261"/>
      <c r="H7" s="261"/>
      <c r="I7" s="261"/>
      <c r="J7" s="261"/>
      <c r="K7" s="261"/>
      <c r="L7" s="261"/>
      <c r="M7" s="261"/>
      <c r="N7" s="261"/>
      <c r="O7" s="262">
        <f>Personnel!Q50</f>
        <v>0</v>
      </c>
      <c r="P7" s="262">
        <f>Personnel!R50</f>
        <v>0</v>
      </c>
      <c r="Q7" s="262">
        <f>Personnel!S50</f>
        <v>0</v>
      </c>
      <c r="R7" s="262">
        <f>Personnel!T50</f>
        <v>0</v>
      </c>
      <c r="S7" s="262">
        <f>Personnel!U50</f>
        <v>0</v>
      </c>
      <c r="T7" s="262">
        <f>Personnel!V50</f>
        <v>10800</v>
      </c>
      <c r="U7" s="262">
        <f>Personnel!W50</f>
        <v>10800</v>
      </c>
      <c r="V7" s="262">
        <f>Personnel!X50</f>
        <v>10800</v>
      </c>
      <c r="W7" s="262">
        <f>Personnel!Y50</f>
        <v>10800</v>
      </c>
      <c r="X7" s="262">
        <f>Personnel!Z50</f>
        <v>10800</v>
      </c>
      <c r="Y7" s="262">
        <f>Personnel!AA50</f>
        <v>10800</v>
      </c>
      <c r="Z7" s="262">
        <f>Personnel!AB50</f>
        <v>19800</v>
      </c>
      <c r="AA7" s="262">
        <f>Personnel!AC50</f>
        <v>19800</v>
      </c>
      <c r="AB7" s="262">
        <f>Personnel!AD50</f>
        <v>26300</v>
      </c>
      <c r="AC7" s="262">
        <f>Personnel!AE50</f>
        <v>26300</v>
      </c>
      <c r="AD7" s="262">
        <f>Personnel!AF50</f>
        <v>26300</v>
      </c>
      <c r="AE7" s="262">
        <f>Personnel!AG50</f>
        <v>27164</v>
      </c>
      <c r="AF7" s="262">
        <f>Personnel!AH50</f>
        <v>27164</v>
      </c>
      <c r="AG7" s="262">
        <f>Personnel!AI50</f>
        <v>27164</v>
      </c>
      <c r="AH7" s="262">
        <f>Personnel!AJ50</f>
        <v>27164</v>
      </c>
      <c r="AI7" s="262">
        <f>Personnel!AK50</f>
        <v>27164</v>
      </c>
      <c r="AJ7" s="262">
        <f>Personnel!AL50</f>
        <v>27164</v>
      </c>
      <c r="AK7" s="262">
        <f>Personnel!AM50</f>
        <v>27164</v>
      </c>
      <c r="AL7" s="262">
        <f>Personnel!AN50</f>
        <v>27884</v>
      </c>
      <c r="AM7" s="262">
        <f>Personnel!AO50</f>
        <v>27884</v>
      </c>
      <c r="AN7" s="262">
        <f>Personnel!AP50</f>
        <v>28404</v>
      </c>
      <c r="AO7" s="262">
        <f>Personnel!AQ50</f>
        <v>28404</v>
      </c>
      <c r="AP7" s="262">
        <f>Personnel!AR50</f>
        <v>28404</v>
      </c>
      <c r="AQ7" s="262">
        <f>Personnel!AS50</f>
        <v>44337.12</v>
      </c>
      <c r="AR7" s="262">
        <f>Personnel!AT50</f>
        <v>51837.12</v>
      </c>
      <c r="AS7" s="262">
        <f>Personnel!AU50</f>
        <v>51837.12</v>
      </c>
      <c r="AT7" s="262">
        <f>Personnel!AV50</f>
        <v>51837.12</v>
      </c>
      <c r="AU7" s="262">
        <f>Personnel!AW50</f>
        <v>51837.12</v>
      </c>
      <c r="AV7" s="262">
        <f>Personnel!AX50</f>
        <v>51837.12</v>
      </c>
      <c r="AW7" s="262">
        <f>Personnel!AY50</f>
        <v>51837.12</v>
      </c>
      <c r="AX7" s="262">
        <f>Personnel!AZ50</f>
        <v>52614.72</v>
      </c>
      <c r="AY7" s="262">
        <f>Personnel!BA50</f>
        <v>52614.72</v>
      </c>
      <c r="AZ7" s="262">
        <f>Personnel!BB50</f>
        <v>53176.32</v>
      </c>
      <c r="BA7" s="262">
        <f>Personnel!BC50</f>
        <v>53176.32</v>
      </c>
      <c r="BB7" s="262">
        <f>Personnel!BD50</f>
        <v>53176.32</v>
      </c>
      <c r="BC7" s="174"/>
      <c r="BD7" s="262">
        <f t="shared" si="1"/>
        <v>0</v>
      </c>
      <c r="BE7" s="262">
        <f t="shared" si="2"/>
        <v>183300</v>
      </c>
      <c r="BF7" s="262">
        <f t="shared" si="3"/>
        <v>331128</v>
      </c>
      <c r="BG7" s="262">
        <f t="shared" si="4"/>
        <v>620118.24</v>
      </c>
      <c r="BH7" s="262">
        <f>BG7*('Financial Statements'!$BE$7/'Financial Statements'!$BD$7)^0.5</f>
        <v>1071877.573</v>
      </c>
      <c r="BI7" s="174"/>
    </row>
    <row r="8" ht="13.5" customHeight="1">
      <c r="A8" s="35"/>
      <c r="B8" s="38" t="s">
        <v>141</v>
      </c>
      <c r="C8" s="28"/>
      <c r="D8" s="260" t="s">
        <v>202</v>
      </c>
      <c r="E8" s="38"/>
      <c r="F8" s="263"/>
      <c r="G8" s="261"/>
      <c r="H8" s="261"/>
      <c r="I8" s="261"/>
      <c r="J8" s="261"/>
      <c r="K8" s="261"/>
      <c r="L8" s="261"/>
      <c r="M8" s="261"/>
      <c r="N8" s="261"/>
      <c r="O8" s="262">
        <f>Personnel!Q51</f>
        <v>11500</v>
      </c>
      <c r="P8" s="262">
        <f>Personnel!R51</f>
        <v>11500</v>
      </c>
      <c r="Q8" s="262">
        <f>Personnel!S51</f>
        <v>11500</v>
      </c>
      <c r="R8" s="262">
        <f>Personnel!T51</f>
        <v>11500</v>
      </c>
      <c r="S8" s="262">
        <f>Personnel!U51</f>
        <v>11820</v>
      </c>
      <c r="T8" s="262">
        <f>Personnel!V51</f>
        <v>11820</v>
      </c>
      <c r="U8" s="262">
        <f>Personnel!W51</f>
        <v>11820</v>
      </c>
      <c r="V8" s="262">
        <f>Personnel!X51</f>
        <v>11820</v>
      </c>
      <c r="W8" s="262">
        <f>Personnel!Y51</f>
        <v>11820</v>
      </c>
      <c r="X8" s="262">
        <f>Personnel!Z51</f>
        <v>11820</v>
      </c>
      <c r="Y8" s="262">
        <f>Personnel!AA51</f>
        <v>11820</v>
      </c>
      <c r="Z8" s="262">
        <f>Personnel!AB51</f>
        <v>20820</v>
      </c>
      <c r="AA8" s="262">
        <f>Personnel!AC51</f>
        <v>25740</v>
      </c>
      <c r="AB8" s="262">
        <f>Personnel!AD51</f>
        <v>30920</v>
      </c>
      <c r="AC8" s="262">
        <f>Personnel!AE51</f>
        <v>30920</v>
      </c>
      <c r="AD8" s="262">
        <f>Personnel!AF51</f>
        <v>30920</v>
      </c>
      <c r="AE8" s="262">
        <f>Personnel!AG51</f>
        <v>42913.6</v>
      </c>
      <c r="AF8" s="262">
        <f>Personnel!AH51</f>
        <v>42913.6</v>
      </c>
      <c r="AG8" s="262">
        <f>Personnel!AI51</f>
        <v>42913.6</v>
      </c>
      <c r="AH8" s="262">
        <f>Personnel!AJ51</f>
        <v>42913.6</v>
      </c>
      <c r="AI8" s="262">
        <f>Personnel!AK51</f>
        <v>42913.6</v>
      </c>
      <c r="AJ8" s="262">
        <f>Personnel!AL51</f>
        <v>42913.6</v>
      </c>
      <c r="AK8" s="262">
        <f>Personnel!AM51</f>
        <v>42913.6</v>
      </c>
      <c r="AL8" s="262">
        <f>Personnel!AN51</f>
        <v>43633.6</v>
      </c>
      <c r="AM8" s="262">
        <f>Personnel!AO51</f>
        <v>43633.6</v>
      </c>
      <c r="AN8" s="262">
        <f>Personnel!AP51</f>
        <v>44393.6</v>
      </c>
      <c r="AO8" s="262">
        <f>Personnel!AQ51</f>
        <v>44393.6</v>
      </c>
      <c r="AP8" s="262">
        <f>Personnel!AR51</f>
        <v>44393.6</v>
      </c>
      <c r="AQ8" s="262">
        <f>Personnel!AS51</f>
        <v>46346.688</v>
      </c>
      <c r="AR8" s="262">
        <f>Personnel!AT51</f>
        <v>53846.688</v>
      </c>
      <c r="AS8" s="262">
        <f>Personnel!AU51</f>
        <v>53846.688</v>
      </c>
      <c r="AT8" s="262">
        <f>Personnel!AV51</f>
        <v>53846.688</v>
      </c>
      <c r="AU8" s="262">
        <f>Personnel!AW51</f>
        <v>53846.688</v>
      </c>
      <c r="AV8" s="262">
        <f>Personnel!AX51</f>
        <v>53846.688</v>
      </c>
      <c r="AW8" s="262">
        <f>Personnel!AY51</f>
        <v>53846.688</v>
      </c>
      <c r="AX8" s="262">
        <f>Personnel!AZ51</f>
        <v>54624.288</v>
      </c>
      <c r="AY8" s="262">
        <f>Personnel!BA51</f>
        <v>54624.288</v>
      </c>
      <c r="AZ8" s="262">
        <f>Personnel!BB51</f>
        <v>55445.088</v>
      </c>
      <c r="BA8" s="262">
        <f>Personnel!BC51</f>
        <v>55445.088</v>
      </c>
      <c r="BB8" s="262">
        <f>Personnel!BD51</f>
        <v>55445.088</v>
      </c>
      <c r="BC8" s="174"/>
      <c r="BD8" s="262">
        <f t="shared" si="1"/>
        <v>46000</v>
      </c>
      <c r="BE8" s="262">
        <f t="shared" si="2"/>
        <v>222060</v>
      </c>
      <c r="BF8" s="262">
        <f t="shared" si="3"/>
        <v>520843.2</v>
      </c>
      <c r="BG8" s="262">
        <f t="shared" si="4"/>
        <v>645010.656</v>
      </c>
      <c r="BH8" s="262">
        <f>BG8*('Financial Statements'!$BE$7/'Financial Statements'!$BD$7)^0.2</f>
        <v>802851.385</v>
      </c>
      <c r="BI8" s="174"/>
    </row>
    <row r="9" ht="15.0" customHeight="1">
      <c r="A9" s="35"/>
      <c r="B9" s="153" t="s">
        <v>305</v>
      </c>
      <c r="C9" s="153"/>
      <c r="D9" s="248" t="s">
        <v>202</v>
      </c>
      <c r="E9" s="264"/>
      <c r="F9" s="264"/>
      <c r="G9" s="256">
        <f t="shared" ref="G9:N9" si="5">SUM(G6:G8)</f>
        <v>0</v>
      </c>
      <c r="H9" s="256">
        <f t="shared" si="5"/>
        <v>0</v>
      </c>
      <c r="I9" s="256">
        <f t="shared" si="5"/>
        <v>0</v>
      </c>
      <c r="J9" s="256">
        <f t="shared" si="5"/>
        <v>0</v>
      </c>
      <c r="K9" s="256">
        <f t="shared" si="5"/>
        <v>0</v>
      </c>
      <c r="L9" s="256">
        <f t="shared" si="5"/>
        <v>0</v>
      </c>
      <c r="M9" s="256">
        <f t="shared" si="5"/>
        <v>0</v>
      </c>
      <c r="N9" s="256">
        <f t="shared" si="5"/>
        <v>0</v>
      </c>
      <c r="O9" s="256">
        <f t="shared" ref="O9:BB9" si="6">sum(O6:O8)</f>
        <v>59000</v>
      </c>
      <c r="P9" s="256">
        <f t="shared" si="6"/>
        <v>59000</v>
      </c>
      <c r="Q9" s="256">
        <f t="shared" si="6"/>
        <v>59000</v>
      </c>
      <c r="R9" s="256">
        <f t="shared" si="6"/>
        <v>59000</v>
      </c>
      <c r="S9" s="256">
        <f t="shared" si="6"/>
        <v>62520</v>
      </c>
      <c r="T9" s="256">
        <f t="shared" si="6"/>
        <v>73320</v>
      </c>
      <c r="U9" s="256">
        <f t="shared" si="6"/>
        <v>73320</v>
      </c>
      <c r="V9" s="256">
        <f t="shared" si="6"/>
        <v>73320</v>
      </c>
      <c r="W9" s="256">
        <f t="shared" si="6"/>
        <v>73320</v>
      </c>
      <c r="X9" s="256">
        <f t="shared" si="6"/>
        <v>73320</v>
      </c>
      <c r="Y9" s="256">
        <f t="shared" si="6"/>
        <v>81320</v>
      </c>
      <c r="Z9" s="256">
        <f t="shared" si="6"/>
        <v>105320</v>
      </c>
      <c r="AA9" s="256">
        <f t="shared" si="6"/>
        <v>114240</v>
      </c>
      <c r="AB9" s="256">
        <f t="shared" si="6"/>
        <v>126840</v>
      </c>
      <c r="AC9" s="256">
        <f t="shared" si="6"/>
        <v>126840</v>
      </c>
      <c r="AD9" s="256">
        <f t="shared" si="6"/>
        <v>126840</v>
      </c>
      <c r="AE9" s="256">
        <f t="shared" si="6"/>
        <v>164647.2</v>
      </c>
      <c r="AF9" s="256">
        <f t="shared" si="6"/>
        <v>164647.2</v>
      </c>
      <c r="AG9" s="256">
        <f t="shared" si="6"/>
        <v>164647.2</v>
      </c>
      <c r="AH9" s="256">
        <f t="shared" si="6"/>
        <v>164647.2</v>
      </c>
      <c r="AI9" s="256">
        <f t="shared" si="6"/>
        <v>164647.2</v>
      </c>
      <c r="AJ9" s="256">
        <f t="shared" si="6"/>
        <v>171147.2</v>
      </c>
      <c r="AK9" s="256">
        <f t="shared" si="6"/>
        <v>171787.2</v>
      </c>
      <c r="AL9" s="256">
        <f t="shared" si="6"/>
        <v>173707.2</v>
      </c>
      <c r="AM9" s="256">
        <f t="shared" si="6"/>
        <v>173707.2</v>
      </c>
      <c r="AN9" s="256">
        <f t="shared" si="6"/>
        <v>174987.2</v>
      </c>
      <c r="AO9" s="256">
        <f t="shared" si="6"/>
        <v>174987.2</v>
      </c>
      <c r="AP9" s="256">
        <f t="shared" si="6"/>
        <v>174987.2</v>
      </c>
      <c r="AQ9" s="256">
        <f t="shared" si="6"/>
        <v>199318.976</v>
      </c>
      <c r="AR9" s="256">
        <f t="shared" si="6"/>
        <v>214318.976</v>
      </c>
      <c r="AS9" s="256">
        <f t="shared" si="6"/>
        <v>214318.976</v>
      </c>
      <c r="AT9" s="256">
        <f t="shared" si="6"/>
        <v>214318.976</v>
      </c>
      <c r="AU9" s="256">
        <f t="shared" si="6"/>
        <v>214318.976</v>
      </c>
      <c r="AV9" s="256">
        <f t="shared" si="6"/>
        <v>214838.976</v>
      </c>
      <c r="AW9" s="256">
        <f t="shared" si="6"/>
        <v>215530.176</v>
      </c>
      <c r="AX9" s="256">
        <f t="shared" si="6"/>
        <v>217603.776</v>
      </c>
      <c r="AY9" s="256">
        <f t="shared" si="6"/>
        <v>217603.776</v>
      </c>
      <c r="AZ9" s="256">
        <f t="shared" si="6"/>
        <v>218986.176</v>
      </c>
      <c r="BA9" s="256">
        <f t="shared" si="6"/>
        <v>218986.176</v>
      </c>
      <c r="BB9" s="256">
        <f t="shared" si="6"/>
        <v>218986.176</v>
      </c>
      <c r="BC9" s="174"/>
      <c r="BD9" s="256">
        <f t="shared" si="1"/>
        <v>236000</v>
      </c>
      <c r="BE9" s="256">
        <f t="shared" si="2"/>
        <v>1110520</v>
      </c>
      <c r="BF9" s="256">
        <f t="shared" si="3"/>
        <v>2038546.4</v>
      </c>
      <c r="BG9" s="256">
        <f t="shared" si="4"/>
        <v>2579130.112</v>
      </c>
      <c r="BH9" s="256">
        <f>sum(BH6:BH8)</f>
        <v>4145986.83</v>
      </c>
      <c r="BI9" s="174"/>
    </row>
    <row r="10" ht="13.5" customHeight="1">
      <c r="A10" s="35"/>
      <c r="B10" s="92"/>
      <c r="C10" s="28"/>
      <c r="D10" s="85"/>
      <c r="E10" s="28"/>
      <c r="F10" s="28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</row>
    <row r="11" ht="13.5" customHeight="1">
      <c r="A11" s="35"/>
      <c r="B11" s="224" t="s">
        <v>306</v>
      </c>
      <c r="C11" s="265"/>
      <c r="D11" s="266"/>
      <c r="E11" s="221"/>
      <c r="F11" s="22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179"/>
      <c r="BC11" s="174"/>
      <c r="BD11" s="179"/>
      <c r="BE11" s="179"/>
      <c r="BF11" s="179"/>
      <c r="BG11" s="179"/>
      <c r="BH11" s="179"/>
      <c r="BI11" s="174"/>
    </row>
    <row r="12" ht="13.5" customHeight="1">
      <c r="A12" s="35"/>
      <c r="B12" s="92"/>
      <c r="C12" s="28"/>
      <c r="D12" s="85"/>
      <c r="E12" s="28"/>
      <c r="F12" s="28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</row>
    <row r="13" ht="13.5" customHeight="1">
      <c r="A13" s="253"/>
      <c r="B13" s="224" t="s">
        <v>307</v>
      </c>
      <c r="C13" s="221"/>
      <c r="D13" s="266"/>
      <c r="E13" s="221"/>
      <c r="F13" s="221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4"/>
      <c r="BD13" s="179"/>
      <c r="BE13" s="179"/>
      <c r="BF13" s="179"/>
      <c r="BG13" s="179"/>
      <c r="BH13" s="179"/>
      <c r="BI13" s="174"/>
    </row>
    <row r="14" ht="15.0" customHeight="1">
      <c r="A14" s="35"/>
      <c r="B14" s="48" t="s">
        <v>150</v>
      </c>
      <c r="C14" s="28"/>
      <c r="D14" s="267" t="s">
        <v>202</v>
      </c>
      <c r="E14" s="250"/>
      <c r="F14" s="250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>
        <f>Assumptions!E98</f>
        <v>168933</v>
      </c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4"/>
      <c r="BD14" s="175">
        <f t="shared" ref="BD14:BD19" si="7">SUM(G14:R14)</f>
        <v>168933</v>
      </c>
      <c r="BE14" s="175">
        <f t="shared" ref="BE14:BE15" si="8">SUM(S14:AD14)</f>
        <v>0</v>
      </c>
      <c r="BF14" s="175">
        <f t="shared" ref="BF14:BF19" si="9">SUM(AE14:AP14)</f>
        <v>0</v>
      </c>
      <c r="BG14" s="175">
        <f t="shared" ref="BG14:BG19" si="10">SUM(AQ14:BB14)</f>
        <v>0</v>
      </c>
      <c r="BH14" s="175">
        <v>0.0</v>
      </c>
      <c r="BI14" s="174"/>
    </row>
    <row r="15" ht="15.0" customHeight="1">
      <c r="A15" s="35"/>
      <c r="B15" s="268" t="s">
        <v>147</v>
      </c>
      <c r="C15" s="28"/>
      <c r="D15" s="267" t="s">
        <v>202</v>
      </c>
      <c r="E15" s="48"/>
      <c r="F15" s="48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>
        <f t="array" ref="S15">INDEX(Assumptions!$E$96:$I$96,MATCH(YEAR(S$3),Assumptions!$E$91:$I$91,0))</f>
        <v>10000</v>
      </c>
      <c r="T15" s="175">
        <f t="array" ref="T15">INDEX(Assumptions!$E$96:$I$96,MATCH(YEAR(T$3),Assumptions!$E$91:$I$91,0))</f>
        <v>10000</v>
      </c>
      <c r="U15" s="175">
        <f t="array" ref="U15">INDEX(Assumptions!$E$96:$I$96,MATCH(YEAR(U$3),Assumptions!$E$91:$I$91,0))</f>
        <v>10000</v>
      </c>
      <c r="V15" s="175">
        <f t="array" ref="V15">INDEX(Assumptions!$E$96:$I$96,MATCH(YEAR(V$3),Assumptions!$E$91:$I$91,0))</f>
        <v>10000</v>
      </c>
      <c r="W15" s="175">
        <f t="array" ref="W15">INDEX(Assumptions!$E$96:$I$96,MATCH(YEAR(W$3),Assumptions!$E$91:$I$91,0))</f>
        <v>10000</v>
      </c>
      <c r="X15" s="175">
        <f t="array" ref="X15">INDEX(Assumptions!$E$96:$I$96,MATCH(YEAR(X$3),Assumptions!$E$91:$I$91,0))</f>
        <v>10000</v>
      </c>
      <c r="Y15" s="175">
        <f t="array" ref="Y15">INDEX(Assumptions!$E$96:$I$96,MATCH(YEAR(Y$3),Assumptions!$E$91:$I$91,0))</f>
        <v>10000</v>
      </c>
      <c r="Z15" s="175">
        <f t="array" ref="Z15">INDEX(Assumptions!$E$96:$I$96,MATCH(YEAR(Z$3),Assumptions!$E$91:$I$91,0))</f>
        <v>10000</v>
      </c>
      <c r="AA15" s="175">
        <f t="array" ref="AA15">INDEX(Assumptions!$E$96:$I$96,MATCH(YEAR(AA$3),Assumptions!$E$91:$I$91,0))</f>
        <v>10000</v>
      </c>
      <c r="AB15" s="175">
        <f t="array" ref="AB15">INDEX(Assumptions!$E$96:$I$96,MATCH(YEAR(AB$3),Assumptions!$E$91:$I$91,0))</f>
        <v>10000</v>
      </c>
      <c r="AC15" s="175">
        <f t="array" ref="AC15">INDEX(Assumptions!$E$96:$I$96,MATCH(YEAR(AC$3),Assumptions!$E$91:$I$91,0))</f>
        <v>10000</v>
      </c>
      <c r="AD15" s="175">
        <f t="array" ref="AD15">INDEX(Assumptions!$E$96:$I$96,MATCH(YEAR(AD$3),Assumptions!$E$91:$I$91,0))</f>
        <v>10000</v>
      </c>
      <c r="AE15" s="175">
        <f t="array" ref="AE15">INDEX(Assumptions!$E$96:$I$96,MATCH(YEAR(AE$3),Assumptions!$E$91:$I$91,0))</f>
        <v>13000</v>
      </c>
      <c r="AF15" s="175">
        <f t="array" ref="AF15">INDEX(Assumptions!$E$96:$I$96,MATCH(YEAR(AF$3),Assumptions!$E$91:$I$91,0))</f>
        <v>13000</v>
      </c>
      <c r="AG15" s="175">
        <f t="array" ref="AG15">INDEX(Assumptions!$E$96:$I$96,MATCH(YEAR(AG$3),Assumptions!$E$91:$I$91,0))</f>
        <v>13000</v>
      </c>
      <c r="AH15" s="175">
        <f t="array" ref="AH15">INDEX(Assumptions!$E$96:$I$96,MATCH(YEAR(AH$3),Assumptions!$E$91:$I$91,0))</f>
        <v>13000</v>
      </c>
      <c r="AI15" s="175">
        <f t="array" ref="AI15">INDEX(Assumptions!$E$96:$I$96,MATCH(YEAR(AI$3),Assumptions!$E$91:$I$91,0))</f>
        <v>13000</v>
      </c>
      <c r="AJ15" s="175">
        <f t="array" ref="AJ15">INDEX(Assumptions!$E$96:$I$96,MATCH(YEAR(AJ$3),Assumptions!$E$91:$I$91,0))</f>
        <v>13000</v>
      </c>
      <c r="AK15" s="175">
        <f t="array" ref="AK15">INDEX(Assumptions!$E$96:$I$96,MATCH(YEAR(AK$3),Assumptions!$E$91:$I$91,0))</f>
        <v>13000</v>
      </c>
      <c r="AL15" s="175">
        <f t="array" ref="AL15">INDEX(Assumptions!$E$96:$I$96,MATCH(YEAR(AL$3),Assumptions!$E$91:$I$91,0))</f>
        <v>13000</v>
      </c>
      <c r="AM15" s="175">
        <f t="array" ref="AM15">INDEX(Assumptions!$E$96:$I$96,MATCH(YEAR(AM$3),Assumptions!$E$91:$I$91,0))</f>
        <v>13000</v>
      </c>
      <c r="AN15" s="175">
        <f t="array" ref="AN15">INDEX(Assumptions!$E$96:$I$96,MATCH(YEAR(AN$3),Assumptions!$E$91:$I$91,0))</f>
        <v>13000</v>
      </c>
      <c r="AO15" s="175">
        <f t="array" ref="AO15">INDEX(Assumptions!$E$96:$I$96,MATCH(YEAR(AO$3),Assumptions!$E$91:$I$91,0))</f>
        <v>13000</v>
      </c>
      <c r="AP15" s="175">
        <f t="array" ref="AP15">INDEX(Assumptions!$E$96:$I$96,MATCH(YEAR(AP$3),Assumptions!$E$91:$I$91,0))</f>
        <v>13000</v>
      </c>
      <c r="AQ15" s="175">
        <f t="array" ref="AQ15">INDEX(Assumptions!$E$96:$I$96,MATCH(YEAR(AQ$3),Assumptions!$E$91:$I$91,0))</f>
        <v>16900</v>
      </c>
      <c r="AR15" s="175">
        <f t="array" ref="AR15">INDEX(Assumptions!$E$96:$I$96,MATCH(YEAR(AR$3),Assumptions!$E$91:$I$91,0))</f>
        <v>16900</v>
      </c>
      <c r="AS15" s="175">
        <f t="array" ref="AS15">INDEX(Assumptions!$E$96:$I$96,MATCH(YEAR(AS$3),Assumptions!$E$91:$I$91,0))</f>
        <v>16900</v>
      </c>
      <c r="AT15" s="175">
        <f t="array" ref="AT15">INDEX(Assumptions!$E$96:$I$96,MATCH(YEAR(AT$3),Assumptions!$E$91:$I$91,0))</f>
        <v>16900</v>
      </c>
      <c r="AU15" s="175">
        <f t="array" ref="AU15">INDEX(Assumptions!$E$96:$I$96,MATCH(YEAR(AU$3),Assumptions!$E$91:$I$91,0))</f>
        <v>16900</v>
      </c>
      <c r="AV15" s="175">
        <f t="array" ref="AV15">INDEX(Assumptions!$E$96:$I$96,MATCH(YEAR(AV$3),Assumptions!$E$91:$I$91,0))</f>
        <v>16900</v>
      </c>
      <c r="AW15" s="175">
        <f t="array" ref="AW15">INDEX(Assumptions!$E$96:$I$96,MATCH(YEAR(AW$3),Assumptions!$E$91:$I$91,0))</f>
        <v>16900</v>
      </c>
      <c r="AX15" s="175">
        <f t="array" ref="AX15">INDEX(Assumptions!$E$96:$I$96,MATCH(YEAR(AX$3),Assumptions!$E$91:$I$91,0))</f>
        <v>16900</v>
      </c>
      <c r="AY15" s="175">
        <f t="array" ref="AY15">INDEX(Assumptions!$E$96:$I$96,MATCH(YEAR(AY$3),Assumptions!$E$91:$I$91,0))</f>
        <v>16900</v>
      </c>
      <c r="AZ15" s="175">
        <f t="array" ref="AZ15">INDEX(Assumptions!$E$96:$I$96,MATCH(YEAR(AZ$3),Assumptions!$E$91:$I$91,0))</f>
        <v>16900</v>
      </c>
      <c r="BA15" s="175">
        <f t="array" ref="BA15">INDEX(Assumptions!$E$96:$I$96,MATCH(YEAR(BA$3),Assumptions!$E$91:$I$91,0))</f>
        <v>16900</v>
      </c>
      <c r="BB15" s="175">
        <f t="array" ref="BB15">INDEX(Assumptions!$E$96:$I$96,MATCH(YEAR(BB$3),Assumptions!$E$91:$I$91,0))</f>
        <v>16900</v>
      </c>
      <c r="BC15" s="174"/>
      <c r="BD15" s="175">
        <f t="shared" si="7"/>
        <v>0</v>
      </c>
      <c r="BE15" s="175">
        <f t="shared" si="8"/>
        <v>120000</v>
      </c>
      <c r="BF15" s="175">
        <f t="shared" si="9"/>
        <v>156000</v>
      </c>
      <c r="BG15" s="175">
        <f t="shared" si="10"/>
        <v>202800</v>
      </c>
      <c r="BH15" s="175">
        <f>BG15*('Financial Statements'!$BE$7/'Financial Statements'!$BD$7)^0.4</f>
        <v>314198.7793</v>
      </c>
      <c r="BI15" s="174"/>
    </row>
    <row r="16" ht="15.0" customHeight="1">
      <c r="A16" s="35"/>
      <c r="B16" s="268" t="s">
        <v>154</v>
      </c>
      <c r="C16" s="28"/>
      <c r="D16" s="267" t="s">
        <v>202</v>
      </c>
      <c r="E16" s="48"/>
      <c r="F16" s="48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>
        <f>Assumptions!E101</f>
        <v>100000</v>
      </c>
      <c r="AC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4"/>
      <c r="BD16" s="175">
        <f t="shared" si="7"/>
        <v>0</v>
      </c>
      <c r="BE16" s="175">
        <f>SUM(S16:AC16)</f>
        <v>100000</v>
      </c>
      <c r="BF16" s="175">
        <f t="shared" si="9"/>
        <v>0</v>
      </c>
      <c r="BG16" s="175">
        <f t="shared" si="10"/>
        <v>0</v>
      </c>
      <c r="BH16" s="262"/>
      <c r="BI16" s="174"/>
    </row>
    <row r="17" ht="15.0" customHeight="1">
      <c r="A17" s="35"/>
      <c r="B17" s="48" t="s">
        <v>308</v>
      </c>
      <c r="C17" s="28"/>
      <c r="D17" s="267" t="s">
        <v>202</v>
      </c>
      <c r="E17" s="48"/>
      <c r="F17" s="48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>
        <f t="array" ref="S17">INDEX(Assumptions!$E$97:$I$97,MATCH(YEAR(S$3),Assumptions!$E$91:$I$91,0))</f>
        <v>15000</v>
      </c>
      <c r="T17" s="175">
        <f t="array" ref="T17">INDEX(Assumptions!$E$97:$I$97,MATCH(YEAR(T$3),Assumptions!$E$91:$I$91,0))</f>
        <v>15000</v>
      </c>
      <c r="U17" s="175">
        <f t="array" ref="U17">INDEX(Assumptions!$E$97:$I$97,MATCH(YEAR(U$3),Assumptions!$E$91:$I$91,0))</f>
        <v>15000</v>
      </c>
      <c r="V17" s="175">
        <f t="array" ref="V17">INDEX(Assumptions!$E$97:$I$97,MATCH(YEAR(V$3),Assumptions!$E$91:$I$91,0))</f>
        <v>15000</v>
      </c>
      <c r="W17" s="175">
        <f t="array" ref="W17">INDEX(Assumptions!$E$97:$I$97,MATCH(YEAR(W$3),Assumptions!$E$91:$I$91,0))</f>
        <v>15000</v>
      </c>
      <c r="X17" s="175">
        <f t="array" ref="X17">INDEX(Assumptions!$E$97:$I$97,MATCH(YEAR(X$3),Assumptions!$E$91:$I$91,0))</f>
        <v>15000</v>
      </c>
      <c r="Y17" s="175">
        <f t="array" ref="Y17">INDEX(Assumptions!$E$97:$I$97,MATCH(YEAR(Y$3),Assumptions!$E$91:$I$91,0))</f>
        <v>15000</v>
      </c>
      <c r="Z17" s="175">
        <f t="array" ref="Z17">INDEX(Assumptions!$E$97:$I$97,MATCH(YEAR(Z$3),Assumptions!$E$91:$I$91,0))</f>
        <v>15000</v>
      </c>
      <c r="AA17" s="175">
        <f t="array" ref="AA17">INDEX(Assumptions!$E$97:$I$97,MATCH(YEAR(AA$3),Assumptions!$E$91:$I$91,0))</f>
        <v>15000</v>
      </c>
      <c r="AB17" s="175">
        <f t="array" ref="AB17">INDEX(Assumptions!$E$97:$I$97,MATCH(YEAR(AB$3),Assumptions!$E$91:$I$91,0))</f>
        <v>15000</v>
      </c>
      <c r="AC17" s="175">
        <f t="array" ref="AC17">INDEX(Assumptions!$E$97:$I$97,MATCH(YEAR(AC$3),Assumptions!$E$91:$I$91,0))</f>
        <v>15000</v>
      </c>
      <c r="AD17" s="175">
        <f t="array" ref="AD17">INDEX(Assumptions!$E$97:$I$97,MATCH(YEAR(AD$3),Assumptions!$E$91:$I$91,0))</f>
        <v>15000</v>
      </c>
      <c r="AE17" s="175">
        <f t="array" ref="AE17">INDEX(Assumptions!$E$97:$I$97,MATCH(YEAR(AE$3),Assumptions!$E$91:$I$91,0))</f>
        <v>19500</v>
      </c>
      <c r="AF17" s="175">
        <f t="array" ref="AF17">INDEX(Assumptions!$E$97:$I$97,MATCH(YEAR(AF$3),Assumptions!$E$91:$I$91,0))</f>
        <v>19500</v>
      </c>
      <c r="AG17" s="175">
        <f t="array" ref="AG17">INDEX(Assumptions!$E$97:$I$97,MATCH(YEAR(AG$3),Assumptions!$E$91:$I$91,0))</f>
        <v>19500</v>
      </c>
      <c r="AH17" s="175">
        <f t="array" ref="AH17">INDEX(Assumptions!$E$97:$I$97,MATCH(YEAR(AH$3),Assumptions!$E$91:$I$91,0))</f>
        <v>19500</v>
      </c>
      <c r="AI17" s="175">
        <f t="array" ref="AI17">INDEX(Assumptions!$E$97:$I$97,MATCH(YEAR(AI$3),Assumptions!$E$91:$I$91,0))</f>
        <v>19500</v>
      </c>
      <c r="AJ17" s="175">
        <f t="array" ref="AJ17">INDEX(Assumptions!$E$97:$I$97,MATCH(YEAR(AJ$3),Assumptions!$E$91:$I$91,0))</f>
        <v>19500</v>
      </c>
      <c r="AK17" s="175">
        <f t="array" ref="AK17">INDEX(Assumptions!$E$97:$I$97,MATCH(YEAR(AK$3),Assumptions!$E$91:$I$91,0))</f>
        <v>19500</v>
      </c>
      <c r="AL17" s="175">
        <f t="array" ref="AL17">INDEX(Assumptions!$E$97:$I$97,MATCH(YEAR(AL$3),Assumptions!$E$91:$I$91,0))</f>
        <v>19500</v>
      </c>
      <c r="AM17" s="175">
        <f t="array" ref="AM17">INDEX(Assumptions!$E$97:$I$97,MATCH(YEAR(AM$3),Assumptions!$E$91:$I$91,0))</f>
        <v>19500</v>
      </c>
      <c r="AN17" s="175">
        <f t="array" ref="AN17">INDEX(Assumptions!$E$97:$I$97,MATCH(YEAR(AN$3),Assumptions!$E$91:$I$91,0))</f>
        <v>19500</v>
      </c>
      <c r="AO17" s="175">
        <f t="array" ref="AO17">INDEX(Assumptions!$E$97:$I$97,MATCH(YEAR(AO$3),Assumptions!$E$91:$I$91,0))</f>
        <v>19500</v>
      </c>
      <c r="AP17" s="175">
        <f t="array" ref="AP17">INDEX(Assumptions!$E$97:$I$97,MATCH(YEAR(AP$3),Assumptions!$E$91:$I$91,0))</f>
        <v>19500</v>
      </c>
      <c r="AQ17" s="175">
        <f t="array" ref="AQ17">INDEX(Assumptions!$E$97:$I$97,MATCH(YEAR(AQ$3),Assumptions!$E$91:$I$91,0))</f>
        <v>25350</v>
      </c>
      <c r="AR17" s="175">
        <f t="array" ref="AR17">INDEX(Assumptions!$E$97:$I$97,MATCH(YEAR(AR$3),Assumptions!$E$91:$I$91,0))</f>
        <v>25350</v>
      </c>
      <c r="AS17" s="175">
        <f t="array" ref="AS17">INDEX(Assumptions!$E$97:$I$97,MATCH(YEAR(AS$3),Assumptions!$E$91:$I$91,0))</f>
        <v>25350</v>
      </c>
      <c r="AT17" s="175">
        <f t="array" ref="AT17">INDEX(Assumptions!$E$97:$I$97,MATCH(YEAR(AT$3),Assumptions!$E$91:$I$91,0))</f>
        <v>25350</v>
      </c>
      <c r="AU17" s="175">
        <f t="array" ref="AU17">INDEX(Assumptions!$E$97:$I$97,MATCH(YEAR(AU$3),Assumptions!$E$91:$I$91,0))</f>
        <v>25350</v>
      </c>
      <c r="AV17" s="175">
        <f t="array" ref="AV17">INDEX(Assumptions!$E$97:$I$97,MATCH(YEAR(AV$3),Assumptions!$E$91:$I$91,0))</f>
        <v>25350</v>
      </c>
      <c r="AW17" s="175">
        <f t="array" ref="AW17">INDEX(Assumptions!$E$97:$I$97,MATCH(YEAR(AW$3),Assumptions!$E$91:$I$91,0))</f>
        <v>25350</v>
      </c>
      <c r="AX17" s="175">
        <f t="array" ref="AX17">INDEX(Assumptions!$E$97:$I$97,MATCH(YEAR(AX$3),Assumptions!$E$91:$I$91,0))</f>
        <v>25350</v>
      </c>
      <c r="AY17" s="175">
        <f t="array" ref="AY17">INDEX(Assumptions!$E$97:$I$97,MATCH(YEAR(AY$3),Assumptions!$E$91:$I$91,0))</f>
        <v>25350</v>
      </c>
      <c r="AZ17" s="175">
        <f t="array" ref="AZ17">INDEX(Assumptions!$E$97:$I$97,MATCH(YEAR(AZ$3),Assumptions!$E$91:$I$91,0))</f>
        <v>25350</v>
      </c>
      <c r="BA17" s="175">
        <f t="array" ref="BA17">INDEX(Assumptions!$E$97:$I$97,MATCH(YEAR(BA$3),Assumptions!$E$91:$I$91,0))</f>
        <v>25350</v>
      </c>
      <c r="BB17" s="175">
        <f t="array" ref="BB17">INDEX(Assumptions!$E$97:$I$97,MATCH(YEAR(BB$3),Assumptions!$E$91:$I$91,0))</f>
        <v>25350</v>
      </c>
      <c r="BC17" s="174"/>
      <c r="BD17" s="175">
        <f t="shared" si="7"/>
        <v>0</v>
      </c>
      <c r="BE17" s="175">
        <f>SUM(S17:AD17)</f>
        <v>180000</v>
      </c>
      <c r="BF17" s="175">
        <f t="shared" si="9"/>
        <v>234000</v>
      </c>
      <c r="BG17" s="175">
        <f t="shared" si="10"/>
        <v>304200</v>
      </c>
      <c r="BH17" s="175">
        <f>BG17*('Financial Statements'!$BE$7/'Financial Statements'!$BD$7)^0.4</f>
        <v>471298.1689</v>
      </c>
      <c r="BI17" s="174"/>
    </row>
    <row r="18" ht="15.0" customHeight="1">
      <c r="A18" s="35"/>
      <c r="B18" s="268" t="s">
        <v>155</v>
      </c>
      <c r="C18" s="28"/>
      <c r="D18" s="267" t="s">
        <v>202</v>
      </c>
      <c r="E18" s="48"/>
      <c r="F18" s="48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>
        <f>Assumptions!E102</f>
        <v>45000</v>
      </c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4"/>
      <c r="BD18" s="175">
        <f t="shared" si="7"/>
        <v>0</v>
      </c>
      <c r="BE18" s="175">
        <f>SUM(S18:AC18)</f>
        <v>45000</v>
      </c>
      <c r="BF18" s="175">
        <f t="shared" si="9"/>
        <v>0</v>
      </c>
      <c r="BG18" s="175">
        <f t="shared" si="10"/>
        <v>0</v>
      </c>
      <c r="BH18" s="262">
        <v>0.0</v>
      </c>
      <c r="BI18" s="174"/>
    </row>
    <row r="19" ht="12.75" customHeight="1">
      <c r="A19" s="253"/>
      <c r="B19" s="242" t="s">
        <v>309</v>
      </c>
      <c r="C19" s="269"/>
      <c r="D19" s="270"/>
      <c r="E19" s="271"/>
      <c r="F19" s="271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>
        <f>R14+R15+R16</f>
        <v>168933</v>
      </c>
      <c r="S19" s="199">
        <f t="shared" ref="S19:BB19" si="11">sum(S14:S18)</f>
        <v>25000</v>
      </c>
      <c r="T19" s="199">
        <f t="shared" si="11"/>
        <v>25000</v>
      </c>
      <c r="U19" s="199">
        <f t="shared" si="11"/>
        <v>25000</v>
      </c>
      <c r="V19" s="199">
        <f t="shared" si="11"/>
        <v>25000</v>
      </c>
      <c r="W19" s="199">
        <f t="shared" si="11"/>
        <v>25000</v>
      </c>
      <c r="X19" s="199">
        <f t="shared" si="11"/>
        <v>25000</v>
      </c>
      <c r="Y19" s="199">
        <f t="shared" si="11"/>
        <v>25000</v>
      </c>
      <c r="Z19" s="199">
        <f t="shared" si="11"/>
        <v>25000</v>
      </c>
      <c r="AA19" s="199">
        <f t="shared" si="11"/>
        <v>25000</v>
      </c>
      <c r="AB19" s="199">
        <f t="shared" si="11"/>
        <v>125000</v>
      </c>
      <c r="AC19" s="199">
        <f t="shared" si="11"/>
        <v>70000</v>
      </c>
      <c r="AD19" s="199">
        <f t="shared" si="11"/>
        <v>25000</v>
      </c>
      <c r="AE19" s="199">
        <f t="shared" si="11"/>
        <v>32500</v>
      </c>
      <c r="AF19" s="199">
        <f t="shared" si="11"/>
        <v>32500</v>
      </c>
      <c r="AG19" s="199">
        <f t="shared" si="11"/>
        <v>32500</v>
      </c>
      <c r="AH19" s="199">
        <f t="shared" si="11"/>
        <v>32500</v>
      </c>
      <c r="AI19" s="199">
        <f t="shared" si="11"/>
        <v>32500</v>
      </c>
      <c r="AJ19" s="199">
        <f t="shared" si="11"/>
        <v>32500</v>
      </c>
      <c r="AK19" s="199">
        <f t="shared" si="11"/>
        <v>32500</v>
      </c>
      <c r="AL19" s="199">
        <f t="shared" si="11"/>
        <v>32500</v>
      </c>
      <c r="AM19" s="199">
        <f t="shared" si="11"/>
        <v>32500</v>
      </c>
      <c r="AN19" s="199">
        <f t="shared" si="11"/>
        <v>32500</v>
      </c>
      <c r="AO19" s="199">
        <f t="shared" si="11"/>
        <v>32500</v>
      </c>
      <c r="AP19" s="199">
        <f t="shared" si="11"/>
        <v>32500</v>
      </c>
      <c r="AQ19" s="199">
        <f t="shared" si="11"/>
        <v>42250</v>
      </c>
      <c r="AR19" s="199">
        <f t="shared" si="11"/>
        <v>42250</v>
      </c>
      <c r="AS19" s="199">
        <f t="shared" si="11"/>
        <v>42250</v>
      </c>
      <c r="AT19" s="199">
        <f t="shared" si="11"/>
        <v>42250</v>
      </c>
      <c r="AU19" s="199">
        <f t="shared" si="11"/>
        <v>42250</v>
      </c>
      <c r="AV19" s="199">
        <f t="shared" si="11"/>
        <v>42250</v>
      </c>
      <c r="AW19" s="199">
        <f t="shared" si="11"/>
        <v>42250</v>
      </c>
      <c r="AX19" s="199">
        <f t="shared" si="11"/>
        <v>42250</v>
      </c>
      <c r="AY19" s="199">
        <f t="shared" si="11"/>
        <v>42250</v>
      </c>
      <c r="AZ19" s="199">
        <f t="shared" si="11"/>
        <v>42250</v>
      </c>
      <c r="BA19" s="199">
        <f t="shared" si="11"/>
        <v>42250</v>
      </c>
      <c r="BB19" s="199">
        <f t="shared" si="11"/>
        <v>42250</v>
      </c>
      <c r="BC19" s="174"/>
      <c r="BD19" s="199">
        <f t="shared" si="7"/>
        <v>168933</v>
      </c>
      <c r="BE19" s="199">
        <f>SUM(S19:AD19)</f>
        <v>445000</v>
      </c>
      <c r="BF19" s="199">
        <f t="shared" si="9"/>
        <v>390000</v>
      </c>
      <c r="BG19" s="199">
        <f t="shared" si="10"/>
        <v>507000</v>
      </c>
      <c r="BH19" s="199">
        <f>sum(BH14:BH18)</f>
        <v>785496.9482</v>
      </c>
      <c r="BI19" s="174"/>
    </row>
    <row r="20">
      <c r="A20" s="35"/>
      <c r="B20" s="28"/>
      <c r="C20" s="28"/>
      <c r="D20" s="85"/>
      <c r="E20" s="28"/>
      <c r="F20" s="28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97"/>
      <c r="BE20" s="197">
        <f t="shared" ref="BE20:BH20" si="12">BE19/BD19-1</f>
        <v>1.634180415</v>
      </c>
      <c r="BF20" s="197">
        <f t="shared" si="12"/>
        <v>-0.1235955056</v>
      </c>
      <c r="BG20" s="197">
        <f t="shared" si="12"/>
        <v>0.3</v>
      </c>
      <c r="BH20" s="197">
        <f t="shared" si="12"/>
        <v>0.5493036453</v>
      </c>
      <c r="BI20" s="174"/>
    </row>
    <row r="21" ht="13.5" customHeight="1">
      <c r="A21" s="253"/>
      <c r="B21" s="224" t="s">
        <v>310</v>
      </c>
      <c r="C21" s="221"/>
      <c r="D21" s="266"/>
      <c r="E21" s="221"/>
      <c r="F21" s="221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4"/>
      <c r="BD21" s="179"/>
      <c r="BE21" s="179"/>
      <c r="BF21" s="179"/>
      <c r="BG21" s="179"/>
      <c r="BH21" s="179"/>
      <c r="BI21" s="174"/>
    </row>
    <row r="22" ht="15.0" customHeight="1">
      <c r="A22" s="35"/>
      <c r="B22" s="268" t="s">
        <v>311</v>
      </c>
      <c r="C22" s="28"/>
      <c r="D22" s="267"/>
      <c r="E22" s="250"/>
      <c r="F22" s="250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4"/>
      <c r="S22" s="175">
        <f t="array" ref="S22">INDEX(Assumptions!$E$94:$I$94,MATCH(YEAR(S$3),Assumptions!$E$91:$I$91,0))</f>
        <v>14000</v>
      </c>
      <c r="T22" s="175">
        <f t="array" ref="T22">INDEX(Assumptions!$E$94:$I$94,MATCH(YEAR(T$3),Assumptions!$E$91:$I$91,0))</f>
        <v>14000</v>
      </c>
      <c r="U22" s="175">
        <f t="array" ref="U22">INDEX(Assumptions!$E$94:$I$94,MATCH(YEAR(U$3),Assumptions!$E$91:$I$91,0))</f>
        <v>14000</v>
      </c>
      <c r="V22" s="175">
        <f t="array" ref="V22">INDEX(Assumptions!$E$94:$I$94,MATCH(YEAR(V$3),Assumptions!$E$91:$I$91,0))</f>
        <v>14000</v>
      </c>
      <c r="W22" s="175">
        <f t="array" ref="W22">INDEX(Assumptions!$E$94:$I$94,MATCH(YEAR(W$3),Assumptions!$E$91:$I$91,0))</f>
        <v>14000</v>
      </c>
      <c r="X22" s="175">
        <f t="array" ref="X22">INDEX(Assumptions!$E$94:$I$94,MATCH(YEAR(X$3),Assumptions!$E$91:$I$91,0))</f>
        <v>14000</v>
      </c>
      <c r="Y22" s="175">
        <f t="array" ref="Y22">INDEX(Assumptions!$E$94:$I$94,MATCH(YEAR(Y$3),Assumptions!$E$91:$I$91,0))</f>
        <v>14000</v>
      </c>
      <c r="Z22" s="175">
        <f t="array" ref="Z22">INDEX(Assumptions!$E$94:$I$94,MATCH(YEAR(Z$3),Assumptions!$E$91:$I$91,0))</f>
        <v>14000</v>
      </c>
      <c r="AA22" s="175">
        <f t="array" ref="AA22">INDEX(Assumptions!$E$94:$I$94,MATCH(YEAR(AA$3),Assumptions!$E$91:$I$91,0))</f>
        <v>14000</v>
      </c>
      <c r="AB22" s="175">
        <f t="array" ref="AB22">INDEX(Assumptions!$E$94:$I$94,MATCH(YEAR(AB$3),Assumptions!$E$91:$I$91,0))</f>
        <v>14000</v>
      </c>
      <c r="AC22" s="175">
        <f t="array" ref="AC22">INDEX(Assumptions!$E$94:$I$94,MATCH(YEAR(AC$3),Assumptions!$E$91:$I$91,0))</f>
        <v>14000</v>
      </c>
      <c r="AD22" s="175">
        <f t="array" ref="AD22">INDEX(Assumptions!$E$94:$I$94,MATCH(YEAR(AD$3),Assumptions!$E$91:$I$91,0))</f>
        <v>14000</v>
      </c>
      <c r="AE22" s="175">
        <f t="array" ref="AE22">INDEX(Assumptions!$E$94:$I$94,MATCH(YEAR(AE$3),Assumptions!$E$91:$I$91,0))</f>
        <v>18200</v>
      </c>
      <c r="AF22" s="175">
        <f t="array" ref="AF22">INDEX(Assumptions!$E$94:$I$94,MATCH(YEAR(AF$3),Assumptions!$E$91:$I$91,0))</f>
        <v>18200</v>
      </c>
      <c r="AG22" s="175">
        <f t="array" ref="AG22">INDEX(Assumptions!$E$94:$I$94,MATCH(YEAR(AG$3),Assumptions!$E$91:$I$91,0))</f>
        <v>18200</v>
      </c>
      <c r="AH22" s="175">
        <f t="array" ref="AH22">INDEX(Assumptions!$E$94:$I$94,MATCH(YEAR(AH$3),Assumptions!$E$91:$I$91,0))</f>
        <v>18200</v>
      </c>
      <c r="AI22" s="175">
        <f t="array" ref="AI22">INDEX(Assumptions!$E$94:$I$94,MATCH(YEAR(AI$3),Assumptions!$E$91:$I$91,0))</f>
        <v>18200</v>
      </c>
      <c r="AJ22" s="175">
        <f t="array" ref="AJ22">INDEX(Assumptions!$E$94:$I$94,MATCH(YEAR(AJ$3),Assumptions!$E$91:$I$91,0))</f>
        <v>18200</v>
      </c>
      <c r="AK22" s="175">
        <f t="array" ref="AK22">INDEX(Assumptions!$E$94:$I$94,MATCH(YEAR(AK$3),Assumptions!$E$91:$I$91,0))</f>
        <v>18200</v>
      </c>
      <c r="AL22" s="175">
        <f t="array" ref="AL22">INDEX(Assumptions!$E$94:$I$94,MATCH(YEAR(AL$3),Assumptions!$E$91:$I$91,0))</f>
        <v>18200</v>
      </c>
      <c r="AM22" s="175">
        <f t="array" ref="AM22">INDEX(Assumptions!$E$94:$I$94,MATCH(YEAR(AM$3),Assumptions!$E$91:$I$91,0))</f>
        <v>18200</v>
      </c>
      <c r="AN22" s="175">
        <f t="array" ref="AN22">INDEX(Assumptions!$E$94:$I$94,MATCH(YEAR(AN$3),Assumptions!$E$91:$I$91,0))</f>
        <v>18200</v>
      </c>
      <c r="AO22" s="175">
        <f t="array" ref="AO22">INDEX(Assumptions!$E$94:$I$94,MATCH(YEAR(AO$3),Assumptions!$E$91:$I$91,0))</f>
        <v>18200</v>
      </c>
      <c r="AP22" s="175">
        <f t="array" ref="AP22">INDEX(Assumptions!$E$94:$I$94,MATCH(YEAR(AP$3),Assumptions!$E$91:$I$91,0))</f>
        <v>18200</v>
      </c>
      <c r="AQ22" s="175">
        <f t="array" ref="AQ22">INDEX(Assumptions!$E$94:$I$94,MATCH(YEAR(AQ$3),Assumptions!$E$91:$I$91,0))</f>
        <v>23660</v>
      </c>
      <c r="AR22" s="175">
        <f t="array" ref="AR22">INDEX(Assumptions!$E$94:$I$94,MATCH(YEAR(AR$3),Assumptions!$E$91:$I$91,0))</f>
        <v>23660</v>
      </c>
      <c r="AS22" s="175">
        <f t="array" ref="AS22">INDEX(Assumptions!$E$94:$I$94,MATCH(YEAR(AS$3),Assumptions!$E$91:$I$91,0))</f>
        <v>23660</v>
      </c>
      <c r="AT22" s="175">
        <f t="array" ref="AT22">INDEX(Assumptions!$E$94:$I$94,MATCH(YEAR(AT$3),Assumptions!$E$91:$I$91,0))</f>
        <v>23660</v>
      </c>
      <c r="AU22" s="175">
        <f t="array" ref="AU22">INDEX(Assumptions!$E$94:$I$94,MATCH(YEAR(AU$3),Assumptions!$E$91:$I$91,0))</f>
        <v>23660</v>
      </c>
      <c r="AV22" s="175">
        <f t="array" ref="AV22">INDEX(Assumptions!$E$94:$I$94,MATCH(YEAR(AV$3),Assumptions!$E$91:$I$91,0))</f>
        <v>23660</v>
      </c>
      <c r="AW22" s="175">
        <f t="array" ref="AW22">INDEX(Assumptions!$E$94:$I$94,MATCH(YEAR(AW$3),Assumptions!$E$91:$I$91,0))</f>
        <v>23660</v>
      </c>
      <c r="AX22" s="175">
        <f t="array" ref="AX22">INDEX(Assumptions!$E$94:$I$94,MATCH(YEAR(AX$3),Assumptions!$E$91:$I$91,0))</f>
        <v>23660</v>
      </c>
      <c r="AY22" s="175">
        <f t="array" ref="AY22">INDEX(Assumptions!$E$94:$I$94,MATCH(YEAR(AY$3),Assumptions!$E$91:$I$91,0))</f>
        <v>23660</v>
      </c>
      <c r="AZ22" s="175">
        <f t="array" ref="AZ22">INDEX(Assumptions!$E$94:$I$94,MATCH(YEAR(AZ$3),Assumptions!$E$91:$I$91,0))</f>
        <v>23660</v>
      </c>
      <c r="BA22" s="175">
        <f t="array" ref="BA22">INDEX(Assumptions!$E$94:$I$94,MATCH(YEAR(BA$3),Assumptions!$E$91:$I$91,0))</f>
        <v>23660</v>
      </c>
      <c r="BB22" s="175">
        <f t="array" ref="BB22">INDEX(Assumptions!$E$94:$I$94,MATCH(YEAR(BB$3),Assumptions!$E$91:$I$91,0))</f>
        <v>23660</v>
      </c>
      <c r="BC22" s="174"/>
      <c r="BD22" s="175">
        <f t="shared" ref="BD22:BD26" si="13">SUM(G22:R22)</f>
        <v>0</v>
      </c>
      <c r="BE22" s="175">
        <f t="shared" ref="BE22:BE23" si="14">SUM(S22:AD22)</f>
        <v>168000</v>
      </c>
      <c r="BF22" s="175">
        <f t="shared" ref="BF22:BF26" si="15">SUM(AE22:AP22)</f>
        <v>218400</v>
      </c>
      <c r="BG22" s="175">
        <f t="shared" ref="BG22:BG26" si="16">SUM(AQ22:BB22)</f>
        <v>283920</v>
      </c>
      <c r="BH22" s="262">
        <f>BG22*('Financial Statements'!$BE$7/'Financial Statements'!$BD$7)^0.5</f>
        <v>490757.1828</v>
      </c>
      <c r="BI22" s="174"/>
    </row>
    <row r="23" ht="15.0" customHeight="1">
      <c r="A23" s="35"/>
      <c r="B23" s="268" t="s">
        <v>312</v>
      </c>
      <c r="C23" s="28"/>
      <c r="D23" s="267" t="s">
        <v>202</v>
      </c>
      <c r="E23" s="250"/>
      <c r="F23" s="250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4"/>
      <c r="S23" s="175">
        <v>7000.0</v>
      </c>
      <c r="T23" s="175">
        <v>7000.0</v>
      </c>
      <c r="U23" s="175">
        <v>7000.0</v>
      </c>
      <c r="V23" s="175">
        <v>7000.0</v>
      </c>
      <c r="W23" s="175">
        <v>7000.0</v>
      </c>
      <c r="X23" s="175">
        <v>7000.0</v>
      </c>
      <c r="Y23" s="175">
        <v>7000.0</v>
      </c>
      <c r="Z23" s="175">
        <v>7000.0</v>
      </c>
      <c r="AA23" s="175">
        <v>7000.0</v>
      </c>
      <c r="AB23" s="175">
        <v>10000.0</v>
      </c>
      <c r="AC23" s="175">
        <v>10000.0</v>
      </c>
      <c r="AD23" s="175">
        <v>10000.0</v>
      </c>
      <c r="AE23" s="175">
        <f>('Revenue Forecast'!AC6+'Revenue Forecast'!AC12)*VLOOKUP('Revenue Forecast'!AC40,Assumptions!$G$106:$H$113,2,TRUE)</f>
        <v>28200</v>
      </c>
      <c r="AF23" s="175">
        <f>('Revenue Forecast'!AD6+'Revenue Forecast'!AD12)*VLOOKUP('Revenue Forecast'!AD40,Assumptions!$G$106:$H$113,2,TRUE)</f>
        <v>31200</v>
      </c>
      <c r="AG23" s="175">
        <f>('Revenue Forecast'!AE6+'Revenue Forecast'!AE12)*VLOOKUP('Revenue Forecast'!AE40,Assumptions!$G$106:$H$113,2,TRUE)</f>
        <v>34800</v>
      </c>
      <c r="AH23" s="175">
        <f>('Revenue Forecast'!AF6+'Revenue Forecast'!AF12)*VLOOKUP('Revenue Forecast'!AF40,Assumptions!$G$106:$H$113,2,TRUE)</f>
        <v>37800</v>
      </c>
      <c r="AI23" s="175">
        <f>('Revenue Forecast'!AG6+'Revenue Forecast'!AG12)*VLOOKUP('Revenue Forecast'!AG40,Assumptions!$G$106:$H$113,2,TRUE)</f>
        <v>42000</v>
      </c>
      <c r="AJ23" s="175">
        <f>('Revenue Forecast'!AH6+'Revenue Forecast'!AH12)*VLOOKUP('Revenue Forecast'!AH40,Assumptions!$G$106:$H$113,2,TRUE)</f>
        <v>46800</v>
      </c>
      <c r="AK23" s="175">
        <f>('Revenue Forecast'!AI6+'Revenue Forecast'!AI12)*VLOOKUP('Revenue Forecast'!AI40,Assumptions!$G$106:$H$113,2,TRUE)</f>
        <v>51600</v>
      </c>
      <c r="AL23" s="175">
        <f>('Revenue Forecast'!AJ6+'Revenue Forecast'!AJ12)*VLOOKUP('Revenue Forecast'!AJ40,Assumptions!$G$106:$H$113,2,TRUE)</f>
        <v>57000</v>
      </c>
      <c r="AM23" s="175">
        <f>('Revenue Forecast'!AK6+'Revenue Forecast'!AK12)*VLOOKUP('Revenue Forecast'!AK40,Assumptions!$G$106:$H$113,2,TRUE)</f>
        <v>50400</v>
      </c>
      <c r="AN23" s="175">
        <f>('Revenue Forecast'!AL6+'Revenue Forecast'!AL12)*VLOOKUP('Revenue Forecast'!AL40,Assumptions!$G$106:$H$113,2,TRUE)</f>
        <v>55680</v>
      </c>
      <c r="AO23" s="175">
        <f>('Revenue Forecast'!AM6+'Revenue Forecast'!AM12)*VLOOKUP('Revenue Forecast'!AM40,Assumptions!$G$106:$H$113,2,TRUE)</f>
        <v>61440</v>
      </c>
      <c r="AP23" s="175">
        <f>('Revenue Forecast'!AN6+'Revenue Forecast'!AN12)*VLOOKUP('Revenue Forecast'!AN40,Assumptions!$G$106:$H$113,2,TRUE)</f>
        <v>68640</v>
      </c>
      <c r="AQ23" s="175">
        <f>('Revenue Forecast'!AO6+'Revenue Forecast'!AO12)*VLOOKUP('Revenue Forecast'!AO40,Assumptions!$G$106:$H$113,2,TRUE)</f>
        <v>60288</v>
      </c>
      <c r="AR23" s="175">
        <f>('Revenue Forecast'!AP6+'Revenue Forecast'!AP12)*VLOOKUP('Revenue Forecast'!AP40,Assumptions!$G$106:$H$113,2,TRUE)</f>
        <v>66432</v>
      </c>
      <c r="AS23" s="175">
        <f>('Revenue Forecast'!AQ6+'Revenue Forecast'!AQ12)*VLOOKUP('Revenue Forecast'!AQ40,Assumptions!$G$106:$H$113,2,TRUE)</f>
        <v>73728</v>
      </c>
      <c r="AT23" s="175">
        <f>('Revenue Forecast'!AR6+'Revenue Forecast'!AR12)*VLOOKUP('Revenue Forecast'!AR40,Assumptions!$G$106:$H$113,2,TRUE)</f>
        <v>81792</v>
      </c>
      <c r="AU23" s="175">
        <f>('Revenue Forecast'!AS6+'Revenue Forecast'!AS12)*VLOOKUP('Revenue Forecast'!AS40,Assumptions!$G$106:$H$113,2,TRUE)</f>
        <v>90624</v>
      </c>
      <c r="AV23" s="175">
        <f>('Revenue Forecast'!AT6+'Revenue Forecast'!AT12)*VLOOKUP('Revenue Forecast'!AT40,Assumptions!$G$106:$H$113,2,TRUE)</f>
        <v>100224</v>
      </c>
      <c r="AW23" s="175">
        <f>('Revenue Forecast'!AU6+'Revenue Forecast'!AU12)*VLOOKUP('Revenue Forecast'!AU40,Assumptions!$G$106:$H$113,2,TRUE)</f>
        <v>88780.8</v>
      </c>
      <c r="AX23" s="175">
        <f>('Revenue Forecast'!AV6+'Revenue Forecast'!AV12)*VLOOKUP('Revenue Forecast'!AV40,Assumptions!$G$106:$H$113,2,TRUE)</f>
        <v>98304</v>
      </c>
      <c r="AY23" s="175">
        <f>('Revenue Forecast'!AW6+'Revenue Forecast'!AW12)*VLOOKUP('Revenue Forecast'!AW40,Assumptions!$G$106:$H$113,2,TRUE)</f>
        <v>109056</v>
      </c>
      <c r="AZ23" s="175">
        <f>('Revenue Forecast'!AX6+'Revenue Forecast'!AX12)*VLOOKUP('Revenue Forecast'!AX40,Assumptions!$G$106:$H$113,2,TRUE)</f>
        <v>120729.6</v>
      </c>
      <c r="BA23" s="175">
        <f>('Revenue Forecast'!AY6+'Revenue Forecast'!AY12)*VLOOKUP('Revenue Forecast'!AY40,Assumptions!$G$106:$H$113,2,TRUE)</f>
        <v>133632</v>
      </c>
      <c r="BB23" s="175">
        <f>('Revenue Forecast'!AZ6+'Revenue Forecast'!AZ12)*VLOOKUP('Revenue Forecast'!AZ40,Assumptions!$G$106:$H$113,2,TRUE)</f>
        <v>118702.08</v>
      </c>
      <c r="BC23" s="174"/>
      <c r="BD23" s="175">
        <f t="shared" si="13"/>
        <v>0</v>
      </c>
      <c r="BE23" s="175">
        <f t="shared" si="14"/>
        <v>93000</v>
      </c>
      <c r="BF23" s="175">
        <f t="shared" si="15"/>
        <v>565560</v>
      </c>
      <c r="BG23" s="175">
        <f t="shared" si="16"/>
        <v>1142292.48</v>
      </c>
      <c r="BH23" s="175">
        <f>('Revenue Forecast'!BF6+'Revenue Forecast'!BF12)*VLOOKUP('Revenue Forecast'!BF40,Assumptions!$G$106:$H$113,2,TRUE)</f>
        <v>1723760.64</v>
      </c>
      <c r="BI23" s="174"/>
    </row>
    <row r="24" ht="15.0" customHeight="1">
      <c r="A24" s="35"/>
      <c r="B24" s="268" t="s">
        <v>152</v>
      </c>
      <c r="C24" s="28"/>
      <c r="D24" s="267" t="s">
        <v>202</v>
      </c>
      <c r="E24" s="48"/>
      <c r="F24" s="48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>
        <f>Assumptions!$E$99</f>
        <v>10000</v>
      </c>
      <c r="T24" s="175"/>
      <c r="U24" s="175"/>
      <c r="V24" s="175"/>
      <c r="W24" s="175"/>
      <c r="X24" s="175">
        <f>Assumptions!E99</f>
        <v>10000</v>
      </c>
      <c r="Y24" s="175"/>
      <c r="Z24" s="175"/>
      <c r="AA24" s="175"/>
      <c r="AB24" s="175"/>
      <c r="AC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4"/>
      <c r="BD24" s="175">
        <f t="shared" si="13"/>
        <v>10000</v>
      </c>
      <c r="BE24" s="175">
        <f>SUM(T24:AC24)</f>
        <v>10000</v>
      </c>
      <c r="BF24" s="175">
        <f t="shared" si="15"/>
        <v>0</v>
      </c>
      <c r="BG24" s="175">
        <f t="shared" si="16"/>
        <v>0</v>
      </c>
      <c r="BH24" s="262">
        <f>BG24*('Financial Statements'!$BE$7/'Financial Statements'!$BD$7)^0.5</f>
        <v>0</v>
      </c>
      <c r="BI24" s="174"/>
    </row>
    <row r="25" ht="15.0" customHeight="1">
      <c r="A25" s="35"/>
      <c r="B25" s="268" t="s">
        <v>153</v>
      </c>
      <c r="C25" s="28"/>
      <c r="D25" s="267" t="s">
        <v>202</v>
      </c>
      <c r="E25" s="48"/>
      <c r="F25" s="48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>
        <f>Assumptions!$E$100</f>
        <v>10000</v>
      </c>
      <c r="S25" s="175"/>
      <c r="T25" s="175"/>
      <c r="U25" s="175"/>
      <c r="V25" s="175"/>
      <c r="W25" s="175">
        <f>Assumptions!E100</f>
        <v>10000</v>
      </c>
      <c r="X25" s="175"/>
      <c r="Y25" s="175"/>
      <c r="Z25" s="175"/>
      <c r="AA25" s="175"/>
      <c r="AB25" s="175"/>
      <c r="AC25" s="175"/>
      <c r="AE25" s="175"/>
      <c r="AF25" s="175"/>
      <c r="AG25" s="175"/>
      <c r="AH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4"/>
      <c r="BD25" s="175">
        <f t="shared" si="13"/>
        <v>10000</v>
      </c>
      <c r="BE25" s="175">
        <f>SUM(S25:AH25)</f>
        <v>10000</v>
      </c>
      <c r="BF25" s="175">
        <f t="shared" si="15"/>
        <v>0</v>
      </c>
      <c r="BG25" s="175">
        <f t="shared" si="16"/>
        <v>0</v>
      </c>
      <c r="BH25" s="262">
        <f>BG25*('Financial Statements'!$BE$7/'Financial Statements'!$BD$7)^0.5</f>
        <v>0</v>
      </c>
      <c r="BI25" s="174"/>
    </row>
    <row r="26" ht="12.75" customHeight="1">
      <c r="A26" s="253"/>
      <c r="B26" s="242" t="s">
        <v>313</v>
      </c>
      <c r="C26" s="269"/>
      <c r="D26" s="270"/>
      <c r="E26" s="271"/>
      <c r="F26" s="271"/>
      <c r="G26" s="199">
        <f t="shared" ref="G26:R26" si="17">SUM(G23:G25)</f>
        <v>0</v>
      </c>
      <c r="H26" s="199">
        <f t="shared" si="17"/>
        <v>0</v>
      </c>
      <c r="I26" s="199">
        <f t="shared" si="17"/>
        <v>0</v>
      </c>
      <c r="J26" s="199">
        <f t="shared" si="17"/>
        <v>0</v>
      </c>
      <c r="K26" s="199">
        <f t="shared" si="17"/>
        <v>0</v>
      </c>
      <c r="L26" s="199">
        <f t="shared" si="17"/>
        <v>0</v>
      </c>
      <c r="M26" s="199">
        <f t="shared" si="17"/>
        <v>0</v>
      </c>
      <c r="N26" s="199">
        <f t="shared" si="17"/>
        <v>0</v>
      </c>
      <c r="O26" s="199">
        <f t="shared" si="17"/>
        <v>0</v>
      </c>
      <c r="P26" s="199">
        <f t="shared" si="17"/>
        <v>0</v>
      </c>
      <c r="Q26" s="199">
        <f t="shared" si="17"/>
        <v>0</v>
      </c>
      <c r="R26" s="199">
        <f t="shared" si="17"/>
        <v>20000</v>
      </c>
      <c r="S26" s="199">
        <f t="shared" ref="S26:BB26" si="18">sum(S22:S25)</f>
        <v>21000</v>
      </c>
      <c r="T26" s="199">
        <f t="shared" si="18"/>
        <v>21000</v>
      </c>
      <c r="U26" s="199">
        <f t="shared" si="18"/>
        <v>21000</v>
      </c>
      <c r="V26" s="199">
        <f t="shared" si="18"/>
        <v>21000</v>
      </c>
      <c r="W26" s="199">
        <f t="shared" si="18"/>
        <v>31000</v>
      </c>
      <c r="X26" s="199">
        <f t="shared" si="18"/>
        <v>31000</v>
      </c>
      <c r="Y26" s="199">
        <f t="shared" si="18"/>
        <v>21000</v>
      </c>
      <c r="Z26" s="199">
        <f t="shared" si="18"/>
        <v>21000</v>
      </c>
      <c r="AA26" s="199">
        <f t="shared" si="18"/>
        <v>21000</v>
      </c>
      <c r="AB26" s="199">
        <f t="shared" si="18"/>
        <v>24000</v>
      </c>
      <c r="AC26" s="199">
        <f t="shared" si="18"/>
        <v>24000</v>
      </c>
      <c r="AD26" s="199">
        <f t="shared" si="18"/>
        <v>24000</v>
      </c>
      <c r="AE26" s="199">
        <f t="shared" si="18"/>
        <v>46400</v>
      </c>
      <c r="AF26" s="199">
        <f t="shared" si="18"/>
        <v>49400</v>
      </c>
      <c r="AG26" s="199">
        <f t="shared" si="18"/>
        <v>53000</v>
      </c>
      <c r="AH26" s="199">
        <f t="shared" si="18"/>
        <v>56000</v>
      </c>
      <c r="AI26" s="199">
        <f t="shared" si="18"/>
        <v>60200</v>
      </c>
      <c r="AJ26" s="199">
        <f t="shared" si="18"/>
        <v>65000</v>
      </c>
      <c r="AK26" s="199">
        <f t="shared" si="18"/>
        <v>69800</v>
      </c>
      <c r="AL26" s="199">
        <f t="shared" si="18"/>
        <v>75200</v>
      </c>
      <c r="AM26" s="199">
        <f t="shared" si="18"/>
        <v>68600</v>
      </c>
      <c r="AN26" s="199">
        <f t="shared" si="18"/>
        <v>73880</v>
      </c>
      <c r="AO26" s="199">
        <f t="shared" si="18"/>
        <v>79640</v>
      </c>
      <c r="AP26" s="199">
        <f t="shared" si="18"/>
        <v>86840</v>
      </c>
      <c r="AQ26" s="199">
        <f t="shared" si="18"/>
        <v>83948</v>
      </c>
      <c r="AR26" s="199">
        <f t="shared" si="18"/>
        <v>90092</v>
      </c>
      <c r="AS26" s="199">
        <f t="shared" si="18"/>
        <v>97388</v>
      </c>
      <c r="AT26" s="199">
        <f t="shared" si="18"/>
        <v>105452</v>
      </c>
      <c r="AU26" s="199">
        <f t="shared" si="18"/>
        <v>114284</v>
      </c>
      <c r="AV26" s="199">
        <f t="shared" si="18"/>
        <v>123884</v>
      </c>
      <c r="AW26" s="199">
        <f t="shared" si="18"/>
        <v>112440.8</v>
      </c>
      <c r="AX26" s="199">
        <f t="shared" si="18"/>
        <v>121964</v>
      </c>
      <c r="AY26" s="199">
        <f t="shared" si="18"/>
        <v>132716</v>
      </c>
      <c r="AZ26" s="199">
        <f t="shared" si="18"/>
        <v>144389.6</v>
      </c>
      <c r="BA26" s="199">
        <f t="shared" si="18"/>
        <v>157292</v>
      </c>
      <c r="BB26" s="199">
        <f t="shared" si="18"/>
        <v>142362.08</v>
      </c>
      <c r="BC26" s="174"/>
      <c r="BD26" s="199">
        <f t="shared" si="13"/>
        <v>20000</v>
      </c>
      <c r="BE26" s="199">
        <f>SUM(S26:AD26)</f>
        <v>281000</v>
      </c>
      <c r="BF26" s="199">
        <f t="shared" si="15"/>
        <v>783960</v>
      </c>
      <c r="BG26" s="199">
        <f t="shared" si="16"/>
        <v>1426212.48</v>
      </c>
      <c r="BH26" s="199">
        <f>sum(BH22:BH25)</f>
        <v>2214517.823</v>
      </c>
      <c r="BI26" s="174"/>
    </row>
    <row r="27" ht="15.75" customHeight="1">
      <c r="A27" s="35"/>
      <c r="B27" s="28"/>
      <c r="C27" s="28"/>
      <c r="D27" s="85"/>
      <c r="E27" s="28"/>
      <c r="F27" s="28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97">
        <f t="shared" ref="BE27:BH27" si="19">BE26/BD26-1</f>
        <v>13.05</v>
      </c>
      <c r="BF27" s="197">
        <f t="shared" si="19"/>
        <v>1.789893238</v>
      </c>
      <c r="BG27" s="197">
        <f t="shared" si="19"/>
        <v>0.8192413899</v>
      </c>
      <c r="BH27" s="197">
        <f t="shared" si="19"/>
        <v>0.5527264372</v>
      </c>
      <c r="BI27" s="174"/>
    </row>
    <row r="28" ht="13.5" customHeight="1">
      <c r="A28" s="253"/>
      <c r="B28" s="224" t="s">
        <v>314</v>
      </c>
      <c r="C28" s="221"/>
      <c r="D28" s="266"/>
      <c r="E28" s="221"/>
      <c r="F28" s="221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4"/>
      <c r="BD28" s="179"/>
      <c r="BE28" s="179"/>
      <c r="BF28" s="179"/>
      <c r="BG28" s="179"/>
      <c r="BH28" s="179"/>
      <c r="BI28" s="174"/>
    </row>
    <row r="29" ht="15.75" customHeight="1">
      <c r="A29" s="35"/>
      <c r="B29" s="268" t="s">
        <v>140</v>
      </c>
      <c r="C29" s="28"/>
      <c r="D29" s="267" t="s">
        <v>202</v>
      </c>
      <c r="E29" s="250"/>
      <c r="F29" s="250"/>
      <c r="G29" s="175">
        <f>Assumptions!$E$92</f>
        <v>5000</v>
      </c>
      <c r="H29" s="175">
        <f>Assumptions!$E$92</f>
        <v>5000</v>
      </c>
      <c r="I29" s="175">
        <f>Assumptions!$E$92</f>
        <v>5000</v>
      </c>
      <c r="J29" s="175">
        <f>Assumptions!$E$92</f>
        <v>5000</v>
      </c>
      <c r="K29" s="175">
        <f>Assumptions!$E$92</f>
        <v>5000</v>
      </c>
      <c r="L29" s="175">
        <f>Assumptions!$E$92</f>
        <v>5000</v>
      </c>
      <c r="M29" s="175">
        <f>Assumptions!$E$92</f>
        <v>5000</v>
      </c>
      <c r="N29" s="175">
        <f>Assumptions!$E$92</f>
        <v>5000</v>
      </c>
      <c r="O29" s="175">
        <f>Assumptions!$E$92</f>
        <v>5000</v>
      </c>
      <c r="P29" s="175">
        <f>Assumptions!$E$92</f>
        <v>5000</v>
      </c>
      <c r="Q29" s="175">
        <f>Assumptions!$E$92</f>
        <v>5000</v>
      </c>
      <c r="R29" s="175">
        <f>Assumptions!$E$92</f>
        <v>5000</v>
      </c>
      <c r="S29" s="175">
        <f t="array" ref="S29">INDEX(Assumptions!$E$92:$I$92,MATCH(YEAR(S$3),Assumptions!$E$91:$I$91,0))</f>
        <v>5000</v>
      </c>
      <c r="T29" s="175">
        <f t="array" ref="T29">INDEX(Assumptions!$E$92:$I$92,MATCH(YEAR(T$3),Assumptions!$E$91:$I$91,0))</f>
        <v>5000</v>
      </c>
      <c r="U29" s="175">
        <f t="array" ref="U29">INDEX(Assumptions!$E$92:$I$92,MATCH(YEAR(U$3),Assumptions!$E$91:$I$91,0))</f>
        <v>5000</v>
      </c>
      <c r="V29" s="175">
        <f t="array" ref="V29">INDEX(Assumptions!$E$92:$I$92,MATCH(YEAR(V$3),Assumptions!$E$91:$I$91,0))</f>
        <v>5000</v>
      </c>
      <c r="W29" s="175">
        <f t="array" ref="W29">INDEX(Assumptions!$E$92:$I$92,MATCH(YEAR(W$3),Assumptions!$E$91:$I$91,0))</f>
        <v>5000</v>
      </c>
      <c r="X29" s="175">
        <f t="array" ref="X29">INDEX(Assumptions!$E$92:$I$92,MATCH(YEAR(X$3),Assumptions!$E$91:$I$91,0))</f>
        <v>5000</v>
      </c>
      <c r="Y29" s="175">
        <f t="array" ref="Y29">INDEX(Assumptions!$E$92:$I$92,MATCH(YEAR(Y$3),Assumptions!$E$91:$I$91,0))</f>
        <v>5000</v>
      </c>
      <c r="Z29" s="175">
        <f t="array" ref="Z29">INDEX(Assumptions!$E$92:$I$92,MATCH(YEAR(Z$3),Assumptions!$E$91:$I$91,0))</f>
        <v>5000</v>
      </c>
      <c r="AA29" s="175">
        <f t="array" ref="AA29">INDEX(Assumptions!$E$92:$I$92,MATCH(YEAR(AA$3),Assumptions!$E$91:$I$91,0))</f>
        <v>5000</v>
      </c>
      <c r="AB29" s="175">
        <f t="array" ref="AB29">INDEX(Assumptions!$E$92:$I$92,MATCH(YEAR(AB$3),Assumptions!$E$91:$I$91,0))</f>
        <v>5000</v>
      </c>
      <c r="AC29" s="175">
        <f t="array" ref="AC29">INDEX(Assumptions!$E$92:$I$92,MATCH(YEAR(AC$3),Assumptions!$E$91:$I$91,0))</f>
        <v>5000</v>
      </c>
      <c r="AD29" s="175">
        <f t="array" ref="AD29">INDEX(Assumptions!$E$92:$I$92,MATCH(YEAR(AD$3),Assumptions!$E$91:$I$91,0))</f>
        <v>5000</v>
      </c>
      <c r="AE29" s="175">
        <f t="array" ref="AE29">INDEX(Assumptions!$E$92:$I$92,MATCH(YEAR(AE$3),Assumptions!$E$91:$I$91,0))</f>
        <v>6500</v>
      </c>
      <c r="AF29" s="175">
        <f t="array" ref="AF29">INDEX(Assumptions!$E$92:$I$92,MATCH(YEAR(AF$3),Assumptions!$E$91:$I$91,0))</f>
        <v>6500</v>
      </c>
      <c r="AG29" s="175">
        <f t="array" ref="AG29">INDEX(Assumptions!$E$92:$I$92,MATCH(YEAR(AG$3),Assumptions!$E$91:$I$91,0))</f>
        <v>6500</v>
      </c>
      <c r="AH29" s="175">
        <f t="array" ref="AH29">INDEX(Assumptions!$E$92:$I$92,MATCH(YEAR(AH$3),Assumptions!$E$91:$I$91,0))</f>
        <v>6500</v>
      </c>
      <c r="AI29" s="175">
        <f t="array" ref="AI29">INDEX(Assumptions!$E$92:$I$92,MATCH(YEAR(AI$3),Assumptions!$E$91:$I$91,0))</f>
        <v>6500</v>
      </c>
      <c r="AJ29" s="175">
        <f t="array" ref="AJ29">INDEX(Assumptions!$E$92:$I$92,MATCH(YEAR(AJ$3),Assumptions!$E$91:$I$91,0))</f>
        <v>6500</v>
      </c>
      <c r="AK29" s="175">
        <f t="array" ref="AK29">INDEX(Assumptions!$E$92:$I$92,MATCH(YEAR(AK$3),Assumptions!$E$91:$I$91,0))</f>
        <v>6500</v>
      </c>
      <c r="AL29" s="175">
        <f t="array" ref="AL29">INDEX(Assumptions!$E$92:$I$92,MATCH(YEAR(AL$3),Assumptions!$E$91:$I$91,0))</f>
        <v>6500</v>
      </c>
      <c r="AM29" s="175">
        <f t="array" ref="AM29">INDEX(Assumptions!$E$92:$I$92,MATCH(YEAR(AM$3),Assumptions!$E$91:$I$91,0))</f>
        <v>6500</v>
      </c>
      <c r="AN29" s="175">
        <f t="array" ref="AN29">INDEX(Assumptions!$E$92:$I$92,MATCH(YEAR(AN$3),Assumptions!$E$91:$I$91,0))</f>
        <v>6500</v>
      </c>
      <c r="AO29" s="175">
        <f t="array" ref="AO29">INDEX(Assumptions!$E$92:$I$92,MATCH(YEAR(AO$3),Assumptions!$E$91:$I$91,0))</f>
        <v>6500</v>
      </c>
      <c r="AP29" s="175">
        <f t="array" ref="AP29">INDEX(Assumptions!$E$92:$I$92,MATCH(YEAR(AP$3),Assumptions!$E$91:$I$91,0))</f>
        <v>6500</v>
      </c>
      <c r="AQ29" s="175">
        <f t="array" ref="AQ29">INDEX(Assumptions!$E$92:$I$92,MATCH(YEAR(AQ$3),Assumptions!$E$91:$I$91,0))</f>
        <v>8450</v>
      </c>
      <c r="AR29" s="175">
        <f t="array" ref="AR29">INDEX(Assumptions!$E$92:$I$92,MATCH(YEAR(AR$3),Assumptions!$E$91:$I$91,0))</f>
        <v>8450</v>
      </c>
      <c r="AS29" s="175">
        <f t="array" ref="AS29">INDEX(Assumptions!$E$92:$I$92,MATCH(YEAR(AS$3),Assumptions!$E$91:$I$91,0))</f>
        <v>8450</v>
      </c>
      <c r="AT29" s="175">
        <f t="array" ref="AT29">INDEX(Assumptions!$E$92:$I$92,MATCH(YEAR(AT$3),Assumptions!$E$91:$I$91,0))</f>
        <v>8450</v>
      </c>
      <c r="AU29" s="175">
        <f t="array" ref="AU29">INDEX(Assumptions!$E$92:$I$92,MATCH(YEAR(AU$3),Assumptions!$E$91:$I$91,0))</f>
        <v>8450</v>
      </c>
      <c r="AV29" s="175">
        <f t="array" ref="AV29">INDEX(Assumptions!$E$92:$I$92,MATCH(YEAR(AV$3),Assumptions!$E$91:$I$91,0))</f>
        <v>8450</v>
      </c>
      <c r="AW29" s="175">
        <f t="array" ref="AW29">INDEX(Assumptions!$E$92:$I$92,MATCH(YEAR(AW$3),Assumptions!$E$91:$I$91,0))</f>
        <v>8450</v>
      </c>
      <c r="AX29" s="175">
        <f t="array" ref="AX29">INDEX(Assumptions!$E$92:$I$92,MATCH(YEAR(AX$3),Assumptions!$E$91:$I$91,0))</f>
        <v>8450</v>
      </c>
      <c r="AY29" s="175">
        <f t="array" ref="AY29">INDEX(Assumptions!$E$92:$I$92,MATCH(YEAR(AY$3),Assumptions!$E$91:$I$91,0))</f>
        <v>8450</v>
      </c>
      <c r="AZ29" s="175">
        <f t="array" ref="AZ29">INDEX(Assumptions!$E$92:$I$92,MATCH(YEAR(AZ$3),Assumptions!$E$91:$I$91,0))</f>
        <v>8450</v>
      </c>
      <c r="BA29" s="175">
        <f t="array" ref="BA29">INDEX(Assumptions!$E$92:$I$92,MATCH(YEAR(BA$3),Assumptions!$E$91:$I$91,0))</f>
        <v>8450</v>
      </c>
      <c r="BB29" s="175">
        <f t="array" ref="BB29">INDEX(Assumptions!$E$92:$I$92,MATCH(YEAR(BB$3),Assumptions!$E$91:$I$91,0))</f>
        <v>8450</v>
      </c>
      <c r="BC29" s="174"/>
      <c r="BD29" s="175">
        <f t="shared" ref="BD29:BD32" si="20">SUM(G29:R29)</f>
        <v>60000</v>
      </c>
      <c r="BE29" s="175">
        <f t="shared" ref="BE29:BE32" si="21">SUM(S29:AD29)</f>
        <v>60000</v>
      </c>
      <c r="BF29" s="175">
        <f t="shared" ref="BF29:BF32" si="22">SUM(AE29:AP29)</f>
        <v>78000</v>
      </c>
      <c r="BG29" s="175">
        <f t="shared" ref="BG29:BG32" si="23">SUM(AQ29:BB29)</f>
        <v>101400</v>
      </c>
      <c r="BH29" s="262">
        <f>BG29*('Financial Statements'!$BE$7/'Financial Statements'!$BD$7)^0.2</f>
        <v>126213.6209</v>
      </c>
      <c r="BI29" s="174"/>
    </row>
    <row r="30" ht="15.75" customHeight="1">
      <c r="A30" s="35"/>
      <c r="B30" s="268" t="s">
        <v>143</v>
      </c>
      <c r="C30" s="28"/>
      <c r="D30" s="267" t="s">
        <v>202</v>
      </c>
      <c r="E30" s="250"/>
      <c r="F30" s="250"/>
      <c r="G30" s="175">
        <f>Assumptions!$E$93</f>
        <v>7000</v>
      </c>
      <c r="H30" s="175">
        <f>Assumptions!$E$93</f>
        <v>7000</v>
      </c>
      <c r="I30" s="175">
        <f>Assumptions!$E$93</f>
        <v>7000</v>
      </c>
      <c r="J30" s="175">
        <f>Assumptions!$E$93</f>
        <v>7000</v>
      </c>
      <c r="K30" s="175">
        <f>Assumptions!$E$93</f>
        <v>7000</v>
      </c>
      <c r="L30" s="175">
        <f>Assumptions!$E$93</f>
        <v>7000</v>
      </c>
      <c r="M30" s="175">
        <f>Assumptions!$E$93</f>
        <v>7000</v>
      </c>
      <c r="N30" s="175">
        <f>Assumptions!$E$93</f>
        <v>7000</v>
      </c>
      <c r="O30" s="175">
        <f>Assumptions!$E$93</f>
        <v>7000</v>
      </c>
      <c r="P30" s="175">
        <f>Assumptions!$E$93</f>
        <v>7000</v>
      </c>
      <c r="Q30" s="175">
        <f>Assumptions!$E$93</f>
        <v>7000</v>
      </c>
      <c r="R30" s="175">
        <f>Assumptions!$E$93</f>
        <v>7000</v>
      </c>
      <c r="S30" s="175">
        <f t="array" ref="S30">INDEX(Assumptions!$E$93:$I$93,MATCH(YEAR(S$3),Assumptions!$E$91:$I$91,0))</f>
        <v>7000</v>
      </c>
      <c r="T30" s="175">
        <f t="array" ref="T30">INDEX(Assumptions!$E$93:$I$93,MATCH(YEAR(T$3),Assumptions!$E$91:$I$91,0))</f>
        <v>7000</v>
      </c>
      <c r="U30" s="175">
        <f t="array" ref="U30">INDEX(Assumptions!$E$93:$I$93,MATCH(YEAR(U$3),Assumptions!$E$91:$I$91,0))</f>
        <v>7000</v>
      </c>
      <c r="V30" s="175">
        <f t="array" ref="V30">INDEX(Assumptions!$E$93:$I$93,MATCH(YEAR(V$3),Assumptions!$E$91:$I$91,0))</f>
        <v>7000</v>
      </c>
      <c r="W30" s="175">
        <f t="array" ref="W30">INDEX(Assumptions!$E$93:$I$93,MATCH(YEAR(W$3),Assumptions!$E$91:$I$91,0))</f>
        <v>7000</v>
      </c>
      <c r="X30" s="175">
        <f t="array" ref="X30">INDEX(Assumptions!$E$93:$I$93,MATCH(YEAR(X$3),Assumptions!$E$91:$I$91,0))</f>
        <v>7000</v>
      </c>
      <c r="Y30" s="175">
        <f t="array" ref="Y30">INDEX(Assumptions!$E$93:$I$93,MATCH(YEAR(Y$3),Assumptions!$E$91:$I$91,0))</f>
        <v>7000</v>
      </c>
      <c r="Z30" s="175">
        <f t="array" ref="Z30">INDEX(Assumptions!$E$93:$I$93,MATCH(YEAR(Z$3),Assumptions!$E$91:$I$91,0))</f>
        <v>7000</v>
      </c>
      <c r="AA30" s="175">
        <f t="array" ref="AA30">INDEX(Assumptions!$E$93:$I$93,MATCH(YEAR(AA$3),Assumptions!$E$91:$I$91,0))</f>
        <v>7000</v>
      </c>
      <c r="AB30" s="175">
        <f t="array" ref="AB30">INDEX(Assumptions!$E$93:$I$93,MATCH(YEAR(AB$3),Assumptions!$E$91:$I$91,0))</f>
        <v>7000</v>
      </c>
      <c r="AC30" s="175">
        <f t="array" ref="AC30">INDEX(Assumptions!$E$93:$I$93,MATCH(YEAR(AC$3),Assumptions!$E$91:$I$91,0))</f>
        <v>7000</v>
      </c>
      <c r="AD30" s="175">
        <f t="array" ref="AD30">INDEX(Assumptions!$E$93:$I$93,MATCH(YEAR(AD$3),Assumptions!$E$91:$I$91,0))</f>
        <v>7000</v>
      </c>
      <c r="AE30" s="175">
        <f t="array" ref="AE30">INDEX(Assumptions!$E$93:$I$93,MATCH(YEAR(AE$3),Assumptions!$E$91:$I$91,0))</f>
        <v>9100</v>
      </c>
      <c r="AF30" s="175">
        <f t="array" ref="AF30">INDEX(Assumptions!$E$93:$I$93,MATCH(YEAR(AF$3),Assumptions!$E$91:$I$91,0))</f>
        <v>9100</v>
      </c>
      <c r="AG30" s="175">
        <f t="array" ref="AG30">INDEX(Assumptions!$E$93:$I$93,MATCH(YEAR(AG$3),Assumptions!$E$91:$I$91,0))</f>
        <v>9100</v>
      </c>
      <c r="AH30" s="175">
        <f t="array" ref="AH30">INDEX(Assumptions!$E$93:$I$93,MATCH(YEAR(AH$3),Assumptions!$E$91:$I$91,0))</f>
        <v>9100</v>
      </c>
      <c r="AI30" s="175">
        <f t="array" ref="AI30">INDEX(Assumptions!$E$93:$I$93,MATCH(YEAR(AI$3),Assumptions!$E$91:$I$91,0))</f>
        <v>9100</v>
      </c>
      <c r="AJ30" s="175">
        <f t="array" ref="AJ30">INDEX(Assumptions!$E$93:$I$93,MATCH(YEAR(AJ$3),Assumptions!$E$91:$I$91,0))</f>
        <v>9100</v>
      </c>
      <c r="AK30" s="175">
        <f t="array" ref="AK30">INDEX(Assumptions!$E$93:$I$93,MATCH(YEAR(AK$3),Assumptions!$E$91:$I$91,0))</f>
        <v>9100</v>
      </c>
      <c r="AL30" s="175">
        <f t="array" ref="AL30">INDEX(Assumptions!$E$93:$I$93,MATCH(YEAR(AL$3),Assumptions!$E$91:$I$91,0))</f>
        <v>9100</v>
      </c>
      <c r="AM30" s="175">
        <f t="array" ref="AM30">INDEX(Assumptions!$E$93:$I$93,MATCH(YEAR(AM$3),Assumptions!$E$91:$I$91,0))</f>
        <v>9100</v>
      </c>
      <c r="AN30" s="175">
        <f t="array" ref="AN30">INDEX(Assumptions!$E$93:$I$93,MATCH(YEAR(AN$3),Assumptions!$E$91:$I$91,0))</f>
        <v>9100</v>
      </c>
      <c r="AO30" s="175">
        <f t="array" ref="AO30">INDEX(Assumptions!$E$93:$I$93,MATCH(YEAR(AO$3),Assumptions!$E$91:$I$91,0))</f>
        <v>9100</v>
      </c>
      <c r="AP30" s="175">
        <f t="array" ref="AP30">INDEX(Assumptions!$E$93:$I$93,MATCH(YEAR(AP$3),Assumptions!$E$91:$I$91,0))</f>
        <v>9100</v>
      </c>
      <c r="AQ30" s="175">
        <f t="array" ref="AQ30">INDEX(Assumptions!$E$93:$I$93,MATCH(YEAR(AQ$3),Assumptions!$E$91:$I$91,0))</f>
        <v>11830</v>
      </c>
      <c r="AR30" s="175">
        <f t="array" ref="AR30">INDEX(Assumptions!$E$93:$I$93,MATCH(YEAR(AR$3),Assumptions!$E$91:$I$91,0))</f>
        <v>11830</v>
      </c>
      <c r="AS30" s="175">
        <f t="array" ref="AS30">INDEX(Assumptions!$E$93:$I$93,MATCH(YEAR(AS$3),Assumptions!$E$91:$I$91,0))</f>
        <v>11830</v>
      </c>
      <c r="AT30" s="175">
        <f t="array" ref="AT30">INDEX(Assumptions!$E$93:$I$93,MATCH(YEAR(AT$3),Assumptions!$E$91:$I$91,0))</f>
        <v>11830</v>
      </c>
      <c r="AU30" s="175">
        <f t="array" ref="AU30">INDEX(Assumptions!$E$93:$I$93,MATCH(YEAR(AU$3),Assumptions!$E$91:$I$91,0))</f>
        <v>11830</v>
      </c>
      <c r="AV30" s="175">
        <f t="array" ref="AV30">INDEX(Assumptions!$E$93:$I$93,MATCH(YEAR(AV$3),Assumptions!$E$91:$I$91,0))</f>
        <v>11830</v>
      </c>
      <c r="AW30" s="175">
        <f t="array" ref="AW30">INDEX(Assumptions!$E$93:$I$93,MATCH(YEAR(AW$3),Assumptions!$E$91:$I$91,0))</f>
        <v>11830</v>
      </c>
      <c r="AX30" s="175">
        <f t="array" ref="AX30">INDEX(Assumptions!$E$93:$I$93,MATCH(YEAR(AX$3),Assumptions!$E$91:$I$91,0))</f>
        <v>11830</v>
      </c>
      <c r="AY30" s="175">
        <f t="array" ref="AY30">INDEX(Assumptions!$E$93:$I$93,MATCH(YEAR(AY$3),Assumptions!$E$91:$I$91,0))</f>
        <v>11830</v>
      </c>
      <c r="AZ30" s="175">
        <f t="array" ref="AZ30">INDEX(Assumptions!$E$93:$I$93,MATCH(YEAR(AZ$3),Assumptions!$E$91:$I$91,0))</f>
        <v>11830</v>
      </c>
      <c r="BA30" s="175">
        <f t="array" ref="BA30">INDEX(Assumptions!$E$93:$I$93,MATCH(YEAR(BA$3),Assumptions!$E$91:$I$91,0))</f>
        <v>11830</v>
      </c>
      <c r="BB30" s="175">
        <f t="array" ref="BB30">INDEX(Assumptions!$E$93:$I$93,MATCH(YEAR(BB$3),Assumptions!$E$91:$I$91,0))</f>
        <v>11830</v>
      </c>
      <c r="BC30" s="174"/>
      <c r="BD30" s="175">
        <f t="shared" si="20"/>
        <v>84000</v>
      </c>
      <c r="BE30" s="175">
        <f t="shared" si="21"/>
        <v>84000</v>
      </c>
      <c r="BF30" s="175">
        <f t="shared" si="22"/>
        <v>109200</v>
      </c>
      <c r="BG30" s="175">
        <f t="shared" si="23"/>
        <v>141960</v>
      </c>
      <c r="BH30" s="262">
        <f>BG30*('Financial Statements'!$BE$7/'Financial Statements'!$BD$7)^0.2</f>
        <v>176699.0693</v>
      </c>
      <c r="BI30" s="174"/>
    </row>
    <row r="31" ht="15.75" customHeight="1">
      <c r="A31" s="35"/>
      <c r="B31" s="268" t="s">
        <v>146</v>
      </c>
      <c r="C31" s="28"/>
      <c r="D31" s="267" t="s">
        <v>202</v>
      </c>
      <c r="E31" s="250"/>
      <c r="F31" s="250"/>
      <c r="G31" s="175">
        <f>Assumptions!$E$95</f>
        <v>8000</v>
      </c>
      <c r="H31" s="175">
        <f>Assumptions!$E$95</f>
        <v>8000</v>
      </c>
      <c r="I31" s="175">
        <f>Assumptions!$E$95</f>
        <v>8000</v>
      </c>
      <c r="J31" s="175">
        <f>Assumptions!$E$95</f>
        <v>8000</v>
      </c>
      <c r="K31" s="175">
        <f>Assumptions!$E$95</f>
        <v>8000</v>
      </c>
      <c r="L31" s="175">
        <f>Assumptions!$E$95</f>
        <v>8000</v>
      </c>
      <c r="M31" s="175">
        <f>Assumptions!$E$95</f>
        <v>8000</v>
      </c>
      <c r="N31" s="175">
        <f>Assumptions!$E$95</f>
        <v>8000</v>
      </c>
      <c r="O31" s="175">
        <f>Assumptions!$E$95</f>
        <v>8000</v>
      </c>
      <c r="P31" s="175">
        <f>Assumptions!$E$95</f>
        <v>8000</v>
      </c>
      <c r="Q31" s="175">
        <f>Assumptions!$E$95</f>
        <v>8000</v>
      </c>
      <c r="R31" s="175">
        <f>Assumptions!$E$95</f>
        <v>8000</v>
      </c>
      <c r="S31" s="175">
        <f t="array" ref="S31">INDEX(Assumptions!$E$95:$I$95,MATCH(YEAR(S$3),Assumptions!$E$91:$I$91,0))</f>
        <v>8000</v>
      </c>
      <c r="T31" s="175">
        <f t="array" ref="T31">INDEX(Assumptions!$E$95:$I$95,MATCH(YEAR(T$3),Assumptions!$E$91:$I$91,0))</f>
        <v>8000</v>
      </c>
      <c r="U31" s="175">
        <f t="array" ref="U31">INDEX(Assumptions!$E$95:$I$95,MATCH(YEAR(U$3),Assumptions!$E$91:$I$91,0))</f>
        <v>8000</v>
      </c>
      <c r="V31" s="175">
        <f t="array" ref="V31">INDEX(Assumptions!$E$95:$I$95,MATCH(YEAR(V$3),Assumptions!$E$91:$I$91,0))</f>
        <v>8000</v>
      </c>
      <c r="W31" s="175">
        <f t="array" ref="W31">INDEX(Assumptions!$E$95:$I$95,MATCH(YEAR(W$3),Assumptions!$E$91:$I$91,0))</f>
        <v>8000</v>
      </c>
      <c r="X31" s="175">
        <f t="array" ref="X31">INDEX(Assumptions!$E$95:$I$95,MATCH(YEAR(X$3),Assumptions!$E$91:$I$91,0))</f>
        <v>8000</v>
      </c>
      <c r="Y31" s="175">
        <f t="array" ref="Y31">INDEX(Assumptions!$E$95:$I$95,MATCH(YEAR(Y$3),Assumptions!$E$91:$I$91,0))</f>
        <v>8000</v>
      </c>
      <c r="Z31" s="175">
        <f t="array" ref="Z31">INDEX(Assumptions!$E$95:$I$95,MATCH(YEAR(Z$3),Assumptions!$E$91:$I$91,0))</f>
        <v>8000</v>
      </c>
      <c r="AA31" s="175">
        <f t="array" ref="AA31">INDEX(Assumptions!$E$95:$I$95,MATCH(YEAR(AA$3),Assumptions!$E$91:$I$91,0))</f>
        <v>8000</v>
      </c>
      <c r="AB31" s="175">
        <f t="array" ref="AB31">INDEX(Assumptions!$E$95:$I$95,MATCH(YEAR(AB$3),Assumptions!$E$91:$I$91,0))</f>
        <v>8000</v>
      </c>
      <c r="AC31" s="175">
        <f t="array" ref="AC31">INDEX(Assumptions!$E$95:$I$95,MATCH(YEAR(AC$3),Assumptions!$E$91:$I$91,0))</f>
        <v>8000</v>
      </c>
      <c r="AD31" s="175">
        <f t="array" ref="AD31">INDEX(Assumptions!$E$95:$I$95,MATCH(YEAR(AD$3),Assumptions!$E$91:$I$91,0))</f>
        <v>8000</v>
      </c>
      <c r="AE31" s="175">
        <f t="array" ref="AE31">INDEX(Assumptions!$E$95:$I$95,MATCH(YEAR(AE$3),Assumptions!$E$91:$I$91,0))</f>
        <v>10400</v>
      </c>
      <c r="AF31" s="175">
        <f t="array" ref="AF31">INDEX(Assumptions!$E$95:$I$95,MATCH(YEAR(AF$3),Assumptions!$E$91:$I$91,0))</f>
        <v>10400</v>
      </c>
      <c r="AG31" s="175">
        <f t="array" ref="AG31">INDEX(Assumptions!$E$95:$I$95,MATCH(YEAR(AG$3),Assumptions!$E$91:$I$91,0))</f>
        <v>10400</v>
      </c>
      <c r="AH31" s="175">
        <f t="array" ref="AH31">INDEX(Assumptions!$E$95:$I$95,MATCH(YEAR(AH$3),Assumptions!$E$91:$I$91,0))</f>
        <v>10400</v>
      </c>
      <c r="AI31" s="175">
        <f t="array" ref="AI31">INDEX(Assumptions!$E$95:$I$95,MATCH(YEAR(AI$3),Assumptions!$E$91:$I$91,0))</f>
        <v>10400</v>
      </c>
      <c r="AJ31" s="175">
        <f t="array" ref="AJ31">INDEX(Assumptions!$E$95:$I$95,MATCH(YEAR(AJ$3),Assumptions!$E$91:$I$91,0))</f>
        <v>10400</v>
      </c>
      <c r="AK31" s="175">
        <f t="array" ref="AK31">INDEX(Assumptions!$E$95:$I$95,MATCH(YEAR(AK$3),Assumptions!$E$91:$I$91,0))</f>
        <v>10400</v>
      </c>
      <c r="AL31" s="175">
        <f t="array" ref="AL31">INDEX(Assumptions!$E$95:$I$95,MATCH(YEAR(AL$3),Assumptions!$E$91:$I$91,0))</f>
        <v>10400</v>
      </c>
      <c r="AM31" s="175">
        <f t="array" ref="AM31">INDEX(Assumptions!$E$95:$I$95,MATCH(YEAR(AM$3),Assumptions!$E$91:$I$91,0))</f>
        <v>10400</v>
      </c>
      <c r="AN31" s="175">
        <f t="array" ref="AN31">INDEX(Assumptions!$E$95:$I$95,MATCH(YEAR(AN$3),Assumptions!$E$91:$I$91,0))</f>
        <v>10400</v>
      </c>
      <c r="AO31" s="175">
        <f t="array" ref="AO31">INDEX(Assumptions!$E$95:$I$95,MATCH(YEAR(AO$3),Assumptions!$E$91:$I$91,0))</f>
        <v>10400</v>
      </c>
      <c r="AP31" s="175">
        <f t="array" ref="AP31">INDEX(Assumptions!$E$95:$I$95,MATCH(YEAR(AP$3),Assumptions!$E$91:$I$91,0))</f>
        <v>10400</v>
      </c>
      <c r="AQ31" s="175">
        <f t="array" ref="AQ31">INDEX(Assumptions!$E$95:$I$95,MATCH(YEAR(AQ$3),Assumptions!$E$91:$I$91,0))</f>
        <v>13520</v>
      </c>
      <c r="AR31" s="175">
        <f t="array" ref="AR31">INDEX(Assumptions!$E$95:$I$95,MATCH(YEAR(AR$3),Assumptions!$E$91:$I$91,0))</f>
        <v>13520</v>
      </c>
      <c r="AS31" s="175">
        <f t="array" ref="AS31">INDEX(Assumptions!$E$95:$I$95,MATCH(YEAR(AS$3),Assumptions!$E$91:$I$91,0))</f>
        <v>13520</v>
      </c>
      <c r="AT31" s="175">
        <f t="array" ref="AT31">INDEX(Assumptions!$E$95:$I$95,MATCH(YEAR(AT$3),Assumptions!$E$91:$I$91,0))</f>
        <v>13520</v>
      </c>
      <c r="AU31" s="175">
        <f t="array" ref="AU31">INDEX(Assumptions!$E$95:$I$95,MATCH(YEAR(AU$3),Assumptions!$E$91:$I$91,0))</f>
        <v>13520</v>
      </c>
      <c r="AV31" s="175">
        <f t="array" ref="AV31">INDEX(Assumptions!$E$95:$I$95,MATCH(YEAR(AV$3),Assumptions!$E$91:$I$91,0))</f>
        <v>13520</v>
      </c>
      <c r="AW31" s="175">
        <f t="array" ref="AW31">INDEX(Assumptions!$E$95:$I$95,MATCH(YEAR(AW$3),Assumptions!$E$91:$I$91,0))</f>
        <v>13520</v>
      </c>
      <c r="AX31" s="175">
        <f t="array" ref="AX31">INDEX(Assumptions!$E$95:$I$95,MATCH(YEAR(AX$3),Assumptions!$E$91:$I$91,0))</f>
        <v>13520</v>
      </c>
      <c r="AY31" s="175">
        <f t="array" ref="AY31">INDEX(Assumptions!$E$95:$I$95,MATCH(YEAR(AY$3),Assumptions!$E$91:$I$91,0))</f>
        <v>13520</v>
      </c>
      <c r="AZ31" s="175">
        <f t="array" ref="AZ31">INDEX(Assumptions!$E$95:$I$95,MATCH(YEAR(AZ$3),Assumptions!$E$91:$I$91,0))</f>
        <v>13520</v>
      </c>
      <c r="BA31" s="175">
        <f t="array" ref="BA31">INDEX(Assumptions!$E$95:$I$95,MATCH(YEAR(BA$3),Assumptions!$E$91:$I$91,0))</f>
        <v>13520</v>
      </c>
      <c r="BB31" s="175">
        <f t="array" ref="BB31">INDEX(Assumptions!$E$95:$I$95,MATCH(YEAR(BB$3),Assumptions!$E$91:$I$91,0))</f>
        <v>13520</v>
      </c>
      <c r="BC31" s="174"/>
      <c r="BD31" s="175">
        <f t="shared" si="20"/>
        <v>96000</v>
      </c>
      <c r="BE31" s="175">
        <f t="shared" si="21"/>
        <v>96000</v>
      </c>
      <c r="BF31" s="175">
        <f t="shared" si="22"/>
        <v>124800</v>
      </c>
      <c r="BG31" s="175">
        <f t="shared" si="23"/>
        <v>162240</v>
      </c>
      <c r="BH31" s="262">
        <f>BG31*('Financial Statements'!$BE$7/'Financial Statements'!$BD$7)^0.2</f>
        <v>201941.7935</v>
      </c>
      <c r="BI31" s="174"/>
    </row>
    <row r="32" ht="12.75" customHeight="1">
      <c r="A32" s="253"/>
      <c r="B32" s="242" t="s">
        <v>315</v>
      </c>
      <c r="C32" s="269"/>
      <c r="D32" s="270"/>
      <c r="E32" s="271"/>
      <c r="F32" s="271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>
        <f t="shared" ref="S32:BB32" si="24">sum(S29:S31)</f>
        <v>20000</v>
      </c>
      <c r="T32" s="199">
        <f t="shared" si="24"/>
        <v>20000</v>
      </c>
      <c r="U32" s="199">
        <f t="shared" si="24"/>
        <v>20000</v>
      </c>
      <c r="V32" s="199">
        <f t="shared" si="24"/>
        <v>20000</v>
      </c>
      <c r="W32" s="199">
        <f t="shared" si="24"/>
        <v>20000</v>
      </c>
      <c r="X32" s="199">
        <f t="shared" si="24"/>
        <v>20000</v>
      </c>
      <c r="Y32" s="199">
        <f t="shared" si="24"/>
        <v>20000</v>
      </c>
      <c r="Z32" s="199">
        <f t="shared" si="24"/>
        <v>20000</v>
      </c>
      <c r="AA32" s="199">
        <f t="shared" si="24"/>
        <v>20000</v>
      </c>
      <c r="AB32" s="199">
        <f t="shared" si="24"/>
        <v>20000</v>
      </c>
      <c r="AC32" s="199">
        <f t="shared" si="24"/>
        <v>20000</v>
      </c>
      <c r="AD32" s="199">
        <f t="shared" si="24"/>
        <v>20000</v>
      </c>
      <c r="AE32" s="199">
        <f t="shared" si="24"/>
        <v>26000</v>
      </c>
      <c r="AF32" s="199">
        <f t="shared" si="24"/>
        <v>26000</v>
      </c>
      <c r="AG32" s="199">
        <f t="shared" si="24"/>
        <v>26000</v>
      </c>
      <c r="AH32" s="199">
        <f t="shared" si="24"/>
        <v>26000</v>
      </c>
      <c r="AI32" s="199">
        <f t="shared" si="24"/>
        <v>26000</v>
      </c>
      <c r="AJ32" s="199">
        <f t="shared" si="24"/>
        <v>26000</v>
      </c>
      <c r="AK32" s="199">
        <f t="shared" si="24"/>
        <v>26000</v>
      </c>
      <c r="AL32" s="199">
        <f t="shared" si="24"/>
        <v>26000</v>
      </c>
      <c r="AM32" s="199">
        <f t="shared" si="24"/>
        <v>26000</v>
      </c>
      <c r="AN32" s="199">
        <f t="shared" si="24"/>
        <v>26000</v>
      </c>
      <c r="AO32" s="199">
        <f t="shared" si="24"/>
        <v>26000</v>
      </c>
      <c r="AP32" s="199">
        <f t="shared" si="24"/>
        <v>26000</v>
      </c>
      <c r="AQ32" s="199">
        <f t="shared" si="24"/>
        <v>33800</v>
      </c>
      <c r="AR32" s="199">
        <f t="shared" si="24"/>
        <v>33800</v>
      </c>
      <c r="AS32" s="199">
        <f t="shared" si="24"/>
        <v>33800</v>
      </c>
      <c r="AT32" s="199">
        <f t="shared" si="24"/>
        <v>33800</v>
      </c>
      <c r="AU32" s="199">
        <f t="shared" si="24"/>
        <v>33800</v>
      </c>
      <c r="AV32" s="199">
        <f t="shared" si="24"/>
        <v>33800</v>
      </c>
      <c r="AW32" s="199">
        <f t="shared" si="24"/>
        <v>33800</v>
      </c>
      <c r="AX32" s="199">
        <f t="shared" si="24"/>
        <v>33800</v>
      </c>
      <c r="AY32" s="199">
        <f t="shared" si="24"/>
        <v>33800</v>
      </c>
      <c r="AZ32" s="199">
        <f t="shared" si="24"/>
        <v>33800</v>
      </c>
      <c r="BA32" s="199">
        <f t="shared" si="24"/>
        <v>33800</v>
      </c>
      <c r="BB32" s="199">
        <f t="shared" si="24"/>
        <v>33800</v>
      </c>
      <c r="BC32" s="174"/>
      <c r="BD32" s="199">
        <f t="shared" si="20"/>
        <v>0</v>
      </c>
      <c r="BE32" s="199">
        <f t="shared" si="21"/>
        <v>240000</v>
      </c>
      <c r="BF32" s="199">
        <f t="shared" si="22"/>
        <v>312000</v>
      </c>
      <c r="BG32" s="199">
        <f t="shared" si="23"/>
        <v>405600</v>
      </c>
      <c r="BH32" s="199">
        <f>sum(BH29:BH31)</f>
        <v>504854.4837</v>
      </c>
      <c r="BI32" s="174"/>
    </row>
    <row r="33" ht="15.75" customHeight="1">
      <c r="A33" s="35"/>
      <c r="B33" s="28"/>
      <c r="C33" s="28"/>
      <c r="D33" s="85"/>
      <c r="E33" s="28"/>
      <c r="F33" s="28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</row>
    <row r="34" ht="15.75" customHeight="1">
      <c r="A34" s="272"/>
      <c r="B34" s="153" t="s">
        <v>316</v>
      </c>
      <c r="C34" s="249"/>
      <c r="D34" s="273" t="s">
        <v>202</v>
      </c>
      <c r="E34" s="249"/>
      <c r="F34" s="249"/>
      <c r="G34" s="187">
        <f t="shared" ref="G34:BB34" si="25">G32+G26+G19</f>
        <v>0</v>
      </c>
      <c r="H34" s="187">
        <f t="shared" si="25"/>
        <v>0</v>
      </c>
      <c r="I34" s="187">
        <f t="shared" si="25"/>
        <v>0</v>
      </c>
      <c r="J34" s="187">
        <f t="shared" si="25"/>
        <v>0</v>
      </c>
      <c r="K34" s="187">
        <f t="shared" si="25"/>
        <v>0</v>
      </c>
      <c r="L34" s="187">
        <f t="shared" si="25"/>
        <v>0</v>
      </c>
      <c r="M34" s="187">
        <f t="shared" si="25"/>
        <v>0</v>
      </c>
      <c r="N34" s="187">
        <f t="shared" si="25"/>
        <v>0</v>
      </c>
      <c r="O34" s="187">
        <f t="shared" si="25"/>
        <v>0</v>
      </c>
      <c r="P34" s="187">
        <f t="shared" si="25"/>
        <v>0</v>
      </c>
      <c r="Q34" s="187">
        <f t="shared" si="25"/>
        <v>0</v>
      </c>
      <c r="R34" s="187">
        <f t="shared" si="25"/>
        <v>188933</v>
      </c>
      <c r="S34" s="187">
        <f t="shared" si="25"/>
        <v>66000</v>
      </c>
      <c r="T34" s="187">
        <f t="shared" si="25"/>
        <v>66000</v>
      </c>
      <c r="U34" s="187">
        <f t="shared" si="25"/>
        <v>66000</v>
      </c>
      <c r="V34" s="187">
        <f t="shared" si="25"/>
        <v>66000</v>
      </c>
      <c r="W34" s="187">
        <f t="shared" si="25"/>
        <v>76000</v>
      </c>
      <c r="X34" s="187">
        <f t="shared" si="25"/>
        <v>76000</v>
      </c>
      <c r="Y34" s="187">
        <f t="shared" si="25"/>
        <v>66000</v>
      </c>
      <c r="Z34" s="187">
        <f t="shared" si="25"/>
        <v>66000</v>
      </c>
      <c r="AA34" s="187">
        <f t="shared" si="25"/>
        <v>66000</v>
      </c>
      <c r="AB34" s="187">
        <f t="shared" si="25"/>
        <v>169000</v>
      </c>
      <c r="AC34" s="187">
        <f t="shared" si="25"/>
        <v>114000</v>
      </c>
      <c r="AD34" s="187">
        <f t="shared" si="25"/>
        <v>69000</v>
      </c>
      <c r="AE34" s="187">
        <f t="shared" si="25"/>
        <v>104900</v>
      </c>
      <c r="AF34" s="187">
        <f t="shared" si="25"/>
        <v>107900</v>
      </c>
      <c r="AG34" s="187">
        <f t="shared" si="25"/>
        <v>111500</v>
      </c>
      <c r="AH34" s="187">
        <f t="shared" si="25"/>
        <v>114500</v>
      </c>
      <c r="AI34" s="187">
        <f t="shared" si="25"/>
        <v>118700</v>
      </c>
      <c r="AJ34" s="187">
        <f t="shared" si="25"/>
        <v>123500</v>
      </c>
      <c r="AK34" s="187">
        <f t="shared" si="25"/>
        <v>128300</v>
      </c>
      <c r="AL34" s="187">
        <f t="shared" si="25"/>
        <v>133700</v>
      </c>
      <c r="AM34" s="187">
        <f t="shared" si="25"/>
        <v>127100</v>
      </c>
      <c r="AN34" s="187">
        <f t="shared" si="25"/>
        <v>132380</v>
      </c>
      <c r="AO34" s="187">
        <f t="shared" si="25"/>
        <v>138140</v>
      </c>
      <c r="AP34" s="187">
        <f t="shared" si="25"/>
        <v>145340</v>
      </c>
      <c r="AQ34" s="187">
        <f t="shared" si="25"/>
        <v>159998</v>
      </c>
      <c r="AR34" s="187">
        <f t="shared" si="25"/>
        <v>166142</v>
      </c>
      <c r="AS34" s="187">
        <f t="shared" si="25"/>
        <v>173438</v>
      </c>
      <c r="AT34" s="187">
        <f t="shared" si="25"/>
        <v>181502</v>
      </c>
      <c r="AU34" s="187">
        <f t="shared" si="25"/>
        <v>190334</v>
      </c>
      <c r="AV34" s="187">
        <f t="shared" si="25"/>
        <v>199934</v>
      </c>
      <c r="AW34" s="187">
        <f t="shared" si="25"/>
        <v>188490.8</v>
      </c>
      <c r="AX34" s="187">
        <f t="shared" si="25"/>
        <v>198014</v>
      </c>
      <c r="AY34" s="187">
        <f t="shared" si="25"/>
        <v>208766</v>
      </c>
      <c r="AZ34" s="187">
        <f t="shared" si="25"/>
        <v>220439.6</v>
      </c>
      <c r="BA34" s="187">
        <f t="shared" si="25"/>
        <v>233342</v>
      </c>
      <c r="BB34" s="187">
        <f t="shared" si="25"/>
        <v>218412.08</v>
      </c>
      <c r="BC34" s="225"/>
      <c r="BD34" s="187">
        <f>SUM(G34:R34)</f>
        <v>188933</v>
      </c>
      <c r="BE34" s="187">
        <f>SUM(S34:AD34)</f>
        <v>966000</v>
      </c>
      <c r="BF34" s="187">
        <f>SUM(AE34:AP34)</f>
        <v>1485960</v>
      </c>
      <c r="BG34" s="187">
        <f>SUM(AQ34:BB34)</f>
        <v>2338812.48</v>
      </c>
      <c r="BH34" s="187">
        <f>BH32+BH26+BH19</f>
        <v>3504869.255</v>
      </c>
      <c r="BI34" s="225"/>
    </row>
    <row r="35" ht="15.75" customHeight="1">
      <c r="A35" s="36"/>
      <c r="B35" s="274"/>
      <c r="C35" s="36"/>
      <c r="D35" s="275"/>
      <c r="E35" s="276"/>
      <c r="F35" s="276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25"/>
      <c r="BD35" s="277"/>
      <c r="BE35" s="277"/>
      <c r="BF35" s="277"/>
      <c r="BG35" s="277"/>
      <c r="BH35" s="277"/>
      <c r="BI35" s="225"/>
    </row>
    <row r="36" ht="15.75" customHeight="1">
      <c r="A36" s="272"/>
      <c r="B36" s="153" t="s">
        <v>317</v>
      </c>
      <c r="C36" s="249"/>
      <c r="D36" s="273" t="s">
        <v>202</v>
      </c>
      <c r="E36" s="249"/>
      <c r="F36" s="249"/>
      <c r="G36" s="187">
        <f t="shared" ref="G36:BB36" si="26">G34+G9</f>
        <v>0</v>
      </c>
      <c r="H36" s="187">
        <f t="shared" si="26"/>
        <v>0</v>
      </c>
      <c r="I36" s="187">
        <f t="shared" si="26"/>
        <v>0</v>
      </c>
      <c r="J36" s="187">
        <f t="shared" si="26"/>
        <v>0</v>
      </c>
      <c r="K36" s="187">
        <f t="shared" si="26"/>
        <v>0</v>
      </c>
      <c r="L36" s="187">
        <f t="shared" si="26"/>
        <v>0</v>
      </c>
      <c r="M36" s="187">
        <f t="shared" si="26"/>
        <v>0</v>
      </c>
      <c r="N36" s="187">
        <f t="shared" si="26"/>
        <v>0</v>
      </c>
      <c r="O36" s="187">
        <f t="shared" si="26"/>
        <v>59000</v>
      </c>
      <c r="P36" s="187">
        <f t="shared" si="26"/>
        <v>59000</v>
      </c>
      <c r="Q36" s="187">
        <f t="shared" si="26"/>
        <v>59000</v>
      </c>
      <c r="R36" s="187">
        <f t="shared" si="26"/>
        <v>247933</v>
      </c>
      <c r="S36" s="187">
        <f t="shared" si="26"/>
        <v>128520</v>
      </c>
      <c r="T36" s="187">
        <f t="shared" si="26"/>
        <v>139320</v>
      </c>
      <c r="U36" s="187">
        <f t="shared" si="26"/>
        <v>139320</v>
      </c>
      <c r="V36" s="187">
        <f t="shared" si="26"/>
        <v>139320</v>
      </c>
      <c r="W36" s="187">
        <f t="shared" si="26"/>
        <v>149320</v>
      </c>
      <c r="X36" s="187">
        <f t="shared" si="26"/>
        <v>149320</v>
      </c>
      <c r="Y36" s="187">
        <f t="shared" si="26"/>
        <v>147320</v>
      </c>
      <c r="Z36" s="187">
        <f t="shared" si="26"/>
        <v>171320</v>
      </c>
      <c r="AA36" s="187">
        <f t="shared" si="26"/>
        <v>180240</v>
      </c>
      <c r="AB36" s="187">
        <f t="shared" si="26"/>
        <v>295840</v>
      </c>
      <c r="AC36" s="187">
        <f t="shared" si="26"/>
        <v>240840</v>
      </c>
      <c r="AD36" s="187">
        <f t="shared" si="26"/>
        <v>195840</v>
      </c>
      <c r="AE36" s="187">
        <f t="shared" si="26"/>
        <v>269547.2</v>
      </c>
      <c r="AF36" s="187">
        <f t="shared" si="26"/>
        <v>272547.2</v>
      </c>
      <c r="AG36" s="187">
        <f t="shared" si="26"/>
        <v>276147.2</v>
      </c>
      <c r="AH36" s="187">
        <f t="shared" si="26"/>
        <v>279147.2</v>
      </c>
      <c r="AI36" s="187">
        <f t="shared" si="26"/>
        <v>283347.2</v>
      </c>
      <c r="AJ36" s="187">
        <f t="shared" si="26"/>
        <v>294647.2</v>
      </c>
      <c r="AK36" s="187">
        <f t="shared" si="26"/>
        <v>300087.2</v>
      </c>
      <c r="AL36" s="187">
        <f t="shared" si="26"/>
        <v>307407.2</v>
      </c>
      <c r="AM36" s="187">
        <f t="shared" si="26"/>
        <v>300807.2</v>
      </c>
      <c r="AN36" s="187">
        <f t="shared" si="26"/>
        <v>307367.2</v>
      </c>
      <c r="AO36" s="187">
        <f t="shared" si="26"/>
        <v>313127.2</v>
      </c>
      <c r="AP36" s="187">
        <f t="shared" si="26"/>
        <v>320327.2</v>
      </c>
      <c r="AQ36" s="187">
        <f t="shared" si="26"/>
        <v>359316.976</v>
      </c>
      <c r="AR36" s="187">
        <f t="shared" si="26"/>
        <v>380460.976</v>
      </c>
      <c r="AS36" s="187">
        <f t="shared" si="26"/>
        <v>387756.976</v>
      </c>
      <c r="AT36" s="187">
        <f t="shared" si="26"/>
        <v>395820.976</v>
      </c>
      <c r="AU36" s="187">
        <f t="shared" si="26"/>
        <v>404652.976</v>
      </c>
      <c r="AV36" s="187">
        <f t="shared" si="26"/>
        <v>414772.976</v>
      </c>
      <c r="AW36" s="187">
        <f t="shared" si="26"/>
        <v>404020.976</v>
      </c>
      <c r="AX36" s="187">
        <f t="shared" si="26"/>
        <v>415617.776</v>
      </c>
      <c r="AY36" s="187">
        <f t="shared" si="26"/>
        <v>426369.776</v>
      </c>
      <c r="AZ36" s="187">
        <f t="shared" si="26"/>
        <v>439425.776</v>
      </c>
      <c r="BA36" s="187">
        <f t="shared" si="26"/>
        <v>452328.176</v>
      </c>
      <c r="BB36" s="187">
        <f t="shared" si="26"/>
        <v>437398.256</v>
      </c>
      <c r="BC36" s="225"/>
      <c r="BD36" s="187">
        <f>SUM(G36:R36)</f>
        <v>424933</v>
      </c>
      <c r="BE36" s="187">
        <f>SUM(S36:AD36)</f>
        <v>2076520</v>
      </c>
      <c r="BF36" s="187">
        <f>SUM(AE36:AP36)</f>
        <v>3524506.4</v>
      </c>
      <c r="BG36" s="187">
        <f>SUM(AQ36:BB36)</f>
        <v>4917942.592</v>
      </c>
      <c r="BH36" s="187">
        <f>BH34+BH9</f>
        <v>7650856.084</v>
      </c>
      <c r="BI36" s="225"/>
    </row>
    <row r="37" ht="15.75" customHeight="1">
      <c r="A37" s="96"/>
      <c r="B37" s="61"/>
      <c r="C37" s="61"/>
      <c r="D37" s="278"/>
      <c r="E37" s="61"/>
      <c r="F37" s="61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</row>
    <row r="38" ht="15.75" customHeight="1">
      <c r="A38" s="272"/>
      <c r="B38" s="153" t="s">
        <v>309</v>
      </c>
      <c r="C38" s="249"/>
      <c r="D38" s="273" t="s">
        <v>202</v>
      </c>
      <c r="E38" s="249"/>
      <c r="F38" s="249"/>
      <c r="G38" s="187">
        <f t="shared" ref="G38:BB38" si="27">G19+G6</f>
        <v>0</v>
      </c>
      <c r="H38" s="187">
        <f t="shared" si="27"/>
        <v>0</v>
      </c>
      <c r="I38" s="187">
        <f t="shared" si="27"/>
        <v>0</v>
      </c>
      <c r="J38" s="187">
        <f t="shared" si="27"/>
        <v>0</v>
      </c>
      <c r="K38" s="187">
        <f t="shared" si="27"/>
        <v>0</v>
      </c>
      <c r="L38" s="187">
        <f t="shared" si="27"/>
        <v>0</v>
      </c>
      <c r="M38" s="187">
        <f t="shared" si="27"/>
        <v>0</v>
      </c>
      <c r="N38" s="187">
        <f t="shared" si="27"/>
        <v>0</v>
      </c>
      <c r="O38" s="187">
        <f t="shared" si="27"/>
        <v>47500</v>
      </c>
      <c r="P38" s="187">
        <f t="shared" si="27"/>
        <v>47500</v>
      </c>
      <c r="Q38" s="187">
        <f t="shared" si="27"/>
        <v>47500</v>
      </c>
      <c r="R38" s="187">
        <f t="shared" si="27"/>
        <v>216433</v>
      </c>
      <c r="S38" s="187">
        <f t="shared" si="27"/>
        <v>75700</v>
      </c>
      <c r="T38" s="187">
        <f t="shared" si="27"/>
        <v>75700</v>
      </c>
      <c r="U38" s="187">
        <f t="shared" si="27"/>
        <v>75700</v>
      </c>
      <c r="V38" s="187">
        <f t="shared" si="27"/>
        <v>75700</v>
      </c>
      <c r="W38" s="187">
        <f t="shared" si="27"/>
        <v>75700</v>
      </c>
      <c r="X38" s="187">
        <f t="shared" si="27"/>
        <v>75700</v>
      </c>
      <c r="Y38" s="187">
        <f t="shared" si="27"/>
        <v>83700</v>
      </c>
      <c r="Z38" s="187">
        <f t="shared" si="27"/>
        <v>89700</v>
      </c>
      <c r="AA38" s="187">
        <f t="shared" si="27"/>
        <v>93700</v>
      </c>
      <c r="AB38" s="187">
        <f t="shared" si="27"/>
        <v>194620</v>
      </c>
      <c r="AC38" s="187">
        <f t="shared" si="27"/>
        <v>139620</v>
      </c>
      <c r="AD38" s="187">
        <f t="shared" si="27"/>
        <v>94620</v>
      </c>
      <c r="AE38" s="187">
        <f t="shared" si="27"/>
        <v>127069.6</v>
      </c>
      <c r="AF38" s="187">
        <f t="shared" si="27"/>
        <v>127069.6</v>
      </c>
      <c r="AG38" s="187">
        <f t="shared" si="27"/>
        <v>127069.6</v>
      </c>
      <c r="AH38" s="187">
        <f t="shared" si="27"/>
        <v>127069.6</v>
      </c>
      <c r="AI38" s="187">
        <f t="shared" si="27"/>
        <v>127069.6</v>
      </c>
      <c r="AJ38" s="187">
        <f t="shared" si="27"/>
        <v>133569.6</v>
      </c>
      <c r="AK38" s="187">
        <f t="shared" si="27"/>
        <v>134209.6</v>
      </c>
      <c r="AL38" s="187">
        <f t="shared" si="27"/>
        <v>134689.6</v>
      </c>
      <c r="AM38" s="187">
        <f t="shared" si="27"/>
        <v>134689.6</v>
      </c>
      <c r="AN38" s="187">
        <f t="shared" si="27"/>
        <v>134689.6</v>
      </c>
      <c r="AO38" s="187">
        <f t="shared" si="27"/>
        <v>134689.6</v>
      </c>
      <c r="AP38" s="187">
        <f t="shared" si="27"/>
        <v>134689.6</v>
      </c>
      <c r="AQ38" s="187">
        <f t="shared" si="27"/>
        <v>150885.168</v>
      </c>
      <c r="AR38" s="187">
        <f t="shared" si="27"/>
        <v>150885.168</v>
      </c>
      <c r="AS38" s="187">
        <f t="shared" si="27"/>
        <v>150885.168</v>
      </c>
      <c r="AT38" s="187">
        <f t="shared" si="27"/>
        <v>150885.168</v>
      </c>
      <c r="AU38" s="187">
        <f t="shared" si="27"/>
        <v>150885.168</v>
      </c>
      <c r="AV38" s="187">
        <f t="shared" si="27"/>
        <v>151405.168</v>
      </c>
      <c r="AW38" s="187">
        <f t="shared" si="27"/>
        <v>152096.368</v>
      </c>
      <c r="AX38" s="187">
        <f t="shared" si="27"/>
        <v>152614.768</v>
      </c>
      <c r="AY38" s="187">
        <f t="shared" si="27"/>
        <v>152614.768</v>
      </c>
      <c r="AZ38" s="187">
        <f t="shared" si="27"/>
        <v>152614.768</v>
      </c>
      <c r="BA38" s="187">
        <f t="shared" si="27"/>
        <v>152614.768</v>
      </c>
      <c r="BB38" s="187">
        <f t="shared" si="27"/>
        <v>152614.768</v>
      </c>
      <c r="BC38" s="225"/>
      <c r="BD38" s="187">
        <f t="shared" ref="BD38:BH38" si="28">BD19+BD6</f>
        <v>358933</v>
      </c>
      <c r="BE38" s="187">
        <f t="shared" si="28"/>
        <v>1150160</v>
      </c>
      <c r="BF38" s="187">
        <f t="shared" si="28"/>
        <v>1576575.2</v>
      </c>
      <c r="BG38" s="187">
        <f t="shared" si="28"/>
        <v>1821001.216</v>
      </c>
      <c r="BH38" s="187">
        <f t="shared" si="28"/>
        <v>3056754.82</v>
      </c>
      <c r="BI38" s="225"/>
    </row>
    <row r="39" ht="15.75" customHeight="1">
      <c r="A39" s="272"/>
      <c r="B39" s="153" t="s">
        <v>313</v>
      </c>
      <c r="C39" s="249"/>
      <c r="D39" s="273" t="s">
        <v>202</v>
      </c>
      <c r="E39" s="249"/>
      <c r="F39" s="249"/>
      <c r="G39" s="187">
        <f t="shared" ref="G39:BB39" si="29">G26+G7</f>
        <v>0</v>
      </c>
      <c r="H39" s="187">
        <f t="shared" si="29"/>
        <v>0</v>
      </c>
      <c r="I39" s="187">
        <f t="shared" si="29"/>
        <v>0</v>
      </c>
      <c r="J39" s="187">
        <f t="shared" si="29"/>
        <v>0</v>
      </c>
      <c r="K39" s="187">
        <f t="shared" si="29"/>
        <v>0</v>
      </c>
      <c r="L39" s="187">
        <f t="shared" si="29"/>
        <v>0</v>
      </c>
      <c r="M39" s="187">
        <f t="shared" si="29"/>
        <v>0</v>
      </c>
      <c r="N39" s="187">
        <f t="shared" si="29"/>
        <v>0</v>
      </c>
      <c r="O39" s="187">
        <f t="shared" si="29"/>
        <v>0</v>
      </c>
      <c r="P39" s="187">
        <f t="shared" si="29"/>
        <v>0</v>
      </c>
      <c r="Q39" s="187">
        <f t="shared" si="29"/>
        <v>0</v>
      </c>
      <c r="R39" s="187">
        <f t="shared" si="29"/>
        <v>20000</v>
      </c>
      <c r="S39" s="187">
        <f t="shared" si="29"/>
        <v>21000</v>
      </c>
      <c r="T39" s="187">
        <f t="shared" si="29"/>
        <v>31800</v>
      </c>
      <c r="U39" s="187">
        <f t="shared" si="29"/>
        <v>31800</v>
      </c>
      <c r="V39" s="187">
        <f t="shared" si="29"/>
        <v>31800</v>
      </c>
      <c r="W39" s="187">
        <f t="shared" si="29"/>
        <v>41800</v>
      </c>
      <c r="X39" s="187">
        <f t="shared" si="29"/>
        <v>41800</v>
      </c>
      <c r="Y39" s="187">
        <f t="shared" si="29"/>
        <v>31800</v>
      </c>
      <c r="Z39" s="187">
        <f t="shared" si="29"/>
        <v>40800</v>
      </c>
      <c r="AA39" s="187">
        <f t="shared" si="29"/>
        <v>40800</v>
      </c>
      <c r="AB39" s="187">
        <f t="shared" si="29"/>
        <v>50300</v>
      </c>
      <c r="AC39" s="187">
        <f t="shared" si="29"/>
        <v>50300</v>
      </c>
      <c r="AD39" s="187">
        <f t="shared" si="29"/>
        <v>50300</v>
      </c>
      <c r="AE39" s="187">
        <f t="shared" si="29"/>
        <v>73564</v>
      </c>
      <c r="AF39" s="187">
        <f t="shared" si="29"/>
        <v>76564</v>
      </c>
      <c r="AG39" s="187">
        <f t="shared" si="29"/>
        <v>80164</v>
      </c>
      <c r="AH39" s="187">
        <f t="shared" si="29"/>
        <v>83164</v>
      </c>
      <c r="AI39" s="187">
        <f t="shared" si="29"/>
        <v>87364</v>
      </c>
      <c r="AJ39" s="187">
        <f t="shared" si="29"/>
        <v>92164</v>
      </c>
      <c r="AK39" s="187">
        <f t="shared" si="29"/>
        <v>96964</v>
      </c>
      <c r="AL39" s="187">
        <f t="shared" si="29"/>
        <v>103084</v>
      </c>
      <c r="AM39" s="187">
        <f t="shared" si="29"/>
        <v>96484</v>
      </c>
      <c r="AN39" s="187">
        <f t="shared" si="29"/>
        <v>102284</v>
      </c>
      <c r="AO39" s="187">
        <f t="shared" si="29"/>
        <v>108044</v>
      </c>
      <c r="AP39" s="187">
        <f t="shared" si="29"/>
        <v>115244</v>
      </c>
      <c r="AQ39" s="187">
        <f t="shared" si="29"/>
        <v>128285.12</v>
      </c>
      <c r="AR39" s="187">
        <f t="shared" si="29"/>
        <v>141929.12</v>
      </c>
      <c r="AS39" s="187">
        <f t="shared" si="29"/>
        <v>149225.12</v>
      </c>
      <c r="AT39" s="187">
        <f t="shared" si="29"/>
        <v>157289.12</v>
      </c>
      <c r="AU39" s="187">
        <f t="shared" si="29"/>
        <v>166121.12</v>
      </c>
      <c r="AV39" s="187">
        <f t="shared" si="29"/>
        <v>175721.12</v>
      </c>
      <c r="AW39" s="187">
        <f t="shared" si="29"/>
        <v>164277.92</v>
      </c>
      <c r="AX39" s="187">
        <f t="shared" si="29"/>
        <v>174578.72</v>
      </c>
      <c r="AY39" s="187">
        <f t="shared" si="29"/>
        <v>185330.72</v>
      </c>
      <c r="AZ39" s="187">
        <f t="shared" si="29"/>
        <v>197565.92</v>
      </c>
      <c r="BA39" s="187">
        <f t="shared" si="29"/>
        <v>210468.32</v>
      </c>
      <c r="BB39" s="187">
        <f t="shared" si="29"/>
        <v>195538.4</v>
      </c>
      <c r="BC39" s="225"/>
      <c r="BD39" s="187">
        <f t="shared" ref="BD39:BH39" si="30">BD26+BD7</f>
        <v>20000</v>
      </c>
      <c r="BE39" s="187">
        <f t="shared" si="30"/>
        <v>464300</v>
      </c>
      <c r="BF39" s="187">
        <f t="shared" si="30"/>
        <v>1115088</v>
      </c>
      <c r="BG39" s="187">
        <f t="shared" si="30"/>
        <v>2046330.72</v>
      </c>
      <c r="BH39" s="187">
        <f t="shared" si="30"/>
        <v>3286395.396</v>
      </c>
      <c r="BI39" s="225"/>
    </row>
    <row r="40" ht="15.75" customHeight="1">
      <c r="A40" s="272"/>
      <c r="B40" s="153" t="s">
        <v>315</v>
      </c>
      <c r="C40" s="249"/>
      <c r="D40" s="273" t="s">
        <v>202</v>
      </c>
      <c r="E40" s="249"/>
      <c r="F40" s="249"/>
      <c r="G40" s="187">
        <f t="shared" ref="G40:BB40" si="31">G32+G8</f>
        <v>0</v>
      </c>
      <c r="H40" s="187">
        <f t="shared" si="31"/>
        <v>0</v>
      </c>
      <c r="I40" s="187">
        <f t="shared" si="31"/>
        <v>0</v>
      </c>
      <c r="J40" s="187">
        <f t="shared" si="31"/>
        <v>0</v>
      </c>
      <c r="K40" s="187">
        <f t="shared" si="31"/>
        <v>0</v>
      </c>
      <c r="L40" s="187">
        <f t="shared" si="31"/>
        <v>0</v>
      </c>
      <c r="M40" s="187">
        <f t="shared" si="31"/>
        <v>0</v>
      </c>
      <c r="N40" s="187">
        <f t="shared" si="31"/>
        <v>0</v>
      </c>
      <c r="O40" s="187">
        <f t="shared" si="31"/>
        <v>11500</v>
      </c>
      <c r="P40" s="187">
        <f t="shared" si="31"/>
        <v>11500</v>
      </c>
      <c r="Q40" s="187">
        <f t="shared" si="31"/>
        <v>11500</v>
      </c>
      <c r="R40" s="187">
        <f t="shared" si="31"/>
        <v>11500</v>
      </c>
      <c r="S40" s="187">
        <f t="shared" si="31"/>
        <v>31820</v>
      </c>
      <c r="T40" s="187">
        <f t="shared" si="31"/>
        <v>31820</v>
      </c>
      <c r="U40" s="187">
        <f t="shared" si="31"/>
        <v>31820</v>
      </c>
      <c r="V40" s="187">
        <f t="shared" si="31"/>
        <v>31820</v>
      </c>
      <c r="W40" s="187">
        <f t="shared" si="31"/>
        <v>31820</v>
      </c>
      <c r="X40" s="187">
        <f t="shared" si="31"/>
        <v>31820</v>
      </c>
      <c r="Y40" s="187">
        <f t="shared" si="31"/>
        <v>31820</v>
      </c>
      <c r="Z40" s="187">
        <f t="shared" si="31"/>
        <v>40820</v>
      </c>
      <c r="AA40" s="187">
        <f t="shared" si="31"/>
        <v>45740</v>
      </c>
      <c r="AB40" s="187">
        <f t="shared" si="31"/>
        <v>50920</v>
      </c>
      <c r="AC40" s="187">
        <f t="shared" si="31"/>
        <v>50920</v>
      </c>
      <c r="AD40" s="187">
        <f t="shared" si="31"/>
        <v>50920</v>
      </c>
      <c r="AE40" s="187">
        <f t="shared" si="31"/>
        <v>68913.6</v>
      </c>
      <c r="AF40" s="187">
        <f t="shared" si="31"/>
        <v>68913.6</v>
      </c>
      <c r="AG40" s="187">
        <f t="shared" si="31"/>
        <v>68913.6</v>
      </c>
      <c r="AH40" s="187">
        <f t="shared" si="31"/>
        <v>68913.6</v>
      </c>
      <c r="AI40" s="187">
        <f t="shared" si="31"/>
        <v>68913.6</v>
      </c>
      <c r="AJ40" s="187">
        <f t="shared" si="31"/>
        <v>68913.6</v>
      </c>
      <c r="AK40" s="187">
        <f t="shared" si="31"/>
        <v>68913.6</v>
      </c>
      <c r="AL40" s="187">
        <f t="shared" si="31"/>
        <v>69633.6</v>
      </c>
      <c r="AM40" s="187">
        <f t="shared" si="31"/>
        <v>69633.6</v>
      </c>
      <c r="AN40" s="187">
        <f t="shared" si="31"/>
        <v>70393.6</v>
      </c>
      <c r="AO40" s="187">
        <f t="shared" si="31"/>
        <v>70393.6</v>
      </c>
      <c r="AP40" s="187">
        <f t="shared" si="31"/>
        <v>70393.6</v>
      </c>
      <c r="AQ40" s="187">
        <f t="shared" si="31"/>
        <v>80146.688</v>
      </c>
      <c r="AR40" s="187">
        <f t="shared" si="31"/>
        <v>87646.688</v>
      </c>
      <c r="AS40" s="187">
        <f t="shared" si="31"/>
        <v>87646.688</v>
      </c>
      <c r="AT40" s="187">
        <f t="shared" si="31"/>
        <v>87646.688</v>
      </c>
      <c r="AU40" s="187">
        <f t="shared" si="31"/>
        <v>87646.688</v>
      </c>
      <c r="AV40" s="187">
        <f t="shared" si="31"/>
        <v>87646.688</v>
      </c>
      <c r="AW40" s="187">
        <f t="shared" si="31"/>
        <v>87646.688</v>
      </c>
      <c r="AX40" s="187">
        <f t="shared" si="31"/>
        <v>88424.288</v>
      </c>
      <c r="AY40" s="187">
        <f t="shared" si="31"/>
        <v>88424.288</v>
      </c>
      <c r="AZ40" s="187">
        <f t="shared" si="31"/>
        <v>89245.088</v>
      </c>
      <c r="BA40" s="187">
        <f t="shared" si="31"/>
        <v>89245.088</v>
      </c>
      <c r="BB40" s="187">
        <f t="shared" si="31"/>
        <v>89245.088</v>
      </c>
      <c r="BC40" s="225"/>
      <c r="BD40" s="187">
        <f t="shared" ref="BD40:BH40" si="32">BD32+BD8</f>
        <v>46000</v>
      </c>
      <c r="BE40" s="187">
        <f t="shared" si="32"/>
        <v>462060</v>
      </c>
      <c r="BF40" s="187">
        <f t="shared" si="32"/>
        <v>832843.2</v>
      </c>
      <c r="BG40" s="187">
        <f t="shared" si="32"/>
        <v>1050610.656</v>
      </c>
      <c r="BH40" s="187">
        <f t="shared" si="32"/>
        <v>1307705.869</v>
      </c>
      <c r="BI40" s="225"/>
    </row>
    <row r="41" ht="15.75" customHeight="1">
      <c r="A41" s="279"/>
      <c r="B41" s="279" t="s">
        <v>318</v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80">
        <f t="shared" ref="S41:BB41" si="33">S38/S$36</f>
        <v>0.5890133831</v>
      </c>
      <c r="T41" s="280">
        <f t="shared" si="33"/>
        <v>0.543353431</v>
      </c>
      <c r="U41" s="280">
        <f t="shared" si="33"/>
        <v>0.543353431</v>
      </c>
      <c r="V41" s="280">
        <f t="shared" si="33"/>
        <v>0.543353431</v>
      </c>
      <c r="W41" s="280">
        <f t="shared" si="33"/>
        <v>0.5069649076</v>
      </c>
      <c r="X41" s="280">
        <f t="shared" si="33"/>
        <v>0.5069649076</v>
      </c>
      <c r="Y41" s="280">
        <f t="shared" si="33"/>
        <v>0.5681509639</v>
      </c>
      <c r="Z41" s="280">
        <f t="shared" si="33"/>
        <v>0.5235816017</v>
      </c>
      <c r="AA41" s="280">
        <f t="shared" si="33"/>
        <v>0.5198624057</v>
      </c>
      <c r="AB41" s="280">
        <f t="shared" si="33"/>
        <v>0.6578555976</v>
      </c>
      <c r="AC41" s="280">
        <f t="shared" si="33"/>
        <v>0.5797209766</v>
      </c>
      <c r="AD41" s="280">
        <f t="shared" si="33"/>
        <v>0.4831495098</v>
      </c>
      <c r="AE41" s="280">
        <f t="shared" si="33"/>
        <v>0.4714187348</v>
      </c>
      <c r="AF41" s="280">
        <f t="shared" si="33"/>
        <v>0.4662297026</v>
      </c>
      <c r="AG41" s="280">
        <f t="shared" si="33"/>
        <v>0.4601516872</v>
      </c>
      <c r="AH41" s="280">
        <f t="shared" si="33"/>
        <v>0.4552064287</v>
      </c>
      <c r="AI41" s="280">
        <f t="shared" si="33"/>
        <v>0.4484589931</v>
      </c>
      <c r="AJ41" s="280">
        <f t="shared" si="33"/>
        <v>0.4533204456</v>
      </c>
      <c r="AK41" s="280">
        <f t="shared" si="33"/>
        <v>0.4472353369</v>
      </c>
      <c r="AL41" s="280">
        <f t="shared" si="33"/>
        <v>0.4381471872</v>
      </c>
      <c r="AM41" s="280">
        <f t="shared" si="33"/>
        <v>0.4477605589</v>
      </c>
      <c r="AN41" s="280">
        <f t="shared" si="33"/>
        <v>0.4382042066</v>
      </c>
      <c r="AO41" s="280">
        <f t="shared" si="33"/>
        <v>0.430143405</v>
      </c>
      <c r="AP41" s="280">
        <f t="shared" si="33"/>
        <v>0.4204750642</v>
      </c>
      <c r="AQ41" s="280">
        <f t="shared" si="33"/>
        <v>0.4199221804</v>
      </c>
      <c r="AR41" s="280">
        <f t="shared" si="33"/>
        <v>0.3965851362</v>
      </c>
      <c r="AS41" s="280">
        <f t="shared" si="33"/>
        <v>0.3891230264</v>
      </c>
      <c r="AT41" s="280">
        <f t="shared" si="33"/>
        <v>0.3811954827</v>
      </c>
      <c r="AU41" s="280">
        <f t="shared" si="33"/>
        <v>0.3728754685</v>
      </c>
      <c r="AV41" s="280">
        <f t="shared" si="33"/>
        <v>0.365031419</v>
      </c>
      <c r="AW41" s="280">
        <f t="shared" si="33"/>
        <v>0.3764566125</v>
      </c>
      <c r="AX41" s="280">
        <f t="shared" si="33"/>
        <v>0.3671998091</v>
      </c>
      <c r="AY41" s="280">
        <f t="shared" si="33"/>
        <v>0.3579399305</v>
      </c>
      <c r="AZ41" s="280">
        <f t="shared" si="33"/>
        <v>0.3473049974</v>
      </c>
      <c r="BA41" s="280">
        <f t="shared" si="33"/>
        <v>0.3373983229</v>
      </c>
      <c r="BB41" s="280">
        <f t="shared" si="33"/>
        <v>0.3489148983</v>
      </c>
      <c r="BC41" s="174"/>
      <c r="BD41" s="280">
        <f t="shared" ref="BD41:BH41" si="34">BD38/BD$36</f>
        <v>0.8446813968</v>
      </c>
      <c r="BE41" s="280">
        <f t="shared" si="34"/>
        <v>0.5538882361</v>
      </c>
      <c r="BF41" s="280">
        <f t="shared" si="34"/>
        <v>0.4473180131</v>
      </c>
      <c r="BG41" s="280">
        <f t="shared" si="34"/>
        <v>0.370277038</v>
      </c>
      <c r="BH41" s="280">
        <f t="shared" si="34"/>
        <v>0.3995310834</v>
      </c>
      <c r="BI41" s="174"/>
    </row>
    <row r="42" ht="15.75" customHeight="1">
      <c r="A42" s="279"/>
      <c r="B42" s="279" t="s">
        <v>319</v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80">
        <f t="shared" ref="S42:BB42" si="35">S39/S$36</f>
        <v>0.1633986928</v>
      </c>
      <c r="T42" s="280">
        <f t="shared" si="35"/>
        <v>0.2282515073</v>
      </c>
      <c r="U42" s="280">
        <f t="shared" si="35"/>
        <v>0.2282515073</v>
      </c>
      <c r="V42" s="280">
        <f t="shared" si="35"/>
        <v>0.2282515073</v>
      </c>
      <c r="W42" s="280">
        <f t="shared" si="35"/>
        <v>0.2799357085</v>
      </c>
      <c r="X42" s="280">
        <f t="shared" si="35"/>
        <v>0.2799357085</v>
      </c>
      <c r="Y42" s="280">
        <f t="shared" si="35"/>
        <v>0.2158566386</v>
      </c>
      <c r="Z42" s="280">
        <f t="shared" si="35"/>
        <v>0.2381508289</v>
      </c>
      <c r="AA42" s="280">
        <f t="shared" si="35"/>
        <v>0.2263648469</v>
      </c>
      <c r="AB42" s="280">
        <f t="shared" si="35"/>
        <v>0.1700243375</v>
      </c>
      <c r="AC42" s="280">
        <f t="shared" si="35"/>
        <v>0.2088523501</v>
      </c>
      <c r="AD42" s="280">
        <f t="shared" si="35"/>
        <v>0.2568423203</v>
      </c>
      <c r="AE42" s="280">
        <f t="shared" si="35"/>
        <v>0.2729169511</v>
      </c>
      <c r="AF42" s="280">
        <f t="shared" si="35"/>
        <v>0.2809201489</v>
      </c>
      <c r="AG42" s="280">
        <f t="shared" si="35"/>
        <v>0.2902944517</v>
      </c>
      <c r="AH42" s="280">
        <f t="shared" si="35"/>
        <v>0.29792167</v>
      </c>
      <c r="AI42" s="280">
        <f t="shared" si="35"/>
        <v>0.3083284395</v>
      </c>
      <c r="AJ42" s="280">
        <f t="shared" si="35"/>
        <v>0.3127944199</v>
      </c>
      <c r="AK42" s="280">
        <f t="shared" si="35"/>
        <v>0.3231194133</v>
      </c>
      <c r="AL42" s="280">
        <f t="shared" si="35"/>
        <v>0.3353337202</v>
      </c>
      <c r="AM42" s="280">
        <f t="shared" si="35"/>
        <v>0.3207503012</v>
      </c>
      <c r="AN42" s="280">
        <f t="shared" si="35"/>
        <v>0.3327746097</v>
      </c>
      <c r="AO42" s="280">
        <f t="shared" si="35"/>
        <v>0.3450482743</v>
      </c>
      <c r="AP42" s="280">
        <f t="shared" si="35"/>
        <v>0.3597696355</v>
      </c>
      <c r="AQ42" s="280">
        <f t="shared" si="35"/>
        <v>0.357024935</v>
      </c>
      <c r="AR42" s="280">
        <f t="shared" si="35"/>
        <v>0.3730451451</v>
      </c>
      <c r="AS42" s="280">
        <f t="shared" si="35"/>
        <v>0.3848418706</v>
      </c>
      <c r="AT42" s="280">
        <f t="shared" si="35"/>
        <v>0.3973743928</v>
      </c>
      <c r="AU42" s="280">
        <f t="shared" si="35"/>
        <v>0.4105273651</v>
      </c>
      <c r="AV42" s="280">
        <f t="shared" si="35"/>
        <v>0.4236561448</v>
      </c>
      <c r="AW42" s="280">
        <f t="shared" si="35"/>
        <v>0.4066074035</v>
      </c>
      <c r="AX42" s="280">
        <f t="shared" si="35"/>
        <v>0.4200463264</v>
      </c>
      <c r="AY42" s="280">
        <f t="shared" si="35"/>
        <v>0.4346713356</v>
      </c>
      <c r="AZ42" s="280">
        <f t="shared" si="35"/>
        <v>0.4496002073</v>
      </c>
      <c r="BA42" s="280">
        <f t="shared" si="35"/>
        <v>0.4653000436</v>
      </c>
      <c r="BB42" s="280">
        <f t="shared" si="35"/>
        <v>0.447048879</v>
      </c>
      <c r="BC42" s="174"/>
      <c r="BD42" s="280">
        <f t="shared" ref="BD42:BH42" si="36">BD39/BD$36</f>
        <v>0.04706624338</v>
      </c>
      <c r="BE42" s="280">
        <f t="shared" si="36"/>
        <v>0.2235952459</v>
      </c>
      <c r="BF42" s="280">
        <f t="shared" si="36"/>
        <v>0.3163813236</v>
      </c>
      <c r="BG42" s="280">
        <f t="shared" si="36"/>
        <v>0.4160948774</v>
      </c>
      <c r="BH42" s="280">
        <f t="shared" si="36"/>
        <v>0.4295461004</v>
      </c>
      <c r="BI42" s="174"/>
    </row>
    <row r="43" ht="15.75" customHeight="1">
      <c r="A43" s="279"/>
      <c r="B43" s="279" t="s">
        <v>320</v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80">
        <f t="shared" ref="S43:BB43" si="37">S40/S$36</f>
        <v>0.2475879241</v>
      </c>
      <c r="T43" s="280">
        <f t="shared" si="37"/>
        <v>0.2283950617</v>
      </c>
      <c r="U43" s="280">
        <f t="shared" si="37"/>
        <v>0.2283950617</v>
      </c>
      <c r="V43" s="280">
        <f t="shared" si="37"/>
        <v>0.2283950617</v>
      </c>
      <c r="W43" s="280">
        <f t="shared" si="37"/>
        <v>0.2130993839</v>
      </c>
      <c r="X43" s="280">
        <f t="shared" si="37"/>
        <v>0.2130993839</v>
      </c>
      <c r="Y43" s="280">
        <f t="shared" si="37"/>
        <v>0.2159923975</v>
      </c>
      <c r="Z43" s="280">
        <f t="shared" si="37"/>
        <v>0.2382675695</v>
      </c>
      <c r="AA43" s="280">
        <f t="shared" si="37"/>
        <v>0.2537727474</v>
      </c>
      <c r="AB43" s="280">
        <f t="shared" si="37"/>
        <v>0.1721200649</v>
      </c>
      <c r="AC43" s="280">
        <f t="shared" si="37"/>
        <v>0.2114266733</v>
      </c>
      <c r="AD43" s="280">
        <f t="shared" si="37"/>
        <v>0.2600081699</v>
      </c>
      <c r="AE43" s="280">
        <f t="shared" si="37"/>
        <v>0.2556643141</v>
      </c>
      <c r="AF43" s="280">
        <f t="shared" si="37"/>
        <v>0.2528501485</v>
      </c>
      <c r="AG43" s="280">
        <f t="shared" si="37"/>
        <v>0.2495538611</v>
      </c>
      <c r="AH43" s="280">
        <f t="shared" si="37"/>
        <v>0.2468719013</v>
      </c>
      <c r="AI43" s="280">
        <f t="shared" si="37"/>
        <v>0.2432125675</v>
      </c>
      <c r="AJ43" s="280">
        <f t="shared" si="37"/>
        <v>0.2338851345</v>
      </c>
      <c r="AK43" s="280">
        <f t="shared" si="37"/>
        <v>0.2296452498</v>
      </c>
      <c r="AL43" s="280">
        <f t="shared" si="37"/>
        <v>0.2265190926</v>
      </c>
      <c r="AM43" s="280">
        <f t="shared" si="37"/>
        <v>0.2314891399</v>
      </c>
      <c r="AN43" s="280">
        <f t="shared" si="37"/>
        <v>0.2290211838</v>
      </c>
      <c r="AO43" s="280">
        <f t="shared" si="37"/>
        <v>0.2248083207</v>
      </c>
      <c r="AP43" s="280">
        <f t="shared" si="37"/>
        <v>0.2197553002</v>
      </c>
      <c r="AQ43" s="280">
        <f t="shared" si="37"/>
        <v>0.2230528846</v>
      </c>
      <c r="AR43" s="280">
        <f t="shared" si="37"/>
        <v>0.2303697187</v>
      </c>
      <c r="AS43" s="280">
        <f t="shared" si="37"/>
        <v>0.226035103</v>
      </c>
      <c r="AT43" s="280">
        <f t="shared" si="37"/>
        <v>0.2214301245</v>
      </c>
      <c r="AU43" s="280">
        <f t="shared" si="37"/>
        <v>0.2165971665</v>
      </c>
      <c r="AV43" s="280">
        <f t="shared" si="37"/>
        <v>0.2113124361</v>
      </c>
      <c r="AW43" s="280">
        <f t="shared" si="37"/>
        <v>0.216935984</v>
      </c>
      <c r="AX43" s="280">
        <f t="shared" si="37"/>
        <v>0.2127538645</v>
      </c>
      <c r="AY43" s="280">
        <f t="shared" si="37"/>
        <v>0.2073887339</v>
      </c>
      <c r="AZ43" s="280">
        <f t="shared" si="37"/>
        <v>0.2030947952</v>
      </c>
      <c r="BA43" s="280">
        <f t="shared" si="37"/>
        <v>0.1973016335</v>
      </c>
      <c r="BB43" s="280">
        <f t="shared" si="37"/>
        <v>0.2040362228</v>
      </c>
      <c r="BC43" s="174"/>
      <c r="BD43" s="280">
        <f t="shared" ref="BD43:BH43" si="38">BD40/BD$36</f>
        <v>0.1082523598</v>
      </c>
      <c r="BE43" s="280">
        <f t="shared" si="38"/>
        <v>0.222516518</v>
      </c>
      <c r="BF43" s="280">
        <f t="shared" si="38"/>
        <v>0.2363006633</v>
      </c>
      <c r="BG43" s="280">
        <f t="shared" si="38"/>
        <v>0.2136280846</v>
      </c>
      <c r="BH43" s="280">
        <f t="shared" si="38"/>
        <v>0.1709228163</v>
      </c>
      <c r="BI43" s="174"/>
    </row>
    <row r="44" ht="15.75" customHeight="1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  <c r="AK44" s="281"/>
      <c r="AL44" s="281"/>
      <c r="AM44" s="281"/>
      <c r="AN44" s="281"/>
      <c r="AO44" s="281"/>
      <c r="AP44" s="281"/>
      <c r="AQ44" s="281"/>
      <c r="AR44" s="281"/>
      <c r="AS44" s="281"/>
      <c r="AT44" s="281"/>
      <c r="AU44" s="281"/>
      <c r="AV44" s="281"/>
      <c r="AW44" s="281"/>
      <c r="AX44" s="281"/>
      <c r="AY44" s="281"/>
      <c r="AZ44" s="281"/>
      <c r="BA44" s="281"/>
      <c r="BB44" s="281"/>
      <c r="BC44" s="174"/>
      <c r="BD44" s="281"/>
      <c r="BE44" s="281"/>
      <c r="BF44" s="281"/>
      <c r="BG44" s="281"/>
      <c r="BH44" s="281"/>
      <c r="BI44" s="174"/>
    </row>
    <row r="45" ht="15.75" customHeight="1">
      <c r="A45" s="35"/>
      <c r="B45" s="28"/>
      <c r="C45" s="28"/>
      <c r="D45" s="85"/>
      <c r="E45" s="28"/>
      <c r="F45" s="28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4"/>
    </row>
    <row r="46" ht="15.75" customHeight="1">
      <c r="A46" s="35"/>
      <c r="B46" s="28"/>
      <c r="C46" s="28"/>
      <c r="D46" s="85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</row>
    <row r="47" ht="15.75" customHeight="1">
      <c r="A47" s="35"/>
      <c r="B47" s="28"/>
      <c r="C47" s="28"/>
      <c r="D47" s="8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4"/>
      <c r="BI47" s="174"/>
    </row>
    <row r="48" ht="15.75" customHeight="1">
      <c r="A48" s="35"/>
      <c r="B48" s="28"/>
      <c r="C48" s="28"/>
      <c r="D48" s="85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4"/>
      <c r="BI48" s="174"/>
    </row>
    <row r="49" ht="15.75" customHeight="1">
      <c r="A49" s="35"/>
      <c r="B49" s="28"/>
      <c r="C49" s="28"/>
      <c r="D49" s="85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  <c r="BI49" s="174"/>
    </row>
    <row r="50" ht="15.75" customHeight="1">
      <c r="A50" s="35"/>
      <c r="B50" s="28"/>
      <c r="C50" s="28"/>
      <c r="D50" s="85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4"/>
      <c r="BI50" s="174"/>
    </row>
    <row r="51" ht="15.75" customHeight="1">
      <c r="A51" s="35"/>
      <c r="B51" s="28"/>
      <c r="C51" s="28"/>
      <c r="D51" s="85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4"/>
      <c r="BI51" s="174"/>
    </row>
    <row r="52" ht="15.75" customHeight="1">
      <c r="A52" s="35"/>
      <c r="B52" s="28"/>
      <c r="C52" s="28"/>
      <c r="D52" s="85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4"/>
      <c r="BI52" s="174"/>
    </row>
    <row r="53" ht="15.75" customHeight="1">
      <c r="A53" s="35"/>
      <c r="B53" s="28"/>
      <c r="C53" s="28"/>
      <c r="D53" s="85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  <c r="BA53" s="174"/>
      <c r="BB53" s="174"/>
      <c r="BC53" s="174"/>
      <c r="BD53" s="174"/>
      <c r="BE53" s="174"/>
      <c r="BF53" s="174"/>
      <c r="BG53" s="174"/>
      <c r="BH53" s="174"/>
      <c r="BI53" s="174"/>
    </row>
    <row r="54" ht="15.75" customHeight="1">
      <c r="A54" s="35"/>
      <c r="B54" s="28"/>
      <c r="C54" s="28"/>
      <c r="D54" s="85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  <c r="BA54" s="174"/>
      <c r="BB54" s="174"/>
      <c r="BC54" s="174"/>
      <c r="BD54" s="174"/>
      <c r="BE54" s="174"/>
      <c r="BF54" s="174"/>
      <c r="BG54" s="174"/>
      <c r="BH54" s="174"/>
      <c r="BI54" s="174"/>
    </row>
    <row r="55" ht="15.75" customHeight="1">
      <c r="A55" s="35"/>
      <c r="B55" s="28"/>
      <c r="C55" s="28"/>
      <c r="D55" s="85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4"/>
      <c r="BE55" s="174"/>
      <c r="BF55" s="174"/>
      <c r="BG55" s="174"/>
      <c r="BH55" s="174"/>
      <c r="BI55" s="174"/>
    </row>
    <row r="56" ht="15.75" customHeight="1">
      <c r="A56" s="35"/>
      <c r="B56" s="28"/>
      <c r="C56" s="28"/>
      <c r="D56" s="85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  <c r="BI56" s="174"/>
    </row>
    <row r="57" ht="15.75" customHeight="1">
      <c r="A57" s="35"/>
      <c r="B57" s="28"/>
      <c r="C57" s="28"/>
      <c r="D57" s="85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</row>
    <row r="58" ht="15.75" customHeight="1">
      <c r="A58" s="35"/>
      <c r="B58" s="28"/>
      <c r="C58" s="28"/>
      <c r="D58" s="85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  <c r="BI58" s="174"/>
    </row>
    <row r="59" ht="15.75" customHeight="1">
      <c r="A59" s="35"/>
      <c r="B59" s="28"/>
      <c r="C59" s="28"/>
      <c r="D59" s="85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4"/>
    </row>
    <row r="60" ht="15.75" customHeight="1">
      <c r="A60" s="35"/>
      <c r="B60" s="28"/>
      <c r="C60" s="28"/>
      <c r="D60" s="85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4"/>
    </row>
    <row r="61" ht="15.75" customHeight="1">
      <c r="A61" s="35"/>
      <c r="B61" s="28"/>
      <c r="C61" s="28"/>
      <c r="D61" s="85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4"/>
    </row>
    <row r="62" ht="15.75" customHeight="1">
      <c r="A62" s="35"/>
      <c r="B62" s="28"/>
      <c r="C62" s="28"/>
      <c r="D62" s="85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  <c r="BI62" s="174"/>
    </row>
    <row r="63" ht="15.75" customHeight="1">
      <c r="A63" s="35"/>
      <c r="B63" s="28"/>
      <c r="C63" s="28"/>
      <c r="D63" s="85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4"/>
      <c r="AU63" s="174"/>
      <c r="AV63" s="174"/>
      <c r="AW63" s="174"/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  <c r="BH63" s="174"/>
      <c r="BI63" s="174"/>
    </row>
    <row r="64" ht="15.75" customHeight="1">
      <c r="A64" s="35"/>
      <c r="B64" s="28"/>
      <c r="C64" s="28"/>
      <c r="D64" s="85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174"/>
      <c r="BD64" s="174"/>
      <c r="BE64" s="174"/>
      <c r="BF64" s="174"/>
      <c r="BG64" s="174"/>
      <c r="BH64" s="174"/>
      <c r="BI64" s="174"/>
    </row>
    <row r="65" ht="15.75" customHeight="1">
      <c r="A65" s="35"/>
      <c r="B65" s="28"/>
      <c r="C65" s="28"/>
      <c r="D65" s="85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4"/>
      <c r="AX65" s="174"/>
      <c r="AY65" s="174"/>
      <c r="AZ65" s="174"/>
      <c r="BA65" s="174"/>
      <c r="BB65" s="174"/>
      <c r="BC65" s="174"/>
      <c r="BD65" s="174"/>
      <c r="BE65" s="174"/>
      <c r="BF65" s="174"/>
      <c r="BG65" s="174"/>
      <c r="BH65" s="174"/>
      <c r="BI65" s="174"/>
    </row>
    <row r="66" ht="15.75" customHeight="1">
      <c r="A66" s="35"/>
      <c r="B66" s="28"/>
      <c r="C66" s="28"/>
      <c r="D66" s="85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4"/>
      <c r="BI66" s="174"/>
    </row>
    <row r="67" ht="15.75" customHeight="1">
      <c r="A67" s="35"/>
      <c r="B67" s="28"/>
      <c r="C67" s="28"/>
      <c r="D67" s="85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</row>
    <row r="68" ht="15.75" customHeight="1">
      <c r="A68" s="35"/>
      <c r="B68" s="28"/>
      <c r="C68" s="28"/>
      <c r="D68" s="85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4"/>
      <c r="AS68" s="174"/>
      <c r="AT68" s="174"/>
      <c r="AU68" s="174"/>
      <c r="AV68" s="174"/>
      <c r="AW68" s="174"/>
      <c r="AX68" s="174"/>
      <c r="AY68" s="174"/>
      <c r="AZ68" s="174"/>
      <c r="BA68" s="174"/>
      <c r="BB68" s="174"/>
      <c r="BC68" s="174"/>
      <c r="BD68" s="174"/>
      <c r="BE68" s="174"/>
      <c r="BF68" s="174"/>
      <c r="BG68" s="174"/>
      <c r="BH68" s="174"/>
      <c r="BI68" s="174"/>
    </row>
    <row r="69" ht="15.75" customHeight="1">
      <c r="A69" s="35"/>
      <c r="B69" s="28"/>
      <c r="C69" s="28"/>
      <c r="D69" s="85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  <c r="BA69" s="174"/>
      <c r="BB69" s="174"/>
      <c r="BC69" s="174"/>
      <c r="BD69" s="174"/>
      <c r="BE69" s="174"/>
      <c r="BF69" s="174"/>
      <c r="BG69" s="174"/>
      <c r="BH69" s="174"/>
      <c r="BI69" s="174"/>
    </row>
    <row r="70" ht="15.75" customHeight="1">
      <c r="A70" s="35"/>
      <c r="B70" s="28"/>
      <c r="C70" s="28"/>
      <c r="D70" s="85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4"/>
    </row>
    <row r="71" ht="15.75" customHeight="1">
      <c r="A71" s="35"/>
      <c r="B71" s="28"/>
      <c r="C71" s="28"/>
      <c r="D71" s="8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  <c r="AQ71" s="174"/>
      <c r="AR71" s="174"/>
      <c r="AS71" s="174"/>
      <c r="AT71" s="174"/>
      <c r="AU71" s="174"/>
      <c r="AV71" s="174"/>
      <c r="AW71" s="174"/>
      <c r="AX71" s="174"/>
      <c r="AY71" s="174"/>
      <c r="AZ71" s="174"/>
      <c r="BA71" s="174"/>
      <c r="BB71" s="174"/>
      <c r="BC71" s="174"/>
      <c r="BD71" s="174"/>
      <c r="BE71" s="174"/>
      <c r="BF71" s="174"/>
      <c r="BG71" s="174"/>
      <c r="BH71" s="174"/>
      <c r="BI71" s="174"/>
    </row>
    <row r="72" ht="15.75" customHeight="1">
      <c r="A72" s="35"/>
      <c r="B72" s="28"/>
      <c r="C72" s="28"/>
      <c r="D72" s="85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4"/>
      <c r="AS72" s="174"/>
      <c r="AT72" s="174"/>
      <c r="AU72" s="174"/>
      <c r="AV72" s="174"/>
      <c r="AW72" s="174"/>
      <c r="AX72" s="174"/>
      <c r="AY72" s="174"/>
      <c r="AZ72" s="174"/>
      <c r="BA72" s="174"/>
      <c r="BB72" s="174"/>
      <c r="BC72" s="174"/>
      <c r="BD72" s="174"/>
      <c r="BE72" s="174"/>
      <c r="BF72" s="174"/>
      <c r="BG72" s="174"/>
      <c r="BH72" s="174"/>
      <c r="BI72" s="174"/>
    </row>
    <row r="73" ht="15.75" customHeight="1">
      <c r="A73" s="35"/>
      <c r="B73" s="28"/>
      <c r="C73" s="28"/>
      <c r="D73" s="8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  <c r="AW73" s="174"/>
      <c r="AX73" s="174"/>
      <c r="AY73" s="174"/>
      <c r="AZ73" s="174"/>
      <c r="BA73" s="174"/>
      <c r="BB73" s="174"/>
      <c r="BC73" s="174"/>
      <c r="BD73" s="174"/>
      <c r="BE73" s="174"/>
      <c r="BF73" s="174"/>
      <c r="BG73" s="174"/>
      <c r="BH73" s="174"/>
      <c r="BI73" s="174"/>
    </row>
    <row r="74" ht="15.75" customHeight="1">
      <c r="A74" s="35"/>
      <c r="B74" s="28"/>
      <c r="C74" s="28"/>
      <c r="D74" s="8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4"/>
      <c r="AS74" s="174"/>
      <c r="AT74" s="174"/>
      <c r="AU74" s="174"/>
      <c r="AV74" s="174"/>
      <c r="AW74" s="174"/>
      <c r="AX74" s="174"/>
      <c r="AY74" s="174"/>
      <c r="AZ74" s="174"/>
      <c r="BA74" s="174"/>
      <c r="BB74" s="174"/>
      <c r="BC74" s="174"/>
      <c r="BD74" s="174"/>
      <c r="BE74" s="174"/>
      <c r="BF74" s="174"/>
      <c r="BG74" s="174"/>
      <c r="BH74" s="174"/>
      <c r="BI74" s="174"/>
    </row>
    <row r="75" ht="15.75" customHeight="1">
      <c r="A75" s="35"/>
      <c r="B75" s="28"/>
      <c r="C75" s="28"/>
      <c r="D75" s="8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4"/>
      <c r="AS75" s="174"/>
      <c r="AT75" s="174"/>
      <c r="AU75" s="174"/>
      <c r="AV75" s="174"/>
      <c r="AW75" s="174"/>
      <c r="AX75" s="174"/>
      <c r="AY75" s="174"/>
      <c r="AZ75" s="174"/>
      <c r="BA75" s="174"/>
      <c r="BB75" s="174"/>
      <c r="BC75" s="174"/>
      <c r="BD75" s="174"/>
      <c r="BE75" s="174"/>
      <c r="BF75" s="174"/>
      <c r="BG75" s="174"/>
      <c r="BH75" s="174"/>
      <c r="BI75" s="174"/>
    </row>
    <row r="76" ht="15.75" customHeight="1">
      <c r="A76" s="35"/>
      <c r="B76" s="28"/>
      <c r="C76" s="28"/>
      <c r="D76" s="8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4"/>
      <c r="AS76" s="174"/>
      <c r="AT76" s="174"/>
      <c r="AU76" s="174"/>
      <c r="AV76" s="174"/>
      <c r="AW76" s="174"/>
      <c r="AX76" s="174"/>
      <c r="AY76" s="174"/>
      <c r="AZ76" s="174"/>
      <c r="BA76" s="174"/>
      <c r="BB76" s="174"/>
      <c r="BC76" s="174"/>
      <c r="BD76" s="174"/>
      <c r="BE76" s="174"/>
      <c r="BF76" s="174"/>
      <c r="BG76" s="174"/>
      <c r="BH76" s="174"/>
      <c r="BI76" s="174"/>
    </row>
    <row r="77" ht="15.75" customHeight="1">
      <c r="A77" s="35"/>
      <c r="B77" s="28"/>
      <c r="C77" s="28"/>
      <c r="D77" s="8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  <c r="BI77" s="174"/>
    </row>
    <row r="78" ht="15.75" customHeight="1">
      <c r="A78" s="35"/>
      <c r="B78" s="28"/>
      <c r="C78" s="28"/>
      <c r="D78" s="85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  <c r="BI78" s="174"/>
    </row>
    <row r="79" ht="15.75" customHeight="1">
      <c r="A79" s="35"/>
      <c r="B79" s="28"/>
      <c r="C79" s="28"/>
      <c r="D79" s="85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</row>
    <row r="80" ht="15.75" customHeight="1">
      <c r="A80" s="35"/>
      <c r="B80" s="28"/>
      <c r="C80" s="28"/>
      <c r="D80" s="85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</row>
    <row r="81" ht="15.75" customHeight="1">
      <c r="A81" s="35"/>
      <c r="B81" s="28"/>
      <c r="C81" s="28"/>
      <c r="D81" s="85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</row>
    <row r="82" ht="15.75" customHeight="1">
      <c r="A82" s="35"/>
      <c r="B82" s="28"/>
      <c r="C82" s="28"/>
      <c r="D82" s="85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  <c r="AM82" s="174"/>
      <c r="AN82" s="174"/>
      <c r="AO82" s="174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4"/>
    </row>
    <row r="83" ht="15.75" customHeight="1">
      <c r="A83" s="35"/>
      <c r="B83" s="28"/>
      <c r="C83" s="28"/>
      <c r="D83" s="85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4"/>
      <c r="AM83" s="174"/>
      <c r="AN83" s="174"/>
      <c r="AO83" s="174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</row>
    <row r="84" ht="15.75" customHeight="1">
      <c r="A84" s="35"/>
      <c r="B84" s="28"/>
      <c r="C84" s="28"/>
      <c r="D84" s="85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/>
      <c r="AL84" s="174"/>
      <c r="AM84" s="174"/>
      <c r="AN84" s="174"/>
      <c r="AO84" s="174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4"/>
    </row>
    <row r="85" ht="15.75" customHeight="1">
      <c r="A85" s="35"/>
      <c r="B85" s="28"/>
      <c r="C85" s="28"/>
      <c r="D85" s="85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4"/>
      <c r="AM85" s="174"/>
      <c r="AN85" s="174"/>
      <c r="AO85" s="174"/>
      <c r="AP85" s="174"/>
      <c r="AQ85" s="174"/>
      <c r="AR85" s="174"/>
      <c r="AS85" s="174"/>
      <c r="AT85" s="174"/>
      <c r="AU85" s="174"/>
      <c r="AV85" s="174"/>
      <c r="AW85" s="174"/>
      <c r="AX85" s="174"/>
      <c r="AY85" s="174"/>
      <c r="AZ85" s="174"/>
      <c r="BA85" s="174"/>
      <c r="BB85" s="174"/>
      <c r="BC85" s="174"/>
      <c r="BD85" s="174"/>
      <c r="BE85" s="174"/>
      <c r="BF85" s="174"/>
      <c r="BG85" s="174"/>
      <c r="BH85" s="174"/>
      <c r="BI85" s="174"/>
    </row>
    <row r="86" ht="15.75" customHeight="1">
      <c r="A86" s="35"/>
      <c r="B86" s="28"/>
      <c r="C86" s="28"/>
      <c r="D86" s="85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4"/>
      <c r="AY86" s="174"/>
      <c r="AZ86" s="174"/>
      <c r="BA86" s="174"/>
      <c r="BB86" s="174"/>
      <c r="BC86" s="174"/>
      <c r="BD86" s="174"/>
      <c r="BE86" s="174"/>
      <c r="BF86" s="174"/>
      <c r="BG86" s="174"/>
      <c r="BH86" s="174"/>
      <c r="BI86" s="174"/>
    </row>
    <row r="87" ht="15.75" customHeight="1">
      <c r="A87" s="35"/>
      <c r="B87" s="28"/>
      <c r="C87" s="28"/>
      <c r="D87" s="85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</row>
    <row r="88" ht="15.75" customHeight="1">
      <c r="A88" s="35"/>
      <c r="B88" s="28"/>
      <c r="C88" s="28"/>
      <c r="D88" s="85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/>
      <c r="AU88" s="174"/>
      <c r="AV88" s="174"/>
      <c r="AW88" s="174"/>
      <c r="AX88" s="174"/>
      <c r="AY88" s="174"/>
      <c r="AZ88" s="174"/>
      <c r="BA88" s="174"/>
      <c r="BB88" s="174"/>
      <c r="BC88" s="174"/>
      <c r="BD88" s="174"/>
      <c r="BE88" s="174"/>
      <c r="BF88" s="174"/>
      <c r="BG88" s="174"/>
      <c r="BH88" s="174"/>
      <c r="BI88" s="174"/>
    </row>
    <row r="89" ht="15.75" customHeight="1">
      <c r="A89" s="35"/>
      <c r="B89" s="28"/>
      <c r="C89" s="28"/>
      <c r="D89" s="85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74"/>
      <c r="AY89" s="174"/>
      <c r="AZ89" s="174"/>
      <c r="BA89" s="174"/>
      <c r="BB89" s="174"/>
      <c r="BC89" s="174"/>
      <c r="BD89" s="174"/>
      <c r="BE89" s="174"/>
      <c r="BF89" s="174"/>
      <c r="BG89" s="174"/>
      <c r="BH89" s="174"/>
      <c r="BI89" s="174"/>
    </row>
    <row r="90" ht="15.75" customHeight="1">
      <c r="A90" s="35"/>
      <c r="B90" s="28"/>
      <c r="C90" s="28"/>
      <c r="D90" s="85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74"/>
      <c r="AY90" s="174"/>
      <c r="AZ90" s="174"/>
      <c r="BA90" s="174"/>
      <c r="BB90" s="174"/>
      <c r="BC90" s="174"/>
      <c r="BD90" s="174"/>
      <c r="BE90" s="174"/>
      <c r="BF90" s="174"/>
      <c r="BG90" s="174"/>
      <c r="BH90" s="174"/>
      <c r="BI90" s="174"/>
    </row>
    <row r="91" ht="15.75" customHeight="1">
      <c r="A91" s="35"/>
      <c r="B91" s="28"/>
      <c r="C91" s="28"/>
      <c r="D91" s="85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  <c r="AS91" s="174"/>
      <c r="AT91" s="174"/>
      <c r="AU91" s="174"/>
      <c r="AV91" s="174"/>
      <c r="AW91" s="174"/>
      <c r="AX91" s="174"/>
      <c r="AY91" s="174"/>
      <c r="AZ91" s="174"/>
      <c r="BA91" s="174"/>
      <c r="BB91" s="174"/>
      <c r="BC91" s="174"/>
      <c r="BD91" s="174"/>
      <c r="BE91" s="174"/>
      <c r="BF91" s="174"/>
      <c r="BG91" s="174"/>
      <c r="BH91" s="174"/>
      <c r="BI91" s="174"/>
    </row>
    <row r="92" ht="15.75" customHeight="1">
      <c r="A92" s="35"/>
      <c r="B92" s="28"/>
      <c r="C92" s="28"/>
      <c r="D92" s="85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  <c r="AS92" s="174"/>
      <c r="AT92" s="174"/>
      <c r="AU92" s="174"/>
      <c r="AV92" s="174"/>
      <c r="AW92" s="174"/>
      <c r="AX92" s="174"/>
      <c r="AY92" s="174"/>
      <c r="AZ92" s="174"/>
      <c r="BA92" s="174"/>
      <c r="BB92" s="174"/>
      <c r="BC92" s="174"/>
      <c r="BD92" s="174"/>
      <c r="BE92" s="174"/>
      <c r="BF92" s="174"/>
      <c r="BG92" s="174"/>
      <c r="BH92" s="174"/>
      <c r="BI92" s="174"/>
    </row>
    <row r="93" ht="15.75" customHeight="1">
      <c r="A93" s="35"/>
      <c r="B93" s="28"/>
      <c r="C93" s="28"/>
      <c r="D93" s="85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</row>
    <row r="94" ht="15.75" customHeight="1">
      <c r="A94" s="35"/>
      <c r="B94" s="28"/>
      <c r="C94" s="28"/>
      <c r="D94" s="85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  <c r="AM94" s="174"/>
      <c r="AN94" s="174"/>
      <c r="AO94" s="174"/>
      <c r="AP94" s="174"/>
      <c r="AQ94" s="174"/>
      <c r="AR94" s="174"/>
      <c r="AS94" s="174"/>
      <c r="AT94" s="174"/>
      <c r="AU94" s="174"/>
      <c r="AV94" s="174"/>
      <c r="AW94" s="174"/>
      <c r="AX94" s="174"/>
      <c r="AY94" s="174"/>
      <c r="AZ94" s="174"/>
      <c r="BA94" s="174"/>
      <c r="BB94" s="174"/>
      <c r="BC94" s="174"/>
      <c r="BD94" s="174"/>
      <c r="BE94" s="174"/>
      <c r="BF94" s="174"/>
      <c r="BG94" s="174"/>
      <c r="BH94" s="174"/>
      <c r="BI94" s="174"/>
    </row>
    <row r="95" ht="15.75" customHeight="1">
      <c r="A95" s="35"/>
      <c r="B95" s="28"/>
      <c r="C95" s="28"/>
      <c r="D95" s="85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74"/>
      <c r="AV95" s="174"/>
      <c r="AW95" s="174"/>
      <c r="AX95" s="174"/>
      <c r="AY95" s="174"/>
      <c r="AZ95" s="174"/>
      <c r="BA95" s="174"/>
      <c r="BB95" s="174"/>
      <c r="BC95" s="174"/>
      <c r="BD95" s="174"/>
      <c r="BE95" s="174"/>
      <c r="BF95" s="174"/>
      <c r="BG95" s="174"/>
      <c r="BH95" s="174"/>
      <c r="BI95" s="174"/>
    </row>
    <row r="96" ht="15.75" customHeight="1">
      <c r="A96" s="35"/>
      <c r="B96" s="28"/>
      <c r="C96" s="28"/>
      <c r="D96" s="85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4"/>
      <c r="BB96" s="174"/>
      <c r="BC96" s="174"/>
      <c r="BD96" s="174"/>
      <c r="BE96" s="174"/>
      <c r="BF96" s="174"/>
      <c r="BG96" s="174"/>
      <c r="BH96" s="174"/>
      <c r="BI96" s="174"/>
    </row>
    <row r="97" ht="15.75" customHeight="1">
      <c r="A97" s="35"/>
      <c r="B97" s="28"/>
      <c r="C97" s="28"/>
      <c r="D97" s="85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4"/>
      <c r="AT97" s="174"/>
      <c r="AU97" s="174"/>
      <c r="AV97" s="174"/>
      <c r="AW97" s="174"/>
      <c r="AX97" s="174"/>
      <c r="AY97" s="174"/>
      <c r="AZ97" s="174"/>
      <c r="BA97" s="174"/>
      <c r="BB97" s="174"/>
      <c r="BC97" s="174"/>
      <c r="BD97" s="174"/>
      <c r="BE97" s="174"/>
      <c r="BF97" s="174"/>
      <c r="BG97" s="174"/>
      <c r="BH97" s="174"/>
      <c r="BI97" s="174"/>
    </row>
    <row r="98" ht="15.75" customHeight="1">
      <c r="A98" s="35"/>
      <c r="B98" s="28"/>
      <c r="C98" s="28"/>
      <c r="D98" s="85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  <c r="BD98" s="174"/>
      <c r="BE98" s="174"/>
      <c r="BF98" s="174"/>
      <c r="BG98" s="174"/>
      <c r="BH98" s="174"/>
      <c r="BI98" s="174"/>
    </row>
    <row r="99" ht="15.75" customHeight="1">
      <c r="A99" s="35"/>
      <c r="B99" s="28"/>
      <c r="C99" s="28"/>
      <c r="D99" s="85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  <c r="BD99" s="174"/>
      <c r="BE99" s="174"/>
      <c r="BF99" s="174"/>
      <c r="BG99" s="174"/>
      <c r="BH99" s="174"/>
      <c r="BI99" s="174"/>
    </row>
    <row r="100" ht="15.75" customHeight="1">
      <c r="A100" s="35"/>
      <c r="B100" s="28"/>
      <c r="C100" s="28"/>
      <c r="D100" s="85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4"/>
      <c r="AT100" s="174"/>
      <c r="AU100" s="174"/>
      <c r="AV100" s="174"/>
      <c r="AW100" s="174"/>
      <c r="AX100" s="174"/>
      <c r="AY100" s="174"/>
      <c r="AZ100" s="174"/>
      <c r="BA100" s="174"/>
      <c r="BB100" s="174"/>
      <c r="BC100" s="174"/>
      <c r="BD100" s="174"/>
      <c r="BE100" s="174"/>
      <c r="BF100" s="174"/>
      <c r="BG100" s="174"/>
      <c r="BH100" s="174"/>
      <c r="BI100" s="174"/>
    </row>
    <row r="101" ht="15.75" customHeight="1">
      <c r="A101" s="35"/>
      <c r="B101" s="28"/>
      <c r="C101" s="28"/>
      <c r="D101" s="85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4"/>
      <c r="AT101" s="174"/>
      <c r="AU101" s="174"/>
      <c r="AV101" s="174"/>
      <c r="AW101" s="174"/>
      <c r="AX101" s="174"/>
      <c r="AY101" s="174"/>
      <c r="AZ101" s="174"/>
      <c r="BA101" s="174"/>
      <c r="BB101" s="174"/>
      <c r="BC101" s="174"/>
      <c r="BD101" s="174"/>
      <c r="BE101" s="174"/>
      <c r="BF101" s="174"/>
      <c r="BG101" s="174"/>
      <c r="BH101" s="174"/>
      <c r="BI101" s="174"/>
    </row>
    <row r="102" ht="15.75" customHeight="1">
      <c r="A102" s="35"/>
      <c r="B102" s="28"/>
      <c r="C102" s="28"/>
      <c r="D102" s="85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4"/>
      <c r="AT102" s="174"/>
      <c r="AU102" s="174"/>
      <c r="AV102" s="174"/>
      <c r="AW102" s="174"/>
      <c r="AX102" s="174"/>
      <c r="AY102" s="174"/>
      <c r="AZ102" s="174"/>
      <c r="BA102" s="174"/>
      <c r="BB102" s="174"/>
      <c r="BC102" s="174"/>
      <c r="BD102" s="174"/>
      <c r="BE102" s="174"/>
      <c r="BF102" s="174"/>
      <c r="BG102" s="174"/>
      <c r="BH102" s="174"/>
      <c r="BI102" s="174"/>
    </row>
    <row r="103" ht="15.75" customHeight="1">
      <c r="A103" s="35"/>
      <c r="B103" s="28"/>
      <c r="C103" s="28"/>
      <c r="D103" s="85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4"/>
      <c r="AT103" s="174"/>
      <c r="AU103" s="174"/>
      <c r="AV103" s="174"/>
      <c r="AW103" s="174"/>
      <c r="AX103" s="174"/>
      <c r="AY103" s="174"/>
      <c r="AZ103" s="174"/>
      <c r="BA103" s="174"/>
      <c r="BB103" s="174"/>
      <c r="BC103" s="174"/>
      <c r="BD103" s="174"/>
      <c r="BE103" s="174"/>
      <c r="BF103" s="174"/>
      <c r="BG103" s="174"/>
      <c r="BH103" s="174"/>
      <c r="BI103" s="174"/>
    </row>
    <row r="104" ht="15.75" customHeight="1">
      <c r="A104" s="35"/>
      <c r="B104" s="28"/>
      <c r="C104" s="28"/>
      <c r="D104" s="85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4"/>
      <c r="AU104" s="174"/>
      <c r="AV104" s="174"/>
      <c r="AW104" s="174"/>
      <c r="AX104" s="174"/>
      <c r="AY104" s="174"/>
      <c r="AZ104" s="174"/>
      <c r="BA104" s="174"/>
      <c r="BB104" s="174"/>
      <c r="BC104" s="174"/>
      <c r="BD104" s="174"/>
      <c r="BE104" s="174"/>
      <c r="BF104" s="174"/>
      <c r="BG104" s="174"/>
      <c r="BH104" s="174"/>
      <c r="BI104" s="174"/>
    </row>
    <row r="105" ht="15.75" customHeight="1">
      <c r="A105" s="35"/>
      <c r="B105" s="28"/>
      <c r="C105" s="28"/>
      <c r="D105" s="85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</row>
    <row r="106" ht="15.75" customHeight="1">
      <c r="A106" s="35"/>
      <c r="B106" s="28"/>
      <c r="C106" s="28"/>
      <c r="D106" s="85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4"/>
      <c r="AT106" s="174"/>
      <c r="AU106" s="174"/>
      <c r="AV106" s="174"/>
      <c r="AW106" s="174"/>
      <c r="AX106" s="174"/>
      <c r="AY106" s="174"/>
      <c r="AZ106" s="174"/>
      <c r="BA106" s="174"/>
      <c r="BB106" s="174"/>
      <c r="BC106" s="174"/>
      <c r="BD106" s="174"/>
      <c r="BE106" s="174"/>
      <c r="BF106" s="174"/>
      <c r="BG106" s="174"/>
      <c r="BH106" s="174"/>
      <c r="BI106" s="174"/>
    </row>
    <row r="107" ht="15.75" customHeight="1">
      <c r="A107" s="35"/>
      <c r="B107" s="28"/>
      <c r="C107" s="28"/>
      <c r="D107" s="85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</row>
    <row r="108" ht="15.75" customHeight="1">
      <c r="A108" s="35"/>
      <c r="B108" s="28"/>
      <c r="C108" s="28"/>
      <c r="D108" s="85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4"/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</row>
    <row r="109" ht="15.75" customHeight="1">
      <c r="A109" s="35"/>
      <c r="B109" s="28"/>
      <c r="C109" s="28"/>
      <c r="D109" s="85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4"/>
      <c r="AT109" s="174"/>
      <c r="AU109" s="174"/>
      <c r="AV109" s="174"/>
      <c r="AW109" s="174"/>
      <c r="AX109" s="174"/>
      <c r="AY109" s="174"/>
      <c r="AZ109" s="174"/>
      <c r="BA109" s="174"/>
      <c r="BB109" s="174"/>
      <c r="BC109" s="174"/>
      <c r="BD109" s="174"/>
      <c r="BE109" s="174"/>
      <c r="BF109" s="174"/>
      <c r="BG109" s="174"/>
      <c r="BH109" s="174"/>
      <c r="BI109" s="174"/>
    </row>
    <row r="110" ht="15.75" customHeight="1">
      <c r="A110" s="35"/>
      <c r="B110" s="28"/>
      <c r="C110" s="28"/>
      <c r="D110" s="85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4"/>
      <c r="AT110" s="174"/>
      <c r="AU110" s="174"/>
      <c r="AV110" s="174"/>
      <c r="AW110" s="174"/>
      <c r="AX110" s="174"/>
      <c r="AY110" s="174"/>
      <c r="AZ110" s="174"/>
      <c r="BA110" s="174"/>
      <c r="BB110" s="174"/>
      <c r="BC110" s="174"/>
      <c r="BD110" s="174"/>
      <c r="BE110" s="174"/>
      <c r="BF110" s="174"/>
      <c r="BG110" s="174"/>
      <c r="BH110" s="174"/>
      <c r="BI110" s="174"/>
    </row>
    <row r="111" ht="15.75" customHeight="1">
      <c r="A111" s="35"/>
      <c r="B111" s="28"/>
      <c r="C111" s="28"/>
      <c r="D111" s="85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74"/>
      <c r="AZ111" s="174"/>
      <c r="BA111" s="174"/>
      <c r="BB111" s="174"/>
      <c r="BC111" s="174"/>
      <c r="BD111" s="174"/>
      <c r="BE111" s="174"/>
      <c r="BF111" s="174"/>
      <c r="BG111" s="174"/>
      <c r="BH111" s="174"/>
      <c r="BI111" s="174"/>
    </row>
    <row r="112" ht="15.75" customHeight="1">
      <c r="A112" s="35"/>
      <c r="B112" s="28"/>
      <c r="C112" s="28"/>
      <c r="D112" s="85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4"/>
      <c r="AT112" s="174"/>
      <c r="AU112" s="174"/>
      <c r="AV112" s="174"/>
      <c r="AW112" s="174"/>
      <c r="AX112" s="174"/>
      <c r="AY112" s="174"/>
      <c r="AZ112" s="174"/>
      <c r="BA112" s="174"/>
      <c r="BB112" s="174"/>
      <c r="BC112" s="174"/>
      <c r="BD112" s="174"/>
      <c r="BE112" s="174"/>
      <c r="BF112" s="174"/>
      <c r="BG112" s="174"/>
      <c r="BH112" s="174"/>
      <c r="BI112" s="174"/>
    </row>
    <row r="113" ht="15.75" customHeight="1">
      <c r="A113" s="35"/>
      <c r="B113" s="28"/>
      <c r="C113" s="28"/>
      <c r="D113" s="85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4"/>
      <c r="AT113" s="174"/>
      <c r="AU113" s="174"/>
      <c r="AV113" s="174"/>
      <c r="AW113" s="174"/>
      <c r="AX113" s="174"/>
      <c r="AY113" s="174"/>
      <c r="AZ113" s="174"/>
      <c r="BA113" s="174"/>
      <c r="BB113" s="174"/>
      <c r="BC113" s="174"/>
      <c r="BD113" s="174"/>
      <c r="BE113" s="174"/>
      <c r="BF113" s="174"/>
      <c r="BG113" s="174"/>
      <c r="BH113" s="174"/>
      <c r="BI113" s="174"/>
    </row>
    <row r="114" ht="15.75" customHeight="1">
      <c r="A114" s="35"/>
      <c r="B114" s="28"/>
      <c r="C114" s="28"/>
      <c r="D114" s="85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4"/>
      <c r="AT114" s="174"/>
      <c r="AU114" s="174"/>
      <c r="AV114" s="174"/>
      <c r="AW114" s="174"/>
      <c r="AX114" s="174"/>
      <c r="AY114" s="174"/>
      <c r="AZ114" s="174"/>
      <c r="BA114" s="174"/>
      <c r="BB114" s="174"/>
      <c r="BC114" s="174"/>
      <c r="BD114" s="174"/>
      <c r="BE114" s="174"/>
      <c r="BF114" s="174"/>
      <c r="BG114" s="174"/>
      <c r="BH114" s="174"/>
      <c r="BI114" s="174"/>
    </row>
    <row r="115" ht="15.75" customHeight="1">
      <c r="A115" s="35"/>
      <c r="B115" s="28"/>
      <c r="C115" s="28"/>
      <c r="D115" s="85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4"/>
      <c r="AT115" s="174"/>
      <c r="AU115" s="174"/>
      <c r="AV115" s="174"/>
      <c r="AW115" s="174"/>
      <c r="AX115" s="174"/>
      <c r="AY115" s="174"/>
      <c r="AZ115" s="174"/>
      <c r="BA115" s="174"/>
      <c r="BB115" s="174"/>
      <c r="BC115" s="174"/>
      <c r="BD115" s="174"/>
      <c r="BE115" s="174"/>
      <c r="BF115" s="174"/>
      <c r="BG115" s="174"/>
      <c r="BH115" s="174"/>
      <c r="BI115" s="174"/>
    </row>
    <row r="116" ht="15.75" customHeight="1">
      <c r="A116" s="35"/>
      <c r="B116" s="28"/>
      <c r="C116" s="28"/>
      <c r="D116" s="85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4"/>
      <c r="AT116" s="174"/>
      <c r="AU116" s="174"/>
      <c r="AV116" s="174"/>
      <c r="AW116" s="174"/>
      <c r="AX116" s="174"/>
      <c r="AY116" s="174"/>
      <c r="AZ116" s="174"/>
      <c r="BA116" s="174"/>
      <c r="BB116" s="174"/>
      <c r="BC116" s="174"/>
      <c r="BD116" s="174"/>
      <c r="BE116" s="174"/>
      <c r="BF116" s="174"/>
      <c r="BG116" s="174"/>
      <c r="BH116" s="174"/>
      <c r="BI116" s="174"/>
    </row>
    <row r="117" ht="15.75" customHeight="1">
      <c r="A117" s="35"/>
      <c r="B117" s="28"/>
      <c r="C117" s="28"/>
      <c r="D117" s="85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4"/>
      <c r="AT117" s="174"/>
      <c r="AU117" s="174"/>
      <c r="AV117" s="174"/>
      <c r="AW117" s="174"/>
      <c r="AX117" s="174"/>
      <c r="AY117" s="174"/>
      <c r="AZ117" s="174"/>
      <c r="BA117" s="174"/>
      <c r="BB117" s="174"/>
      <c r="BC117" s="174"/>
      <c r="BD117" s="174"/>
      <c r="BE117" s="174"/>
      <c r="BF117" s="174"/>
      <c r="BG117" s="174"/>
      <c r="BH117" s="174"/>
      <c r="BI117" s="174"/>
    </row>
    <row r="118" ht="15.75" customHeight="1">
      <c r="A118" s="35"/>
      <c r="B118" s="28"/>
      <c r="C118" s="28"/>
      <c r="D118" s="85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4"/>
      <c r="AY118" s="174"/>
      <c r="AZ118" s="174"/>
      <c r="BA118" s="174"/>
      <c r="BB118" s="174"/>
      <c r="BC118" s="174"/>
      <c r="BD118" s="174"/>
      <c r="BE118" s="174"/>
      <c r="BF118" s="174"/>
      <c r="BG118" s="174"/>
      <c r="BH118" s="174"/>
      <c r="BI118" s="174"/>
    </row>
    <row r="119" ht="15.75" customHeight="1">
      <c r="A119" s="35"/>
      <c r="B119" s="28"/>
      <c r="C119" s="28"/>
      <c r="D119" s="85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/>
      <c r="BB119" s="174"/>
      <c r="BC119" s="174"/>
      <c r="BD119" s="174"/>
      <c r="BE119" s="174"/>
      <c r="BF119" s="174"/>
      <c r="BG119" s="174"/>
      <c r="BH119" s="174"/>
      <c r="BI119" s="174"/>
    </row>
    <row r="120" ht="15.75" customHeight="1">
      <c r="A120" s="35"/>
      <c r="B120" s="28"/>
      <c r="C120" s="28"/>
      <c r="D120" s="85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4"/>
      <c r="AT120" s="174"/>
      <c r="AU120" s="174"/>
      <c r="AV120" s="174"/>
      <c r="AW120" s="174"/>
      <c r="AX120" s="174"/>
      <c r="AY120" s="174"/>
      <c r="AZ120" s="174"/>
      <c r="BA120" s="174"/>
      <c r="BB120" s="174"/>
      <c r="BC120" s="174"/>
      <c r="BD120" s="174"/>
      <c r="BE120" s="174"/>
      <c r="BF120" s="174"/>
      <c r="BG120" s="174"/>
      <c r="BH120" s="174"/>
      <c r="BI120" s="174"/>
    </row>
    <row r="121" ht="15.75" customHeight="1">
      <c r="A121" s="35"/>
      <c r="B121" s="28"/>
      <c r="C121" s="28"/>
      <c r="D121" s="85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4"/>
      <c r="AT121" s="174"/>
      <c r="AU121" s="174"/>
      <c r="AV121" s="174"/>
      <c r="AW121" s="174"/>
      <c r="AX121" s="174"/>
      <c r="AY121" s="174"/>
      <c r="AZ121" s="174"/>
      <c r="BA121" s="174"/>
      <c r="BB121" s="174"/>
      <c r="BC121" s="174"/>
      <c r="BD121" s="174"/>
      <c r="BE121" s="174"/>
      <c r="BF121" s="174"/>
      <c r="BG121" s="174"/>
      <c r="BH121" s="174"/>
      <c r="BI121" s="174"/>
    </row>
    <row r="122" ht="15.75" customHeight="1">
      <c r="A122" s="35"/>
      <c r="B122" s="28"/>
      <c r="C122" s="28"/>
      <c r="D122" s="85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4"/>
      <c r="AT122" s="174"/>
      <c r="AU122" s="174"/>
      <c r="AV122" s="174"/>
      <c r="AW122" s="174"/>
      <c r="AX122" s="174"/>
      <c r="AY122" s="174"/>
      <c r="AZ122" s="174"/>
      <c r="BA122" s="174"/>
      <c r="BB122" s="174"/>
      <c r="BC122" s="174"/>
      <c r="BD122" s="174"/>
      <c r="BE122" s="174"/>
      <c r="BF122" s="174"/>
      <c r="BG122" s="174"/>
      <c r="BH122" s="174"/>
      <c r="BI122" s="174"/>
    </row>
    <row r="123" ht="15.75" customHeight="1">
      <c r="A123" s="35"/>
      <c r="B123" s="28"/>
      <c r="C123" s="28"/>
      <c r="D123" s="85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</row>
    <row r="124" ht="15.75" customHeight="1">
      <c r="A124" s="35"/>
      <c r="B124" s="28"/>
      <c r="C124" s="28"/>
      <c r="D124" s="85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</row>
    <row r="125" ht="15.75" customHeight="1">
      <c r="A125" s="35"/>
      <c r="B125" s="28"/>
      <c r="C125" s="28"/>
      <c r="D125" s="85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</row>
    <row r="126" ht="15.75" customHeight="1">
      <c r="A126" s="35"/>
      <c r="B126" s="28"/>
      <c r="C126" s="28"/>
      <c r="D126" s="85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</row>
    <row r="127" ht="15.75" customHeight="1">
      <c r="A127" s="35"/>
      <c r="B127" s="28"/>
      <c r="C127" s="28"/>
      <c r="D127" s="85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</row>
    <row r="128" ht="15.75" customHeight="1">
      <c r="A128" s="35"/>
      <c r="B128" s="28"/>
      <c r="C128" s="28"/>
      <c r="D128" s="85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</row>
    <row r="129" ht="15.75" customHeight="1">
      <c r="A129" s="35"/>
      <c r="B129" s="28"/>
      <c r="C129" s="28"/>
      <c r="D129" s="85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  <c r="BE129" s="174"/>
      <c r="BF129" s="174"/>
      <c r="BG129" s="174"/>
      <c r="BH129" s="174"/>
      <c r="BI129" s="174"/>
    </row>
    <row r="130" ht="15.75" customHeight="1">
      <c r="A130" s="35"/>
      <c r="B130" s="28"/>
      <c r="C130" s="28"/>
      <c r="D130" s="85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</row>
    <row r="131" ht="15.75" customHeight="1">
      <c r="A131" s="35"/>
      <c r="B131" s="28"/>
      <c r="C131" s="28"/>
      <c r="D131" s="85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</row>
    <row r="132" ht="15.75" customHeight="1">
      <c r="A132" s="35"/>
      <c r="B132" s="28"/>
      <c r="C132" s="28"/>
      <c r="D132" s="85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4"/>
      <c r="AT132" s="174"/>
      <c r="AU132" s="174"/>
      <c r="AV132" s="174"/>
      <c r="AW132" s="174"/>
      <c r="AX132" s="174"/>
      <c r="AY132" s="174"/>
      <c r="AZ132" s="174"/>
      <c r="BA132" s="174"/>
      <c r="BB132" s="174"/>
      <c r="BC132" s="174"/>
      <c r="BD132" s="174"/>
      <c r="BE132" s="174"/>
      <c r="BF132" s="174"/>
      <c r="BG132" s="174"/>
      <c r="BH132" s="174"/>
      <c r="BI132" s="174"/>
    </row>
    <row r="133" ht="15.75" customHeight="1">
      <c r="A133" s="35"/>
      <c r="B133" s="28"/>
      <c r="C133" s="28"/>
      <c r="D133" s="85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4"/>
      <c r="AT133" s="174"/>
      <c r="AU133" s="174"/>
      <c r="AV133" s="174"/>
      <c r="AW133" s="174"/>
      <c r="AX133" s="174"/>
      <c r="AY133" s="174"/>
      <c r="AZ133" s="174"/>
      <c r="BA133" s="174"/>
      <c r="BB133" s="174"/>
      <c r="BC133" s="174"/>
      <c r="BD133" s="174"/>
      <c r="BE133" s="174"/>
      <c r="BF133" s="174"/>
      <c r="BG133" s="174"/>
      <c r="BH133" s="174"/>
      <c r="BI133" s="174"/>
    </row>
    <row r="134" ht="15.75" customHeight="1">
      <c r="A134" s="35"/>
      <c r="B134" s="28"/>
      <c r="C134" s="28"/>
      <c r="D134" s="85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4"/>
      <c r="AT134" s="174"/>
      <c r="AU134" s="174"/>
      <c r="AV134" s="174"/>
      <c r="AW134" s="174"/>
      <c r="AX134" s="174"/>
      <c r="AY134" s="174"/>
      <c r="AZ134" s="174"/>
      <c r="BA134" s="174"/>
      <c r="BB134" s="174"/>
      <c r="BC134" s="174"/>
      <c r="BD134" s="174"/>
      <c r="BE134" s="174"/>
      <c r="BF134" s="174"/>
      <c r="BG134" s="174"/>
      <c r="BH134" s="174"/>
      <c r="BI134" s="174"/>
    </row>
    <row r="135" ht="15.75" customHeight="1">
      <c r="A135" s="35"/>
      <c r="B135" s="28"/>
      <c r="C135" s="28"/>
      <c r="D135" s="85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4"/>
      <c r="AT135" s="174"/>
      <c r="AU135" s="174"/>
      <c r="AV135" s="174"/>
      <c r="AW135" s="174"/>
      <c r="AX135" s="174"/>
      <c r="AY135" s="174"/>
      <c r="AZ135" s="174"/>
      <c r="BA135" s="174"/>
      <c r="BB135" s="174"/>
      <c r="BC135" s="174"/>
      <c r="BD135" s="174"/>
      <c r="BE135" s="174"/>
      <c r="BF135" s="174"/>
      <c r="BG135" s="174"/>
      <c r="BH135" s="174"/>
      <c r="BI135" s="174"/>
    </row>
    <row r="136" ht="15.75" customHeight="1">
      <c r="A136" s="35"/>
      <c r="B136" s="28"/>
      <c r="C136" s="28"/>
      <c r="D136" s="85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4"/>
      <c r="AT136" s="174"/>
      <c r="AU136" s="174"/>
      <c r="AV136" s="174"/>
      <c r="AW136" s="174"/>
      <c r="AX136" s="174"/>
      <c r="AY136" s="174"/>
      <c r="AZ136" s="174"/>
      <c r="BA136" s="174"/>
      <c r="BB136" s="174"/>
      <c r="BC136" s="174"/>
      <c r="BD136" s="174"/>
      <c r="BE136" s="174"/>
      <c r="BF136" s="174"/>
      <c r="BG136" s="174"/>
      <c r="BH136" s="174"/>
      <c r="BI136" s="174"/>
    </row>
    <row r="137" ht="15.75" customHeight="1">
      <c r="A137" s="35"/>
      <c r="B137" s="28"/>
      <c r="C137" s="28"/>
      <c r="D137" s="85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174"/>
      <c r="AV137" s="174"/>
      <c r="AW137" s="174"/>
      <c r="AX137" s="174"/>
      <c r="AY137" s="174"/>
      <c r="AZ137" s="174"/>
      <c r="BA137" s="174"/>
      <c r="BB137" s="174"/>
      <c r="BC137" s="174"/>
      <c r="BD137" s="174"/>
      <c r="BE137" s="174"/>
      <c r="BF137" s="174"/>
      <c r="BG137" s="174"/>
      <c r="BH137" s="174"/>
      <c r="BI137" s="174"/>
    </row>
    <row r="138" ht="15.75" customHeight="1">
      <c r="A138" s="35"/>
      <c r="B138" s="28"/>
      <c r="C138" s="28"/>
      <c r="D138" s="85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  <c r="AU138" s="174"/>
      <c r="AV138" s="174"/>
      <c r="AW138" s="174"/>
      <c r="AX138" s="174"/>
      <c r="AY138" s="174"/>
      <c r="AZ138" s="174"/>
      <c r="BA138" s="174"/>
      <c r="BB138" s="174"/>
      <c r="BC138" s="174"/>
      <c r="BD138" s="174"/>
      <c r="BE138" s="174"/>
      <c r="BF138" s="174"/>
      <c r="BG138" s="174"/>
      <c r="BH138" s="174"/>
      <c r="BI138" s="174"/>
    </row>
    <row r="139" ht="15.75" customHeight="1">
      <c r="A139" s="35"/>
      <c r="B139" s="28"/>
      <c r="C139" s="28"/>
      <c r="D139" s="85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  <c r="BE139" s="174"/>
      <c r="BF139" s="174"/>
      <c r="BG139" s="174"/>
      <c r="BH139" s="174"/>
      <c r="BI139" s="174"/>
    </row>
    <row r="140" ht="15.75" customHeight="1">
      <c r="A140" s="35"/>
      <c r="B140" s="28"/>
      <c r="C140" s="28"/>
      <c r="D140" s="85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4"/>
      <c r="AT140" s="174"/>
      <c r="AU140" s="174"/>
      <c r="AV140" s="174"/>
      <c r="AW140" s="174"/>
      <c r="AX140" s="174"/>
      <c r="AY140" s="174"/>
      <c r="AZ140" s="174"/>
      <c r="BA140" s="174"/>
      <c r="BB140" s="174"/>
      <c r="BC140" s="174"/>
      <c r="BD140" s="174"/>
      <c r="BE140" s="174"/>
      <c r="BF140" s="174"/>
      <c r="BG140" s="174"/>
      <c r="BH140" s="174"/>
      <c r="BI140" s="174"/>
    </row>
    <row r="141" ht="15.75" customHeight="1">
      <c r="A141" s="35"/>
      <c r="B141" s="28"/>
      <c r="C141" s="28"/>
      <c r="D141" s="85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4"/>
      <c r="AT141" s="174"/>
      <c r="AU141" s="174"/>
      <c r="AV141" s="174"/>
      <c r="AW141" s="174"/>
      <c r="AX141" s="174"/>
      <c r="AY141" s="174"/>
      <c r="AZ141" s="174"/>
      <c r="BA141" s="174"/>
      <c r="BB141" s="174"/>
      <c r="BC141" s="174"/>
      <c r="BD141" s="174"/>
      <c r="BE141" s="174"/>
      <c r="BF141" s="174"/>
      <c r="BG141" s="174"/>
      <c r="BH141" s="174"/>
      <c r="BI141" s="174"/>
    </row>
    <row r="142" ht="15.75" customHeight="1">
      <c r="A142" s="35"/>
      <c r="B142" s="28"/>
      <c r="C142" s="28"/>
      <c r="D142" s="85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4"/>
      <c r="AT142" s="174"/>
      <c r="AU142" s="174"/>
      <c r="AV142" s="174"/>
      <c r="AW142" s="174"/>
      <c r="AX142" s="174"/>
      <c r="AY142" s="174"/>
      <c r="AZ142" s="174"/>
      <c r="BA142" s="174"/>
      <c r="BB142" s="174"/>
      <c r="BC142" s="174"/>
      <c r="BD142" s="174"/>
      <c r="BE142" s="174"/>
      <c r="BF142" s="174"/>
      <c r="BG142" s="174"/>
      <c r="BH142" s="174"/>
      <c r="BI142" s="174"/>
    </row>
    <row r="143" ht="15.75" customHeight="1">
      <c r="A143" s="35"/>
      <c r="B143" s="28"/>
      <c r="C143" s="28"/>
      <c r="D143" s="85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4"/>
      <c r="BH143" s="174"/>
      <c r="BI143" s="174"/>
    </row>
    <row r="144" ht="15.75" customHeight="1">
      <c r="A144" s="35"/>
      <c r="B144" s="28"/>
      <c r="C144" s="28"/>
      <c r="D144" s="85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4"/>
      <c r="AT144" s="174"/>
      <c r="AU144" s="174"/>
      <c r="AV144" s="174"/>
      <c r="AW144" s="174"/>
      <c r="AX144" s="174"/>
      <c r="AY144" s="174"/>
      <c r="AZ144" s="174"/>
      <c r="BA144" s="174"/>
      <c r="BB144" s="174"/>
      <c r="BC144" s="174"/>
      <c r="BD144" s="174"/>
      <c r="BE144" s="174"/>
      <c r="BF144" s="174"/>
      <c r="BG144" s="174"/>
      <c r="BH144" s="174"/>
      <c r="BI144" s="174"/>
    </row>
    <row r="145" ht="15.75" customHeight="1">
      <c r="A145" s="35"/>
      <c r="B145" s="28"/>
      <c r="C145" s="28"/>
      <c r="D145" s="85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4"/>
      <c r="AT145" s="174"/>
      <c r="AU145" s="174"/>
      <c r="AV145" s="174"/>
      <c r="AW145" s="174"/>
      <c r="AX145" s="174"/>
      <c r="AY145" s="174"/>
      <c r="AZ145" s="174"/>
      <c r="BA145" s="174"/>
      <c r="BB145" s="174"/>
      <c r="BC145" s="174"/>
      <c r="BD145" s="174"/>
      <c r="BE145" s="174"/>
      <c r="BF145" s="174"/>
      <c r="BG145" s="174"/>
      <c r="BH145" s="174"/>
      <c r="BI145" s="174"/>
    </row>
    <row r="146" ht="15.75" customHeight="1">
      <c r="A146" s="35"/>
      <c r="B146" s="28"/>
      <c r="C146" s="28"/>
      <c r="D146" s="85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74"/>
      <c r="AZ146" s="174"/>
      <c r="BA146" s="174"/>
      <c r="BB146" s="174"/>
      <c r="BC146" s="174"/>
      <c r="BD146" s="174"/>
      <c r="BE146" s="174"/>
      <c r="BF146" s="174"/>
      <c r="BG146" s="174"/>
      <c r="BH146" s="174"/>
      <c r="BI146" s="174"/>
    </row>
    <row r="147" ht="15.75" customHeight="1">
      <c r="A147" s="35"/>
      <c r="B147" s="28"/>
      <c r="C147" s="28"/>
      <c r="D147" s="85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  <c r="BA147" s="174"/>
      <c r="BB147" s="174"/>
      <c r="BC147" s="174"/>
      <c r="BD147" s="174"/>
      <c r="BE147" s="174"/>
      <c r="BF147" s="174"/>
      <c r="BG147" s="174"/>
      <c r="BH147" s="174"/>
      <c r="BI147" s="174"/>
    </row>
    <row r="148" ht="15.75" customHeight="1">
      <c r="A148" s="35"/>
      <c r="B148" s="28"/>
      <c r="C148" s="28"/>
      <c r="D148" s="85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174"/>
      <c r="BB148" s="174"/>
      <c r="BC148" s="174"/>
      <c r="BD148" s="174"/>
      <c r="BE148" s="174"/>
      <c r="BF148" s="174"/>
      <c r="BG148" s="174"/>
      <c r="BH148" s="174"/>
      <c r="BI148" s="174"/>
    </row>
    <row r="149" ht="15.75" customHeight="1">
      <c r="A149" s="35"/>
      <c r="B149" s="28"/>
      <c r="C149" s="28"/>
      <c r="D149" s="85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  <c r="BA149" s="174"/>
      <c r="BB149" s="174"/>
      <c r="BC149" s="174"/>
      <c r="BD149" s="174"/>
      <c r="BE149" s="174"/>
      <c r="BF149" s="174"/>
      <c r="BG149" s="174"/>
      <c r="BH149" s="174"/>
      <c r="BI149" s="174"/>
    </row>
    <row r="150" ht="15.75" customHeight="1">
      <c r="A150" s="35"/>
      <c r="B150" s="28"/>
      <c r="C150" s="28"/>
      <c r="D150" s="85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174"/>
      <c r="BB150" s="174"/>
      <c r="BC150" s="174"/>
      <c r="BD150" s="174"/>
      <c r="BE150" s="174"/>
      <c r="BF150" s="174"/>
      <c r="BG150" s="174"/>
      <c r="BH150" s="174"/>
      <c r="BI150" s="174"/>
    </row>
    <row r="151" ht="15.75" customHeight="1">
      <c r="A151" s="35"/>
      <c r="B151" s="28"/>
      <c r="C151" s="28"/>
      <c r="D151" s="85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174"/>
      <c r="BB151" s="174"/>
      <c r="BC151" s="174"/>
      <c r="BD151" s="174"/>
      <c r="BE151" s="174"/>
      <c r="BF151" s="174"/>
      <c r="BG151" s="174"/>
      <c r="BH151" s="174"/>
      <c r="BI151" s="174"/>
    </row>
    <row r="152" ht="15.75" customHeight="1">
      <c r="A152" s="35"/>
      <c r="B152" s="28"/>
      <c r="C152" s="28"/>
      <c r="D152" s="85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74"/>
      <c r="AY152" s="174"/>
      <c r="AZ152" s="174"/>
      <c r="BA152" s="174"/>
      <c r="BB152" s="174"/>
      <c r="BC152" s="174"/>
      <c r="BD152" s="174"/>
      <c r="BE152" s="174"/>
      <c r="BF152" s="174"/>
      <c r="BG152" s="174"/>
      <c r="BH152" s="174"/>
      <c r="BI152" s="174"/>
    </row>
    <row r="153" ht="15.75" customHeight="1">
      <c r="A153" s="35"/>
      <c r="B153" s="28"/>
      <c r="C153" s="28"/>
      <c r="D153" s="85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74"/>
      <c r="AY153" s="174"/>
      <c r="AZ153" s="174"/>
      <c r="BA153" s="174"/>
      <c r="BB153" s="174"/>
      <c r="BC153" s="174"/>
      <c r="BD153" s="174"/>
      <c r="BE153" s="174"/>
      <c r="BF153" s="174"/>
      <c r="BG153" s="174"/>
      <c r="BH153" s="174"/>
      <c r="BI153" s="174"/>
    </row>
    <row r="154" ht="15.75" customHeight="1">
      <c r="A154" s="35"/>
      <c r="B154" s="28"/>
      <c r="C154" s="28"/>
      <c r="D154" s="85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4"/>
      <c r="AT154" s="174"/>
      <c r="AU154" s="174"/>
      <c r="AV154" s="174"/>
      <c r="AW154" s="174"/>
      <c r="AX154" s="174"/>
      <c r="AY154" s="174"/>
      <c r="AZ154" s="174"/>
      <c r="BA154" s="174"/>
      <c r="BB154" s="174"/>
      <c r="BC154" s="174"/>
      <c r="BD154" s="174"/>
      <c r="BE154" s="174"/>
      <c r="BF154" s="174"/>
      <c r="BG154" s="174"/>
      <c r="BH154" s="174"/>
      <c r="BI154" s="174"/>
    </row>
    <row r="155" ht="15.75" customHeight="1">
      <c r="A155" s="35"/>
      <c r="B155" s="28"/>
      <c r="C155" s="28"/>
      <c r="D155" s="85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4"/>
      <c r="BE155" s="174"/>
      <c r="BF155" s="174"/>
      <c r="BG155" s="174"/>
      <c r="BH155" s="174"/>
      <c r="BI155" s="174"/>
    </row>
    <row r="156" ht="15.75" customHeight="1">
      <c r="A156" s="35"/>
      <c r="B156" s="28"/>
      <c r="C156" s="28"/>
      <c r="D156" s="85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4"/>
      <c r="AT156" s="174"/>
      <c r="AU156" s="174"/>
      <c r="AV156" s="174"/>
      <c r="AW156" s="174"/>
      <c r="AX156" s="174"/>
      <c r="AY156" s="174"/>
      <c r="AZ156" s="174"/>
      <c r="BA156" s="174"/>
      <c r="BB156" s="174"/>
      <c r="BC156" s="174"/>
      <c r="BD156" s="174"/>
      <c r="BE156" s="174"/>
      <c r="BF156" s="174"/>
      <c r="BG156" s="174"/>
      <c r="BH156" s="174"/>
      <c r="BI156" s="174"/>
    </row>
    <row r="157" ht="15.75" customHeight="1">
      <c r="A157" s="35"/>
      <c r="B157" s="28"/>
      <c r="C157" s="28"/>
      <c r="D157" s="85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4"/>
      <c r="AT157" s="174"/>
      <c r="AU157" s="174"/>
      <c r="AV157" s="174"/>
      <c r="AW157" s="174"/>
      <c r="AX157" s="174"/>
      <c r="AY157" s="174"/>
      <c r="AZ157" s="174"/>
      <c r="BA157" s="174"/>
      <c r="BB157" s="174"/>
      <c r="BC157" s="174"/>
      <c r="BD157" s="174"/>
      <c r="BE157" s="174"/>
      <c r="BF157" s="174"/>
      <c r="BG157" s="174"/>
      <c r="BH157" s="174"/>
      <c r="BI157" s="174"/>
    </row>
    <row r="158" ht="15.75" customHeight="1">
      <c r="A158" s="35"/>
      <c r="B158" s="28"/>
      <c r="C158" s="28"/>
      <c r="D158" s="85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4"/>
      <c r="AT158" s="174"/>
      <c r="AU158" s="174"/>
      <c r="AV158" s="174"/>
      <c r="AW158" s="174"/>
      <c r="AX158" s="174"/>
      <c r="AY158" s="174"/>
      <c r="AZ158" s="174"/>
      <c r="BA158" s="174"/>
      <c r="BB158" s="174"/>
      <c r="BC158" s="174"/>
      <c r="BD158" s="174"/>
      <c r="BE158" s="174"/>
      <c r="BF158" s="174"/>
      <c r="BG158" s="174"/>
      <c r="BH158" s="174"/>
      <c r="BI158" s="174"/>
    </row>
    <row r="159" ht="15.75" customHeight="1">
      <c r="A159" s="35"/>
      <c r="B159" s="28"/>
      <c r="C159" s="28"/>
      <c r="D159" s="85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4"/>
      <c r="AV159" s="174"/>
      <c r="AW159" s="174"/>
      <c r="AX159" s="174"/>
      <c r="AY159" s="174"/>
      <c r="AZ159" s="174"/>
      <c r="BA159" s="174"/>
      <c r="BB159" s="174"/>
      <c r="BC159" s="174"/>
      <c r="BD159" s="174"/>
      <c r="BE159" s="174"/>
      <c r="BF159" s="174"/>
      <c r="BG159" s="174"/>
      <c r="BH159" s="174"/>
      <c r="BI159" s="174"/>
    </row>
    <row r="160" ht="15.75" customHeight="1">
      <c r="A160" s="35"/>
      <c r="B160" s="28"/>
      <c r="C160" s="28"/>
      <c r="D160" s="85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4"/>
      <c r="AT160" s="174"/>
      <c r="AU160" s="174"/>
      <c r="AV160" s="174"/>
      <c r="AW160" s="174"/>
      <c r="AX160" s="174"/>
      <c r="AY160" s="174"/>
      <c r="AZ160" s="174"/>
      <c r="BA160" s="174"/>
      <c r="BB160" s="174"/>
      <c r="BC160" s="174"/>
      <c r="BD160" s="174"/>
      <c r="BE160" s="174"/>
      <c r="BF160" s="174"/>
      <c r="BG160" s="174"/>
      <c r="BH160" s="174"/>
      <c r="BI160" s="174"/>
    </row>
    <row r="161" ht="15.75" customHeight="1">
      <c r="A161" s="35"/>
      <c r="B161" s="28"/>
      <c r="C161" s="28"/>
      <c r="D161" s="85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4"/>
      <c r="AT161" s="174"/>
      <c r="AU161" s="174"/>
      <c r="AV161" s="174"/>
      <c r="AW161" s="174"/>
      <c r="AX161" s="174"/>
      <c r="AY161" s="174"/>
      <c r="AZ161" s="174"/>
      <c r="BA161" s="174"/>
      <c r="BB161" s="174"/>
      <c r="BC161" s="174"/>
      <c r="BD161" s="174"/>
      <c r="BE161" s="174"/>
      <c r="BF161" s="174"/>
      <c r="BG161" s="174"/>
      <c r="BH161" s="174"/>
      <c r="BI161" s="174"/>
    </row>
    <row r="162" ht="15.75" customHeight="1">
      <c r="A162" s="35"/>
      <c r="B162" s="28"/>
      <c r="C162" s="28"/>
      <c r="D162" s="85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4"/>
      <c r="AT162" s="174"/>
      <c r="AU162" s="174"/>
      <c r="AV162" s="174"/>
      <c r="AW162" s="174"/>
      <c r="AX162" s="174"/>
      <c r="AY162" s="174"/>
      <c r="AZ162" s="174"/>
      <c r="BA162" s="174"/>
      <c r="BB162" s="174"/>
      <c r="BC162" s="174"/>
      <c r="BD162" s="174"/>
      <c r="BE162" s="174"/>
      <c r="BF162" s="174"/>
      <c r="BG162" s="174"/>
      <c r="BH162" s="174"/>
      <c r="BI162" s="174"/>
    </row>
    <row r="163" ht="15.75" customHeight="1">
      <c r="A163" s="35"/>
      <c r="B163" s="28"/>
      <c r="C163" s="28"/>
      <c r="D163" s="85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4"/>
      <c r="AV163" s="174"/>
      <c r="AW163" s="174"/>
      <c r="AX163" s="174"/>
      <c r="AY163" s="174"/>
      <c r="AZ163" s="174"/>
      <c r="BA163" s="174"/>
      <c r="BB163" s="174"/>
      <c r="BC163" s="174"/>
      <c r="BD163" s="174"/>
      <c r="BE163" s="174"/>
      <c r="BF163" s="174"/>
      <c r="BG163" s="174"/>
      <c r="BH163" s="174"/>
      <c r="BI163" s="174"/>
    </row>
    <row r="164" ht="15.75" customHeight="1">
      <c r="A164" s="35"/>
      <c r="B164" s="28"/>
      <c r="C164" s="28"/>
      <c r="D164" s="85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4"/>
      <c r="AV164" s="174"/>
      <c r="AW164" s="174"/>
      <c r="AX164" s="174"/>
      <c r="AY164" s="174"/>
      <c r="AZ164" s="174"/>
      <c r="BA164" s="174"/>
      <c r="BB164" s="174"/>
      <c r="BC164" s="174"/>
      <c r="BD164" s="174"/>
      <c r="BE164" s="174"/>
      <c r="BF164" s="174"/>
      <c r="BG164" s="174"/>
      <c r="BH164" s="174"/>
      <c r="BI164" s="174"/>
    </row>
    <row r="165" ht="15.75" customHeight="1">
      <c r="A165" s="35"/>
      <c r="B165" s="28"/>
      <c r="C165" s="28"/>
      <c r="D165" s="85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4"/>
      <c r="AV165" s="174"/>
      <c r="AW165" s="174"/>
      <c r="AX165" s="174"/>
      <c r="AY165" s="174"/>
      <c r="AZ165" s="174"/>
      <c r="BA165" s="174"/>
      <c r="BB165" s="174"/>
      <c r="BC165" s="174"/>
      <c r="BD165" s="174"/>
      <c r="BE165" s="174"/>
      <c r="BF165" s="174"/>
      <c r="BG165" s="174"/>
      <c r="BH165" s="174"/>
      <c r="BI165" s="174"/>
    </row>
    <row r="166" ht="15.75" customHeight="1">
      <c r="A166" s="35"/>
      <c r="B166" s="28"/>
      <c r="C166" s="28"/>
      <c r="D166" s="85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4"/>
      <c r="AT166" s="174"/>
      <c r="AU166" s="174"/>
      <c r="AV166" s="174"/>
      <c r="AW166" s="174"/>
      <c r="AX166" s="174"/>
      <c r="AY166" s="174"/>
      <c r="AZ166" s="174"/>
      <c r="BA166" s="174"/>
      <c r="BB166" s="174"/>
      <c r="BC166" s="174"/>
      <c r="BD166" s="174"/>
      <c r="BE166" s="174"/>
      <c r="BF166" s="174"/>
      <c r="BG166" s="174"/>
      <c r="BH166" s="174"/>
      <c r="BI166" s="174"/>
    </row>
    <row r="167" ht="15.75" customHeight="1">
      <c r="A167" s="35"/>
      <c r="B167" s="28"/>
      <c r="C167" s="28"/>
      <c r="D167" s="85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4"/>
      <c r="AT167" s="174"/>
      <c r="AU167" s="174"/>
      <c r="AV167" s="174"/>
      <c r="AW167" s="174"/>
      <c r="AX167" s="174"/>
      <c r="AY167" s="174"/>
      <c r="AZ167" s="174"/>
      <c r="BA167" s="174"/>
      <c r="BB167" s="174"/>
      <c r="BC167" s="174"/>
      <c r="BD167" s="174"/>
      <c r="BE167" s="174"/>
      <c r="BF167" s="174"/>
      <c r="BG167" s="174"/>
      <c r="BH167" s="174"/>
      <c r="BI167" s="174"/>
    </row>
    <row r="168" ht="15.75" customHeight="1">
      <c r="A168" s="35"/>
      <c r="B168" s="28"/>
      <c r="C168" s="28"/>
      <c r="D168" s="85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74"/>
      <c r="AY168" s="174"/>
      <c r="AZ168" s="174"/>
      <c r="BA168" s="174"/>
      <c r="BB168" s="174"/>
      <c r="BC168" s="174"/>
      <c r="BD168" s="174"/>
      <c r="BE168" s="174"/>
      <c r="BF168" s="174"/>
      <c r="BG168" s="174"/>
      <c r="BH168" s="174"/>
      <c r="BI168" s="174"/>
    </row>
    <row r="169" ht="15.75" customHeight="1">
      <c r="A169" s="35"/>
      <c r="B169" s="28"/>
      <c r="C169" s="28"/>
      <c r="D169" s="85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4"/>
      <c r="AT169" s="174"/>
      <c r="AU169" s="174"/>
      <c r="AV169" s="174"/>
      <c r="AW169" s="174"/>
      <c r="AX169" s="174"/>
      <c r="AY169" s="174"/>
      <c r="AZ169" s="174"/>
      <c r="BA169" s="174"/>
      <c r="BB169" s="174"/>
      <c r="BC169" s="174"/>
      <c r="BD169" s="174"/>
      <c r="BE169" s="174"/>
      <c r="BF169" s="174"/>
      <c r="BG169" s="174"/>
      <c r="BH169" s="174"/>
      <c r="BI169" s="174"/>
    </row>
    <row r="170" ht="15.75" customHeight="1">
      <c r="A170" s="35"/>
      <c r="B170" s="28"/>
      <c r="C170" s="28"/>
      <c r="D170" s="85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4"/>
      <c r="AT170" s="174"/>
      <c r="AU170" s="174"/>
      <c r="AV170" s="174"/>
      <c r="AW170" s="174"/>
      <c r="AX170" s="174"/>
      <c r="AY170" s="174"/>
      <c r="AZ170" s="174"/>
      <c r="BA170" s="174"/>
      <c r="BB170" s="174"/>
      <c r="BC170" s="174"/>
      <c r="BD170" s="174"/>
      <c r="BE170" s="174"/>
      <c r="BF170" s="174"/>
      <c r="BG170" s="174"/>
      <c r="BH170" s="174"/>
      <c r="BI170" s="174"/>
    </row>
    <row r="171" ht="15.75" customHeight="1">
      <c r="A171" s="35"/>
      <c r="B171" s="28"/>
      <c r="C171" s="28"/>
      <c r="D171" s="85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4"/>
      <c r="AT171" s="174"/>
      <c r="AU171" s="174"/>
      <c r="AV171" s="174"/>
      <c r="AW171" s="174"/>
      <c r="AX171" s="174"/>
      <c r="AY171" s="174"/>
      <c r="AZ171" s="174"/>
      <c r="BA171" s="174"/>
      <c r="BB171" s="174"/>
      <c r="BC171" s="174"/>
      <c r="BD171" s="174"/>
      <c r="BE171" s="174"/>
      <c r="BF171" s="174"/>
      <c r="BG171" s="174"/>
      <c r="BH171" s="174"/>
      <c r="BI171" s="174"/>
    </row>
    <row r="172" ht="15.75" customHeight="1">
      <c r="A172" s="35"/>
      <c r="B172" s="28"/>
      <c r="C172" s="28"/>
      <c r="D172" s="85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4"/>
      <c r="AT172" s="174"/>
      <c r="AU172" s="174"/>
      <c r="AV172" s="174"/>
      <c r="AW172" s="174"/>
      <c r="AX172" s="174"/>
      <c r="AY172" s="174"/>
      <c r="AZ172" s="174"/>
      <c r="BA172" s="174"/>
      <c r="BB172" s="174"/>
      <c r="BC172" s="174"/>
      <c r="BD172" s="174"/>
      <c r="BE172" s="174"/>
      <c r="BF172" s="174"/>
      <c r="BG172" s="174"/>
      <c r="BH172" s="174"/>
      <c r="BI172" s="174"/>
    </row>
    <row r="173" ht="15.75" customHeight="1">
      <c r="A173" s="35"/>
      <c r="B173" s="28"/>
      <c r="C173" s="28"/>
      <c r="D173" s="85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4"/>
      <c r="AT173" s="174"/>
      <c r="AU173" s="174"/>
      <c r="AV173" s="174"/>
      <c r="AW173" s="174"/>
      <c r="AX173" s="174"/>
      <c r="AY173" s="174"/>
      <c r="AZ173" s="174"/>
      <c r="BA173" s="174"/>
      <c r="BB173" s="174"/>
      <c r="BC173" s="174"/>
      <c r="BD173" s="174"/>
      <c r="BE173" s="174"/>
      <c r="BF173" s="174"/>
      <c r="BG173" s="174"/>
      <c r="BH173" s="174"/>
      <c r="BI173" s="174"/>
    </row>
    <row r="174" ht="15.75" customHeight="1">
      <c r="A174" s="35"/>
      <c r="B174" s="28"/>
      <c r="C174" s="28"/>
      <c r="D174" s="85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4"/>
      <c r="AT174" s="174"/>
      <c r="AU174" s="174"/>
      <c r="AV174" s="174"/>
      <c r="AW174" s="174"/>
      <c r="AX174" s="174"/>
      <c r="AY174" s="174"/>
      <c r="AZ174" s="174"/>
      <c r="BA174" s="174"/>
      <c r="BB174" s="174"/>
      <c r="BC174" s="174"/>
      <c r="BD174" s="174"/>
      <c r="BE174" s="174"/>
      <c r="BF174" s="174"/>
      <c r="BG174" s="174"/>
      <c r="BH174" s="174"/>
      <c r="BI174" s="174"/>
    </row>
    <row r="175" ht="15.75" customHeight="1">
      <c r="A175" s="35"/>
      <c r="B175" s="28"/>
      <c r="C175" s="28"/>
      <c r="D175" s="85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4"/>
      <c r="AT175" s="174"/>
      <c r="AU175" s="174"/>
      <c r="AV175" s="174"/>
      <c r="AW175" s="174"/>
      <c r="AX175" s="174"/>
      <c r="AY175" s="174"/>
      <c r="AZ175" s="174"/>
      <c r="BA175" s="174"/>
      <c r="BB175" s="174"/>
      <c r="BC175" s="174"/>
      <c r="BD175" s="174"/>
      <c r="BE175" s="174"/>
      <c r="BF175" s="174"/>
      <c r="BG175" s="174"/>
      <c r="BH175" s="174"/>
      <c r="BI175" s="174"/>
    </row>
    <row r="176" ht="15.75" customHeight="1">
      <c r="A176" s="35"/>
      <c r="B176" s="28"/>
      <c r="C176" s="28"/>
      <c r="D176" s="85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4"/>
      <c r="AT176" s="174"/>
      <c r="AU176" s="174"/>
      <c r="AV176" s="174"/>
      <c r="AW176" s="174"/>
      <c r="AX176" s="174"/>
      <c r="AY176" s="174"/>
      <c r="AZ176" s="174"/>
      <c r="BA176" s="174"/>
      <c r="BB176" s="174"/>
      <c r="BC176" s="174"/>
      <c r="BD176" s="174"/>
      <c r="BE176" s="174"/>
      <c r="BF176" s="174"/>
      <c r="BG176" s="174"/>
      <c r="BH176" s="174"/>
      <c r="BI176" s="174"/>
    </row>
    <row r="177" ht="15.75" customHeight="1">
      <c r="A177" s="35"/>
      <c r="B177" s="28"/>
      <c r="C177" s="28"/>
      <c r="D177" s="85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4"/>
      <c r="AU177" s="174"/>
      <c r="AV177" s="174"/>
      <c r="AW177" s="174"/>
      <c r="AX177" s="174"/>
      <c r="AY177" s="174"/>
      <c r="AZ177" s="174"/>
      <c r="BA177" s="174"/>
      <c r="BB177" s="174"/>
      <c r="BC177" s="174"/>
      <c r="BD177" s="174"/>
      <c r="BE177" s="174"/>
      <c r="BF177" s="174"/>
      <c r="BG177" s="174"/>
      <c r="BH177" s="174"/>
      <c r="BI177" s="174"/>
    </row>
    <row r="178" ht="15.75" customHeight="1">
      <c r="A178" s="35"/>
      <c r="B178" s="28"/>
      <c r="C178" s="28"/>
      <c r="D178" s="85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4"/>
      <c r="AT178" s="174"/>
      <c r="AU178" s="174"/>
      <c r="AV178" s="174"/>
      <c r="AW178" s="174"/>
      <c r="AX178" s="174"/>
      <c r="AY178" s="174"/>
      <c r="AZ178" s="174"/>
      <c r="BA178" s="174"/>
      <c r="BB178" s="174"/>
      <c r="BC178" s="174"/>
      <c r="BD178" s="174"/>
      <c r="BE178" s="174"/>
      <c r="BF178" s="174"/>
      <c r="BG178" s="174"/>
      <c r="BH178" s="174"/>
      <c r="BI178" s="174"/>
    </row>
    <row r="179" ht="15.75" customHeight="1">
      <c r="A179" s="35"/>
      <c r="B179" s="28"/>
      <c r="C179" s="28"/>
      <c r="D179" s="85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4"/>
      <c r="AU179" s="174"/>
      <c r="AV179" s="174"/>
      <c r="AW179" s="174"/>
      <c r="AX179" s="174"/>
      <c r="AY179" s="174"/>
      <c r="AZ179" s="174"/>
      <c r="BA179" s="174"/>
      <c r="BB179" s="174"/>
      <c r="BC179" s="174"/>
      <c r="BD179" s="174"/>
      <c r="BE179" s="174"/>
      <c r="BF179" s="174"/>
      <c r="BG179" s="174"/>
      <c r="BH179" s="174"/>
      <c r="BI179" s="174"/>
    </row>
    <row r="180" ht="15.75" customHeight="1">
      <c r="A180" s="35"/>
      <c r="B180" s="28"/>
      <c r="C180" s="28"/>
      <c r="D180" s="85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4"/>
      <c r="AU180" s="174"/>
      <c r="AV180" s="174"/>
      <c r="AW180" s="174"/>
      <c r="AX180" s="174"/>
      <c r="AY180" s="174"/>
      <c r="AZ180" s="174"/>
      <c r="BA180" s="174"/>
      <c r="BB180" s="174"/>
      <c r="BC180" s="174"/>
      <c r="BD180" s="174"/>
      <c r="BE180" s="174"/>
      <c r="BF180" s="174"/>
      <c r="BG180" s="174"/>
      <c r="BH180" s="174"/>
      <c r="BI180" s="174"/>
    </row>
    <row r="181" ht="15.75" customHeight="1">
      <c r="A181" s="35"/>
      <c r="B181" s="28"/>
      <c r="C181" s="28"/>
      <c r="D181" s="85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4"/>
      <c r="AU181" s="174"/>
      <c r="AV181" s="174"/>
      <c r="AW181" s="174"/>
      <c r="AX181" s="174"/>
      <c r="AY181" s="174"/>
      <c r="AZ181" s="174"/>
      <c r="BA181" s="174"/>
      <c r="BB181" s="174"/>
      <c r="BC181" s="174"/>
      <c r="BD181" s="174"/>
      <c r="BE181" s="174"/>
      <c r="BF181" s="174"/>
      <c r="BG181" s="174"/>
      <c r="BH181" s="174"/>
      <c r="BI181" s="174"/>
    </row>
    <row r="182" ht="15.75" customHeight="1">
      <c r="A182" s="35"/>
      <c r="B182" s="28"/>
      <c r="C182" s="28"/>
      <c r="D182" s="85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4"/>
      <c r="AU182" s="174"/>
      <c r="AV182" s="174"/>
      <c r="AW182" s="174"/>
      <c r="AX182" s="174"/>
      <c r="AY182" s="174"/>
      <c r="AZ182" s="174"/>
      <c r="BA182" s="174"/>
      <c r="BB182" s="174"/>
      <c r="BC182" s="174"/>
      <c r="BD182" s="174"/>
      <c r="BE182" s="174"/>
      <c r="BF182" s="174"/>
      <c r="BG182" s="174"/>
      <c r="BH182" s="174"/>
      <c r="BI182" s="174"/>
    </row>
    <row r="183" ht="15.75" customHeight="1">
      <c r="A183" s="35"/>
      <c r="B183" s="28"/>
      <c r="C183" s="28"/>
      <c r="D183" s="85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4"/>
      <c r="AU183" s="174"/>
      <c r="AV183" s="174"/>
      <c r="AW183" s="174"/>
      <c r="AX183" s="174"/>
      <c r="AY183" s="174"/>
      <c r="AZ183" s="174"/>
      <c r="BA183" s="174"/>
      <c r="BB183" s="174"/>
      <c r="BC183" s="174"/>
      <c r="BD183" s="174"/>
      <c r="BE183" s="174"/>
      <c r="BF183" s="174"/>
      <c r="BG183" s="174"/>
      <c r="BH183" s="174"/>
      <c r="BI183" s="174"/>
    </row>
    <row r="184" ht="15.75" customHeight="1">
      <c r="A184" s="35"/>
      <c r="B184" s="28"/>
      <c r="C184" s="28"/>
      <c r="D184" s="85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174"/>
      <c r="AV184" s="174"/>
      <c r="AW184" s="174"/>
      <c r="AX184" s="174"/>
      <c r="AY184" s="174"/>
      <c r="AZ184" s="174"/>
      <c r="BA184" s="174"/>
      <c r="BB184" s="174"/>
      <c r="BC184" s="174"/>
      <c r="BD184" s="174"/>
      <c r="BE184" s="174"/>
      <c r="BF184" s="174"/>
      <c r="BG184" s="174"/>
      <c r="BH184" s="174"/>
      <c r="BI184" s="174"/>
    </row>
    <row r="185" ht="15.75" customHeight="1">
      <c r="A185" s="35"/>
      <c r="B185" s="28"/>
      <c r="C185" s="28"/>
      <c r="D185" s="85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4"/>
      <c r="AT185" s="174"/>
      <c r="AU185" s="174"/>
      <c r="AV185" s="174"/>
      <c r="AW185" s="174"/>
      <c r="AX185" s="174"/>
      <c r="AY185" s="174"/>
      <c r="AZ185" s="174"/>
      <c r="BA185" s="174"/>
      <c r="BB185" s="174"/>
      <c r="BC185" s="174"/>
      <c r="BD185" s="174"/>
      <c r="BE185" s="174"/>
      <c r="BF185" s="174"/>
      <c r="BG185" s="174"/>
      <c r="BH185" s="174"/>
      <c r="BI185" s="174"/>
    </row>
    <row r="186" ht="15.75" customHeight="1">
      <c r="A186" s="35"/>
      <c r="B186" s="28"/>
      <c r="C186" s="28"/>
      <c r="D186" s="85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4"/>
      <c r="AT186" s="174"/>
      <c r="AU186" s="174"/>
      <c r="AV186" s="174"/>
      <c r="AW186" s="174"/>
      <c r="AX186" s="174"/>
      <c r="AY186" s="174"/>
      <c r="AZ186" s="174"/>
      <c r="BA186" s="174"/>
      <c r="BB186" s="174"/>
      <c r="BC186" s="174"/>
      <c r="BD186" s="174"/>
      <c r="BE186" s="174"/>
      <c r="BF186" s="174"/>
      <c r="BG186" s="174"/>
      <c r="BH186" s="174"/>
      <c r="BI186" s="174"/>
    </row>
    <row r="187" ht="15.75" customHeight="1">
      <c r="A187" s="35"/>
      <c r="B187" s="28"/>
      <c r="C187" s="28"/>
      <c r="D187" s="85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4"/>
      <c r="AT187" s="174"/>
      <c r="AU187" s="174"/>
      <c r="AV187" s="174"/>
      <c r="AW187" s="174"/>
      <c r="AX187" s="174"/>
      <c r="AY187" s="174"/>
      <c r="AZ187" s="174"/>
      <c r="BA187" s="174"/>
      <c r="BB187" s="174"/>
      <c r="BC187" s="174"/>
      <c r="BD187" s="174"/>
      <c r="BE187" s="174"/>
      <c r="BF187" s="174"/>
      <c r="BG187" s="174"/>
      <c r="BH187" s="174"/>
      <c r="BI187" s="174"/>
    </row>
    <row r="188" ht="15.75" customHeight="1">
      <c r="A188" s="35"/>
      <c r="B188" s="28"/>
      <c r="C188" s="28"/>
      <c r="D188" s="85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4"/>
      <c r="AT188" s="174"/>
      <c r="AU188" s="174"/>
      <c r="AV188" s="174"/>
      <c r="AW188" s="174"/>
      <c r="AX188" s="174"/>
      <c r="AY188" s="174"/>
      <c r="AZ188" s="174"/>
      <c r="BA188" s="174"/>
      <c r="BB188" s="174"/>
      <c r="BC188" s="174"/>
      <c r="BD188" s="174"/>
      <c r="BE188" s="174"/>
      <c r="BF188" s="174"/>
      <c r="BG188" s="174"/>
      <c r="BH188" s="174"/>
      <c r="BI188" s="174"/>
    </row>
    <row r="189" ht="15.75" customHeight="1">
      <c r="A189" s="35"/>
      <c r="B189" s="28"/>
      <c r="C189" s="28"/>
      <c r="D189" s="85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4"/>
      <c r="AT189" s="174"/>
      <c r="AU189" s="174"/>
      <c r="AV189" s="174"/>
      <c r="AW189" s="174"/>
      <c r="AX189" s="174"/>
      <c r="AY189" s="174"/>
      <c r="AZ189" s="174"/>
      <c r="BA189" s="174"/>
      <c r="BB189" s="174"/>
      <c r="BC189" s="174"/>
      <c r="BD189" s="174"/>
      <c r="BE189" s="174"/>
      <c r="BF189" s="174"/>
      <c r="BG189" s="174"/>
      <c r="BH189" s="174"/>
      <c r="BI189" s="174"/>
    </row>
    <row r="190" ht="15.75" customHeight="1">
      <c r="A190" s="35"/>
      <c r="B190" s="28"/>
      <c r="C190" s="28"/>
      <c r="D190" s="85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  <c r="BH190" s="174"/>
      <c r="BI190" s="174"/>
    </row>
    <row r="191" ht="15.75" customHeight="1">
      <c r="A191" s="35"/>
      <c r="B191" s="28"/>
      <c r="C191" s="28"/>
      <c r="D191" s="85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4"/>
      <c r="AT191" s="174"/>
      <c r="AU191" s="174"/>
      <c r="AV191" s="174"/>
      <c r="AW191" s="174"/>
      <c r="AX191" s="174"/>
      <c r="AY191" s="174"/>
      <c r="AZ191" s="174"/>
      <c r="BA191" s="174"/>
      <c r="BB191" s="174"/>
      <c r="BC191" s="174"/>
      <c r="BD191" s="174"/>
      <c r="BE191" s="174"/>
      <c r="BF191" s="174"/>
      <c r="BG191" s="174"/>
      <c r="BH191" s="174"/>
      <c r="BI191" s="174"/>
    </row>
    <row r="192" ht="15.75" customHeight="1">
      <c r="A192" s="35"/>
      <c r="B192" s="28"/>
      <c r="C192" s="28"/>
      <c r="D192" s="85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4"/>
      <c r="AT192" s="174"/>
      <c r="AU192" s="174"/>
      <c r="AV192" s="174"/>
      <c r="AW192" s="174"/>
      <c r="AX192" s="174"/>
      <c r="AY192" s="174"/>
      <c r="AZ192" s="174"/>
      <c r="BA192" s="174"/>
      <c r="BB192" s="174"/>
      <c r="BC192" s="174"/>
      <c r="BD192" s="174"/>
      <c r="BE192" s="174"/>
      <c r="BF192" s="174"/>
      <c r="BG192" s="174"/>
      <c r="BH192" s="174"/>
      <c r="BI192" s="174"/>
    </row>
    <row r="193" ht="15.75" customHeight="1">
      <c r="A193" s="35"/>
      <c r="B193" s="28"/>
      <c r="C193" s="28"/>
      <c r="D193" s="85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4"/>
      <c r="AV193" s="174"/>
      <c r="AW193" s="174"/>
      <c r="AX193" s="174"/>
      <c r="AY193" s="174"/>
      <c r="AZ193" s="174"/>
      <c r="BA193" s="174"/>
      <c r="BB193" s="174"/>
      <c r="BC193" s="174"/>
      <c r="BD193" s="174"/>
      <c r="BE193" s="174"/>
      <c r="BF193" s="174"/>
      <c r="BG193" s="174"/>
      <c r="BH193" s="174"/>
      <c r="BI193" s="174"/>
    </row>
    <row r="194" ht="15.75" customHeight="1">
      <c r="A194" s="35"/>
      <c r="B194" s="28"/>
      <c r="C194" s="28"/>
      <c r="D194" s="85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4"/>
      <c r="AV194" s="174"/>
      <c r="AW194" s="174"/>
      <c r="AX194" s="174"/>
      <c r="AY194" s="174"/>
      <c r="AZ194" s="174"/>
      <c r="BA194" s="174"/>
      <c r="BB194" s="174"/>
      <c r="BC194" s="174"/>
      <c r="BD194" s="174"/>
      <c r="BE194" s="174"/>
      <c r="BF194" s="174"/>
      <c r="BG194" s="174"/>
      <c r="BH194" s="174"/>
      <c r="BI194" s="174"/>
    </row>
    <row r="195" ht="15.75" customHeight="1">
      <c r="A195" s="35"/>
      <c r="B195" s="28"/>
      <c r="C195" s="28"/>
      <c r="D195" s="85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4"/>
      <c r="AV195" s="174"/>
      <c r="AW195" s="174"/>
      <c r="AX195" s="174"/>
      <c r="AY195" s="174"/>
      <c r="AZ195" s="174"/>
      <c r="BA195" s="174"/>
      <c r="BB195" s="174"/>
      <c r="BC195" s="174"/>
      <c r="BD195" s="174"/>
      <c r="BE195" s="174"/>
      <c r="BF195" s="174"/>
      <c r="BG195" s="174"/>
      <c r="BH195" s="174"/>
      <c r="BI195" s="174"/>
    </row>
    <row r="196" ht="15.75" customHeight="1">
      <c r="A196" s="35"/>
      <c r="B196" s="28"/>
      <c r="C196" s="28"/>
      <c r="D196" s="85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4"/>
      <c r="AV196" s="174"/>
      <c r="AW196" s="174"/>
      <c r="AX196" s="174"/>
      <c r="AY196" s="174"/>
      <c r="AZ196" s="174"/>
      <c r="BA196" s="174"/>
      <c r="BB196" s="174"/>
      <c r="BC196" s="174"/>
      <c r="BD196" s="174"/>
      <c r="BE196" s="174"/>
      <c r="BF196" s="174"/>
      <c r="BG196" s="174"/>
      <c r="BH196" s="174"/>
      <c r="BI196" s="174"/>
    </row>
    <row r="197" ht="15.75" customHeight="1">
      <c r="A197" s="35"/>
      <c r="B197" s="28"/>
      <c r="C197" s="28"/>
      <c r="D197" s="85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4"/>
      <c r="AT197" s="174"/>
      <c r="AU197" s="174"/>
      <c r="AV197" s="174"/>
      <c r="AW197" s="174"/>
      <c r="AX197" s="174"/>
      <c r="AY197" s="174"/>
      <c r="AZ197" s="174"/>
      <c r="BA197" s="174"/>
      <c r="BB197" s="174"/>
      <c r="BC197" s="174"/>
      <c r="BD197" s="174"/>
      <c r="BE197" s="174"/>
      <c r="BF197" s="174"/>
      <c r="BG197" s="174"/>
      <c r="BH197" s="174"/>
      <c r="BI197" s="174"/>
    </row>
    <row r="198" ht="15.75" customHeight="1">
      <c r="A198" s="35"/>
      <c r="B198" s="28"/>
      <c r="C198" s="28"/>
      <c r="D198" s="85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4"/>
      <c r="AT198" s="174"/>
      <c r="AU198" s="174"/>
      <c r="AV198" s="174"/>
      <c r="AW198" s="174"/>
      <c r="AX198" s="174"/>
      <c r="AY198" s="174"/>
      <c r="AZ198" s="174"/>
      <c r="BA198" s="174"/>
      <c r="BB198" s="174"/>
      <c r="BC198" s="174"/>
      <c r="BD198" s="174"/>
      <c r="BE198" s="174"/>
      <c r="BF198" s="174"/>
      <c r="BG198" s="174"/>
      <c r="BH198" s="174"/>
      <c r="BI198" s="174"/>
    </row>
    <row r="199" ht="15.75" customHeight="1">
      <c r="A199" s="35"/>
      <c r="B199" s="28"/>
      <c r="C199" s="28"/>
      <c r="D199" s="85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4"/>
      <c r="AT199" s="174"/>
      <c r="AU199" s="174"/>
      <c r="AV199" s="174"/>
      <c r="AW199" s="174"/>
      <c r="AX199" s="174"/>
      <c r="AY199" s="174"/>
      <c r="AZ199" s="174"/>
      <c r="BA199" s="174"/>
      <c r="BB199" s="174"/>
      <c r="BC199" s="174"/>
      <c r="BD199" s="174"/>
      <c r="BE199" s="174"/>
      <c r="BF199" s="174"/>
      <c r="BG199" s="174"/>
      <c r="BH199" s="174"/>
      <c r="BI199" s="174"/>
    </row>
    <row r="200" ht="15.75" customHeight="1">
      <c r="A200" s="35"/>
      <c r="B200" s="28"/>
      <c r="C200" s="28"/>
      <c r="D200" s="85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4"/>
      <c r="AT200" s="174"/>
      <c r="AU200" s="174"/>
      <c r="AV200" s="174"/>
      <c r="AW200" s="174"/>
      <c r="AX200" s="174"/>
      <c r="AY200" s="174"/>
      <c r="AZ200" s="174"/>
      <c r="BA200" s="174"/>
      <c r="BB200" s="174"/>
      <c r="BC200" s="174"/>
      <c r="BD200" s="174"/>
      <c r="BE200" s="174"/>
      <c r="BF200" s="174"/>
      <c r="BG200" s="174"/>
      <c r="BH200" s="174"/>
      <c r="BI200" s="174"/>
    </row>
    <row r="201" ht="15.75" customHeight="1">
      <c r="A201" s="35"/>
      <c r="B201" s="28"/>
      <c r="C201" s="28"/>
      <c r="D201" s="85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4"/>
      <c r="AT201" s="174"/>
      <c r="AU201" s="174"/>
      <c r="AV201" s="174"/>
      <c r="AW201" s="174"/>
      <c r="AX201" s="174"/>
      <c r="AY201" s="174"/>
      <c r="AZ201" s="174"/>
      <c r="BA201" s="174"/>
      <c r="BB201" s="174"/>
      <c r="BC201" s="174"/>
      <c r="BD201" s="174"/>
      <c r="BE201" s="174"/>
      <c r="BF201" s="174"/>
      <c r="BG201" s="174"/>
      <c r="BH201" s="174"/>
      <c r="BI201" s="174"/>
    </row>
    <row r="202" ht="15.75" customHeight="1">
      <c r="A202" s="35"/>
      <c r="B202" s="28"/>
      <c r="C202" s="28"/>
      <c r="D202" s="85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4"/>
      <c r="AT202" s="174"/>
      <c r="AU202" s="174"/>
      <c r="AV202" s="174"/>
      <c r="AW202" s="174"/>
      <c r="AX202" s="174"/>
      <c r="AY202" s="174"/>
      <c r="AZ202" s="174"/>
      <c r="BA202" s="174"/>
      <c r="BB202" s="174"/>
      <c r="BC202" s="174"/>
      <c r="BD202" s="174"/>
      <c r="BE202" s="174"/>
      <c r="BF202" s="174"/>
      <c r="BG202" s="174"/>
      <c r="BH202" s="174"/>
      <c r="BI202" s="174"/>
    </row>
    <row r="203" ht="15.75" customHeight="1">
      <c r="A203" s="35"/>
      <c r="B203" s="28"/>
      <c r="C203" s="28"/>
      <c r="D203" s="85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4"/>
      <c r="AV203" s="174"/>
      <c r="AW203" s="174"/>
      <c r="AX203" s="174"/>
      <c r="AY203" s="174"/>
      <c r="AZ203" s="174"/>
      <c r="BA203" s="174"/>
      <c r="BB203" s="174"/>
      <c r="BC203" s="174"/>
      <c r="BD203" s="174"/>
      <c r="BE203" s="174"/>
      <c r="BF203" s="174"/>
      <c r="BG203" s="174"/>
      <c r="BH203" s="174"/>
      <c r="BI203" s="174"/>
    </row>
    <row r="204" ht="15.75" customHeight="1">
      <c r="A204" s="35"/>
      <c r="B204" s="28"/>
      <c r="C204" s="28"/>
      <c r="D204" s="85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4"/>
      <c r="AV204" s="174"/>
      <c r="AW204" s="174"/>
      <c r="AX204" s="174"/>
      <c r="AY204" s="174"/>
      <c r="AZ204" s="174"/>
      <c r="BA204" s="174"/>
      <c r="BB204" s="174"/>
      <c r="BC204" s="174"/>
      <c r="BD204" s="174"/>
      <c r="BE204" s="174"/>
      <c r="BF204" s="174"/>
      <c r="BG204" s="174"/>
      <c r="BH204" s="174"/>
      <c r="BI204" s="174"/>
    </row>
    <row r="205" ht="15.75" customHeight="1">
      <c r="A205" s="35"/>
      <c r="B205" s="28"/>
      <c r="C205" s="28"/>
      <c r="D205" s="85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4"/>
      <c r="AV205" s="174"/>
      <c r="AW205" s="174"/>
      <c r="AX205" s="174"/>
      <c r="AY205" s="174"/>
      <c r="AZ205" s="174"/>
      <c r="BA205" s="174"/>
      <c r="BB205" s="174"/>
      <c r="BC205" s="174"/>
      <c r="BD205" s="174"/>
      <c r="BE205" s="174"/>
      <c r="BF205" s="174"/>
      <c r="BG205" s="174"/>
      <c r="BH205" s="174"/>
      <c r="BI205" s="174"/>
    </row>
    <row r="206" ht="15.75" customHeight="1">
      <c r="A206" s="35"/>
      <c r="B206" s="28"/>
      <c r="C206" s="28"/>
      <c r="D206" s="85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4"/>
      <c r="AV206" s="174"/>
      <c r="AW206" s="174"/>
      <c r="AX206" s="174"/>
      <c r="AY206" s="174"/>
      <c r="AZ206" s="174"/>
      <c r="BA206" s="174"/>
      <c r="BB206" s="174"/>
      <c r="BC206" s="174"/>
      <c r="BD206" s="174"/>
      <c r="BE206" s="174"/>
      <c r="BF206" s="174"/>
      <c r="BG206" s="174"/>
      <c r="BH206" s="174"/>
      <c r="BI206" s="174"/>
    </row>
    <row r="207" ht="15.75" customHeight="1">
      <c r="A207" s="35"/>
      <c r="B207" s="28"/>
      <c r="C207" s="28"/>
      <c r="D207" s="85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4"/>
      <c r="AT207" s="174"/>
      <c r="AU207" s="174"/>
      <c r="AV207" s="174"/>
      <c r="AW207" s="174"/>
      <c r="AX207" s="174"/>
      <c r="AY207" s="174"/>
      <c r="AZ207" s="174"/>
      <c r="BA207" s="174"/>
      <c r="BB207" s="174"/>
      <c r="BC207" s="174"/>
      <c r="BD207" s="174"/>
      <c r="BE207" s="174"/>
      <c r="BF207" s="174"/>
      <c r="BG207" s="174"/>
      <c r="BH207" s="174"/>
      <c r="BI207" s="174"/>
    </row>
    <row r="208" ht="15.75" customHeight="1">
      <c r="A208" s="35"/>
      <c r="B208" s="28"/>
      <c r="C208" s="28"/>
      <c r="D208" s="85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4"/>
      <c r="AV208" s="174"/>
      <c r="AW208" s="174"/>
      <c r="AX208" s="174"/>
      <c r="AY208" s="174"/>
      <c r="AZ208" s="174"/>
      <c r="BA208" s="174"/>
      <c r="BB208" s="174"/>
      <c r="BC208" s="174"/>
      <c r="BD208" s="174"/>
      <c r="BE208" s="174"/>
      <c r="BF208" s="174"/>
      <c r="BG208" s="174"/>
      <c r="BH208" s="174"/>
      <c r="BI208" s="174"/>
    </row>
    <row r="209" ht="15.75" customHeight="1">
      <c r="A209" s="35"/>
      <c r="B209" s="28"/>
      <c r="C209" s="28"/>
      <c r="D209" s="85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4"/>
      <c r="AT209" s="174"/>
      <c r="AU209" s="174"/>
      <c r="AV209" s="174"/>
      <c r="AW209" s="174"/>
      <c r="AX209" s="174"/>
      <c r="AY209" s="174"/>
      <c r="AZ209" s="174"/>
      <c r="BA209" s="174"/>
      <c r="BB209" s="174"/>
      <c r="BC209" s="174"/>
      <c r="BD209" s="174"/>
      <c r="BE209" s="174"/>
      <c r="BF209" s="174"/>
      <c r="BG209" s="174"/>
      <c r="BH209" s="174"/>
      <c r="BI209" s="174"/>
    </row>
    <row r="210" ht="15.75" customHeight="1">
      <c r="A210" s="35"/>
      <c r="B210" s="28"/>
      <c r="C210" s="28"/>
      <c r="D210" s="85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4"/>
      <c r="AT210" s="174"/>
      <c r="AU210" s="174"/>
      <c r="AV210" s="174"/>
      <c r="AW210" s="174"/>
      <c r="AX210" s="174"/>
      <c r="AY210" s="174"/>
      <c r="AZ210" s="174"/>
      <c r="BA210" s="174"/>
      <c r="BB210" s="174"/>
      <c r="BC210" s="174"/>
      <c r="BD210" s="174"/>
      <c r="BE210" s="174"/>
      <c r="BF210" s="174"/>
      <c r="BG210" s="174"/>
      <c r="BH210" s="174"/>
      <c r="BI210" s="174"/>
    </row>
    <row r="211" ht="15.75" customHeight="1">
      <c r="A211" s="35"/>
      <c r="B211" s="28"/>
      <c r="C211" s="28"/>
      <c r="D211" s="85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4"/>
      <c r="AT211" s="174"/>
      <c r="AU211" s="174"/>
      <c r="AV211" s="174"/>
      <c r="AW211" s="174"/>
      <c r="AX211" s="174"/>
      <c r="AY211" s="174"/>
      <c r="AZ211" s="174"/>
      <c r="BA211" s="174"/>
      <c r="BB211" s="174"/>
      <c r="BC211" s="174"/>
      <c r="BD211" s="174"/>
      <c r="BE211" s="174"/>
      <c r="BF211" s="174"/>
      <c r="BG211" s="174"/>
      <c r="BH211" s="174"/>
      <c r="BI211" s="174"/>
    </row>
    <row r="212" ht="15.75" customHeight="1">
      <c r="A212" s="35"/>
      <c r="B212" s="28"/>
      <c r="C212" s="28"/>
      <c r="D212" s="85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74"/>
      <c r="AY212" s="174"/>
      <c r="AZ212" s="174"/>
      <c r="BA212" s="174"/>
      <c r="BB212" s="174"/>
      <c r="BC212" s="174"/>
      <c r="BD212" s="174"/>
      <c r="BE212" s="174"/>
      <c r="BF212" s="174"/>
      <c r="BG212" s="174"/>
      <c r="BH212" s="174"/>
      <c r="BI212" s="174"/>
    </row>
    <row r="213" ht="15.75" customHeight="1">
      <c r="A213" s="35"/>
      <c r="B213" s="28"/>
      <c r="C213" s="28"/>
      <c r="D213" s="85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4"/>
      <c r="AU213" s="174"/>
      <c r="AV213" s="174"/>
      <c r="AW213" s="174"/>
      <c r="AX213" s="174"/>
      <c r="AY213" s="174"/>
      <c r="AZ213" s="174"/>
      <c r="BA213" s="174"/>
      <c r="BB213" s="174"/>
      <c r="BC213" s="174"/>
      <c r="BD213" s="174"/>
      <c r="BE213" s="174"/>
      <c r="BF213" s="174"/>
      <c r="BG213" s="174"/>
      <c r="BH213" s="174"/>
      <c r="BI213" s="174"/>
    </row>
    <row r="214" ht="15.75" customHeight="1">
      <c r="A214" s="35"/>
      <c r="B214" s="28"/>
      <c r="C214" s="28"/>
      <c r="D214" s="85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4"/>
      <c r="AT214" s="174"/>
      <c r="AU214" s="174"/>
      <c r="AV214" s="174"/>
      <c r="AW214" s="174"/>
      <c r="AX214" s="174"/>
      <c r="AY214" s="174"/>
      <c r="AZ214" s="174"/>
      <c r="BA214" s="174"/>
      <c r="BB214" s="174"/>
      <c r="BC214" s="174"/>
      <c r="BD214" s="174"/>
      <c r="BE214" s="174"/>
      <c r="BF214" s="174"/>
      <c r="BG214" s="174"/>
      <c r="BH214" s="174"/>
      <c r="BI214" s="174"/>
    </row>
    <row r="215" ht="15.75" customHeight="1">
      <c r="A215" s="35"/>
      <c r="B215" s="28"/>
      <c r="C215" s="28"/>
      <c r="D215" s="85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4"/>
      <c r="AT215" s="174"/>
      <c r="AU215" s="174"/>
      <c r="AV215" s="174"/>
      <c r="AW215" s="174"/>
      <c r="AX215" s="174"/>
      <c r="AY215" s="174"/>
      <c r="AZ215" s="174"/>
      <c r="BA215" s="174"/>
      <c r="BB215" s="174"/>
      <c r="BC215" s="174"/>
      <c r="BD215" s="174"/>
      <c r="BE215" s="174"/>
      <c r="BF215" s="174"/>
      <c r="BG215" s="174"/>
      <c r="BH215" s="174"/>
      <c r="BI215" s="174"/>
    </row>
    <row r="216" ht="15.75" customHeight="1">
      <c r="A216" s="35"/>
      <c r="B216" s="28"/>
      <c r="C216" s="28"/>
      <c r="D216" s="85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4"/>
      <c r="AT216" s="174"/>
      <c r="AU216" s="174"/>
      <c r="AV216" s="174"/>
      <c r="AW216" s="174"/>
      <c r="AX216" s="174"/>
      <c r="AY216" s="174"/>
      <c r="AZ216" s="174"/>
      <c r="BA216" s="174"/>
      <c r="BB216" s="174"/>
      <c r="BC216" s="174"/>
      <c r="BD216" s="174"/>
      <c r="BE216" s="174"/>
      <c r="BF216" s="174"/>
      <c r="BG216" s="174"/>
      <c r="BH216" s="174"/>
      <c r="BI216" s="174"/>
    </row>
    <row r="217" ht="15.75" customHeight="1">
      <c r="A217" s="35"/>
      <c r="B217" s="28"/>
      <c r="C217" s="28"/>
      <c r="D217" s="85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4"/>
      <c r="AT217" s="174"/>
      <c r="AU217" s="174"/>
      <c r="AV217" s="174"/>
      <c r="AW217" s="174"/>
      <c r="AX217" s="174"/>
      <c r="AY217" s="174"/>
      <c r="AZ217" s="174"/>
      <c r="BA217" s="174"/>
      <c r="BB217" s="174"/>
      <c r="BC217" s="174"/>
      <c r="BD217" s="174"/>
      <c r="BE217" s="174"/>
      <c r="BF217" s="174"/>
      <c r="BG217" s="174"/>
      <c r="BH217" s="174"/>
      <c r="BI217" s="174"/>
    </row>
    <row r="218" ht="15.75" customHeight="1">
      <c r="A218" s="35"/>
      <c r="B218" s="28"/>
      <c r="C218" s="28"/>
      <c r="D218" s="85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4"/>
      <c r="AT218" s="174"/>
      <c r="AU218" s="174"/>
      <c r="AV218" s="174"/>
      <c r="AW218" s="174"/>
      <c r="AX218" s="174"/>
      <c r="AY218" s="174"/>
      <c r="AZ218" s="174"/>
      <c r="BA218" s="174"/>
      <c r="BB218" s="174"/>
      <c r="BC218" s="174"/>
      <c r="BD218" s="174"/>
      <c r="BE218" s="174"/>
      <c r="BF218" s="174"/>
      <c r="BG218" s="174"/>
      <c r="BH218" s="174"/>
      <c r="BI218" s="174"/>
    </row>
    <row r="219" ht="15.75" customHeight="1">
      <c r="A219" s="35"/>
      <c r="B219" s="28"/>
      <c r="C219" s="28"/>
      <c r="D219" s="85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4"/>
      <c r="AT219" s="174"/>
      <c r="AU219" s="174"/>
      <c r="AV219" s="174"/>
      <c r="AW219" s="174"/>
      <c r="AX219" s="174"/>
      <c r="AY219" s="174"/>
      <c r="AZ219" s="174"/>
      <c r="BA219" s="174"/>
      <c r="BB219" s="174"/>
      <c r="BC219" s="174"/>
      <c r="BD219" s="174"/>
      <c r="BE219" s="174"/>
      <c r="BF219" s="174"/>
      <c r="BG219" s="174"/>
      <c r="BH219" s="174"/>
      <c r="BI219" s="174"/>
    </row>
    <row r="220" ht="15.75" customHeight="1">
      <c r="A220" s="35"/>
      <c r="B220" s="28"/>
      <c r="C220" s="28"/>
      <c r="D220" s="85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4"/>
      <c r="AT220" s="174"/>
      <c r="AU220" s="174"/>
      <c r="AV220" s="174"/>
      <c r="AW220" s="174"/>
      <c r="AX220" s="174"/>
      <c r="AY220" s="174"/>
      <c r="AZ220" s="174"/>
      <c r="BA220" s="174"/>
      <c r="BB220" s="174"/>
      <c r="BC220" s="174"/>
      <c r="BD220" s="174"/>
      <c r="BE220" s="174"/>
      <c r="BF220" s="174"/>
      <c r="BG220" s="174"/>
      <c r="BH220" s="174"/>
      <c r="BI220" s="174"/>
    </row>
    <row r="221" ht="15.75" customHeight="1">
      <c r="A221" s="35"/>
      <c r="B221" s="28"/>
      <c r="C221" s="28"/>
      <c r="D221" s="85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4"/>
      <c r="AT221" s="174"/>
      <c r="AU221" s="174"/>
      <c r="AV221" s="174"/>
      <c r="AW221" s="174"/>
      <c r="AX221" s="174"/>
      <c r="AY221" s="174"/>
      <c r="AZ221" s="174"/>
      <c r="BA221" s="174"/>
      <c r="BB221" s="174"/>
      <c r="BC221" s="174"/>
      <c r="BD221" s="174"/>
      <c r="BE221" s="174"/>
      <c r="BF221" s="174"/>
      <c r="BG221" s="174"/>
      <c r="BH221" s="174"/>
      <c r="BI221" s="174"/>
    </row>
    <row r="222" ht="15.75" customHeight="1">
      <c r="A222" s="35"/>
      <c r="B222" s="28"/>
      <c r="C222" s="28"/>
      <c r="D222" s="85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4"/>
      <c r="AT222" s="174"/>
      <c r="AU222" s="174"/>
      <c r="AV222" s="174"/>
      <c r="AW222" s="174"/>
      <c r="AX222" s="174"/>
      <c r="AY222" s="174"/>
      <c r="AZ222" s="174"/>
      <c r="BA222" s="174"/>
      <c r="BB222" s="174"/>
      <c r="BC222" s="174"/>
      <c r="BD222" s="174"/>
      <c r="BE222" s="174"/>
      <c r="BF222" s="174"/>
      <c r="BG222" s="174"/>
      <c r="BH222" s="174"/>
      <c r="BI222" s="174"/>
    </row>
    <row r="223" ht="15.75" customHeight="1">
      <c r="A223" s="35"/>
      <c r="B223" s="28"/>
      <c r="C223" s="28"/>
      <c r="D223" s="85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74"/>
      <c r="AY223" s="174"/>
      <c r="AZ223" s="174"/>
      <c r="BA223" s="174"/>
      <c r="BB223" s="174"/>
      <c r="BC223" s="174"/>
      <c r="BD223" s="174"/>
      <c r="BE223" s="174"/>
      <c r="BF223" s="174"/>
      <c r="BG223" s="174"/>
      <c r="BH223" s="174"/>
      <c r="BI223" s="174"/>
    </row>
    <row r="224" ht="15.75" customHeight="1">
      <c r="A224" s="35"/>
      <c r="B224" s="28"/>
      <c r="C224" s="28"/>
      <c r="D224" s="85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4"/>
      <c r="AT224" s="174"/>
      <c r="AU224" s="174"/>
      <c r="AV224" s="174"/>
      <c r="AW224" s="174"/>
      <c r="AX224" s="174"/>
      <c r="AY224" s="174"/>
      <c r="AZ224" s="174"/>
      <c r="BA224" s="174"/>
      <c r="BB224" s="174"/>
      <c r="BC224" s="174"/>
      <c r="BD224" s="174"/>
      <c r="BE224" s="174"/>
      <c r="BF224" s="174"/>
      <c r="BG224" s="174"/>
      <c r="BH224" s="174"/>
      <c r="BI224" s="174"/>
    </row>
    <row r="225" ht="15.75" customHeight="1">
      <c r="A225" s="35"/>
      <c r="B225" s="28"/>
      <c r="C225" s="28"/>
      <c r="D225" s="85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4"/>
      <c r="AT225" s="174"/>
      <c r="AU225" s="174"/>
      <c r="AV225" s="174"/>
      <c r="AW225" s="174"/>
      <c r="AX225" s="174"/>
      <c r="AY225" s="174"/>
      <c r="AZ225" s="174"/>
      <c r="BA225" s="174"/>
      <c r="BB225" s="174"/>
      <c r="BC225" s="174"/>
      <c r="BD225" s="174"/>
      <c r="BE225" s="174"/>
      <c r="BF225" s="174"/>
      <c r="BG225" s="174"/>
      <c r="BH225" s="174"/>
      <c r="BI225" s="174"/>
    </row>
    <row r="226" ht="15.75" customHeight="1">
      <c r="A226" s="35"/>
      <c r="B226" s="28"/>
      <c r="C226" s="28"/>
      <c r="D226" s="85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4"/>
      <c r="AT226" s="174"/>
      <c r="AU226" s="174"/>
      <c r="AV226" s="174"/>
      <c r="AW226" s="174"/>
      <c r="AX226" s="174"/>
      <c r="AY226" s="174"/>
      <c r="AZ226" s="174"/>
      <c r="BA226" s="174"/>
      <c r="BB226" s="174"/>
      <c r="BC226" s="174"/>
      <c r="BD226" s="174"/>
      <c r="BE226" s="174"/>
      <c r="BF226" s="174"/>
      <c r="BG226" s="174"/>
      <c r="BH226" s="174"/>
      <c r="BI226" s="174"/>
    </row>
    <row r="227" ht="15.75" customHeight="1">
      <c r="A227" s="35"/>
      <c r="B227" s="28"/>
      <c r="C227" s="28"/>
      <c r="D227" s="85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4"/>
      <c r="AV227" s="174"/>
      <c r="AW227" s="174"/>
      <c r="AX227" s="174"/>
      <c r="AY227" s="174"/>
      <c r="AZ227" s="174"/>
      <c r="BA227" s="174"/>
      <c r="BB227" s="174"/>
      <c r="BC227" s="174"/>
      <c r="BD227" s="174"/>
      <c r="BE227" s="174"/>
      <c r="BF227" s="174"/>
      <c r="BG227" s="174"/>
      <c r="BH227" s="174"/>
      <c r="BI227" s="174"/>
    </row>
    <row r="228" ht="15.75" customHeight="1">
      <c r="A228" s="35"/>
      <c r="B228" s="28"/>
      <c r="C228" s="28"/>
      <c r="D228" s="85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4"/>
      <c r="AT228" s="174"/>
      <c r="AU228" s="174"/>
      <c r="AV228" s="174"/>
      <c r="AW228" s="174"/>
      <c r="AX228" s="174"/>
      <c r="AY228" s="174"/>
      <c r="AZ228" s="174"/>
      <c r="BA228" s="174"/>
      <c r="BB228" s="174"/>
      <c r="BC228" s="174"/>
      <c r="BD228" s="174"/>
      <c r="BE228" s="174"/>
      <c r="BF228" s="174"/>
      <c r="BG228" s="174"/>
      <c r="BH228" s="174"/>
      <c r="BI228" s="174"/>
    </row>
    <row r="229" ht="15.75" customHeight="1">
      <c r="A229" s="35"/>
      <c r="B229" s="28"/>
      <c r="C229" s="28"/>
      <c r="D229" s="85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4"/>
      <c r="AT229" s="174"/>
      <c r="AU229" s="174"/>
      <c r="AV229" s="174"/>
      <c r="AW229" s="174"/>
      <c r="AX229" s="174"/>
      <c r="AY229" s="174"/>
      <c r="AZ229" s="174"/>
      <c r="BA229" s="174"/>
      <c r="BB229" s="174"/>
      <c r="BC229" s="174"/>
      <c r="BD229" s="174"/>
      <c r="BE229" s="174"/>
      <c r="BF229" s="174"/>
      <c r="BG229" s="174"/>
      <c r="BH229" s="174"/>
      <c r="BI229" s="174"/>
    </row>
    <row r="230" ht="15.75" customHeight="1">
      <c r="A230" s="35"/>
      <c r="B230" s="28"/>
      <c r="C230" s="28"/>
      <c r="D230" s="85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  <c r="AT230" s="174"/>
      <c r="AU230" s="174"/>
      <c r="AV230" s="174"/>
      <c r="AW230" s="174"/>
      <c r="AX230" s="174"/>
      <c r="AY230" s="174"/>
      <c r="AZ230" s="174"/>
      <c r="BA230" s="174"/>
      <c r="BB230" s="174"/>
      <c r="BC230" s="174"/>
      <c r="BD230" s="174"/>
      <c r="BE230" s="174"/>
      <c r="BF230" s="174"/>
      <c r="BG230" s="174"/>
      <c r="BH230" s="174"/>
      <c r="BI230" s="174"/>
    </row>
    <row r="231" ht="15.75" customHeight="1">
      <c r="A231" s="35"/>
      <c r="B231" s="28"/>
      <c r="C231" s="28"/>
      <c r="D231" s="85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4"/>
      <c r="AT231" s="174"/>
      <c r="AU231" s="174"/>
      <c r="AV231" s="174"/>
      <c r="AW231" s="174"/>
      <c r="AX231" s="174"/>
      <c r="AY231" s="174"/>
      <c r="AZ231" s="174"/>
      <c r="BA231" s="174"/>
      <c r="BB231" s="174"/>
      <c r="BC231" s="174"/>
      <c r="BD231" s="174"/>
      <c r="BE231" s="174"/>
      <c r="BF231" s="174"/>
      <c r="BG231" s="174"/>
      <c r="BH231" s="174"/>
      <c r="BI231" s="174"/>
    </row>
    <row r="232" ht="15.75" customHeight="1">
      <c r="A232" s="35"/>
      <c r="B232" s="28"/>
      <c r="C232" s="28"/>
      <c r="D232" s="85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4"/>
      <c r="AT232" s="174"/>
      <c r="AU232" s="174"/>
      <c r="AV232" s="174"/>
      <c r="AW232" s="174"/>
      <c r="AX232" s="174"/>
      <c r="AY232" s="174"/>
      <c r="AZ232" s="174"/>
      <c r="BA232" s="174"/>
      <c r="BB232" s="174"/>
      <c r="BC232" s="174"/>
      <c r="BD232" s="174"/>
      <c r="BE232" s="174"/>
      <c r="BF232" s="174"/>
      <c r="BG232" s="174"/>
      <c r="BH232" s="174"/>
      <c r="BI232" s="174"/>
    </row>
    <row r="233" ht="15.75" customHeight="1">
      <c r="A233" s="35"/>
      <c r="B233" s="28"/>
      <c r="C233" s="28"/>
      <c r="D233" s="85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4"/>
      <c r="AT233" s="174"/>
      <c r="AU233" s="174"/>
      <c r="AV233" s="174"/>
      <c r="AW233" s="174"/>
      <c r="AX233" s="174"/>
      <c r="AY233" s="174"/>
      <c r="AZ233" s="174"/>
      <c r="BA233" s="174"/>
      <c r="BB233" s="174"/>
      <c r="BC233" s="174"/>
      <c r="BD233" s="174"/>
      <c r="BE233" s="174"/>
      <c r="BF233" s="174"/>
      <c r="BG233" s="174"/>
      <c r="BH233" s="174"/>
      <c r="BI233" s="174"/>
    </row>
    <row r="234" ht="15.75" customHeight="1">
      <c r="A234" s="35"/>
      <c r="B234" s="28"/>
      <c r="C234" s="28"/>
      <c r="D234" s="85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4"/>
      <c r="AT234" s="174"/>
      <c r="AU234" s="174"/>
      <c r="AV234" s="174"/>
      <c r="AW234" s="174"/>
      <c r="AX234" s="174"/>
      <c r="AY234" s="174"/>
      <c r="AZ234" s="174"/>
      <c r="BA234" s="174"/>
      <c r="BB234" s="174"/>
      <c r="BC234" s="174"/>
      <c r="BD234" s="174"/>
      <c r="BE234" s="174"/>
      <c r="BF234" s="174"/>
      <c r="BG234" s="174"/>
      <c r="BH234" s="174"/>
      <c r="BI234" s="174"/>
    </row>
    <row r="235" ht="15.75" customHeight="1">
      <c r="A235" s="35"/>
      <c r="B235" s="28"/>
      <c r="C235" s="28"/>
      <c r="D235" s="85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4"/>
      <c r="AT235" s="174"/>
      <c r="AU235" s="174"/>
      <c r="AV235" s="174"/>
      <c r="AW235" s="174"/>
      <c r="AX235" s="174"/>
      <c r="AY235" s="174"/>
      <c r="AZ235" s="174"/>
      <c r="BA235" s="174"/>
      <c r="BB235" s="174"/>
      <c r="BC235" s="174"/>
      <c r="BD235" s="174"/>
      <c r="BE235" s="174"/>
      <c r="BF235" s="174"/>
      <c r="BG235" s="174"/>
      <c r="BH235" s="174"/>
      <c r="BI235" s="174"/>
    </row>
    <row r="236" ht="15.75" customHeight="1">
      <c r="A236" s="35"/>
      <c r="B236" s="28"/>
      <c r="C236" s="28"/>
      <c r="D236" s="85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4"/>
      <c r="AT236" s="174"/>
      <c r="AU236" s="174"/>
      <c r="AV236" s="174"/>
      <c r="AW236" s="174"/>
      <c r="AX236" s="174"/>
      <c r="AY236" s="174"/>
      <c r="AZ236" s="174"/>
      <c r="BA236" s="174"/>
      <c r="BB236" s="174"/>
      <c r="BC236" s="174"/>
      <c r="BD236" s="174"/>
      <c r="BE236" s="174"/>
      <c r="BF236" s="174"/>
      <c r="BG236" s="174"/>
      <c r="BH236" s="174"/>
      <c r="BI236" s="174"/>
    </row>
    <row r="237" ht="15.75" customHeight="1">
      <c r="A237" s="35"/>
      <c r="B237" s="28"/>
      <c r="C237" s="28"/>
      <c r="D237" s="85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4"/>
      <c r="AT237" s="174"/>
      <c r="AU237" s="174"/>
      <c r="AV237" s="174"/>
      <c r="AW237" s="174"/>
      <c r="AX237" s="174"/>
      <c r="AY237" s="174"/>
      <c r="AZ237" s="174"/>
      <c r="BA237" s="174"/>
      <c r="BB237" s="174"/>
      <c r="BC237" s="174"/>
      <c r="BD237" s="174"/>
      <c r="BE237" s="174"/>
      <c r="BF237" s="174"/>
      <c r="BG237" s="174"/>
      <c r="BH237" s="174"/>
      <c r="BI237" s="174"/>
    </row>
    <row r="238" ht="15.75" customHeight="1">
      <c r="A238" s="35"/>
      <c r="B238" s="28"/>
      <c r="C238" s="28"/>
      <c r="D238" s="85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74"/>
      <c r="AY238" s="174"/>
      <c r="AZ238" s="174"/>
      <c r="BA238" s="174"/>
      <c r="BB238" s="174"/>
      <c r="BC238" s="174"/>
      <c r="BD238" s="174"/>
      <c r="BE238" s="174"/>
      <c r="BF238" s="174"/>
      <c r="BG238" s="174"/>
      <c r="BH238" s="174"/>
      <c r="BI238" s="174"/>
    </row>
    <row r="239" ht="15.75" customHeight="1">
      <c r="A239" s="35"/>
      <c r="B239" s="28"/>
      <c r="C239" s="28"/>
      <c r="D239" s="85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4"/>
      <c r="AT239" s="174"/>
      <c r="AU239" s="174"/>
      <c r="AV239" s="174"/>
      <c r="AW239" s="174"/>
      <c r="AX239" s="174"/>
      <c r="AY239" s="174"/>
      <c r="AZ239" s="174"/>
      <c r="BA239" s="174"/>
      <c r="BB239" s="174"/>
      <c r="BC239" s="174"/>
      <c r="BD239" s="174"/>
      <c r="BE239" s="174"/>
      <c r="BF239" s="174"/>
      <c r="BG239" s="174"/>
      <c r="BH239" s="174"/>
      <c r="BI239" s="174"/>
    </row>
    <row r="240" ht="15.75" customHeight="1">
      <c r="A240" s="35"/>
      <c r="B240" s="28"/>
      <c r="C240" s="28"/>
      <c r="D240" s="85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4"/>
      <c r="AT240" s="174"/>
      <c r="AU240" s="174"/>
      <c r="AV240" s="174"/>
      <c r="AW240" s="174"/>
      <c r="AX240" s="174"/>
      <c r="AY240" s="174"/>
      <c r="AZ240" s="174"/>
      <c r="BA240" s="174"/>
      <c r="BB240" s="174"/>
      <c r="BC240" s="174"/>
      <c r="BD240" s="174"/>
      <c r="BE240" s="174"/>
      <c r="BF240" s="174"/>
      <c r="BG240" s="174"/>
      <c r="BH240" s="174"/>
      <c r="BI240" s="174"/>
    </row>
    <row r="241" ht="15.75" customHeight="1">
      <c r="A241" s="35"/>
      <c r="B241" s="28"/>
      <c r="C241" s="28"/>
      <c r="D241" s="85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4"/>
      <c r="AT241" s="174"/>
      <c r="AU241" s="174"/>
      <c r="AV241" s="174"/>
      <c r="AW241" s="174"/>
      <c r="AX241" s="174"/>
      <c r="AY241" s="174"/>
      <c r="AZ241" s="174"/>
      <c r="BA241" s="174"/>
      <c r="BB241" s="174"/>
      <c r="BC241" s="174"/>
      <c r="BD241" s="174"/>
      <c r="BE241" s="174"/>
      <c r="BF241" s="174"/>
      <c r="BG241" s="174"/>
      <c r="BH241" s="174"/>
      <c r="BI241" s="174"/>
    </row>
    <row r="242" ht="15.75" customHeight="1">
      <c r="A242" s="35"/>
      <c r="B242" s="28"/>
      <c r="C242" s="28"/>
      <c r="D242" s="85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4"/>
      <c r="AT242" s="174"/>
      <c r="AU242" s="174"/>
      <c r="AV242" s="174"/>
      <c r="AW242" s="174"/>
      <c r="AX242" s="174"/>
      <c r="AY242" s="174"/>
      <c r="AZ242" s="174"/>
      <c r="BA242" s="174"/>
      <c r="BB242" s="174"/>
      <c r="BC242" s="174"/>
      <c r="BD242" s="174"/>
      <c r="BE242" s="174"/>
      <c r="BF242" s="174"/>
      <c r="BG242" s="174"/>
      <c r="BH242" s="174"/>
      <c r="BI242" s="174"/>
    </row>
    <row r="243" ht="15.75" customHeight="1">
      <c r="A243" s="35"/>
      <c r="B243" s="28"/>
      <c r="C243" s="28"/>
      <c r="D243" s="85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4"/>
      <c r="AT243" s="174"/>
      <c r="AU243" s="174"/>
      <c r="AV243" s="174"/>
      <c r="AW243" s="174"/>
      <c r="AX243" s="174"/>
      <c r="AY243" s="174"/>
      <c r="AZ243" s="174"/>
      <c r="BA243" s="174"/>
      <c r="BB243" s="174"/>
      <c r="BC243" s="174"/>
      <c r="BD243" s="174"/>
      <c r="BE243" s="174"/>
      <c r="BF243" s="174"/>
      <c r="BG243" s="174"/>
      <c r="BH243" s="174"/>
      <c r="BI243" s="174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8.86"/>
    <col customWidth="1" min="3" max="3" width="14.43"/>
    <col customWidth="1" min="4" max="4" width="18.29"/>
    <col customWidth="1" min="5" max="6" width="14.43"/>
    <col customWidth="1" min="8" max="8" width="16.71"/>
  </cols>
  <sheetData>
    <row r="1">
      <c r="A1" s="282"/>
      <c r="B1" s="22" t="s">
        <v>321</v>
      </c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158"/>
    </row>
    <row r="2">
      <c r="A2" s="273" t="s">
        <v>70</v>
      </c>
      <c r="B2" s="273" t="s">
        <v>322</v>
      </c>
      <c r="C2" s="273" t="s">
        <v>323</v>
      </c>
      <c r="D2" s="273" t="s">
        <v>324</v>
      </c>
      <c r="E2" s="273" t="s">
        <v>171</v>
      </c>
      <c r="F2" s="273" t="s">
        <v>325</v>
      </c>
      <c r="G2" s="273" t="s">
        <v>326</v>
      </c>
      <c r="H2" s="273" t="s">
        <v>327</v>
      </c>
      <c r="I2" s="171">
        <v>45658.0</v>
      </c>
      <c r="J2" s="171">
        <v>45689.0</v>
      </c>
      <c r="K2" s="171">
        <v>45717.0</v>
      </c>
      <c r="L2" s="171">
        <v>45748.0</v>
      </c>
      <c r="M2" s="171">
        <v>45778.0</v>
      </c>
      <c r="N2" s="171">
        <v>45809.0</v>
      </c>
      <c r="O2" s="171">
        <v>45839.0</v>
      </c>
      <c r="P2" s="171">
        <v>45870.0</v>
      </c>
      <c r="Q2" s="171">
        <v>45901.0</v>
      </c>
      <c r="R2" s="171">
        <v>45931.0</v>
      </c>
      <c r="S2" s="171">
        <v>45962.0</v>
      </c>
      <c r="T2" s="171">
        <v>45992.0</v>
      </c>
      <c r="U2" s="171">
        <v>46023.0</v>
      </c>
      <c r="V2" s="171">
        <v>46054.0</v>
      </c>
      <c r="W2" s="171">
        <v>46082.0</v>
      </c>
      <c r="X2" s="171">
        <v>46113.0</v>
      </c>
      <c r="Y2" s="171">
        <v>46143.0</v>
      </c>
      <c r="Z2" s="171">
        <v>46174.0</v>
      </c>
      <c r="AA2" s="171">
        <v>46204.0</v>
      </c>
      <c r="AB2" s="171">
        <v>46235.0</v>
      </c>
      <c r="AC2" s="171">
        <v>46266.0</v>
      </c>
      <c r="AD2" s="171">
        <v>46296.0</v>
      </c>
      <c r="AE2" s="171">
        <v>46327.0</v>
      </c>
      <c r="AF2" s="171">
        <v>46357.0</v>
      </c>
      <c r="AG2" s="171">
        <v>46388.0</v>
      </c>
      <c r="AH2" s="171">
        <v>46419.0</v>
      </c>
      <c r="AI2" s="171">
        <v>46447.0</v>
      </c>
      <c r="AJ2" s="171">
        <v>46478.0</v>
      </c>
      <c r="AK2" s="171">
        <v>46508.0</v>
      </c>
      <c r="AL2" s="171">
        <v>46539.0</v>
      </c>
      <c r="AM2" s="171">
        <v>46569.0</v>
      </c>
      <c r="AN2" s="171">
        <v>46600.0</v>
      </c>
      <c r="AO2" s="171">
        <v>46631.0</v>
      </c>
      <c r="AP2" s="171">
        <v>46661.0</v>
      </c>
      <c r="AQ2" s="171">
        <v>46692.0</v>
      </c>
      <c r="AR2" s="171">
        <v>46722.0</v>
      </c>
      <c r="AS2" s="171">
        <v>46753.0</v>
      </c>
      <c r="AT2" s="171">
        <v>46784.0</v>
      </c>
      <c r="AU2" s="171">
        <v>46813.0</v>
      </c>
      <c r="AV2" s="171">
        <v>46844.0</v>
      </c>
      <c r="AW2" s="171">
        <v>46874.0</v>
      </c>
      <c r="AX2" s="171">
        <v>46905.0</v>
      </c>
      <c r="AY2" s="171">
        <v>46935.0</v>
      </c>
      <c r="AZ2" s="171">
        <v>46966.0</v>
      </c>
      <c r="BA2" s="171">
        <v>46997.0</v>
      </c>
      <c r="BB2" s="171">
        <v>47027.0</v>
      </c>
      <c r="BC2" s="171">
        <v>47058.0</v>
      </c>
      <c r="BD2" s="171">
        <v>47088.0</v>
      </c>
      <c r="BE2" s="171">
        <v>47119.0</v>
      </c>
      <c r="BF2" s="171">
        <v>47150.0</v>
      </c>
      <c r="BG2" s="171">
        <v>47178.0</v>
      </c>
      <c r="BH2" s="171">
        <v>47209.0</v>
      </c>
      <c r="BI2" s="171">
        <v>47239.0</v>
      </c>
      <c r="BJ2" s="171">
        <v>47270.0</v>
      </c>
      <c r="BK2" s="171">
        <v>47300.0</v>
      </c>
      <c r="BL2" s="171">
        <v>47331.0</v>
      </c>
      <c r="BM2" s="171">
        <v>47362.0</v>
      </c>
      <c r="BN2" s="171">
        <v>47392.0</v>
      </c>
      <c r="BO2" s="171">
        <v>47423.0</v>
      </c>
      <c r="BP2" s="171">
        <v>47453.0</v>
      </c>
      <c r="BQ2" s="42"/>
    </row>
    <row r="3">
      <c r="A3" s="283">
        <v>1.0</v>
      </c>
      <c r="B3" s="284" t="s">
        <v>328</v>
      </c>
      <c r="C3" s="24" t="s">
        <v>148</v>
      </c>
      <c r="D3" s="285" t="s">
        <v>329</v>
      </c>
      <c r="E3" s="24" t="s">
        <v>330</v>
      </c>
      <c r="F3" s="286">
        <v>45901.0</v>
      </c>
      <c r="G3" s="287"/>
      <c r="H3" s="288">
        <v>5500.0</v>
      </c>
      <c r="I3" s="289">
        <f>IF(AND(F3&lt;=DATE(2025,1,1),OR(G3="",G3&gt;=DATE(2025,1,1))),H3*(1+Assumptions!$C$7)^0,0)</f>
        <v>0</v>
      </c>
      <c r="J3" s="289">
        <f>IF(AND(F3&lt;=DATE(2025,2,1),OR(G3="",G3&gt;=DATE(2025,2,1))),H3*(1+Assumptions!$C$7)^0,0)</f>
        <v>0</v>
      </c>
      <c r="K3" s="289">
        <f>IF(AND(F3&lt;=DATE(2025,3,1),OR(G3="",G3&gt;=DATE(2025,3,1))),H3*(1+Assumptions!$C$7)^0,0)</f>
        <v>0</v>
      </c>
      <c r="L3" s="289">
        <f>IF(AND(F3&lt;=DATE(2025,4,1),OR(G3="",G3&gt;=DATE(2025,4,1))),H3*(1+Assumptions!$C$7)^0,0)</f>
        <v>0</v>
      </c>
      <c r="M3" s="289">
        <f>IF(AND(F3&lt;=DATE(2025,5,1),OR(G3="",G3&gt;=DATE(2025,5,1))),H3*(1+Assumptions!$C$7)^0,0)</f>
        <v>0</v>
      </c>
      <c r="N3" s="289">
        <f>IF(AND(F3&lt;=DATE(2025,6,1),OR(G3="",G3&gt;=DATE(2025,6,1))),H3*(1+Assumptions!$C$7)^0,0)</f>
        <v>0</v>
      </c>
      <c r="O3" s="289">
        <f>IF(AND(F3&lt;=DATE(2025,7,1),OR(G3="",G3&gt;=DATE(2025,7,1))),H3*(1+Assumptions!$C$7)^0,0)</f>
        <v>0</v>
      </c>
      <c r="P3" s="289">
        <f>IF(AND(F3&lt;=DATE(2025,8,1),OR(G3="",G3&gt;=DATE(2025,8,1))),H3*(1+Assumptions!$C$7)^0,0)</f>
        <v>0</v>
      </c>
      <c r="Q3" s="289">
        <f>IF(AND(F3&lt;=DATE(2025,9,1),OR(G3="",G3&gt;=DATE(2025,9,1))),H3*(1+Assumptions!$C$7)^0,0)</f>
        <v>5500</v>
      </c>
      <c r="R3" s="289">
        <f>IF(AND(F3&lt;=DATE(2025,10,1),OR(G3="",G3&gt;=DATE(2025,10,1))),H3*(1+Assumptions!$C$7)^0,0)</f>
        <v>5500</v>
      </c>
      <c r="S3" s="289">
        <f>IF(AND(F3&lt;=DATE(2025,11,1),OR(G3="",G3&gt;=DATE(2025,11,1))),H3*(1+Assumptions!$C$7)^0,0)</f>
        <v>5500</v>
      </c>
      <c r="T3" s="289">
        <f>IF(AND(F3&lt;=DATE(2025,12,1),OR(G3="",G3&gt;=DATE(2025,12,1))),H3*(1+Assumptions!$C$7)^0,0)</f>
        <v>5500</v>
      </c>
      <c r="U3" s="289">
        <f>IF(AND(F3&lt;=DATE(2026,1,1),OR(G3="",G3&gt;=DATE(2026,1,1))),H3*(1+Assumptions!$C$7)^1,0)</f>
        <v>5940</v>
      </c>
      <c r="V3" s="289">
        <f>IF(AND(F3&lt;=DATE(2026,2,1),OR(G3="",G3&gt;=DATE(2026,2,1))),H3*(1+Assumptions!$C$7)^1,0)</f>
        <v>5940</v>
      </c>
      <c r="W3" s="289">
        <f>IF(AND(F3&lt;=DATE(2026,3,1),OR(G3="",G3&gt;=DATE(2026,3,1))),H3*(1+Assumptions!$C$7)^1,0)</f>
        <v>5940</v>
      </c>
      <c r="X3" s="289">
        <f>IF(AND(F3&lt;=DATE(2026,4,1),OR(G3="",G3&gt;=DATE(2026,4,1))),H3*(1+Assumptions!$C$7)^1,0)</f>
        <v>5940</v>
      </c>
      <c r="Y3" s="289">
        <f>IF(AND(F3&lt;=DATE(2026,5,1),OR(G3="",G3&gt;=DATE(2026,5,1))),H3*(1+Assumptions!$C$7)^1,0)</f>
        <v>5940</v>
      </c>
      <c r="Z3" s="289">
        <f>IF(AND(F3&lt;=DATE(2026,6,1),OR(G3="",G3&gt;=DATE(2026,6,1))),H3*(1+Assumptions!$C$7)^1,0)</f>
        <v>5940</v>
      </c>
      <c r="AA3" s="289">
        <f>IF(AND(F3&lt;=DATE(2026,7,1),OR(G3="",G3&gt;=DATE(2026,7,1))),H3*(1+Assumptions!$C$7)^1,0)</f>
        <v>5940</v>
      </c>
      <c r="AB3" s="289">
        <f>IF(AND(F3&lt;=DATE(2026,8,1),OR(G3="",G3&gt;=DATE(2026,8,1))),H3*(1+Assumptions!$C$7)^1,0)</f>
        <v>5940</v>
      </c>
      <c r="AC3" s="289">
        <f>IF(AND(F3&lt;=DATE(2026,9,1),OR(G3="",G3&gt;=DATE(2026,9,1))),H3*(1+Assumptions!$C$7)^1,0)</f>
        <v>5940</v>
      </c>
      <c r="AD3" s="289">
        <f>IF(AND(F3&lt;=DATE(2026,10,1),OR(G3="",G3&gt;=DATE(2026,10,1))),H3*(1+Assumptions!$C$7)^1,0)</f>
        <v>5940</v>
      </c>
      <c r="AE3" s="289">
        <f>IF(AND(F3&lt;=DATE(2026,11,1),OR(G3="",G3&gt;=DATE(2026,11,1))),H3*(1+Assumptions!$C$7)^1,0)</f>
        <v>5940</v>
      </c>
      <c r="AF3" s="289">
        <f>IF(AND(F3&lt;=DATE(2026,12,1),OR(G3="",G3&gt;=DATE(2026,12,1))),H3*(1+Assumptions!$C$7)^1,0)</f>
        <v>5940</v>
      </c>
      <c r="AG3" s="289">
        <f>IF(AND(F3&lt;=DATE(2027,1,1),OR(G3="",G3&gt;=DATE(2027,1,1))),H3*(1+Assumptions!$C$7)^2,0)</f>
        <v>6415.2</v>
      </c>
      <c r="AH3" s="289">
        <f>IF(AND(F3&lt;=DATE(2027,2,1),OR(G3="",G3&gt;=DATE(2027,2,1))),H3*(1+Assumptions!$C$7)^2,0)</f>
        <v>6415.2</v>
      </c>
      <c r="AI3" s="289">
        <f>IF(AND(F3&lt;=DATE(2027,3,1),OR(G3="",G3&gt;=DATE(2027,3,1))),H3*(1+Assumptions!$C$7)^2,0)</f>
        <v>6415.2</v>
      </c>
      <c r="AJ3" s="289">
        <f>IF(AND(F3&lt;=DATE(2027,4,1),OR(G3="",G3&gt;=DATE(2027,4,1))),H3*(1+Assumptions!$C$7)^2,0)</f>
        <v>6415.2</v>
      </c>
      <c r="AK3" s="289">
        <f>IF(AND(F3&lt;=DATE(2027,5,1),OR(G3="",G3&gt;=DATE(2027,5,1))),H3*(1+Assumptions!$C$7)^2,0)</f>
        <v>6415.2</v>
      </c>
      <c r="AL3" s="289">
        <f>IF(AND(F3&lt;=DATE(2027,6,1),OR(G3="",G3&gt;=DATE(2027,6,1))),H3*(1+Assumptions!$C$7)^2,0)</f>
        <v>6415.2</v>
      </c>
      <c r="AM3" s="289">
        <f>IF(AND(F3&lt;=DATE(2027,7,1),OR(G3="",G3&gt;=DATE(2027,7,1))),H3*(1+Assumptions!$C$7)^2,0)</f>
        <v>6415.2</v>
      </c>
      <c r="AN3" s="289">
        <f>IF(AND(F3&lt;=DATE(2027,8,1),OR(G3="",G3&gt;=DATE(2027,8,1))),H3*(1+Assumptions!$C$7)^2,0)</f>
        <v>6415.2</v>
      </c>
      <c r="AO3" s="289">
        <f>IF(AND(F3&lt;=DATE(2027,9,1),OR(G3="",G3&gt;=DATE(2027,9,1))),H3*(1+Assumptions!$C$7)^2,0)</f>
        <v>6415.2</v>
      </c>
      <c r="AP3" s="289">
        <f>IF(AND(F3&lt;=DATE(2027,10,1),OR(G3="",G3&gt;=DATE(2027,10,1))),H3*(1+Assumptions!$C$7)^2,0)</f>
        <v>6415.2</v>
      </c>
      <c r="AQ3" s="289">
        <f>IF(AND(F3&lt;=DATE(2027,11,1),OR(G3="",G3&gt;=DATE(2027,11,1))),H3*(1+Assumptions!$C$7)^2,0)</f>
        <v>6415.2</v>
      </c>
      <c r="AR3" s="289">
        <f>IF(AND(F3&lt;=DATE(2027,12,1),OR(G3="",G3&gt;=DATE(2027,12,1))),H3*(1+Assumptions!$C$7)^2,0)</f>
        <v>6415.2</v>
      </c>
      <c r="AS3" s="289">
        <f>IF(AND(F3&lt;=DATE(2028,1,1),OR(G3="",G3&gt;=DATE(2028,1,1))),H3*(1+Assumptions!$C$7)^3,0)</f>
        <v>6928.416</v>
      </c>
      <c r="AT3" s="289">
        <f>IF(AND(F3&lt;=DATE(2028,2,1),OR(G3="",G3&gt;=DATE(2028,2,1))),H3*(1+Assumptions!$C$7)^3,0)</f>
        <v>6928.416</v>
      </c>
      <c r="AU3" s="289">
        <f>IF(AND(F3&lt;=DATE(2028,3,1),OR(G3="",G3&gt;=DATE(2028,3,1))),H3*(1+Assumptions!$C$7)^3,0)</f>
        <v>6928.416</v>
      </c>
      <c r="AV3" s="289">
        <f>IF(AND(F3&lt;=DATE(2028,4,1),OR(G3="",G3&gt;=DATE(2028,4,1))),H3*(1+Assumptions!$C$7)^3,0)</f>
        <v>6928.416</v>
      </c>
      <c r="AW3" s="289">
        <f>IF(AND(F3&lt;=DATE(2028,5,1),OR(G3="",G3&gt;=DATE(2028,5,1))),H3*(1+Assumptions!$C$7)^3,0)</f>
        <v>6928.416</v>
      </c>
      <c r="AX3" s="289">
        <f>IF(AND(F3&lt;=DATE(2028,6,1),OR(G3="",G3&gt;=DATE(2028,6,1))),H3*(1+Assumptions!$C$7)^3,0)</f>
        <v>6928.416</v>
      </c>
      <c r="AY3" s="289">
        <f>IF(AND(F3&lt;=DATE(2028,7,1),OR(G3="",G3&gt;=DATE(2028,7,1))),H3*(1+Assumptions!$C$7)^3,0)</f>
        <v>6928.416</v>
      </c>
      <c r="AZ3" s="289">
        <f>IF(AND(F3&lt;=DATE(2028,8,1),OR(G3="",G3&gt;=DATE(2028,8,1))),H3*(1+Assumptions!$C$7)^3,0)</f>
        <v>6928.416</v>
      </c>
      <c r="BA3" s="289">
        <f>IF(AND(F3&lt;=DATE(2028,9,1),OR(G3="",G3&gt;=DATE(2028,9,1))),H3*(1+Assumptions!$C$7)^3,0)</f>
        <v>6928.416</v>
      </c>
      <c r="BB3" s="289">
        <f>IF(AND(F3&lt;=DATE(2028,10,1),OR(G3="",G3&gt;=DATE(2028,10,1))),H3*(1+Assumptions!$C$7)^3,0)</f>
        <v>6928.416</v>
      </c>
      <c r="BC3" s="289">
        <f>IF(AND(F3&lt;=DATE(2028,11,1),OR(G3="",G3&gt;=DATE(2028,11,1))),H3*(1+Assumptions!$C$7)^3,0)</f>
        <v>6928.416</v>
      </c>
      <c r="BD3" s="289">
        <f>IF(AND(F3&lt;=DATE(2028,12,1),OR(G3="",G3&gt;=DATE(2028,12,1))),H3*(1+Assumptions!$C$7)^3,0)</f>
        <v>6928.416</v>
      </c>
      <c r="BE3" s="289">
        <f>IF(AND(G3&lt;=DATE(2028,12,1),OR(H3="",H3&gt;=DATE(2028,12,1))),I3*(1+Assumptions!$C$7)^3,0)</f>
        <v>0</v>
      </c>
      <c r="BF3" s="289">
        <f>IF(AND(H3&lt;=DATE(2028,12,1),OR(I3="",I3&gt;=DATE(2028,12,1))),J3*(1+Assumptions!$C$7)^3,0)</f>
        <v>0</v>
      </c>
      <c r="BG3" s="289">
        <f>IF(AND(I3&lt;=DATE(2028,12,1),OR(J3="",J3&gt;=DATE(2028,12,1))),K3*(1+Assumptions!$C$7)^3,0)</f>
        <v>0</v>
      </c>
      <c r="BH3" s="289">
        <f>IF(AND(J3&lt;=DATE(2028,12,1),OR(K3="",K3&gt;=DATE(2028,12,1))),L3*(1+Assumptions!$C$7)^3,0)</f>
        <v>0</v>
      </c>
      <c r="BI3" s="289">
        <f>IF(AND(K3&lt;=DATE(2028,12,1),OR(L3="",L3&gt;=DATE(2028,12,1))),M3*(1+Assumptions!$C$7)^3,0)</f>
        <v>0</v>
      </c>
      <c r="BJ3" s="289">
        <f>IF(AND(L3&lt;=DATE(2028,12,1),OR(M3="",M3&gt;=DATE(2028,12,1))),N3*(1+Assumptions!$C$7)^3,0)</f>
        <v>0</v>
      </c>
      <c r="BK3" s="289">
        <f>IF(AND(M3&lt;=DATE(2028,12,1),OR(N3="",N3&gt;=DATE(2028,12,1))),O3*(1+Assumptions!$C$7)^3,0)</f>
        <v>0</v>
      </c>
      <c r="BL3" s="289">
        <f>IF(AND(N3&lt;=DATE(2028,12,1),OR(O3="",O3&gt;=DATE(2028,12,1))),P3*(1+Assumptions!$C$7)^3,0)</f>
        <v>0</v>
      </c>
      <c r="BM3" s="289">
        <f>IF(AND(O3&lt;=DATE(2028,12,1),OR(P3="",P3&gt;=DATE(2028,12,1))),Q3*(1+Assumptions!$C$7)^3,0)</f>
        <v>0</v>
      </c>
      <c r="BN3" s="289">
        <f>IF(AND(P3&lt;=DATE(2028,12,1),OR(Q3="",Q3&gt;=DATE(2028,12,1))),R3*(1+Assumptions!$C$7)^3,0)</f>
        <v>0</v>
      </c>
      <c r="BO3" s="289">
        <f>IF(AND(Q3&lt;=DATE(2028,12,1),OR(R3="",R3&gt;=DATE(2028,12,1))),S3*(1+Assumptions!$C$7)^3,0)</f>
        <v>0</v>
      </c>
      <c r="BP3" s="289">
        <f>IF(AND(R3&lt;=DATE(2028,12,1),OR(S3="",S3&gt;=DATE(2028,12,1))),T3*(1+Assumptions!$C$7)^3,0)</f>
        <v>0</v>
      </c>
      <c r="BQ3" s="290"/>
    </row>
    <row r="4">
      <c r="A4" s="291">
        <v>2.0</v>
      </c>
      <c r="B4" s="284" t="s">
        <v>331</v>
      </c>
      <c r="C4" s="285" t="s">
        <v>148</v>
      </c>
      <c r="D4" s="285" t="s">
        <v>328</v>
      </c>
      <c r="E4" s="292" t="s">
        <v>330</v>
      </c>
      <c r="F4" s="286">
        <v>45901.0</v>
      </c>
      <c r="G4" s="293"/>
      <c r="H4" s="288">
        <v>7500.0</v>
      </c>
      <c r="I4" s="294">
        <f>IF(AND(F4&lt;=DATE(2025,1,1),OR(G4="",G4&gt;=DATE(2025,1,1))),H4*(1+Assumptions!$C$7)^0,0)</f>
        <v>0</v>
      </c>
      <c r="J4" s="294">
        <f>IF(AND(F4&lt;=DATE(2025,2,1),OR(G4="",G4&gt;=DATE(2025,2,1))),H4*(1+Assumptions!$C$7)^0,0)</f>
        <v>0</v>
      </c>
      <c r="K4" s="294">
        <f>IF(AND(F4&lt;=DATE(2025,3,1),OR(G4="",G4&gt;=DATE(2025,3,1))),H4*(1+Assumptions!$C$7)^0,0)</f>
        <v>0</v>
      </c>
      <c r="L4" s="294">
        <f>IF(AND(F4&lt;=DATE(2025,4,1),OR(G4="",G4&gt;=DATE(2025,4,1))),H4*(1+Assumptions!$C$7)^0,0)</f>
        <v>0</v>
      </c>
      <c r="M4" s="294">
        <f>IF(AND(F4&lt;=DATE(2025,5,1),OR(G4="",G4&gt;=DATE(2025,5,1))),H4*(1+Assumptions!$C$7)^0,0)</f>
        <v>0</v>
      </c>
      <c r="N4" s="294">
        <f>IF(AND(F4&lt;=DATE(2025,6,1),OR(G4="",G4&gt;=DATE(2025,6,1))),H4*(1+Assumptions!$C$7)^0,0)</f>
        <v>0</v>
      </c>
      <c r="O4" s="294">
        <f>IF(AND(F4&lt;=DATE(2025,7,1),OR(G4="",G4&gt;=DATE(2025,7,1))),H4*(1+Assumptions!$C$7)^0,0)</f>
        <v>0</v>
      </c>
      <c r="P4" s="294">
        <f>IF(AND(F4&lt;=DATE(2025,8,1),OR(G4="",G4&gt;=DATE(2025,8,1))),H4*(1+Assumptions!$C$7)^0,0)</f>
        <v>0</v>
      </c>
      <c r="Q4" s="294">
        <f>IF(AND(F4&lt;=DATE(2025,9,1),OR(G4="",G4&gt;=DATE(2025,9,1))),H4*(1+Assumptions!$C$7)^0,0)</f>
        <v>7500</v>
      </c>
      <c r="R4" s="294">
        <f>IF(AND(F4&lt;=DATE(2025,10,1),OR(G4="",G4&gt;=DATE(2025,10,1))),H4*(1+Assumptions!$C$7)^0,0)</f>
        <v>7500</v>
      </c>
      <c r="S4" s="294">
        <f>IF(AND(F4&lt;=DATE(2025,11,1),OR(G4="",G4&gt;=DATE(2025,11,1))),H4*(1+Assumptions!$C$7)^0,0)</f>
        <v>7500</v>
      </c>
      <c r="T4" s="294">
        <f>IF(AND(F4&lt;=DATE(2025,12,1),OR(G4="",G4&gt;=DATE(2025,12,1))),H4*(1+Assumptions!$C$7)^0,0)</f>
        <v>7500</v>
      </c>
      <c r="U4" s="294">
        <f>IF(AND(F4&lt;=DATE(2026,1,1),OR(G4="",G4&gt;=DATE(2026,1,1))),H4*(1+Assumptions!$C$7)^1,0)</f>
        <v>8100</v>
      </c>
      <c r="V4" s="294">
        <f>IF(AND(F4&lt;=DATE(2026,2,1),OR(G4="",G4&gt;=DATE(2026,2,1))),H4*(1+Assumptions!$C$7)^1,0)</f>
        <v>8100</v>
      </c>
      <c r="W4" s="294">
        <f>IF(AND(F4&lt;=DATE(2026,3,1),OR(G4="",G4&gt;=DATE(2026,3,1))),H4*(1+Assumptions!$C$7)^1,0)</f>
        <v>8100</v>
      </c>
      <c r="X4" s="294">
        <f>IF(AND(F4&lt;=DATE(2026,4,1),OR(G4="",G4&gt;=DATE(2026,4,1))),H4*(1+Assumptions!$C$7)^1,0)</f>
        <v>8100</v>
      </c>
      <c r="Y4" s="294">
        <f>IF(AND(F4&lt;=DATE(2026,5,1),OR(G4="",G4&gt;=DATE(2026,5,1))),H4*(1+Assumptions!$C$7)^1,0)</f>
        <v>8100</v>
      </c>
      <c r="Z4" s="294">
        <f>IF(AND(F4&lt;=DATE(2026,6,1),OR(G4="",G4&gt;=DATE(2026,6,1))),H4*(1+Assumptions!$C$7)^1,0)</f>
        <v>8100</v>
      </c>
      <c r="AA4" s="294">
        <f>IF(AND(F4&lt;=DATE(2026,7,1),OR(G4="",G4&gt;=DATE(2026,7,1))),H4*(1+Assumptions!$C$7)^1,0)</f>
        <v>8100</v>
      </c>
      <c r="AB4" s="294">
        <f>IF(AND(F4&lt;=DATE(2026,8,1),OR(G4="",G4&gt;=DATE(2026,8,1))),H4*(1+Assumptions!$C$7)^1,0)</f>
        <v>8100</v>
      </c>
      <c r="AC4" s="294">
        <f>IF(AND(F4&lt;=DATE(2026,9,1),OR(G4="",G4&gt;=DATE(2026,9,1))),H4*(1+Assumptions!$C$7)^1,0)</f>
        <v>8100</v>
      </c>
      <c r="AD4" s="294">
        <f>IF(AND(F4&lt;=DATE(2026,10,1),OR(G4="",G4&gt;=DATE(2026,10,1))),H4*(1+Assumptions!$C$7)^1,0)</f>
        <v>8100</v>
      </c>
      <c r="AE4" s="294">
        <f>IF(AND(F4&lt;=DATE(2026,11,1),OR(G4="",G4&gt;=DATE(2026,11,1))),H4*(1+Assumptions!$C$7)^1,0)</f>
        <v>8100</v>
      </c>
      <c r="AF4" s="294">
        <f>IF(AND(F4&lt;=DATE(2026,12,1),OR(G4="",G4&gt;=DATE(2026,12,1))),H4*(1+Assumptions!$C$7)^1,0)</f>
        <v>8100</v>
      </c>
      <c r="AG4" s="294">
        <f>IF(AND(F4&lt;=DATE(2027,1,1),OR(G4="",G4&gt;=DATE(2027,1,1))),H4*(1+Assumptions!$C$7)^2,0)</f>
        <v>8748</v>
      </c>
      <c r="AH4" s="294">
        <f>IF(AND(F4&lt;=DATE(2027,2,1),OR(G4="",G4&gt;=DATE(2027,2,1))),H4*(1+Assumptions!$C$7)^2,0)</f>
        <v>8748</v>
      </c>
      <c r="AI4" s="294">
        <f>IF(AND(F4&lt;=DATE(2027,3,1),OR(G4="",G4&gt;=DATE(2027,3,1))),H4*(1+Assumptions!$C$7)^2,0)</f>
        <v>8748</v>
      </c>
      <c r="AJ4" s="294">
        <f>IF(AND(F4&lt;=DATE(2027,4,1),OR(G4="",G4&gt;=DATE(2027,4,1))),H4*(1+Assumptions!$C$7)^2,0)</f>
        <v>8748</v>
      </c>
      <c r="AK4" s="294">
        <f>IF(AND(F4&lt;=DATE(2027,5,1),OR(G4="",G4&gt;=DATE(2027,5,1))),H4*(1+Assumptions!$C$7)^2,0)</f>
        <v>8748</v>
      </c>
      <c r="AL4" s="294">
        <f>IF(AND(F4&lt;=DATE(2027,6,1),OR(G4="",G4&gt;=DATE(2027,6,1))),H4*(1+Assumptions!$C$7)^2,0)</f>
        <v>8748</v>
      </c>
      <c r="AM4" s="294">
        <f>IF(AND(F4&lt;=DATE(2027,7,1),OR(G4="",G4&gt;=DATE(2027,7,1))),H4*(1+Assumptions!$C$7)^2,0)</f>
        <v>8748</v>
      </c>
      <c r="AN4" s="294">
        <f>IF(AND(F4&lt;=DATE(2027,8,1),OR(G4="",G4&gt;=DATE(2027,8,1))),H4*(1+Assumptions!$C$7)^2,0)</f>
        <v>8748</v>
      </c>
      <c r="AO4" s="294">
        <f>IF(AND(F4&lt;=DATE(2027,9,1),OR(G4="",G4&gt;=DATE(2027,9,1))),H4*(1+Assumptions!$C$7)^2,0)</f>
        <v>8748</v>
      </c>
      <c r="AP4" s="294">
        <f>IF(AND(F4&lt;=DATE(2027,10,1),OR(G4="",G4&gt;=DATE(2027,10,1))),H4*(1+Assumptions!$C$7)^2,0)</f>
        <v>8748</v>
      </c>
      <c r="AQ4" s="294">
        <f>IF(AND(F4&lt;=DATE(2027,11,1),OR(G4="",G4&gt;=DATE(2027,11,1))),H4*(1+Assumptions!$C$7)^2,0)</f>
        <v>8748</v>
      </c>
      <c r="AR4" s="294">
        <f>IF(AND(F4&lt;=DATE(2027,12,1),OR(G4="",G4&gt;=DATE(2027,12,1))),H4*(1+Assumptions!$C$7)^2,0)</f>
        <v>8748</v>
      </c>
      <c r="AS4" s="294">
        <f>IF(AND(F4&lt;=DATE(2028,1,1),OR(G4="",G4&gt;=DATE(2028,1,1))),H4*(1+Assumptions!$C$7)^3,0)</f>
        <v>9447.84</v>
      </c>
      <c r="AT4" s="294">
        <f>IF(AND(F4&lt;=DATE(2028,2,1),OR(G4="",G4&gt;=DATE(2028,2,1))),H4*(1+Assumptions!$C$7)^3,0)</f>
        <v>9447.84</v>
      </c>
      <c r="AU4" s="294">
        <f>IF(AND(F4&lt;=DATE(2028,3,1),OR(G4="",G4&gt;=DATE(2028,3,1))),H4*(1+Assumptions!$C$7)^3,0)</f>
        <v>9447.84</v>
      </c>
      <c r="AV4" s="294">
        <f>IF(AND(F4&lt;=DATE(2028,4,1),OR(G4="",G4&gt;=DATE(2028,4,1))),H4*(1+Assumptions!$C$7)^3,0)</f>
        <v>9447.84</v>
      </c>
      <c r="AW4" s="294">
        <f>IF(AND(F4&lt;=DATE(2028,5,1),OR(G4="",G4&gt;=DATE(2028,5,1))),H4*(1+Assumptions!$C$7)^3,0)</f>
        <v>9447.84</v>
      </c>
      <c r="AX4" s="294">
        <f>IF(AND(F4&lt;=DATE(2028,6,1),OR(G4="",G4&gt;=DATE(2028,6,1))),H4*(1+Assumptions!$C$7)^3,0)</f>
        <v>9447.84</v>
      </c>
      <c r="AY4" s="294">
        <f>IF(AND(F4&lt;=DATE(2028,7,1),OR(G4="",G4&gt;=DATE(2028,7,1))),H4*(1+Assumptions!$C$7)^3,0)</f>
        <v>9447.84</v>
      </c>
      <c r="AZ4" s="294">
        <f>IF(AND(F4&lt;=DATE(2028,8,1),OR(G4="",G4&gt;=DATE(2028,8,1))),H4*(1+Assumptions!$C$7)^3,0)</f>
        <v>9447.84</v>
      </c>
      <c r="BA4" s="294">
        <f>IF(AND(F4&lt;=DATE(2028,9,1),OR(G4="",G4&gt;=DATE(2028,9,1))),H4*(1+Assumptions!$C$7)^3,0)</f>
        <v>9447.84</v>
      </c>
      <c r="BB4" s="294">
        <f>IF(AND(F4&lt;=DATE(2028,10,1),OR(G4="",G4&gt;=DATE(2028,10,1))),H4*(1+Assumptions!$C$7)^3,0)</f>
        <v>9447.84</v>
      </c>
      <c r="BC4" s="294">
        <f>IF(AND(F4&lt;=DATE(2028,11,1),OR(G4="",G4&gt;=DATE(2028,11,1))),H4*(1+Assumptions!$C$7)^3,0)</f>
        <v>9447.84</v>
      </c>
      <c r="BD4" s="294">
        <f>IF(AND(F4&lt;=DATE(2028,12,1),OR(G4="",G4&gt;=DATE(2028,12,1))),H4*(1+Assumptions!$C$7)^3,0)</f>
        <v>9447.84</v>
      </c>
      <c r="BE4" s="294">
        <f>IF(AND(G4&lt;=DATE(2028,12,1),OR(H4="",H4&gt;=DATE(2028,12,1))),I4*(1+Assumptions!$C$7)^3,0)</f>
        <v>0</v>
      </c>
      <c r="BF4" s="294">
        <f>IF(AND(H4&lt;=DATE(2028,12,1),OR(I4="",I4&gt;=DATE(2028,12,1))),J4*(1+Assumptions!$C$7)^3,0)</f>
        <v>0</v>
      </c>
      <c r="BG4" s="294">
        <f>IF(AND(I4&lt;=DATE(2028,12,1),OR(J4="",J4&gt;=DATE(2028,12,1))),K4*(1+Assumptions!$C$7)^3,0)</f>
        <v>0</v>
      </c>
      <c r="BH4" s="294">
        <f>IF(AND(J4&lt;=DATE(2028,12,1),OR(K4="",K4&gt;=DATE(2028,12,1))),L4*(1+Assumptions!$C$7)^3,0)</f>
        <v>0</v>
      </c>
      <c r="BI4" s="294">
        <f>IF(AND(K4&lt;=DATE(2028,12,1),OR(L4="",L4&gt;=DATE(2028,12,1))),M4*(1+Assumptions!$C$7)^3,0)</f>
        <v>0</v>
      </c>
      <c r="BJ4" s="294">
        <f>IF(AND(L4&lt;=DATE(2028,12,1),OR(M4="",M4&gt;=DATE(2028,12,1))),N4*(1+Assumptions!$C$7)^3,0)</f>
        <v>0</v>
      </c>
      <c r="BK4" s="294">
        <f>IF(AND(M4&lt;=DATE(2028,12,1),OR(N4="",N4&gt;=DATE(2028,12,1))),O4*(1+Assumptions!$C$7)^3,0)</f>
        <v>0</v>
      </c>
      <c r="BL4" s="294">
        <f>IF(AND(N4&lt;=DATE(2028,12,1),OR(O4="",O4&gt;=DATE(2028,12,1))),P4*(1+Assumptions!$C$7)^3,0)</f>
        <v>0</v>
      </c>
      <c r="BM4" s="294">
        <f>IF(AND(O4&lt;=DATE(2028,12,1),OR(P4="",P4&gt;=DATE(2028,12,1))),Q4*(1+Assumptions!$C$7)^3,0)</f>
        <v>0</v>
      </c>
      <c r="BN4" s="294">
        <f>IF(AND(P4&lt;=DATE(2028,12,1),OR(Q4="",Q4&gt;=DATE(2028,12,1))),R4*(1+Assumptions!$C$7)^3,0)</f>
        <v>0</v>
      </c>
      <c r="BO4" s="294">
        <f>IF(AND(Q4&lt;=DATE(2028,12,1),OR(R4="",R4&gt;=DATE(2028,12,1))),S4*(1+Assumptions!$C$7)^3,0)</f>
        <v>0</v>
      </c>
      <c r="BP4" s="294">
        <f>IF(AND(R4&lt;=DATE(2028,12,1),OR(S4="",S4&gt;=DATE(2028,12,1))),T4*(1+Assumptions!$C$7)^3,0)</f>
        <v>0</v>
      </c>
      <c r="BQ4" s="121"/>
    </row>
    <row r="5">
      <c r="A5" s="295">
        <v>3.0</v>
      </c>
      <c r="B5" s="284" t="s">
        <v>328</v>
      </c>
      <c r="C5" s="24" t="s">
        <v>148</v>
      </c>
      <c r="D5" s="24" t="s">
        <v>328</v>
      </c>
      <c r="E5" s="296" t="s">
        <v>330</v>
      </c>
      <c r="F5" s="286">
        <v>45901.0</v>
      </c>
      <c r="G5" s="297"/>
      <c r="H5" s="288">
        <v>3000.0</v>
      </c>
      <c r="I5" s="289">
        <f>IF(AND(F5&lt;=DATE(2025,1,1),OR(G5="",G5&gt;=DATE(2025,1,1))),H5*(1+Assumptions!$C$7)^0,0)</f>
        <v>0</v>
      </c>
      <c r="J5" s="289">
        <f>IF(AND(F5&lt;=DATE(2025,2,1),OR(G5="",G5&gt;=DATE(2025,2,1))),H5*(1+Assumptions!$C$7)^0,0)</f>
        <v>0</v>
      </c>
      <c r="K5" s="289">
        <f>IF(AND(F5&lt;=DATE(2025,3,1),OR(G5="",G5&gt;=DATE(2025,3,1))),H5*(1+Assumptions!$C$7)^0,0)</f>
        <v>0</v>
      </c>
      <c r="L5" s="289">
        <f>IF(AND(F5&lt;=DATE(2025,4,1),OR(G5="",G5&gt;=DATE(2025,4,1))),H5*(1+Assumptions!$C$7)^0,0)</f>
        <v>0</v>
      </c>
      <c r="M5" s="289">
        <f>IF(AND(F5&lt;=DATE(2025,5,1),OR(G5="",G5&gt;=DATE(2025,5,1))),H5*(1+Assumptions!$C$7)^0,0)</f>
        <v>0</v>
      </c>
      <c r="N5" s="289">
        <f>IF(AND(F5&lt;=DATE(2025,6,1),OR(G5="",G5&gt;=DATE(2025,6,1))),H5*(1+Assumptions!$C$7)^0,0)</f>
        <v>0</v>
      </c>
      <c r="O5" s="289">
        <f>IF(AND(F5&lt;=DATE(2025,7,1),OR(G5="",G5&gt;=DATE(2025,7,1))),H5*(1+Assumptions!$C$7)^0,0)</f>
        <v>0</v>
      </c>
      <c r="P5" s="289">
        <f>IF(AND(F5&lt;=DATE(2025,8,1),OR(G5="",G5&gt;=DATE(2025,8,1))),H5*(1+Assumptions!$C$7)^0,0)</f>
        <v>0</v>
      </c>
      <c r="Q5" s="289">
        <f>IF(AND(F5&lt;=DATE(2025,9,1),OR(G5="",G5&gt;=DATE(2025,9,1))),H5*(1+Assumptions!$C$7)^0,0)</f>
        <v>3000</v>
      </c>
      <c r="R5" s="289">
        <f>IF(AND(F5&lt;=DATE(2025,10,1),OR(G5="",G5&gt;=DATE(2025,10,1))),H5*(1+Assumptions!$C$7)^0,0)</f>
        <v>3000</v>
      </c>
      <c r="S5" s="289">
        <f>IF(AND(F5&lt;=DATE(2025,11,1),OR(G5="",G5&gt;=DATE(2025,11,1))),H5*(1+Assumptions!$C$7)^0,0)</f>
        <v>3000</v>
      </c>
      <c r="T5" s="289">
        <f>IF(AND(F5&lt;=DATE(2025,12,1),OR(G5="",G5&gt;=DATE(2025,12,1))),H5*(1+Assumptions!$C$7)^0,0)</f>
        <v>3000</v>
      </c>
      <c r="U5" s="289">
        <f>IF(AND(F5&lt;=DATE(2026,1,1),OR(G5="",G5&gt;=DATE(2026,1,1))),H5*(1+Assumptions!$C$7)^1,0)</f>
        <v>3240</v>
      </c>
      <c r="V5" s="289">
        <f>IF(AND(F5&lt;=DATE(2026,2,1),OR(G5="",G5&gt;=DATE(2026,2,1))),H5*(1+Assumptions!$C$7)^1,0)</f>
        <v>3240</v>
      </c>
      <c r="W5" s="289">
        <f>IF(AND(F5&lt;=DATE(2026,3,1),OR(G5="",G5&gt;=DATE(2026,3,1))),H5*(1+Assumptions!$C$7)^1,0)</f>
        <v>3240</v>
      </c>
      <c r="X5" s="289">
        <f>IF(AND(F5&lt;=DATE(2026,4,1),OR(G5="",G5&gt;=DATE(2026,4,1))),H5*(1+Assumptions!$C$7)^1,0)</f>
        <v>3240</v>
      </c>
      <c r="Y5" s="289">
        <f>IF(AND(F5&lt;=DATE(2026,5,1),OR(G5="",G5&gt;=DATE(2026,5,1))),H5*(1+Assumptions!$C$7)^1,0)</f>
        <v>3240</v>
      </c>
      <c r="Z5" s="289">
        <f>IF(AND(F5&lt;=DATE(2026,6,1),OR(G5="",G5&gt;=DATE(2026,6,1))),H5*(1+Assumptions!$C$7)^1,0)</f>
        <v>3240</v>
      </c>
      <c r="AA5" s="289">
        <f>IF(AND(F5&lt;=DATE(2026,7,1),OR(G5="",G5&gt;=DATE(2026,7,1))),H5*(1+Assumptions!$C$7)^1,0)</f>
        <v>3240</v>
      </c>
      <c r="AB5" s="289">
        <f>IF(AND(F5&lt;=DATE(2026,8,1),OR(G5="",G5&gt;=DATE(2026,8,1))),H5*(1+Assumptions!$C$7)^1,0)</f>
        <v>3240</v>
      </c>
      <c r="AC5" s="289">
        <f>IF(AND(F5&lt;=DATE(2026,9,1),OR(G5="",G5&gt;=DATE(2026,9,1))),H5*(1+Assumptions!$C$7)^1,0)</f>
        <v>3240</v>
      </c>
      <c r="AD5" s="289">
        <f>IF(AND(F5&lt;=DATE(2026,10,1),OR(G5="",G5&gt;=DATE(2026,10,1))),H5*(1+Assumptions!$C$7)^1,0)</f>
        <v>3240</v>
      </c>
      <c r="AE5" s="289">
        <f>IF(AND(F5&lt;=DATE(2026,11,1),OR(G5="",G5&gt;=DATE(2026,11,1))),H5*(1+Assumptions!$C$7)^1,0)</f>
        <v>3240</v>
      </c>
      <c r="AF5" s="289">
        <f>IF(AND(F5&lt;=DATE(2026,12,1),OR(G5="",G5&gt;=DATE(2026,12,1))),H5*(1+Assumptions!$C$7)^1,0)</f>
        <v>3240</v>
      </c>
      <c r="AG5" s="289">
        <f>IF(AND(F5&lt;=DATE(2027,1,1),OR(G5="",G5&gt;=DATE(2027,1,1))),H5*(1+Assumptions!$C$7)^2,0)</f>
        <v>3499.2</v>
      </c>
      <c r="AH5" s="289">
        <f>IF(AND(F5&lt;=DATE(2027,2,1),OR(G5="",G5&gt;=DATE(2027,2,1))),H5*(1+Assumptions!$C$7)^2,0)</f>
        <v>3499.2</v>
      </c>
      <c r="AI5" s="289">
        <f>IF(AND(F5&lt;=DATE(2027,3,1),OR(G5="",G5&gt;=DATE(2027,3,1))),H5*(1+Assumptions!$C$7)^2,0)</f>
        <v>3499.2</v>
      </c>
      <c r="AJ5" s="289">
        <f>IF(AND(F5&lt;=DATE(2027,4,1),OR(G5="",G5&gt;=DATE(2027,4,1))),H5*(1+Assumptions!$C$7)^2,0)</f>
        <v>3499.2</v>
      </c>
      <c r="AK5" s="289">
        <f>IF(AND(F5&lt;=DATE(2027,5,1),OR(G5="",G5&gt;=DATE(2027,5,1))),H5*(1+Assumptions!$C$7)^2,0)</f>
        <v>3499.2</v>
      </c>
      <c r="AL5" s="289">
        <f>IF(AND(F5&lt;=DATE(2027,6,1),OR(G5="",G5&gt;=DATE(2027,6,1))),H5*(1+Assumptions!$C$7)^2,0)</f>
        <v>3499.2</v>
      </c>
      <c r="AM5" s="289">
        <f>IF(AND(F5&lt;=DATE(2027,7,1),OR(G5="",G5&gt;=DATE(2027,7,1))),H5*(1+Assumptions!$C$7)^2,0)</f>
        <v>3499.2</v>
      </c>
      <c r="AN5" s="289">
        <f>IF(AND(F5&lt;=DATE(2027,8,1),OR(G5="",G5&gt;=DATE(2027,8,1))),H5*(1+Assumptions!$C$7)^2,0)</f>
        <v>3499.2</v>
      </c>
      <c r="AO5" s="289">
        <f>IF(AND(F5&lt;=DATE(2027,9,1),OR(G5="",G5&gt;=DATE(2027,9,1))),H5*(1+Assumptions!$C$7)^2,0)</f>
        <v>3499.2</v>
      </c>
      <c r="AP5" s="289">
        <f>IF(AND(F5&lt;=DATE(2027,10,1),OR(G5="",G5&gt;=DATE(2027,10,1))),H5*(1+Assumptions!$C$7)^2,0)</f>
        <v>3499.2</v>
      </c>
      <c r="AQ5" s="289">
        <f>IF(AND(F5&lt;=DATE(2027,11,1),OR(G5="",G5&gt;=DATE(2027,11,1))),H5*(1+Assumptions!$C$7)^2,0)</f>
        <v>3499.2</v>
      </c>
      <c r="AR5" s="289">
        <f>IF(AND(F5&lt;=DATE(2027,12,1),OR(G5="",G5&gt;=DATE(2027,12,1))),H5*(1+Assumptions!$C$7)^2,0)</f>
        <v>3499.2</v>
      </c>
      <c r="AS5" s="289">
        <f>IF(AND(F5&lt;=DATE(2028,1,1),OR(G5="",G5&gt;=DATE(2028,1,1))),H5*(1+Assumptions!$C$7)^3,0)</f>
        <v>3779.136</v>
      </c>
      <c r="AT5" s="289">
        <f>IF(AND(F5&lt;=DATE(2028,2,1),OR(G5="",G5&gt;=DATE(2028,2,1))),H5*(1+Assumptions!$C$7)^3,0)</f>
        <v>3779.136</v>
      </c>
      <c r="AU5" s="289">
        <f>IF(AND(F5&lt;=DATE(2028,3,1),OR(G5="",G5&gt;=DATE(2028,3,1))),H5*(1+Assumptions!$C$7)^3,0)</f>
        <v>3779.136</v>
      </c>
      <c r="AV5" s="289">
        <f>IF(AND(F5&lt;=DATE(2028,4,1),OR(G5="",G5&gt;=DATE(2028,4,1))),H5*(1+Assumptions!$C$7)^3,0)</f>
        <v>3779.136</v>
      </c>
      <c r="AW5" s="289">
        <f>IF(AND(F5&lt;=DATE(2028,5,1),OR(G5="",G5&gt;=DATE(2028,5,1))),H5*(1+Assumptions!$C$7)^3,0)</f>
        <v>3779.136</v>
      </c>
      <c r="AX5" s="289">
        <f>IF(AND(F5&lt;=DATE(2028,6,1),OR(G5="",G5&gt;=DATE(2028,6,1))),H5*(1+Assumptions!$C$7)^3,0)</f>
        <v>3779.136</v>
      </c>
      <c r="AY5" s="289">
        <f>IF(AND(F5&lt;=DATE(2028,7,1),OR(G5="",G5&gt;=DATE(2028,7,1))),H5*(1+Assumptions!$C$7)^3,0)</f>
        <v>3779.136</v>
      </c>
      <c r="AZ5" s="289">
        <f>IF(AND(F5&lt;=DATE(2028,8,1),OR(G5="",G5&gt;=DATE(2028,8,1))),H5*(1+Assumptions!$C$7)^3,0)</f>
        <v>3779.136</v>
      </c>
      <c r="BA5" s="289">
        <f>IF(AND(F5&lt;=DATE(2028,9,1),OR(G5="",G5&gt;=DATE(2028,9,1))),H5*(1+Assumptions!$C$7)^3,0)</f>
        <v>3779.136</v>
      </c>
      <c r="BB5" s="289">
        <f>IF(AND(F5&lt;=DATE(2028,10,1),OR(G5="",G5&gt;=DATE(2028,10,1))),H5*(1+Assumptions!$C$7)^3,0)</f>
        <v>3779.136</v>
      </c>
      <c r="BC5" s="289">
        <f>IF(AND(F5&lt;=DATE(2028,11,1),OR(G5="",G5&gt;=DATE(2028,11,1))),H5*(1+Assumptions!$C$7)^3,0)</f>
        <v>3779.136</v>
      </c>
      <c r="BD5" s="289">
        <f>IF(AND(F5&lt;=DATE(2028,12,1),OR(G5="",G5&gt;=DATE(2028,12,1))),H5*(1+Assumptions!$C$7)^3,0)</f>
        <v>3779.136</v>
      </c>
      <c r="BE5" s="289">
        <f>IF(AND(G5&lt;=DATE(2028,12,1),OR(H5="",H5&gt;=DATE(2028,12,1))),I5*(1+Assumptions!$C$7)^3,0)</f>
        <v>0</v>
      </c>
      <c r="BF5" s="289">
        <f>IF(AND(H5&lt;=DATE(2028,12,1),OR(I5="",I5&gt;=DATE(2028,12,1))),J5*(1+Assumptions!$C$7)^3,0)</f>
        <v>0</v>
      </c>
      <c r="BG5" s="289">
        <f>IF(AND(I5&lt;=DATE(2028,12,1),OR(J5="",J5&gt;=DATE(2028,12,1))),K5*(1+Assumptions!$C$7)^3,0)</f>
        <v>0</v>
      </c>
      <c r="BH5" s="289">
        <f>IF(AND(J5&lt;=DATE(2028,12,1),OR(K5="",K5&gt;=DATE(2028,12,1))),L5*(1+Assumptions!$C$7)^3,0)</f>
        <v>0</v>
      </c>
      <c r="BI5" s="289">
        <f>IF(AND(K5&lt;=DATE(2028,12,1),OR(L5="",L5&gt;=DATE(2028,12,1))),M5*(1+Assumptions!$C$7)^3,0)</f>
        <v>0</v>
      </c>
      <c r="BJ5" s="289">
        <f>IF(AND(L5&lt;=DATE(2028,12,1),OR(M5="",M5&gt;=DATE(2028,12,1))),N5*(1+Assumptions!$C$7)^3,0)</f>
        <v>0</v>
      </c>
      <c r="BK5" s="289">
        <f>IF(AND(M5&lt;=DATE(2028,12,1),OR(N5="",N5&gt;=DATE(2028,12,1))),O5*(1+Assumptions!$C$7)^3,0)</f>
        <v>0</v>
      </c>
      <c r="BL5" s="289">
        <f>IF(AND(N5&lt;=DATE(2028,12,1),OR(O5="",O5&gt;=DATE(2028,12,1))),P5*(1+Assumptions!$C$7)^3,0)</f>
        <v>0</v>
      </c>
      <c r="BM5" s="289">
        <f>IF(AND(O5&lt;=DATE(2028,12,1),OR(P5="",P5&gt;=DATE(2028,12,1))),Q5*(1+Assumptions!$C$7)^3,0)</f>
        <v>0</v>
      </c>
      <c r="BN5" s="289">
        <f>IF(AND(P5&lt;=DATE(2028,12,1),OR(Q5="",Q5&gt;=DATE(2028,12,1))),R5*(1+Assumptions!$C$7)^3,0)</f>
        <v>0</v>
      </c>
      <c r="BO5" s="289">
        <f>IF(AND(Q5&lt;=DATE(2028,12,1),OR(R5="",R5&gt;=DATE(2028,12,1))),S5*(1+Assumptions!$C$7)^3,0)</f>
        <v>0</v>
      </c>
      <c r="BP5" s="289">
        <f>IF(AND(R5&lt;=DATE(2028,12,1),OR(S5="",S5&gt;=DATE(2028,12,1))),T5*(1+Assumptions!$C$7)^3,0)</f>
        <v>0</v>
      </c>
      <c r="BQ5" s="121"/>
    </row>
    <row r="6">
      <c r="A6" s="291">
        <v>4.0</v>
      </c>
      <c r="B6" s="284" t="s">
        <v>328</v>
      </c>
      <c r="C6" s="285" t="s">
        <v>148</v>
      </c>
      <c r="D6" s="285" t="s">
        <v>328</v>
      </c>
      <c r="E6" s="292" t="s">
        <v>330</v>
      </c>
      <c r="F6" s="286">
        <v>45901.0</v>
      </c>
      <c r="G6" s="293"/>
      <c r="H6" s="288">
        <v>6000.0</v>
      </c>
      <c r="I6" s="294">
        <f>IF(AND(F6&lt;=DATE(2025,1,1),OR(G6="",G6&gt;=DATE(2025,1,1))),H6*(1+Assumptions!$C$7)^0,0)</f>
        <v>0</v>
      </c>
      <c r="J6" s="294">
        <f>IF(AND(F6&lt;=DATE(2025,2,1),OR(G6="",G6&gt;=DATE(2025,2,1))),H6*(1+Assumptions!$C$7)^0,0)</f>
        <v>0</v>
      </c>
      <c r="K6" s="294">
        <f>IF(AND(F6&lt;=DATE(2025,3,1),OR(G6="",G6&gt;=DATE(2025,3,1))),H6*(1+Assumptions!$C$7)^0,0)</f>
        <v>0</v>
      </c>
      <c r="L6" s="294">
        <f>IF(AND(F6&lt;=DATE(2025,4,1),OR(G6="",G6&gt;=DATE(2025,4,1))),H6*(1+Assumptions!$C$7)^0,0)</f>
        <v>0</v>
      </c>
      <c r="M6" s="294">
        <f>IF(AND(F6&lt;=DATE(2025,5,1),OR(G6="",G6&gt;=DATE(2025,5,1))),H6*(1+Assumptions!$C$7)^0,0)</f>
        <v>0</v>
      </c>
      <c r="N6" s="294">
        <f>IF(AND(F6&lt;=DATE(2025,6,1),OR(G6="",G6&gt;=DATE(2025,6,1))),H6*(1+Assumptions!$C$7)^0,0)</f>
        <v>0</v>
      </c>
      <c r="O6" s="294">
        <f>IF(AND(F6&lt;=DATE(2025,7,1),OR(G6="",G6&gt;=DATE(2025,7,1))),H6*(1+Assumptions!$C$7)^0,0)</f>
        <v>0</v>
      </c>
      <c r="P6" s="294">
        <f>IF(AND(F6&lt;=DATE(2025,8,1),OR(G6="",G6&gt;=DATE(2025,8,1))),H6*(1+Assumptions!$C$7)^0,0)</f>
        <v>0</v>
      </c>
      <c r="Q6" s="294">
        <f>IF(AND(F6&lt;=DATE(2025,9,1),OR(G6="",G6&gt;=DATE(2025,9,1))),H6*(1+Assumptions!$C$7)^0,0)</f>
        <v>6000</v>
      </c>
      <c r="R6" s="294">
        <f>IF(AND(F6&lt;=DATE(2025,10,1),OR(G6="",G6&gt;=DATE(2025,10,1))),H6*(1+Assumptions!$C$7)^0,0)</f>
        <v>6000</v>
      </c>
      <c r="S6" s="294">
        <f>IF(AND(F6&lt;=DATE(2025,11,1),OR(G6="",G6&gt;=DATE(2025,11,1))),H6*(1+Assumptions!$C$7)^0,0)</f>
        <v>6000</v>
      </c>
      <c r="T6" s="294">
        <f>IF(AND(F6&lt;=DATE(2025,12,1),OR(G6="",G6&gt;=DATE(2025,12,1))),H6*(1+Assumptions!$C$7)^0,0)</f>
        <v>6000</v>
      </c>
      <c r="U6" s="294">
        <f>IF(AND(F6&lt;=DATE(2026,1,1),OR(G6="",G6&gt;=DATE(2026,1,1))),H6*(1+Assumptions!$C$7)^1,0)</f>
        <v>6480</v>
      </c>
      <c r="V6" s="294">
        <f>IF(AND(F6&lt;=DATE(2026,2,1),OR(G6="",G6&gt;=DATE(2026,2,1))),H6*(1+Assumptions!$C$7)^1,0)</f>
        <v>6480</v>
      </c>
      <c r="W6" s="294">
        <f>IF(AND(F6&lt;=DATE(2026,3,1),OR(G6="",G6&gt;=DATE(2026,3,1))),H6*(1+Assumptions!$C$7)^1,0)</f>
        <v>6480</v>
      </c>
      <c r="X6" s="294">
        <f>IF(AND(F6&lt;=DATE(2026,4,1),OR(G6="",G6&gt;=DATE(2026,4,1))),H6*(1+Assumptions!$C$7)^1,0)</f>
        <v>6480</v>
      </c>
      <c r="Y6" s="294">
        <f>IF(AND(F6&lt;=DATE(2026,5,1),OR(G6="",G6&gt;=DATE(2026,5,1))),H6*(1+Assumptions!$C$7)^1,0)</f>
        <v>6480</v>
      </c>
      <c r="Z6" s="294">
        <f>IF(AND(F6&lt;=DATE(2026,6,1),OR(G6="",G6&gt;=DATE(2026,6,1))),H6*(1+Assumptions!$C$7)^1,0)</f>
        <v>6480</v>
      </c>
      <c r="AA6" s="294">
        <f>IF(AND(F6&lt;=DATE(2026,7,1),OR(G6="",G6&gt;=DATE(2026,7,1))),H6*(1+Assumptions!$C$7)^1,0)</f>
        <v>6480</v>
      </c>
      <c r="AB6" s="294">
        <f>IF(AND(F6&lt;=DATE(2026,8,1),OR(G6="",G6&gt;=DATE(2026,8,1))),H6*(1+Assumptions!$C$7)^1,0)</f>
        <v>6480</v>
      </c>
      <c r="AC6" s="294">
        <f>IF(AND(F6&lt;=DATE(2026,9,1),OR(G6="",G6&gt;=DATE(2026,9,1))),H6*(1+Assumptions!$C$7)^1,0)</f>
        <v>6480</v>
      </c>
      <c r="AD6" s="294">
        <f>IF(AND(F6&lt;=DATE(2026,10,1),OR(G6="",G6&gt;=DATE(2026,10,1))),H6*(1+Assumptions!$C$7)^1,0)</f>
        <v>6480</v>
      </c>
      <c r="AE6" s="294">
        <f>IF(AND(F6&lt;=DATE(2026,11,1),OR(G6="",G6&gt;=DATE(2026,11,1))),H6*(1+Assumptions!$C$7)^1,0)</f>
        <v>6480</v>
      </c>
      <c r="AF6" s="294">
        <f>IF(AND(F6&lt;=DATE(2026,12,1),OR(G6="",G6&gt;=DATE(2026,12,1))),H6*(1+Assumptions!$C$7)^1,0)</f>
        <v>6480</v>
      </c>
      <c r="AG6" s="294">
        <f>IF(AND(F6&lt;=DATE(2027,1,1),OR(G6="",G6&gt;=DATE(2027,1,1))),H6*(1+Assumptions!$C$7)^2,0)</f>
        <v>6998.4</v>
      </c>
      <c r="AH6" s="294">
        <f>IF(AND(F6&lt;=DATE(2027,2,1),OR(G6="",G6&gt;=DATE(2027,2,1))),H6*(1+Assumptions!$C$7)^2,0)</f>
        <v>6998.4</v>
      </c>
      <c r="AI6" s="294">
        <f>IF(AND(F6&lt;=DATE(2027,3,1),OR(G6="",G6&gt;=DATE(2027,3,1))),H6*(1+Assumptions!$C$7)^2,0)</f>
        <v>6998.4</v>
      </c>
      <c r="AJ6" s="294">
        <f>IF(AND(F6&lt;=DATE(2027,4,1),OR(G6="",G6&gt;=DATE(2027,4,1))),H6*(1+Assumptions!$C$7)^2,0)</f>
        <v>6998.4</v>
      </c>
      <c r="AK6" s="294">
        <f>IF(AND(F6&lt;=DATE(2027,5,1),OR(G6="",G6&gt;=DATE(2027,5,1))),H6*(1+Assumptions!$C$7)^2,0)</f>
        <v>6998.4</v>
      </c>
      <c r="AL6" s="294">
        <f>IF(AND(F6&lt;=DATE(2027,6,1),OR(G6="",G6&gt;=DATE(2027,6,1))),H6*(1+Assumptions!$C$7)^2,0)</f>
        <v>6998.4</v>
      </c>
      <c r="AM6" s="294">
        <f>IF(AND(F6&lt;=DATE(2027,7,1),OR(G6="",G6&gt;=DATE(2027,7,1))),H6*(1+Assumptions!$C$7)^2,0)</f>
        <v>6998.4</v>
      </c>
      <c r="AN6" s="294">
        <f>IF(AND(F6&lt;=DATE(2027,8,1),OR(G6="",G6&gt;=DATE(2027,8,1))),H6*(1+Assumptions!$C$7)^2,0)</f>
        <v>6998.4</v>
      </c>
      <c r="AO6" s="294">
        <f>IF(AND(F6&lt;=DATE(2027,9,1),OR(G6="",G6&gt;=DATE(2027,9,1))),H6*(1+Assumptions!$C$7)^2,0)</f>
        <v>6998.4</v>
      </c>
      <c r="AP6" s="294">
        <f>IF(AND(F6&lt;=DATE(2027,10,1),OR(G6="",G6&gt;=DATE(2027,10,1))),H6*(1+Assumptions!$C$7)^2,0)</f>
        <v>6998.4</v>
      </c>
      <c r="AQ6" s="294">
        <f>IF(AND(F6&lt;=DATE(2027,11,1),OR(G6="",G6&gt;=DATE(2027,11,1))),H6*(1+Assumptions!$C$7)^2,0)</f>
        <v>6998.4</v>
      </c>
      <c r="AR6" s="294">
        <f>IF(AND(F6&lt;=DATE(2027,12,1),OR(G6="",G6&gt;=DATE(2027,12,1))),H6*(1+Assumptions!$C$7)^2,0)</f>
        <v>6998.4</v>
      </c>
      <c r="AS6" s="294">
        <f>IF(AND(F6&lt;=DATE(2028,1,1),OR(G6="",G6&gt;=DATE(2028,1,1))),H6*(1+Assumptions!$C$7)^3,0)</f>
        <v>7558.272</v>
      </c>
      <c r="AT6" s="294">
        <f>IF(AND(F6&lt;=DATE(2028,2,1),OR(G6="",G6&gt;=DATE(2028,2,1))),H6*(1+Assumptions!$C$7)^3,0)</f>
        <v>7558.272</v>
      </c>
      <c r="AU6" s="294">
        <f>IF(AND(F6&lt;=DATE(2028,3,1),OR(G6="",G6&gt;=DATE(2028,3,1))),H6*(1+Assumptions!$C$7)^3,0)</f>
        <v>7558.272</v>
      </c>
      <c r="AV6" s="294">
        <f>IF(AND(F6&lt;=DATE(2028,4,1),OR(G6="",G6&gt;=DATE(2028,4,1))),H6*(1+Assumptions!$C$7)^3,0)</f>
        <v>7558.272</v>
      </c>
      <c r="AW6" s="294">
        <f>IF(AND(F6&lt;=DATE(2028,5,1),OR(G6="",G6&gt;=DATE(2028,5,1))),H6*(1+Assumptions!$C$7)^3,0)</f>
        <v>7558.272</v>
      </c>
      <c r="AX6" s="294">
        <f>IF(AND(F6&lt;=DATE(2028,6,1),OR(G6="",G6&gt;=DATE(2028,6,1))),H6*(1+Assumptions!$C$7)^3,0)</f>
        <v>7558.272</v>
      </c>
      <c r="AY6" s="294">
        <f>IF(AND(F6&lt;=DATE(2028,7,1),OR(G6="",G6&gt;=DATE(2028,7,1))),H6*(1+Assumptions!$C$7)^3,0)</f>
        <v>7558.272</v>
      </c>
      <c r="AZ6" s="294">
        <f>IF(AND(F6&lt;=DATE(2028,8,1),OR(G6="",G6&gt;=DATE(2028,8,1))),H6*(1+Assumptions!$C$7)^3,0)</f>
        <v>7558.272</v>
      </c>
      <c r="BA6" s="294">
        <f>IF(AND(F6&lt;=DATE(2028,9,1),OR(G6="",G6&gt;=DATE(2028,9,1))),H6*(1+Assumptions!$C$7)^3,0)</f>
        <v>7558.272</v>
      </c>
      <c r="BB6" s="294">
        <f>IF(AND(F6&lt;=DATE(2028,10,1),OR(G6="",G6&gt;=DATE(2028,10,1))),H6*(1+Assumptions!$C$7)^3,0)</f>
        <v>7558.272</v>
      </c>
      <c r="BC6" s="294">
        <f>IF(AND(F6&lt;=DATE(2028,11,1),OR(G6="",G6&gt;=DATE(2028,11,1))),H6*(1+Assumptions!$C$7)^3,0)</f>
        <v>7558.272</v>
      </c>
      <c r="BD6" s="294">
        <f>IF(AND(F6&lt;=DATE(2028,12,1),OR(G6="",G6&gt;=DATE(2028,12,1))),H6*(1+Assumptions!$C$7)^3,0)</f>
        <v>7558.272</v>
      </c>
      <c r="BE6" s="294">
        <f>IF(AND(G6&lt;=DATE(2028,12,1),OR(H6="",H6&gt;=DATE(2028,12,1))),I6*(1+Assumptions!$C$7)^3,0)</f>
        <v>0</v>
      </c>
      <c r="BF6" s="294">
        <f>IF(AND(H6&lt;=DATE(2028,12,1),OR(I6="",I6&gt;=DATE(2028,12,1))),J6*(1+Assumptions!$C$7)^3,0)</f>
        <v>0</v>
      </c>
      <c r="BG6" s="294">
        <f>IF(AND(I6&lt;=DATE(2028,12,1),OR(J6="",J6&gt;=DATE(2028,12,1))),K6*(1+Assumptions!$C$7)^3,0)</f>
        <v>0</v>
      </c>
      <c r="BH6" s="294">
        <f>IF(AND(J6&lt;=DATE(2028,12,1),OR(K6="",K6&gt;=DATE(2028,12,1))),L6*(1+Assumptions!$C$7)^3,0)</f>
        <v>0</v>
      </c>
      <c r="BI6" s="294">
        <f>IF(AND(K6&lt;=DATE(2028,12,1),OR(L6="",L6&gt;=DATE(2028,12,1))),M6*(1+Assumptions!$C$7)^3,0)</f>
        <v>0</v>
      </c>
      <c r="BJ6" s="294">
        <f>IF(AND(L6&lt;=DATE(2028,12,1),OR(M6="",M6&gt;=DATE(2028,12,1))),N6*(1+Assumptions!$C$7)^3,0)</f>
        <v>0</v>
      </c>
      <c r="BK6" s="294">
        <f>IF(AND(M6&lt;=DATE(2028,12,1),OR(N6="",N6&gt;=DATE(2028,12,1))),O6*(1+Assumptions!$C$7)^3,0)</f>
        <v>0</v>
      </c>
      <c r="BL6" s="294">
        <f>IF(AND(N6&lt;=DATE(2028,12,1),OR(O6="",O6&gt;=DATE(2028,12,1))),P6*(1+Assumptions!$C$7)^3,0)</f>
        <v>0</v>
      </c>
      <c r="BM6" s="294">
        <f>IF(AND(O6&lt;=DATE(2028,12,1),OR(P6="",P6&gt;=DATE(2028,12,1))),Q6*(1+Assumptions!$C$7)^3,0)</f>
        <v>0</v>
      </c>
      <c r="BN6" s="294">
        <f>IF(AND(P6&lt;=DATE(2028,12,1),OR(Q6="",Q6&gt;=DATE(2028,12,1))),R6*(1+Assumptions!$C$7)^3,0)</f>
        <v>0</v>
      </c>
      <c r="BO6" s="294">
        <f>IF(AND(Q6&lt;=DATE(2028,12,1),OR(R6="",R6&gt;=DATE(2028,12,1))),S6*(1+Assumptions!$C$7)^3,0)</f>
        <v>0</v>
      </c>
      <c r="BP6" s="294">
        <f>IF(AND(R6&lt;=DATE(2028,12,1),OR(S6="",S6&gt;=DATE(2028,12,1))),T6*(1+Assumptions!$C$7)^3,0)</f>
        <v>0</v>
      </c>
      <c r="BQ6" s="121"/>
    </row>
    <row r="7">
      <c r="A7" s="295">
        <v>5.0</v>
      </c>
      <c r="B7" s="298" t="s">
        <v>332</v>
      </c>
      <c r="C7" s="24" t="s">
        <v>148</v>
      </c>
      <c r="D7" s="24" t="s">
        <v>328</v>
      </c>
      <c r="E7" s="296" t="s">
        <v>330</v>
      </c>
      <c r="F7" s="286">
        <v>45901.0</v>
      </c>
      <c r="G7" s="297"/>
      <c r="H7" s="288">
        <v>7000.0</v>
      </c>
      <c r="I7" s="289">
        <f>IF(AND(F7&lt;=DATE(2025,1,1),OR(G7="",G7&gt;=DATE(2025,1,1))),H7*(1+Assumptions!$C$7)^0,0)</f>
        <v>0</v>
      </c>
      <c r="J7" s="289">
        <f>IF(AND(F7&lt;=DATE(2025,2,1),OR(G7="",G7&gt;=DATE(2025,2,1))),H7*(1+Assumptions!$C$7)^0,0)</f>
        <v>0</v>
      </c>
      <c r="K7" s="289">
        <f>IF(AND(F7&lt;=DATE(2025,3,1),OR(G7="",G7&gt;=DATE(2025,3,1))),H7*(1+Assumptions!$C$7)^0,0)</f>
        <v>0</v>
      </c>
      <c r="L7" s="289">
        <f>IF(AND(F7&lt;=DATE(2025,4,1),OR(G7="",G7&gt;=DATE(2025,4,1))),H7*(1+Assumptions!$C$7)^0,0)</f>
        <v>0</v>
      </c>
      <c r="M7" s="289">
        <f>IF(AND(F7&lt;=DATE(2025,5,1),OR(G7="",G7&gt;=DATE(2025,5,1))),H7*(1+Assumptions!$C$7)^0,0)</f>
        <v>0</v>
      </c>
      <c r="N7" s="289">
        <f>IF(AND(F7&lt;=DATE(2025,6,1),OR(G7="",G7&gt;=DATE(2025,6,1))),H7*(1+Assumptions!$C$7)^0,0)</f>
        <v>0</v>
      </c>
      <c r="O7" s="289">
        <f>IF(AND(F7&lt;=DATE(2025,7,1),OR(G7="",G7&gt;=DATE(2025,7,1))),H7*(1+Assumptions!$C$7)^0,0)</f>
        <v>0</v>
      </c>
      <c r="P7" s="289">
        <f>IF(AND(F7&lt;=DATE(2025,8,1),OR(G7="",G7&gt;=DATE(2025,8,1))),H7*(1+Assumptions!$C$7)^0,0)</f>
        <v>0</v>
      </c>
      <c r="Q7" s="289">
        <f>IF(AND(F7&lt;=DATE(2025,9,1),OR(G7="",G7&gt;=DATE(2025,9,1))),H7*(1+Assumptions!$C$7)^0,0)</f>
        <v>7000</v>
      </c>
      <c r="R7" s="289">
        <f>IF(AND(F7&lt;=DATE(2025,10,1),OR(G7="",G7&gt;=DATE(2025,10,1))),H7*(1+Assumptions!$C$7)^0,0)</f>
        <v>7000</v>
      </c>
      <c r="S7" s="289">
        <f>IF(AND(F7&lt;=DATE(2025,11,1),OR(G7="",G7&gt;=DATE(2025,11,1))),H7*(1+Assumptions!$C$7)^0,0)</f>
        <v>7000</v>
      </c>
      <c r="T7" s="289">
        <f>IF(AND(F7&lt;=DATE(2025,12,1),OR(G7="",G7&gt;=DATE(2025,12,1))),H7*(1+Assumptions!$C$7)^0,0)</f>
        <v>7000</v>
      </c>
      <c r="U7" s="289">
        <f>IF(AND(F7&lt;=DATE(2026,1,1),OR(G7="",G7&gt;=DATE(2026,1,1))),H7*(1+Assumptions!$C$7)^1,0)</f>
        <v>7560</v>
      </c>
      <c r="V7" s="289">
        <f>IF(AND(F7&lt;=DATE(2026,2,1),OR(G7="",G7&gt;=DATE(2026,2,1))),H7*(1+Assumptions!$C$7)^1,0)</f>
        <v>7560</v>
      </c>
      <c r="W7" s="289">
        <f>IF(AND(F7&lt;=DATE(2026,3,1),OR(G7="",G7&gt;=DATE(2026,3,1))),H7*(1+Assumptions!$C$7)^1,0)</f>
        <v>7560</v>
      </c>
      <c r="X7" s="289">
        <f>IF(AND(F7&lt;=DATE(2026,4,1),OR(G7="",G7&gt;=DATE(2026,4,1))),H7*(1+Assumptions!$C$7)^1,0)</f>
        <v>7560</v>
      </c>
      <c r="Y7" s="289">
        <f>IF(AND(F7&lt;=DATE(2026,5,1),OR(G7="",G7&gt;=DATE(2026,5,1))),H7*(1+Assumptions!$C$7)^1,0)</f>
        <v>7560</v>
      </c>
      <c r="Z7" s="289">
        <f>IF(AND(F7&lt;=DATE(2026,6,1),OR(G7="",G7&gt;=DATE(2026,6,1))),H7*(1+Assumptions!$C$7)^1,0)</f>
        <v>7560</v>
      </c>
      <c r="AA7" s="289">
        <f>IF(AND(F7&lt;=DATE(2026,7,1),OR(G7="",G7&gt;=DATE(2026,7,1))),H7*(1+Assumptions!$C$7)^1,0)</f>
        <v>7560</v>
      </c>
      <c r="AB7" s="289">
        <f>IF(AND(F7&lt;=DATE(2026,8,1),OR(G7="",G7&gt;=DATE(2026,8,1))),H7*(1+Assumptions!$C$7)^1,0)</f>
        <v>7560</v>
      </c>
      <c r="AC7" s="289">
        <f>IF(AND(F7&lt;=DATE(2026,9,1),OR(G7="",G7&gt;=DATE(2026,9,1))),H7*(1+Assumptions!$C$7)^1,0)</f>
        <v>7560</v>
      </c>
      <c r="AD7" s="289">
        <f>IF(AND(F7&lt;=DATE(2026,10,1),OR(G7="",G7&gt;=DATE(2026,10,1))),H7*(1+Assumptions!$C$7)^1,0)</f>
        <v>7560</v>
      </c>
      <c r="AE7" s="289">
        <f>IF(AND(F7&lt;=DATE(2026,11,1),OR(G7="",G7&gt;=DATE(2026,11,1))),H7*(1+Assumptions!$C$7)^1,0)</f>
        <v>7560</v>
      </c>
      <c r="AF7" s="289">
        <f>IF(AND(F7&lt;=DATE(2026,12,1),OR(G7="",G7&gt;=DATE(2026,12,1))),H7*(1+Assumptions!$C$7)^1,0)</f>
        <v>7560</v>
      </c>
      <c r="AG7" s="289">
        <f>IF(AND(F7&lt;=DATE(2027,1,1),OR(G7="",G7&gt;=DATE(2027,1,1))),H7*(1+Assumptions!$C$7)^2,0)</f>
        <v>8164.8</v>
      </c>
      <c r="AH7" s="289">
        <f>IF(AND(F7&lt;=DATE(2027,2,1),OR(G7="",G7&gt;=DATE(2027,2,1))),H7*(1+Assumptions!$C$7)^2,0)</f>
        <v>8164.8</v>
      </c>
      <c r="AI7" s="289">
        <f>IF(AND(F7&lt;=DATE(2027,3,1),OR(G7="",G7&gt;=DATE(2027,3,1))),H7*(1+Assumptions!$C$7)^2,0)</f>
        <v>8164.8</v>
      </c>
      <c r="AJ7" s="289">
        <f>IF(AND(F7&lt;=DATE(2027,4,1),OR(G7="",G7&gt;=DATE(2027,4,1))),H7*(1+Assumptions!$C$7)^2,0)</f>
        <v>8164.8</v>
      </c>
      <c r="AK7" s="289">
        <f>IF(AND(F7&lt;=DATE(2027,5,1),OR(G7="",G7&gt;=DATE(2027,5,1))),H7*(1+Assumptions!$C$7)^2,0)</f>
        <v>8164.8</v>
      </c>
      <c r="AL7" s="289">
        <f>IF(AND(F7&lt;=DATE(2027,6,1),OR(G7="",G7&gt;=DATE(2027,6,1))),H7*(1+Assumptions!$C$7)^2,0)</f>
        <v>8164.8</v>
      </c>
      <c r="AM7" s="289">
        <f>IF(AND(F7&lt;=DATE(2027,7,1),OR(G7="",G7&gt;=DATE(2027,7,1))),H7*(1+Assumptions!$C$7)^2,0)</f>
        <v>8164.8</v>
      </c>
      <c r="AN7" s="289">
        <f>IF(AND(F7&lt;=DATE(2027,8,1),OR(G7="",G7&gt;=DATE(2027,8,1))),H7*(1+Assumptions!$C$7)^2,0)</f>
        <v>8164.8</v>
      </c>
      <c r="AO7" s="289">
        <f>IF(AND(F7&lt;=DATE(2027,9,1),OR(G7="",G7&gt;=DATE(2027,9,1))),H7*(1+Assumptions!$C$7)^2,0)</f>
        <v>8164.8</v>
      </c>
      <c r="AP7" s="289">
        <f>IF(AND(F7&lt;=DATE(2027,10,1),OR(G7="",G7&gt;=DATE(2027,10,1))),H7*(1+Assumptions!$C$7)^2,0)</f>
        <v>8164.8</v>
      </c>
      <c r="AQ7" s="289">
        <f>IF(AND(F7&lt;=DATE(2027,11,1),OR(G7="",G7&gt;=DATE(2027,11,1))),H7*(1+Assumptions!$C$7)^2,0)</f>
        <v>8164.8</v>
      </c>
      <c r="AR7" s="289">
        <f>IF(AND(F7&lt;=DATE(2027,12,1),OR(G7="",G7&gt;=DATE(2027,12,1))),H7*(1+Assumptions!$C$7)^2,0)</f>
        <v>8164.8</v>
      </c>
      <c r="AS7" s="289">
        <f>IF(AND(F7&lt;=DATE(2028,1,1),OR(G7="",G7&gt;=DATE(2028,1,1))),H7*(1+Assumptions!$C$7)^3,0)</f>
        <v>8817.984</v>
      </c>
      <c r="AT7" s="289">
        <f>IF(AND(F7&lt;=DATE(2028,2,1),OR(G7="",G7&gt;=DATE(2028,2,1))),H7*(1+Assumptions!$C$7)^3,0)</f>
        <v>8817.984</v>
      </c>
      <c r="AU7" s="289">
        <f>IF(AND(F7&lt;=DATE(2028,3,1),OR(G7="",G7&gt;=DATE(2028,3,1))),H7*(1+Assumptions!$C$7)^3,0)</f>
        <v>8817.984</v>
      </c>
      <c r="AV7" s="289">
        <f>IF(AND(F7&lt;=DATE(2028,4,1),OR(G7="",G7&gt;=DATE(2028,4,1))),H7*(1+Assumptions!$C$7)^3,0)</f>
        <v>8817.984</v>
      </c>
      <c r="AW7" s="289">
        <f>IF(AND(F7&lt;=DATE(2028,5,1),OR(G7="",G7&gt;=DATE(2028,5,1))),H7*(1+Assumptions!$C$7)^3,0)</f>
        <v>8817.984</v>
      </c>
      <c r="AX7" s="289">
        <f>IF(AND(F7&lt;=DATE(2028,6,1),OR(G7="",G7&gt;=DATE(2028,6,1))),H7*(1+Assumptions!$C$7)^3,0)</f>
        <v>8817.984</v>
      </c>
      <c r="AY7" s="289">
        <f>IF(AND(F7&lt;=DATE(2028,7,1),OR(G7="",G7&gt;=DATE(2028,7,1))),H7*(1+Assumptions!$C$7)^3,0)</f>
        <v>8817.984</v>
      </c>
      <c r="AZ7" s="289">
        <f>IF(AND(F7&lt;=DATE(2028,8,1),OR(G7="",G7&gt;=DATE(2028,8,1))),H7*(1+Assumptions!$C$7)^3,0)</f>
        <v>8817.984</v>
      </c>
      <c r="BA7" s="289">
        <f>IF(AND(F7&lt;=DATE(2028,9,1),OR(G7="",G7&gt;=DATE(2028,9,1))),H7*(1+Assumptions!$C$7)^3,0)</f>
        <v>8817.984</v>
      </c>
      <c r="BB7" s="289">
        <f>IF(AND(F7&lt;=DATE(2028,10,1),OR(G7="",G7&gt;=DATE(2028,10,1))),H7*(1+Assumptions!$C$7)^3,0)</f>
        <v>8817.984</v>
      </c>
      <c r="BC7" s="289">
        <f>IF(AND(F7&lt;=DATE(2028,11,1),OR(G7="",G7&gt;=DATE(2028,11,1))),H7*(1+Assumptions!$C$7)^3,0)</f>
        <v>8817.984</v>
      </c>
      <c r="BD7" s="289">
        <f>IF(AND(F7&lt;=DATE(2028,12,1),OR(G7="",G7&gt;=DATE(2028,12,1))),H7*(1+Assumptions!$C$7)^3,0)</f>
        <v>8817.984</v>
      </c>
      <c r="BE7" s="289">
        <f>IF(AND(G7&lt;=DATE(2028,12,1),OR(H7="",H7&gt;=DATE(2028,12,1))),I7*(1+Assumptions!$C$7)^3,0)</f>
        <v>0</v>
      </c>
      <c r="BF7" s="289">
        <f>IF(AND(H7&lt;=DATE(2028,12,1),OR(I7="",I7&gt;=DATE(2028,12,1))),J7*(1+Assumptions!$C$7)^3,0)</f>
        <v>0</v>
      </c>
      <c r="BG7" s="289">
        <f>IF(AND(I7&lt;=DATE(2028,12,1),OR(J7="",J7&gt;=DATE(2028,12,1))),K7*(1+Assumptions!$C$7)^3,0)</f>
        <v>0</v>
      </c>
      <c r="BH7" s="289">
        <f>IF(AND(J7&lt;=DATE(2028,12,1),OR(K7="",K7&gt;=DATE(2028,12,1))),L7*(1+Assumptions!$C$7)^3,0)</f>
        <v>0</v>
      </c>
      <c r="BI7" s="289">
        <f>IF(AND(K7&lt;=DATE(2028,12,1),OR(L7="",L7&gt;=DATE(2028,12,1))),M7*(1+Assumptions!$C$7)^3,0)</f>
        <v>0</v>
      </c>
      <c r="BJ7" s="289">
        <f>IF(AND(L7&lt;=DATE(2028,12,1),OR(M7="",M7&gt;=DATE(2028,12,1))),N7*(1+Assumptions!$C$7)^3,0)</f>
        <v>0</v>
      </c>
      <c r="BK7" s="289">
        <f>IF(AND(M7&lt;=DATE(2028,12,1),OR(N7="",N7&gt;=DATE(2028,12,1))),O7*(1+Assumptions!$C$7)^3,0)</f>
        <v>0</v>
      </c>
      <c r="BL7" s="289">
        <f>IF(AND(N7&lt;=DATE(2028,12,1),OR(O7="",O7&gt;=DATE(2028,12,1))),P7*(1+Assumptions!$C$7)^3,0)</f>
        <v>0</v>
      </c>
      <c r="BM7" s="289">
        <f>IF(AND(O7&lt;=DATE(2028,12,1),OR(P7="",P7&gt;=DATE(2028,12,1))),Q7*(1+Assumptions!$C$7)^3,0)</f>
        <v>0</v>
      </c>
      <c r="BN7" s="289">
        <f>IF(AND(P7&lt;=DATE(2028,12,1),OR(Q7="",Q7&gt;=DATE(2028,12,1))),R7*(1+Assumptions!$C$7)^3,0)</f>
        <v>0</v>
      </c>
      <c r="BO7" s="289">
        <f>IF(AND(Q7&lt;=DATE(2028,12,1),OR(R7="",R7&gt;=DATE(2028,12,1))),S7*(1+Assumptions!$C$7)^3,0)</f>
        <v>0</v>
      </c>
      <c r="BP7" s="289">
        <f>IF(AND(R7&lt;=DATE(2028,12,1),OR(S7="",S7&gt;=DATE(2028,12,1))),T7*(1+Assumptions!$C$7)^3,0)</f>
        <v>0</v>
      </c>
      <c r="BQ7" s="121"/>
    </row>
    <row r="8">
      <c r="A8" s="291">
        <v>6.0</v>
      </c>
      <c r="B8" s="284" t="s">
        <v>333</v>
      </c>
      <c r="C8" s="285" t="s">
        <v>148</v>
      </c>
      <c r="D8" s="285" t="s">
        <v>328</v>
      </c>
      <c r="E8" s="292" t="s">
        <v>330</v>
      </c>
      <c r="F8" s="286">
        <v>45901.0</v>
      </c>
      <c r="G8" s="293"/>
      <c r="H8" s="288">
        <v>5500.0</v>
      </c>
      <c r="I8" s="294">
        <f>IF(AND(F8&lt;=DATE(2025,1,1),OR(G8="",G8&gt;=DATE(2025,1,1))),H8*(1+Assumptions!$C$7)^0,0)</f>
        <v>0</v>
      </c>
      <c r="J8" s="294">
        <f>IF(AND(F8&lt;=DATE(2025,2,1),OR(G8="",G8&gt;=DATE(2025,2,1))),H8*(1+Assumptions!$C$7)^0,0)</f>
        <v>0</v>
      </c>
      <c r="K8" s="294">
        <f>IF(AND(F8&lt;=DATE(2025,3,1),OR(G8="",G8&gt;=DATE(2025,3,1))),H8*(1+Assumptions!$C$7)^0,0)</f>
        <v>0</v>
      </c>
      <c r="L8" s="294">
        <f>IF(AND(F8&lt;=DATE(2025,4,1),OR(G8="",G8&gt;=DATE(2025,4,1))),H8*(1+Assumptions!$C$7)^0,0)</f>
        <v>0</v>
      </c>
      <c r="M8" s="294">
        <f>IF(AND(F8&lt;=DATE(2025,5,1),OR(G8="",G8&gt;=DATE(2025,5,1))),H8*(1+Assumptions!$C$7)^0,0)</f>
        <v>0</v>
      </c>
      <c r="N8" s="294">
        <f>IF(AND(F8&lt;=DATE(2025,6,1),OR(G8="",G8&gt;=DATE(2025,6,1))),H8*(1+Assumptions!$C$7)^0,0)</f>
        <v>0</v>
      </c>
      <c r="O8" s="294">
        <f>IF(AND(F8&lt;=DATE(2025,7,1),OR(G8="",G8&gt;=DATE(2025,7,1))),H8*(1+Assumptions!$C$7)^0,0)</f>
        <v>0</v>
      </c>
      <c r="P8" s="294">
        <f>IF(AND(F8&lt;=DATE(2025,8,1),OR(G8="",G8&gt;=DATE(2025,8,1))),H8*(1+Assumptions!$C$7)^0,0)</f>
        <v>0</v>
      </c>
      <c r="Q8" s="294">
        <f>IF(AND(F8&lt;=DATE(2025,9,1),OR(G8="",G8&gt;=DATE(2025,9,1))),H8*(1+Assumptions!$C$7)^0,0)</f>
        <v>5500</v>
      </c>
      <c r="R8" s="294">
        <f>IF(AND(F8&lt;=DATE(2025,10,1),OR(G8="",G8&gt;=DATE(2025,10,1))),H8*(1+Assumptions!$C$7)^0,0)</f>
        <v>5500</v>
      </c>
      <c r="S8" s="294">
        <f>IF(AND(F8&lt;=DATE(2025,11,1),OR(G8="",G8&gt;=DATE(2025,11,1))),H8*(1+Assumptions!$C$7)^0,0)</f>
        <v>5500</v>
      </c>
      <c r="T8" s="294">
        <f>IF(AND(F8&lt;=DATE(2025,12,1),OR(G8="",G8&gt;=DATE(2025,12,1))),H8*(1+Assumptions!$C$7)^0,0)</f>
        <v>5500</v>
      </c>
      <c r="U8" s="294">
        <f>IF(AND(F8&lt;=DATE(2026,1,1),OR(G8="",G8&gt;=DATE(2026,1,1))),H8*(1+Assumptions!$C$7)^1,0)</f>
        <v>5940</v>
      </c>
      <c r="V8" s="294">
        <f>IF(AND(F8&lt;=DATE(2026,2,1),OR(G8="",G8&gt;=DATE(2026,2,1))),H8*(1+Assumptions!$C$7)^1,0)</f>
        <v>5940</v>
      </c>
      <c r="W8" s="294">
        <f>IF(AND(F8&lt;=DATE(2026,3,1),OR(G8="",G8&gt;=DATE(2026,3,1))),H8*(1+Assumptions!$C$7)^1,0)</f>
        <v>5940</v>
      </c>
      <c r="X8" s="294">
        <f>IF(AND(F8&lt;=DATE(2026,4,1),OR(G8="",G8&gt;=DATE(2026,4,1))),H8*(1+Assumptions!$C$7)^1,0)</f>
        <v>5940</v>
      </c>
      <c r="Y8" s="294">
        <f>IF(AND(F8&lt;=DATE(2026,5,1),OR(G8="",G8&gt;=DATE(2026,5,1))),H8*(1+Assumptions!$C$7)^1,0)</f>
        <v>5940</v>
      </c>
      <c r="Z8" s="294">
        <f>IF(AND(F8&lt;=DATE(2026,6,1),OR(G8="",G8&gt;=DATE(2026,6,1))),H8*(1+Assumptions!$C$7)^1,0)</f>
        <v>5940</v>
      </c>
      <c r="AA8" s="294">
        <f>IF(AND(F8&lt;=DATE(2026,7,1),OR(G8="",G8&gt;=DATE(2026,7,1))),H8*(1+Assumptions!$C$7)^1,0)</f>
        <v>5940</v>
      </c>
      <c r="AB8" s="294">
        <f>IF(AND(F8&lt;=DATE(2026,8,1),OR(G8="",G8&gt;=DATE(2026,8,1))),H8*(1+Assumptions!$C$7)^1,0)</f>
        <v>5940</v>
      </c>
      <c r="AC8" s="294">
        <f>IF(AND(F8&lt;=DATE(2026,9,1),OR(G8="",G8&gt;=DATE(2026,9,1))),H8*(1+Assumptions!$C$7)^1,0)</f>
        <v>5940</v>
      </c>
      <c r="AD8" s="294">
        <f>IF(AND(F8&lt;=DATE(2026,10,1),OR(G8="",G8&gt;=DATE(2026,10,1))),H8*(1+Assumptions!$C$7)^1,0)</f>
        <v>5940</v>
      </c>
      <c r="AE8" s="294">
        <f>IF(AND(F8&lt;=DATE(2026,11,1),OR(G8="",G8&gt;=DATE(2026,11,1))),H8*(1+Assumptions!$C$7)^1,0)</f>
        <v>5940</v>
      </c>
      <c r="AF8" s="294">
        <f>IF(AND(F8&lt;=DATE(2026,12,1),OR(G8="",G8&gt;=DATE(2026,12,1))),H8*(1+Assumptions!$C$7)^1,0)</f>
        <v>5940</v>
      </c>
      <c r="AG8" s="294">
        <f>IF(AND(F8&lt;=DATE(2027,1,1),OR(G8="",G8&gt;=DATE(2027,1,1))),H8*(1+Assumptions!$C$7)^2,0)</f>
        <v>6415.2</v>
      </c>
      <c r="AH8" s="294">
        <f>IF(AND(F8&lt;=DATE(2027,2,1),OR(G8="",G8&gt;=DATE(2027,2,1))),H8*(1+Assumptions!$C$7)^2,0)</f>
        <v>6415.2</v>
      </c>
      <c r="AI8" s="294">
        <f>IF(AND(F8&lt;=DATE(2027,3,1),OR(G8="",G8&gt;=DATE(2027,3,1))),H8*(1+Assumptions!$C$7)^2,0)</f>
        <v>6415.2</v>
      </c>
      <c r="AJ8" s="294">
        <f>IF(AND(F8&lt;=DATE(2027,4,1),OR(G8="",G8&gt;=DATE(2027,4,1))),H8*(1+Assumptions!$C$7)^2,0)</f>
        <v>6415.2</v>
      </c>
      <c r="AK8" s="294">
        <f>IF(AND(F8&lt;=DATE(2027,5,1),OR(G8="",G8&gt;=DATE(2027,5,1))),H8*(1+Assumptions!$C$7)^2,0)</f>
        <v>6415.2</v>
      </c>
      <c r="AL8" s="294">
        <f>IF(AND(F8&lt;=DATE(2027,6,1),OR(G8="",G8&gt;=DATE(2027,6,1))),H8*(1+Assumptions!$C$7)^2,0)</f>
        <v>6415.2</v>
      </c>
      <c r="AM8" s="294">
        <f>IF(AND(F8&lt;=DATE(2027,7,1),OR(G8="",G8&gt;=DATE(2027,7,1))),H8*(1+Assumptions!$C$7)^2,0)</f>
        <v>6415.2</v>
      </c>
      <c r="AN8" s="294">
        <f>IF(AND(F8&lt;=DATE(2027,8,1),OR(G8="",G8&gt;=DATE(2027,8,1))),H8*(1+Assumptions!$C$7)^2,0)</f>
        <v>6415.2</v>
      </c>
      <c r="AO8" s="294">
        <f>IF(AND(F8&lt;=DATE(2027,9,1),OR(G8="",G8&gt;=DATE(2027,9,1))),H8*(1+Assumptions!$C$7)^2,0)</f>
        <v>6415.2</v>
      </c>
      <c r="AP8" s="294">
        <f>IF(AND(F8&lt;=DATE(2027,10,1),OR(G8="",G8&gt;=DATE(2027,10,1))),H8*(1+Assumptions!$C$7)^2,0)</f>
        <v>6415.2</v>
      </c>
      <c r="AQ8" s="294">
        <f>IF(AND(F8&lt;=DATE(2027,11,1),OR(G8="",G8&gt;=DATE(2027,11,1))),H8*(1+Assumptions!$C$7)^2,0)</f>
        <v>6415.2</v>
      </c>
      <c r="AR8" s="294">
        <f>IF(AND(F8&lt;=DATE(2027,12,1),OR(G8="",G8&gt;=DATE(2027,12,1))),H8*(1+Assumptions!$C$7)^2,0)</f>
        <v>6415.2</v>
      </c>
      <c r="AS8" s="294">
        <f>IF(AND(F8&lt;=DATE(2028,1,1),OR(G8="",G8&gt;=DATE(2028,1,1))),H8*(1+Assumptions!$C$7)^3,0)</f>
        <v>6928.416</v>
      </c>
      <c r="AT8" s="294">
        <f>IF(AND(F8&lt;=DATE(2028,2,1),OR(G8="",G8&gt;=DATE(2028,2,1))),H8*(1+Assumptions!$C$7)^3,0)</f>
        <v>6928.416</v>
      </c>
      <c r="AU8" s="294">
        <f>IF(AND(F8&lt;=DATE(2028,3,1),OR(G8="",G8&gt;=DATE(2028,3,1))),H8*(1+Assumptions!$C$7)^3,0)</f>
        <v>6928.416</v>
      </c>
      <c r="AV8" s="294">
        <f>IF(AND(F8&lt;=DATE(2028,4,1),OR(G8="",G8&gt;=DATE(2028,4,1))),H8*(1+Assumptions!$C$7)^3,0)</f>
        <v>6928.416</v>
      </c>
      <c r="AW8" s="294">
        <f>IF(AND(F8&lt;=DATE(2028,5,1),OR(G8="",G8&gt;=DATE(2028,5,1))),H8*(1+Assumptions!$C$7)^3,0)</f>
        <v>6928.416</v>
      </c>
      <c r="AX8" s="294">
        <f>IF(AND(F8&lt;=DATE(2028,6,1),OR(G8="",G8&gt;=DATE(2028,6,1))),H8*(1+Assumptions!$C$7)^3,0)</f>
        <v>6928.416</v>
      </c>
      <c r="AY8" s="294">
        <f>IF(AND(F8&lt;=DATE(2028,7,1),OR(G8="",G8&gt;=DATE(2028,7,1))),H8*(1+Assumptions!$C$7)^3,0)</f>
        <v>6928.416</v>
      </c>
      <c r="AZ8" s="294">
        <f>IF(AND(F8&lt;=DATE(2028,8,1),OR(G8="",G8&gt;=DATE(2028,8,1))),H8*(1+Assumptions!$C$7)^3,0)</f>
        <v>6928.416</v>
      </c>
      <c r="BA8" s="294">
        <f>IF(AND(F8&lt;=DATE(2028,9,1),OR(G8="",G8&gt;=DATE(2028,9,1))),H8*(1+Assumptions!$C$7)^3,0)</f>
        <v>6928.416</v>
      </c>
      <c r="BB8" s="294">
        <f>IF(AND(F8&lt;=DATE(2028,10,1),OR(G8="",G8&gt;=DATE(2028,10,1))),H8*(1+Assumptions!$C$7)^3,0)</f>
        <v>6928.416</v>
      </c>
      <c r="BC8" s="294">
        <f>IF(AND(F8&lt;=DATE(2028,11,1),OR(G8="",G8&gt;=DATE(2028,11,1))),H8*(1+Assumptions!$C$7)^3,0)</f>
        <v>6928.416</v>
      </c>
      <c r="BD8" s="294">
        <f>IF(AND(F8&lt;=DATE(2028,12,1),OR(G8="",G8&gt;=DATE(2028,12,1))),H8*(1+Assumptions!$C$7)^3,0)</f>
        <v>6928.416</v>
      </c>
      <c r="BE8" s="294">
        <f>IF(AND(G8&lt;=DATE(2028,12,1),OR(H8="",H8&gt;=DATE(2028,12,1))),I8*(1+Assumptions!$C$7)^3,0)</f>
        <v>0</v>
      </c>
      <c r="BF8" s="294">
        <f>IF(AND(H8&lt;=DATE(2028,12,1),OR(I8="",I8&gt;=DATE(2028,12,1))),J8*(1+Assumptions!$C$7)^3,0)</f>
        <v>0</v>
      </c>
      <c r="BG8" s="294">
        <f>IF(AND(I8&lt;=DATE(2028,12,1),OR(J8="",J8&gt;=DATE(2028,12,1))),K8*(1+Assumptions!$C$7)^3,0)</f>
        <v>0</v>
      </c>
      <c r="BH8" s="294">
        <f>IF(AND(J8&lt;=DATE(2028,12,1),OR(K8="",K8&gt;=DATE(2028,12,1))),L8*(1+Assumptions!$C$7)^3,0)</f>
        <v>0</v>
      </c>
      <c r="BI8" s="294">
        <f>IF(AND(K8&lt;=DATE(2028,12,1),OR(L8="",L8&gt;=DATE(2028,12,1))),M8*(1+Assumptions!$C$7)^3,0)</f>
        <v>0</v>
      </c>
      <c r="BJ8" s="294">
        <f>IF(AND(L8&lt;=DATE(2028,12,1),OR(M8="",M8&gt;=DATE(2028,12,1))),N8*(1+Assumptions!$C$7)^3,0)</f>
        <v>0</v>
      </c>
      <c r="BK8" s="294">
        <f>IF(AND(M8&lt;=DATE(2028,12,1),OR(N8="",N8&gt;=DATE(2028,12,1))),O8*(1+Assumptions!$C$7)^3,0)</f>
        <v>0</v>
      </c>
      <c r="BL8" s="294">
        <f>IF(AND(N8&lt;=DATE(2028,12,1),OR(O8="",O8&gt;=DATE(2028,12,1))),P8*(1+Assumptions!$C$7)^3,0)</f>
        <v>0</v>
      </c>
      <c r="BM8" s="294">
        <f>IF(AND(O8&lt;=DATE(2028,12,1),OR(P8="",P8&gt;=DATE(2028,12,1))),Q8*(1+Assumptions!$C$7)^3,0)</f>
        <v>0</v>
      </c>
      <c r="BN8" s="294">
        <f>IF(AND(P8&lt;=DATE(2028,12,1),OR(Q8="",Q8&gt;=DATE(2028,12,1))),R8*(1+Assumptions!$C$7)^3,0)</f>
        <v>0</v>
      </c>
      <c r="BO8" s="294">
        <f>IF(AND(Q8&lt;=DATE(2028,12,1),OR(R8="",R8&gt;=DATE(2028,12,1))),S8*(1+Assumptions!$C$7)^3,0)</f>
        <v>0</v>
      </c>
      <c r="BP8" s="294">
        <f>IF(AND(R8&lt;=DATE(2028,12,1),OR(S8="",S8&gt;=DATE(2028,12,1))),T8*(1+Assumptions!$C$7)^3,0)</f>
        <v>0</v>
      </c>
      <c r="BQ8" s="121"/>
    </row>
    <row r="9">
      <c r="A9" s="295">
        <v>7.0</v>
      </c>
      <c r="B9" s="298" t="s">
        <v>334</v>
      </c>
      <c r="C9" s="24" t="s">
        <v>148</v>
      </c>
      <c r="D9" s="24" t="s">
        <v>328</v>
      </c>
      <c r="E9" s="296" t="s">
        <v>330</v>
      </c>
      <c r="F9" s="286">
        <v>45901.0</v>
      </c>
      <c r="G9" s="297"/>
      <c r="H9" s="288">
        <v>5500.0</v>
      </c>
      <c r="I9" s="289">
        <f>IF(AND(F9&lt;=DATE(2025,1,1),OR(G9="",G9&gt;=DATE(2025,1,1))),H9*(1+Assumptions!$C$7)^0,0)</f>
        <v>0</v>
      </c>
      <c r="J9" s="289">
        <f>IF(AND(F9&lt;=DATE(2025,2,1),OR(G9="",G9&gt;=DATE(2025,2,1))),H9*(1+Assumptions!$C$7)^0,0)</f>
        <v>0</v>
      </c>
      <c r="K9" s="289">
        <f>IF(AND(F9&lt;=DATE(2025,3,1),OR(G9="",G9&gt;=DATE(2025,3,1))),H9*(1+Assumptions!$C$7)^0,0)</f>
        <v>0</v>
      </c>
      <c r="L9" s="289">
        <f>IF(AND(F9&lt;=DATE(2025,4,1),OR(G9="",G9&gt;=DATE(2025,4,1))),H9*(1+Assumptions!$C$7)^0,0)</f>
        <v>0</v>
      </c>
      <c r="M9" s="289">
        <f>IF(AND(F9&lt;=DATE(2025,5,1),OR(G9="",G9&gt;=DATE(2025,5,1))),H9*(1+Assumptions!$C$7)^0,0)</f>
        <v>0</v>
      </c>
      <c r="N9" s="289">
        <f>IF(AND(F9&lt;=DATE(2025,6,1),OR(G9="",G9&gt;=DATE(2025,6,1))),H9*(1+Assumptions!$C$7)^0,0)</f>
        <v>0</v>
      </c>
      <c r="O9" s="289">
        <f>IF(AND(F9&lt;=DATE(2025,7,1),OR(G9="",G9&gt;=DATE(2025,7,1))),H9*(1+Assumptions!$C$7)^0,0)</f>
        <v>0</v>
      </c>
      <c r="P9" s="289">
        <f>IF(AND(F9&lt;=DATE(2025,8,1),OR(G9="",G9&gt;=DATE(2025,8,1))),H9*(1+Assumptions!$C$7)^0,0)</f>
        <v>0</v>
      </c>
      <c r="Q9" s="289">
        <f>IF(AND(F9&lt;=DATE(2025,9,1),OR(G9="",G9&gt;=DATE(2025,9,1))),H9*(1+Assumptions!$C$7)^0,0)</f>
        <v>5500</v>
      </c>
      <c r="R9" s="289">
        <f>IF(AND(F9&lt;=DATE(2025,10,1),OR(G9="",G9&gt;=DATE(2025,10,1))),H9*(1+Assumptions!$C$7)^0,0)</f>
        <v>5500</v>
      </c>
      <c r="S9" s="289">
        <f>IF(AND(F9&lt;=DATE(2025,11,1),OR(G9="",G9&gt;=DATE(2025,11,1))),H9*(1+Assumptions!$C$7)^0,0)</f>
        <v>5500</v>
      </c>
      <c r="T9" s="289">
        <f>IF(AND(F9&lt;=DATE(2025,12,1),OR(G9="",G9&gt;=DATE(2025,12,1))),H9*(1+Assumptions!$C$7)^0,0)</f>
        <v>5500</v>
      </c>
      <c r="U9" s="289">
        <f>IF(AND(F9&lt;=DATE(2026,1,1),OR(G9="",G9&gt;=DATE(2026,1,1))),H9*(1+Assumptions!$C$7)^1,0)</f>
        <v>5940</v>
      </c>
      <c r="V9" s="289">
        <f>IF(AND(F9&lt;=DATE(2026,2,1),OR(G9="",G9&gt;=DATE(2026,2,1))),H9*(1+Assumptions!$C$7)^1,0)</f>
        <v>5940</v>
      </c>
      <c r="W9" s="289">
        <f>IF(AND(F9&lt;=DATE(2026,3,1),OR(G9="",G9&gt;=DATE(2026,3,1))),H9*(1+Assumptions!$C$7)^1,0)</f>
        <v>5940</v>
      </c>
      <c r="X9" s="289">
        <f>IF(AND(F9&lt;=DATE(2026,4,1),OR(G9="",G9&gt;=DATE(2026,4,1))),H9*(1+Assumptions!$C$7)^1,0)</f>
        <v>5940</v>
      </c>
      <c r="Y9" s="289">
        <f>IF(AND(F9&lt;=DATE(2026,5,1),OR(G9="",G9&gt;=DATE(2026,5,1))),H9*(1+Assumptions!$C$7)^1,0)</f>
        <v>5940</v>
      </c>
      <c r="Z9" s="289">
        <f>IF(AND(F9&lt;=DATE(2026,6,1),OR(G9="",G9&gt;=DATE(2026,6,1))),H9*(1+Assumptions!$C$7)^1,0)</f>
        <v>5940</v>
      </c>
      <c r="AA9" s="289">
        <f>IF(AND(F9&lt;=DATE(2026,7,1),OR(G9="",G9&gt;=DATE(2026,7,1))),H9*(1+Assumptions!$C$7)^1,0)</f>
        <v>5940</v>
      </c>
      <c r="AB9" s="289">
        <f>IF(AND(F9&lt;=DATE(2026,8,1),OR(G9="",G9&gt;=DATE(2026,8,1))),H9*(1+Assumptions!$C$7)^1,0)</f>
        <v>5940</v>
      </c>
      <c r="AC9" s="289">
        <f>IF(AND(F9&lt;=DATE(2026,9,1),OR(G9="",G9&gt;=DATE(2026,9,1))),H9*(1+Assumptions!$C$7)^1,0)</f>
        <v>5940</v>
      </c>
      <c r="AD9" s="289">
        <f>IF(AND(F9&lt;=DATE(2026,10,1),OR(G9="",G9&gt;=DATE(2026,10,1))),H9*(1+Assumptions!$C$7)^1,0)</f>
        <v>5940</v>
      </c>
      <c r="AE9" s="289">
        <f>IF(AND(F9&lt;=DATE(2026,11,1),OR(G9="",G9&gt;=DATE(2026,11,1))),H9*(1+Assumptions!$C$7)^1,0)</f>
        <v>5940</v>
      </c>
      <c r="AF9" s="289">
        <f>IF(AND(F9&lt;=DATE(2026,12,1),OR(G9="",G9&gt;=DATE(2026,12,1))),H9*(1+Assumptions!$C$7)^1,0)</f>
        <v>5940</v>
      </c>
      <c r="AG9" s="289">
        <f>IF(AND(F9&lt;=DATE(2027,1,1),OR(G9="",G9&gt;=DATE(2027,1,1))),H9*(1+Assumptions!$C$7)^2,0)</f>
        <v>6415.2</v>
      </c>
      <c r="AH9" s="289">
        <f>IF(AND(F9&lt;=DATE(2027,2,1),OR(G9="",G9&gt;=DATE(2027,2,1))),H9*(1+Assumptions!$C$7)^2,0)</f>
        <v>6415.2</v>
      </c>
      <c r="AI9" s="289">
        <f>IF(AND(F9&lt;=DATE(2027,3,1),OR(G9="",G9&gt;=DATE(2027,3,1))),H9*(1+Assumptions!$C$7)^2,0)</f>
        <v>6415.2</v>
      </c>
      <c r="AJ9" s="289">
        <f>IF(AND(F9&lt;=DATE(2027,4,1),OR(G9="",G9&gt;=DATE(2027,4,1))),H9*(1+Assumptions!$C$7)^2,0)</f>
        <v>6415.2</v>
      </c>
      <c r="AK9" s="289">
        <f>IF(AND(F9&lt;=DATE(2027,5,1),OR(G9="",G9&gt;=DATE(2027,5,1))),H9*(1+Assumptions!$C$7)^2,0)</f>
        <v>6415.2</v>
      </c>
      <c r="AL9" s="289">
        <f>IF(AND(F9&lt;=DATE(2027,6,1),OR(G9="",G9&gt;=DATE(2027,6,1))),H9*(1+Assumptions!$C$7)^2,0)</f>
        <v>6415.2</v>
      </c>
      <c r="AM9" s="289">
        <f>IF(AND(F9&lt;=DATE(2027,7,1),OR(G9="",G9&gt;=DATE(2027,7,1))),H9*(1+Assumptions!$C$7)^2,0)</f>
        <v>6415.2</v>
      </c>
      <c r="AN9" s="289">
        <f>IF(AND(F9&lt;=DATE(2027,8,1),OR(G9="",G9&gt;=DATE(2027,8,1))),H9*(1+Assumptions!$C$7)^2,0)</f>
        <v>6415.2</v>
      </c>
      <c r="AO9" s="289">
        <f>IF(AND(F9&lt;=DATE(2027,9,1),OR(G9="",G9&gt;=DATE(2027,9,1))),H9*(1+Assumptions!$C$7)^2,0)</f>
        <v>6415.2</v>
      </c>
      <c r="AP9" s="289">
        <f>IF(AND(F9&lt;=DATE(2027,10,1),OR(G9="",G9&gt;=DATE(2027,10,1))),H9*(1+Assumptions!$C$7)^2,0)</f>
        <v>6415.2</v>
      </c>
      <c r="AQ9" s="289">
        <f>IF(AND(F9&lt;=DATE(2027,11,1),OR(G9="",G9&gt;=DATE(2027,11,1))),H9*(1+Assumptions!$C$7)^2,0)</f>
        <v>6415.2</v>
      </c>
      <c r="AR9" s="289">
        <f>IF(AND(F9&lt;=DATE(2027,12,1),OR(G9="",G9&gt;=DATE(2027,12,1))),H9*(1+Assumptions!$C$7)^2,0)</f>
        <v>6415.2</v>
      </c>
      <c r="AS9" s="289">
        <f>IF(AND(F9&lt;=DATE(2028,1,1),OR(G9="",G9&gt;=DATE(2028,1,1))),H9*(1+Assumptions!$C$7)^3,0)</f>
        <v>6928.416</v>
      </c>
      <c r="AT9" s="289">
        <f>IF(AND(F9&lt;=DATE(2028,2,1),OR(G9="",G9&gt;=DATE(2028,2,1))),H9*(1+Assumptions!$C$7)^3,0)</f>
        <v>6928.416</v>
      </c>
      <c r="AU9" s="289">
        <f>IF(AND(F9&lt;=DATE(2028,3,1),OR(G9="",G9&gt;=DATE(2028,3,1))),H9*(1+Assumptions!$C$7)^3,0)</f>
        <v>6928.416</v>
      </c>
      <c r="AV9" s="289">
        <f>IF(AND(F9&lt;=DATE(2028,4,1),OR(G9="",G9&gt;=DATE(2028,4,1))),H9*(1+Assumptions!$C$7)^3,0)</f>
        <v>6928.416</v>
      </c>
      <c r="AW9" s="289">
        <f>IF(AND(F9&lt;=DATE(2028,5,1),OR(G9="",G9&gt;=DATE(2028,5,1))),H9*(1+Assumptions!$C$7)^3,0)</f>
        <v>6928.416</v>
      </c>
      <c r="AX9" s="289">
        <f>IF(AND(F9&lt;=DATE(2028,6,1),OR(G9="",G9&gt;=DATE(2028,6,1))),H9*(1+Assumptions!$C$7)^3,0)</f>
        <v>6928.416</v>
      </c>
      <c r="AY9" s="289">
        <f>IF(AND(F9&lt;=DATE(2028,7,1),OR(G9="",G9&gt;=DATE(2028,7,1))),H9*(1+Assumptions!$C$7)^3,0)</f>
        <v>6928.416</v>
      </c>
      <c r="AZ9" s="289">
        <f>IF(AND(F9&lt;=DATE(2028,8,1),OR(G9="",G9&gt;=DATE(2028,8,1))),H9*(1+Assumptions!$C$7)^3,0)</f>
        <v>6928.416</v>
      </c>
      <c r="BA9" s="289">
        <f>IF(AND(F9&lt;=DATE(2028,9,1),OR(G9="",G9&gt;=DATE(2028,9,1))),H9*(1+Assumptions!$C$7)^3,0)</f>
        <v>6928.416</v>
      </c>
      <c r="BB9" s="289">
        <f>IF(AND(F9&lt;=DATE(2028,10,1),OR(G9="",G9&gt;=DATE(2028,10,1))),H9*(1+Assumptions!$C$7)^3,0)</f>
        <v>6928.416</v>
      </c>
      <c r="BC9" s="289">
        <f>IF(AND(F9&lt;=DATE(2028,11,1),OR(G9="",G9&gt;=DATE(2028,11,1))),H9*(1+Assumptions!$C$7)^3,0)</f>
        <v>6928.416</v>
      </c>
      <c r="BD9" s="289">
        <f>IF(AND(F9&lt;=DATE(2028,12,1),OR(G9="",G9&gt;=DATE(2028,12,1))),H9*(1+Assumptions!$C$7)^3,0)</f>
        <v>6928.416</v>
      </c>
      <c r="BE9" s="289">
        <f>IF(AND(G9&lt;=DATE(2028,12,1),OR(H9="",H9&gt;=DATE(2028,12,1))),I9*(1+Assumptions!$C$7)^3,0)</f>
        <v>0</v>
      </c>
      <c r="BF9" s="289">
        <f>IF(AND(H9&lt;=DATE(2028,12,1),OR(I9="",I9&gt;=DATE(2028,12,1))),J9*(1+Assumptions!$C$7)^3,0)</f>
        <v>0</v>
      </c>
      <c r="BG9" s="289">
        <f>IF(AND(I9&lt;=DATE(2028,12,1),OR(J9="",J9&gt;=DATE(2028,12,1))),K9*(1+Assumptions!$C$7)^3,0)</f>
        <v>0</v>
      </c>
      <c r="BH9" s="289">
        <f>IF(AND(J9&lt;=DATE(2028,12,1),OR(K9="",K9&gt;=DATE(2028,12,1))),L9*(1+Assumptions!$C$7)^3,0)</f>
        <v>0</v>
      </c>
      <c r="BI9" s="289">
        <f>IF(AND(K9&lt;=DATE(2028,12,1),OR(L9="",L9&gt;=DATE(2028,12,1))),M9*(1+Assumptions!$C$7)^3,0)</f>
        <v>0</v>
      </c>
      <c r="BJ9" s="289">
        <f>IF(AND(L9&lt;=DATE(2028,12,1),OR(M9="",M9&gt;=DATE(2028,12,1))),N9*(1+Assumptions!$C$7)^3,0)</f>
        <v>0</v>
      </c>
      <c r="BK9" s="289">
        <f>IF(AND(M9&lt;=DATE(2028,12,1),OR(N9="",N9&gt;=DATE(2028,12,1))),O9*(1+Assumptions!$C$7)^3,0)</f>
        <v>0</v>
      </c>
      <c r="BL9" s="289">
        <f>IF(AND(N9&lt;=DATE(2028,12,1),OR(O9="",O9&gt;=DATE(2028,12,1))),P9*(1+Assumptions!$C$7)^3,0)</f>
        <v>0</v>
      </c>
      <c r="BM9" s="289">
        <f>IF(AND(O9&lt;=DATE(2028,12,1),OR(P9="",P9&gt;=DATE(2028,12,1))),Q9*(1+Assumptions!$C$7)^3,0)</f>
        <v>0</v>
      </c>
      <c r="BN9" s="289">
        <f>IF(AND(P9&lt;=DATE(2028,12,1),OR(Q9="",Q9&gt;=DATE(2028,12,1))),R9*(1+Assumptions!$C$7)^3,0)</f>
        <v>0</v>
      </c>
      <c r="BO9" s="289">
        <f>IF(AND(Q9&lt;=DATE(2028,12,1),OR(R9="",R9&gt;=DATE(2028,12,1))),S9*(1+Assumptions!$C$7)^3,0)</f>
        <v>0</v>
      </c>
      <c r="BP9" s="289">
        <f>IF(AND(R9&lt;=DATE(2028,12,1),OR(S9="",S9&gt;=DATE(2028,12,1))),T9*(1+Assumptions!$C$7)^3,0)</f>
        <v>0</v>
      </c>
      <c r="BQ9" s="121"/>
    </row>
    <row r="10">
      <c r="A10" s="295">
        <v>11.0</v>
      </c>
      <c r="B10" s="298" t="s">
        <v>335</v>
      </c>
      <c r="C10" s="24" t="s">
        <v>141</v>
      </c>
      <c r="D10" s="24" t="s">
        <v>336</v>
      </c>
      <c r="E10" s="296" t="s">
        <v>330</v>
      </c>
      <c r="F10" s="286">
        <v>45901.0</v>
      </c>
      <c r="G10" s="286">
        <v>46266.0</v>
      </c>
      <c r="H10" s="288">
        <v>4000.0</v>
      </c>
      <c r="I10" s="289">
        <f>IF(AND(F10&lt;=DATE(2025,1,1),OR(G10="",G10&gt;=DATE(2025,1,1))),H10*(1+Assumptions!$C$7)^0,0)</f>
        <v>0</v>
      </c>
      <c r="J10" s="289">
        <f>IF(AND(F10&lt;=DATE(2025,2,1),OR(G10="",G10&gt;=DATE(2025,2,1))),H10*(1+Assumptions!$C$7)^0,0)</f>
        <v>0</v>
      </c>
      <c r="K10" s="289">
        <f>IF(AND(F10&lt;=DATE(2025,3,1),OR(G10="",G10&gt;=DATE(2025,3,1))),H10*(1+Assumptions!$C$7)^0,0)</f>
        <v>0</v>
      </c>
      <c r="L10" s="289">
        <f>IF(AND(F10&lt;=DATE(2025,4,1),OR(G10="",G10&gt;=DATE(2025,4,1))),H10*(1+Assumptions!$C$7)^0,0)</f>
        <v>0</v>
      </c>
      <c r="M10" s="289">
        <f>IF(AND(F10&lt;=DATE(2025,5,1),OR(G10="",G10&gt;=DATE(2025,5,1))),H10*(1+Assumptions!$C$7)^0,0)</f>
        <v>0</v>
      </c>
      <c r="N10" s="289">
        <f>IF(AND(F10&lt;=DATE(2025,6,1),OR(G10="",G10&gt;=DATE(2025,6,1))),H10*(1+Assumptions!$C$7)^0,0)</f>
        <v>0</v>
      </c>
      <c r="O10" s="289">
        <f>IF(AND(F10&lt;=DATE(2025,7,1),OR(G10="",G10&gt;=DATE(2025,7,1))),H10*(1+Assumptions!$C$7)^0,0)</f>
        <v>0</v>
      </c>
      <c r="P10" s="289">
        <f>IF(AND(F10&lt;=DATE(2025,8,1),OR(G10="",G10&gt;=DATE(2025,8,1))),H10*(1+Assumptions!$C$7)^0,0)</f>
        <v>0</v>
      </c>
      <c r="Q10" s="289">
        <f>IF(AND(F10&lt;=DATE(2025,9,1),OR(G10="",G10&gt;=DATE(2025,9,1))),H10*(1+Assumptions!$C$7)^0,0)</f>
        <v>4000</v>
      </c>
      <c r="R10" s="289">
        <f>IF(AND(F10&lt;=DATE(2025,10,1),OR(G10="",G10&gt;=DATE(2025,10,1))),H10*(1+Assumptions!$C$7)^0,0)</f>
        <v>4000</v>
      </c>
      <c r="S10" s="289">
        <f>IF(AND(F10&lt;=DATE(2025,11,1),OR(G10="",G10&gt;=DATE(2025,11,1))),H10*(1+Assumptions!$C$7)^0,0)</f>
        <v>4000</v>
      </c>
      <c r="T10" s="289">
        <f>IF(AND(F10&lt;=DATE(2025,12,1),OR(G10="",G10&gt;=DATE(2025,12,1))),H10*(1+Assumptions!$C$7)^0,0)</f>
        <v>4000</v>
      </c>
      <c r="U10" s="289">
        <f>IF(AND(F10&lt;=DATE(2026,1,1),OR(G10="",G10&gt;=DATE(2026,1,1))),H10*(1+Assumptions!$C$7)^1,0)</f>
        <v>4320</v>
      </c>
      <c r="V10" s="289">
        <f>IF(AND(F10&lt;=DATE(2026,2,1),OR(G10="",G10&gt;=DATE(2026,2,1))),H10*(1+Assumptions!$C$7)^1,0)</f>
        <v>4320</v>
      </c>
      <c r="W10" s="289">
        <f>IF(AND(F10&lt;=DATE(2026,3,1),OR(G10="",G10&gt;=DATE(2026,3,1))),H10*(1+Assumptions!$C$7)^1,0)</f>
        <v>4320</v>
      </c>
      <c r="X10" s="289">
        <f>IF(AND(F10&lt;=DATE(2026,4,1),OR(G10="",G10&gt;=DATE(2026,4,1))),H10*(1+Assumptions!$C$7)^1,0)</f>
        <v>4320</v>
      </c>
      <c r="Y10" s="289">
        <f>IF(AND(F10&lt;=DATE(2026,5,1),OR(G10="",G10&gt;=DATE(2026,5,1))),H10*(1+Assumptions!$C$7)^1,0)</f>
        <v>4320</v>
      </c>
      <c r="Z10" s="289">
        <f>IF(AND(F10&lt;=DATE(2026,6,1),OR(G10="",G10&gt;=DATE(2026,6,1))),H10*(1+Assumptions!$C$7)^1,0)</f>
        <v>4320</v>
      </c>
      <c r="AA10" s="289">
        <f>IF(AND(F10&lt;=DATE(2026,7,1),OR(G10="",G10&gt;=DATE(2026,7,1))),H10*(1+Assumptions!$C$7)^1,0)</f>
        <v>4320</v>
      </c>
      <c r="AB10" s="289">
        <f>IF(AND(F10&lt;=DATE(2026,8,1),OR(G10="",G10&gt;=DATE(2026,8,1))),H10*(1+Assumptions!$C$7)^1,0)</f>
        <v>4320</v>
      </c>
      <c r="AC10" s="289">
        <f>IF(AND(F10&lt;=DATE(2026,9,1),OR(G10="",G10&gt;=DATE(2026,9,1))),H10*(1+Assumptions!$C$7)^1,0)</f>
        <v>4320</v>
      </c>
      <c r="AD10" s="289">
        <f>IF(AND(F10&lt;=DATE(2026,10,1),OR(G10="",G10&gt;=DATE(2026,10,1))),H10*(1+Assumptions!$C$7)^1,0)</f>
        <v>0</v>
      </c>
      <c r="AE10" s="289">
        <f>IF(AND(F10&lt;=DATE(2026,11,1),OR(G10="",G10&gt;=DATE(2026,11,1))),H10*(1+Assumptions!$C$7)^1,0)</f>
        <v>0</v>
      </c>
      <c r="AF10" s="289">
        <f>IF(AND(F10&lt;=DATE(2026,12,1),OR(G10="",G10&gt;=DATE(2026,12,1))),H10*(1+Assumptions!$C$7)^1,0)</f>
        <v>0</v>
      </c>
      <c r="AG10" s="289">
        <f>IF(AND(F10&lt;=DATE(2027,1,1),OR(G10="",G10&gt;=DATE(2027,1,1))),H10*(1+Assumptions!$C$7)^2,0)</f>
        <v>0</v>
      </c>
      <c r="AH10" s="289">
        <f>IF(AND(F10&lt;=DATE(2027,2,1),OR(G10="",G10&gt;=DATE(2027,2,1))),H10*(1+Assumptions!$C$7)^2,0)</f>
        <v>0</v>
      </c>
      <c r="AI10" s="289">
        <f>IF(AND(F10&lt;=DATE(2027,3,1),OR(G10="",G10&gt;=DATE(2027,3,1))),H10*(1+Assumptions!$C$7)^2,0)</f>
        <v>0</v>
      </c>
      <c r="AJ10" s="289">
        <f>IF(AND(F10&lt;=DATE(2027,4,1),OR(G10="",G10&gt;=DATE(2027,4,1))),H10*(1+Assumptions!$C$7)^2,0)</f>
        <v>0</v>
      </c>
      <c r="AK10" s="289">
        <f>IF(AND(F10&lt;=DATE(2027,5,1),OR(G10="",G10&gt;=DATE(2027,5,1))),H10*(1+Assumptions!$C$7)^2,0)</f>
        <v>0</v>
      </c>
      <c r="AL10" s="289">
        <f>IF(AND(F10&lt;=DATE(2027,6,1),OR(G10="",G10&gt;=DATE(2027,6,1))),H10*(1+Assumptions!$C$7)^2,0)</f>
        <v>0</v>
      </c>
      <c r="AM10" s="289">
        <f>IF(AND(F10&lt;=DATE(2027,7,1),OR(G10="",G10&gt;=DATE(2027,7,1))),H10*(1+Assumptions!$C$7)^2,0)</f>
        <v>0</v>
      </c>
      <c r="AN10" s="289">
        <f>IF(AND(F10&lt;=DATE(2027,8,1),OR(G10="",G10&gt;=DATE(2027,8,1))),H10*(1+Assumptions!$C$7)^2,0)</f>
        <v>0</v>
      </c>
      <c r="AO10" s="289">
        <f>IF(AND(F10&lt;=DATE(2027,9,1),OR(G10="",G10&gt;=DATE(2027,9,1))),H10*(1+Assumptions!$C$7)^2,0)</f>
        <v>0</v>
      </c>
      <c r="AP10" s="289">
        <f>IF(AND(F10&lt;=DATE(2027,10,1),OR(G10="",G10&gt;=DATE(2027,10,1))),H10*(1+Assumptions!$C$7)^2,0)</f>
        <v>0</v>
      </c>
      <c r="AQ10" s="289">
        <f>IF(AND(F10&lt;=DATE(2027,11,1),OR(G10="",G10&gt;=DATE(2027,11,1))),H10*(1+Assumptions!$C$7)^2,0)</f>
        <v>0</v>
      </c>
      <c r="AR10" s="289">
        <f>IF(AND(F10&lt;=DATE(2027,12,1),OR(G10="",G10&gt;=DATE(2027,12,1))),H10*(1+Assumptions!$C$7)^2,0)</f>
        <v>0</v>
      </c>
      <c r="AS10" s="289">
        <f>IF(AND(F10&lt;=DATE(2028,1,1),OR(G10="",G10&gt;=DATE(2028,1,1))),H10*(1+Assumptions!$C$7)^3,0)</f>
        <v>0</v>
      </c>
      <c r="AT10" s="289">
        <f>IF(AND(F10&lt;=DATE(2028,2,1),OR(G10="",G10&gt;=DATE(2028,2,1))),H10*(1+Assumptions!$C$7)^3,0)</f>
        <v>0</v>
      </c>
      <c r="AU10" s="289">
        <f>IF(AND(F10&lt;=DATE(2028,3,1),OR(G10="",G10&gt;=DATE(2028,3,1))),H10*(1+Assumptions!$C$7)^3,0)</f>
        <v>0</v>
      </c>
      <c r="AV10" s="289">
        <f>IF(AND(F10&lt;=DATE(2028,4,1),OR(G10="",G10&gt;=DATE(2028,4,1))),H10*(1+Assumptions!$C$7)^3,0)</f>
        <v>0</v>
      </c>
      <c r="AW10" s="289">
        <f>IF(AND(F10&lt;=DATE(2028,5,1),OR(G10="",G10&gt;=DATE(2028,5,1))),H10*(1+Assumptions!$C$7)^3,0)</f>
        <v>0</v>
      </c>
      <c r="AX10" s="289">
        <f>IF(AND(F10&lt;=DATE(2028,6,1),OR(G10="",G10&gt;=DATE(2028,6,1))),H10*(1+Assumptions!$C$7)^3,0)</f>
        <v>0</v>
      </c>
      <c r="AY10" s="289">
        <f>IF(AND(F10&lt;=DATE(2028,7,1),OR(G10="",G10&gt;=DATE(2028,7,1))),H10*(1+Assumptions!$C$7)^3,0)</f>
        <v>0</v>
      </c>
      <c r="AZ10" s="289">
        <f>IF(AND(F10&lt;=DATE(2028,8,1),OR(G10="",G10&gt;=DATE(2028,8,1))),H10*(1+Assumptions!$C$7)^3,0)</f>
        <v>0</v>
      </c>
      <c r="BA10" s="289">
        <f>IF(AND(F10&lt;=DATE(2028,9,1),OR(G10="",G10&gt;=DATE(2028,9,1))),H10*(1+Assumptions!$C$7)^3,0)</f>
        <v>0</v>
      </c>
      <c r="BB10" s="289">
        <f>IF(AND(F10&lt;=DATE(2028,10,1),OR(G10="",G10&gt;=DATE(2028,10,1))),H10*(1+Assumptions!$C$7)^3,0)</f>
        <v>0</v>
      </c>
      <c r="BC10" s="289">
        <f>IF(AND(F10&lt;=DATE(2028,11,1),OR(G10="",G10&gt;=DATE(2028,11,1))),H10*(1+Assumptions!$C$7)^3,0)</f>
        <v>0</v>
      </c>
      <c r="BD10" s="289">
        <f>IF(AND(F10&lt;=DATE(2028,12,1),OR(G10="",G10&gt;=DATE(2028,12,1))),H10*(1+Assumptions!$C$7)^3,0)</f>
        <v>0</v>
      </c>
      <c r="BE10" s="289">
        <f>IF(AND(G10&lt;=DATE(2028,12,1),OR(H10="",H10&gt;=DATE(2028,12,1))),I10*(1+Assumptions!$C$7)^3,0)</f>
        <v>0</v>
      </c>
      <c r="BF10" s="289">
        <f>IF(AND(H10&lt;=DATE(2028,12,1),OR(I10="",I10&gt;=DATE(2028,12,1))),J10*(1+Assumptions!$C$7)^3,0)</f>
        <v>0</v>
      </c>
      <c r="BG10" s="289">
        <f>IF(AND(I10&lt;=DATE(2028,12,1),OR(J10="",J10&gt;=DATE(2028,12,1))),K10*(1+Assumptions!$C$7)^3,0)</f>
        <v>0</v>
      </c>
      <c r="BH10" s="289">
        <f>IF(AND(J10&lt;=DATE(2028,12,1),OR(K10="",K10&gt;=DATE(2028,12,1))),L10*(1+Assumptions!$C$7)^3,0)</f>
        <v>0</v>
      </c>
      <c r="BI10" s="289">
        <f>IF(AND(K10&lt;=DATE(2028,12,1),OR(L10="",L10&gt;=DATE(2028,12,1))),M10*(1+Assumptions!$C$7)^3,0)</f>
        <v>0</v>
      </c>
      <c r="BJ10" s="289">
        <f>IF(AND(L10&lt;=DATE(2028,12,1),OR(M10="",M10&gt;=DATE(2028,12,1))),N10*(1+Assumptions!$C$7)^3,0)</f>
        <v>0</v>
      </c>
      <c r="BK10" s="289">
        <f>IF(AND(M10&lt;=DATE(2028,12,1),OR(N10="",N10&gt;=DATE(2028,12,1))),O10*(1+Assumptions!$C$7)^3,0)</f>
        <v>0</v>
      </c>
      <c r="BL10" s="289">
        <f>IF(AND(N10&lt;=DATE(2028,12,1),OR(O10="",O10&gt;=DATE(2028,12,1))),P10*(1+Assumptions!$C$7)^3,0)</f>
        <v>0</v>
      </c>
      <c r="BM10" s="289">
        <f>IF(AND(O10&lt;=DATE(2028,12,1),OR(P10="",P10&gt;=DATE(2028,12,1))),Q10*(1+Assumptions!$C$7)^3,0)</f>
        <v>0</v>
      </c>
      <c r="BN10" s="289">
        <f>IF(AND(P10&lt;=DATE(2028,12,1),OR(Q10="",Q10&gt;=DATE(2028,12,1))),R10*(1+Assumptions!$C$7)^3,0)</f>
        <v>0</v>
      </c>
      <c r="BO10" s="289">
        <f>IF(AND(Q10&lt;=DATE(2028,12,1),OR(R10="",R10&gt;=DATE(2028,12,1))),S10*(1+Assumptions!$C$7)^3,0)</f>
        <v>0</v>
      </c>
      <c r="BP10" s="289">
        <f>IF(AND(R10&lt;=DATE(2028,12,1),OR(S10="",S10&gt;=DATE(2028,12,1))),T10*(1+Assumptions!$C$7)^3,0)</f>
        <v>0</v>
      </c>
      <c r="BQ10" s="121"/>
    </row>
    <row r="11">
      <c r="A11" s="291">
        <v>8.0</v>
      </c>
      <c r="B11" s="284" t="s">
        <v>337</v>
      </c>
      <c r="C11" s="285" t="s">
        <v>148</v>
      </c>
      <c r="D11" s="285" t="s">
        <v>337</v>
      </c>
      <c r="E11" s="292" t="s">
        <v>330</v>
      </c>
      <c r="F11" s="286">
        <v>46266.0</v>
      </c>
      <c r="G11" s="293"/>
      <c r="H11" s="288">
        <v>11500.0</v>
      </c>
      <c r="I11" s="294">
        <f>IF(AND(F11&lt;=DATE(2025,1,1),OR(G11="",G11&gt;=DATE(2025,1,1))),H11*(1+Assumptions!$C$7)^0,0)</f>
        <v>0</v>
      </c>
      <c r="J11" s="294">
        <f>IF(AND(F11&lt;=DATE(2025,2,1),OR(G11="",G11&gt;=DATE(2025,2,1))),H11*(1+Assumptions!$C$7)^0,0)</f>
        <v>0</v>
      </c>
      <c r="K11" s="294">
        <f>IF(AND(F11&lt;=DATE(2025,3,1),OR(G11="",G11&gt;=DATE(2025,3,1))),H11*(1+Assumptions!$C$7)^0,0)</f>
        <v>0</v>
      </c>
      <c r="L11" s="294">
        <f>IF(AND(F11&lt;=DATE(2025,4,1),OR(G11="",G11&gt;=DATE(2025,4,1))),H11*(1+Assumptions!$C$7)^0,0)</f>
        <v>0</v>
      </c>
      <c r="M11" s="294">
        <f>IF(AND(F11&lt;=DATE(2025,5,1),OR(G11="",G11&gt;=DATE(2025,5,1))),H11*(1+Assumptions!$C$7)^0,0)</f>
        <v>0</v>
      </c>
      <c r="N11" s="294">
        <f>IF(AND(F11&lt;=DATE(2025,6,1),OR(G11="",G11&gt;=DATE(2025,6,1))),H11*(1+Assumptions!$C$7)^0,0)</f>
        <v>0</v>
      </c>
      <c r="O11" s="294">
        <f>IF(AND(F11&lt;=DATE(2025,7,1),OR(G11="",G11&gt;=DATE(2025,7,1))),H11*(1+Assumptions!$C$7)^0,0)</f>
        <v>0</v>
      </c>
      <c r="P11" s="294">
        <f>IF(AND(F11&lt;=DATE(2025,8,1),OR(G11="",G11&gt;=DATE(2025,8,1))),H11*(1+Assumptions!$C$7)^0,0)</f>
        <v>0</v>
      </c>
      <c r="Q11" s="294">
        <v>7500.0</v>
      </c>
      <c r="R11" s="294">
        <v>7500.0</v>
      </c>
      <c r="S11" s="294">
        <v>7500.0</v>
      </c>
      <c r="T11" s="294">
        <v>7500.0</v>
      </c>
      <c r="U11" s="294">
        <v>7500.0</v>
      </c>
      <c r="V11" s="294">
        <v>7500.0</v>
      </c>
      <c r="W11" s="294">
        <v>7500.0</v>
      </c>
      <c r="X11" s="294">
        <v>7500.0</v>
      </c>
      <c r="Y11" s="294">
        <v>7500.0</v>
      </c>
      <c r="Z11" s="294">
        <v>7500.0</v>
      </c>
      <c r="AA11" s="294">
        <v>7500.0</v>
      </c>
      <c r="AB11" s="294">
        <v>7500.0</v>
      </c>
      <c r="AC11" s="294">
        <f>IF(AND(F11&lt;=DATE(2026,9,1),OR(G11="",G11&gt;=DATE(2026,9,1))),H11)</f>
        <v>11500</v>
      </c>
      <c r="AD11" s="294">
        <f>IF(AND(F11&lt;=DATE(2026,10,1),OR(G11="",G11&gt;=DATE(2026,10,1))),H11*(1+Assumptions!$C$7)^1,0)</f>
        <v>12420</v>
      </c>
      <c r="AE11" s="294">
        <f>IF(AND(F11&lt;=DATE(2026,11,1),OR(G11="",G11&gt;=DATE(2026,11,1))),H11*(1+Assumptions!$C$7)^1,0)</f>
        <v>12420</v>
      </c>
      <c r="AF11" s="294">
        <f>IF(AND(F11&lt;=DATE(2026,12,1),OR(G11="",G11&gt;=DATE(2026,12,1))),H11*(1+Assumptions!$C$7)^1,0)</f>
        <v>12420</v>
      </c>
      <c r="AG11" s="294">
        <f>IF(AND(F11&lt;=DATE(2027,1,1),OR(G11="",G11&gt;=DATE(2027,1,1))),H11*(1+Assumptions!$C$7)^2,0)</f>
        <v>13413.6</v>
      </c>
      <c r="AH11" s="294">
        <f>IF(AND(F11&lt;=DATE(2027,2,1),OR(G11="",G11&gt;=DATE(2027,2,1))),H11*(1+Assumptions!$C$7)^2,0)</f>
        <v>13413.6</v>
      </c>
      <c r="AI11" s="294">
        <f>IF(AND(F11&lt;=DATE(2027,3,1),OR(G11="",G11&gt;=DATE(2027,3,1))),H11*(1+Assumptions!$C$7)^2,0)</f>
        <v>13413.6</v>
      </c>
      <c r="AJ11" s="294">
        <f>IF(AND(F11&lt;=DATE(2027,4,1),OR(G11="",G11&gt;=DATE(2027,4,1))),H11*(1+Assumptions!$C$7)^2,0)</f>
        <v>13413.6</v>
      </c>
      <c r="AK11" s="294">
        <f>IF(AND(F11&lt;=DATE(2027,5,1),OR(G11="",G11&gt;=DATE(2027,5,1))),H11*(1+Assumptions!$C$7)^2,0)</f>
        <v>13413.6</v>
      </c>
      <c r="AL11" s="294">
        <f>IF(AND(F11&lt;=DATE(2027,6,1),OR(G11="",G11&gt;=DATE(2027,6,1))),H11*(1+Assumptions!$C$7)^2,0)</f>
        <v>13413.6</v>
      </c>
      <c r="AM11" s="294">
        <f>IF(AND(F11&lt;=DATE(2027,7,1),OR(G11="",G11&gt;=DATE(2027,7,1))),H11*(1+Assumptions!$C$7)^2,0)</f>
        <v>13413.6</v>
      </c>
      <c r="AN11" s="294">
        <f>IF(AND(F11&lt;=DATE(2027,8,1),OR(G11="",G11&gt;=DATE(2027,8,1))),H11*(1+Assumptions!$C$7)^2,0)</f>
        <v>13413.6</v>
      </c>
      <c r="AO11" s="294">
        <f>IF(AND(F11&lt;=DATE(2027,9,1),OR(G11="",G11&gt;=DATE(2027,9,1))),H11*(1+Assumptions!$C$7)^2,0)</f>
        <v>13413.6</v>
      </c>
      <c r="AP11" s="294">
        <f>IF(AND(F11&lt;=DATE(2027,10,1),OR(G11="",G11&gt;=DATE(2027,10,1))),H11*(1+Assumptions!$C$7)^2,0)</f>
        <v>13413.6</v>
      </c>
      <c r="AQ11" s="294">
        <f>IF(AND(F11&lt;=DATE(2027,11,1),OR(G11="",G11&gt;=DATE(2027,11,1))),H11*(1+Assumptions!$C$7)^2,0)</f>
        <v>13413.6</v>
      </c>
      <c r="AR11" s="294">
        <f>IF(AND(F11&lt;=DATE(2027,12,1),OR(G11="",G11&gt;=DATE(2027,12,1))),H11*(1+Assumptions!$C$7)^2,0)</f>
        <v>13413.6</v>
      </c>
      <c r="AS11" s="294">
        <f>IF(AND(F11&lt;=DATE(2028,1,1),OR(G11="",G11&gt;=DATE(2028,1,1))),H11*(1+Assumptions!$C$7)^3,0)</f>
        <v>14486.688</v>
      </c>
      <c r="AT11" s="294">
        <f>IF(AND(F11&lt;=DATE(2028,2,1),OR(G11="",G11&gt;=DATE(2028,2,1))),H11*(1+Assumptions!$C$7)^3,0)</f>
        <v>14486.688</v>
      </c>
      <c r="AU11" s="294">
        <f>IF(AND(F11&lt;=DATE(2028,3,1),OR(G11="",G11&gt;=DATE(2028,3,1))),H11*(1+Assumptions!$C$7)^3,0)</f>
        <v>14486.688</v>
      </c>
      <c r="AV11" s="294">
        <f>IF(AND(F11&lt;=DATE(2028,4,1),OR(G11="",G11&gt;=DATE(2028,4,1))),H11*(1+Assumptions!$C$7)^3,0)</f>
        <v>14486.688</v>
      </c>
      <c r="AW11" s="294">
        <f>IF(AND(F11&lt;=DATE(2028,5,1),OR(G11="",G11&gt;=DATE(2028,5,1))),H11*(1+Assumptions!$C$7)^3,0)</f>
        <v>14486.688</v>
      </c>
      <c r="AX11" s="294">
        <f>IF(AND(F11&lt;=DATE(2028,6,1),OR(G11="",G11&gt;=DATE(2028,6,1))),H11*(1+Assumptions!$C$7)^3,0)</f>
        <v>14486.688</v>
      </c>
      <c r="AY11" s="294">
        <f>IF(AND(F11&lt;=DATE(2028,7,1),OR(G11="",G11&gt;=DATE(2028,7,1))),H11*(1+Assumptions!$C$7)^3,0)</f>
        <v>14486.688</v>
      </c>
      <c r="AZ11" s="294">
        <f>IF(AND(F11&lt;=DATE(2028,8,1),OR(G11="",G11&gt;=DATE(2028,8,1))),H11*(1+Assumptions!$C$7)^3,0)</f>
        <v>14486.688</v>
      </c>
      <c r="BA11" s="294">
        <f>IF(AND(F11&lt;=DATE(2028,9,1),OR(G11="",G11&gt;=DATE(2028,9,1))),H11*(1+Assumptions!$C$7)^3,0)</f>
        <v>14486.688</v>
      </c>
      <c r="BB11" s="294">
        <f>IF(AND(F11&lt;=DATE(2028,10,1),OR(G11="",G11&gt;=DATE(2028,10,1))),H11*(1+Assumptions!$C$7)^3,0)</f>
        <v>14486.688</v>
      </c>
      <c r="BC11" s="294">
        <f>IF(AND(F11&lt;=DATE(2028,11,1),OR(G11="",G11&gt;=DATE(2028,11,1))),H11*(1+Assumptions!$C$7)^3,0)</f>
        <v>14486.688</v>
      </c>
      <c r="BD11" s="294">
        <f>IF(AND(F11&lt;=DATE(2028,12,1),OR(G11="",G11&gt;=DATE(2028,12,1))),H11*(1+Assumptions!$C$7)^3,0)</f>
        <v>14486.688</v>
      </c>
      <c r="BE11" s="294">
        <f>IF(AND(G11&lt;=DATE(2028,12,1),OR(H11="",H11&gt;=DATE(2028,12,1))),I11*(1+Assumptions!$C$7)^3,0)</f>
        <v>0</v>
      </c>
      <c r="BF11" s="294">
        <f>IF(AND(H11&lt;=DATE(2028,12,1),OR(I11="",I11&gt;=DATE(2028,12,1))),J11*(1+Assumptions!$C$7)^3,0)</f>
        <v>0</v>
      </c>
      <c r="BG11" s="294">
        <f>IF(AND(I11&lt;=DATE(2028,12,1),OR(J11="",J11&gt;=DATE(2028,12,1))),K11*(1+Assumptions!$C$7)^3,0)</f>
        <v>0</v>
      </c>
      <c r="BH11" s="294">
        <f>IF(AND(J11&lt;=DATE(2028,12,1),OR(K11="",K11&gt;=DATE(2028,12,1))),L11*(1+Assumptions!$C$7)^3,0)</f>
        <v>0</v>
      </c>
      <c r="BI11" s="294">
        <f>IF(AND(K11&lt;=DATE(2028,12,1),OR(L11="",L11&gt;=DATE(2028,12,1))),M11*(1+Assumptions!$C$7)^3,0)</f>
        <v>0</v>
      </c>
      <c r="BJ11" s="294">
        <f>IF(AND(L11&lt;=DATE(2028,12,1),OR(M11="",M11&gt;=DATE(2028,12,1))),N11*(1+Assumptions!$C$7)^3,0)</f>
        <v>0</v>
      </c>
      <c r="BK11" s="294">
        <f>IF(AND(M11&lt;=DATE(2028,12,1),OR(N11="",N11&gt;=DATE(2028,12,1))),O11*(1+Assumptions!$C$7)^3,0)</f>
        <v>0</v>
      </c>
      <c r="BL11" s="294">
        <f>IF(AND(N11&lt;=DATE(2028,12,1),OR(O11="",O11&gt;=DATE(2028,12,1))),P11*(1+Assumptions!$C$7)^3,0)</f>
        <v>0</v>
      </c>
      <c r="BM11" s="294">
        <f>IF(AND(O11&lt;=DATE(2028,12,1),OR(P11="",P11&gt;=DATE(2028,12,1))),Q11*(1+Assumptions!$C$7)^3,0)</f>
        <v>0</v>
      </c>
      <c r="BN11" s="294">
        <f>IF(AND(P11&lt;=DATE(2028,12,1),OR(Q11="",Q11&gt;=DATE(2028,12,1))),R11*(1+Assumptions!$C$7)^3,0)</f>
        <v>0</v>
      </c>
      <c r="BO11" s="294">
        <f>IF(AND(Q11&lt;=DATE(2028,12,1),OR(R11="",R11&gt;=DATE(2028,12,1))),S11*(1+Assumptions!$C$7)^3,0)</f>
        <v>0</v>
      </c>
      <c r="BP11" s="294">
        <f>IF(AND(R11&lt;=DATE(2028,12,1),OR(S11="",S11&gt;=DATE(2028,12,1))),T11*(1+Assumptions!$C$7)^3,0)</f>
        <v>0</v>
      </c>
      <c r="BQ11" s="121"/>
    </row>
    <row r="12">
      <c r="A12" s="295">
        <v>9.0</v>
      </c>
      <c r="B12" s="298" t="s">
        <v>338</v>
      </c>
      <c r="C12" s="24" t="s">
        <v>145</v>
      </c>
      <c r="D12" s="24" t="s">
        <v>339</v>
      </c>
      <c r="E12" s="296" t="s">
        <v>330</v>
      </c>
      <c r="F12" s="286">
        <v>46054.0</v>
      </c>
      <c r="G12" s="299"/>
      <c r="H12" s="288">
        <v>10000.0</v>
      </c>
      <c r="I12" s="289">
        <f>IF(AND(F12&lt;=DATE(2025,1,1),OR(G12="",G12&gt;=DATE(2025,1,1))),H12*(1+Assumptions!$C$7)^0,0)</f>
        <v>0</v>
      </c>
      <c r="J12" s="289">
        <f>IF(AND(F12&lt;=DATE(2025,2,1),OR(G12="",G12&gt;=DATE(2025,2,1))),H12*(1+Assumptions!$C$7)^0,0)</f>
        <v>0</v>
      </c>
      <c r="K12" s="289">
        <f>IF(AND(F12&lt;=DATE(2025,3,1),OR(G12="",G12&gt;=DATE(2025,3,1))),H12*(1+Assumptions!$C$7)^0,0)</f>
        <v>0</v>
      </c>
      <c r="L12" s="289">
        <f>IF(AND(F12&lt;=DATE(2025,4,1),OR(G12="",G12&gt;=DATE(2025,4,1))),H12*(1+Assumptions!$C$7)^0,0)</f>
        <v>0</v>
      </c>
      <c r="M12" s="289">
        <f>IF(AND(F12&lt;=DATE(2025,5,1),OR(G12="",G12&gt;=DATE(2025,5,1))),H12*(1+Assumptions!$C$7)^0,0)</f>
        <v>0</v>
      </c>
      <c r="N12" s="289">
        <f>IF(AND(F12&lt;=DATE(2025,6,1),OR(G12="",G12&gt;=DATE(2025,6,1))),H12*(1+Assumptions!$C$7)^0,0)</f>
        <v>0</v>
      </c>
      <c r="O12" s="289">
        <f>IF(AND(F12&lt;=DATE(2025,7,1),OR(G12="",G12&gt;=DATE(2025,7,1))),H12*(1+Assumptions!$C$7)^0,0)</f>
        <v>0</v>
      </c>
      <c r="P12" s="289">
        <f>IF(AND(F12&lt;=DATE(2025,8,1),OR(G12="",G12&gt;=DATE(2025,8,1))),H12*(1+Assumptions!$C$7)^0,0)</f>
        <v>0</v>
      </c>
      <c r="Q12" s="289">
        <f>IF(AND(F12&lt;=DATE(2025,9,1),OR(G12="",G12&gt;=DATE(2025,9,1))),H12*(1+Assumptions!$C$7)^0,0)</f>
        <v>0</v>
      </c>
      <c r="R12" s="289">
        <f>IF(AND(F12&lt;=DATE(2025,10,1),OR(G12="",G12&gt;=DATE(2025,10,1))),H12*(1+Assumptions!$C$7)^0,0)</f>
        <v>0</v>
      </c>
      <c r="S12" s="289">
        <f>IF(AND(F12&lt;=DATE(2025,11,1),OR(G12="",G12&gt;=DATE(2025,11,1))),H12*(1+Assumptions!$C$7)^0,0)</f>
        <v>0</v>
      </c>
      <c r="T12" s="289">
        <f>IF(AND(F12&lt;=DATE(2025,12,1),OR(G12="",G12&gt;=DATE(2025,12,1))),H12*(1+Assumptions!$C$7)^0,0)</f>
        <v>0</v>
      </c>
      <c r="U12" s="289">
        <f>IF(AND(F12&lt;=DATE(2026,1,1),OR(G12="",G12&gt;=DATE(2026,1,1))),H12*(1+Assumptions!$C$7)^1,0)</f>
        <v>0</v>
      </c>
      <c r="V12" s="289">
        <f>IF(AND(F12&lt;=DATE(2026,2,1),OR(G12="",G12&gt;=DATE(2026,2,1))),H12*(1+Assumptions!$C$7)^1,0)</f>
        <v>10800</v>
      </c>
      <c r="W12" s="289">
        <f>IF(AND(F12&lt;=DATE(2026,3,1),OR(G12="",G12&gt;=DATE(2026,3,1))),H12*(1+Assumptions!$C$7)^1,0)</f>
        <v>10800</v>
      </c>
      <c r="X12" s="289">
        <f>IF(AND(F12&lt;=DATE(2026,4,1),OR(G12="",G12&gt;=DATE(2026,4,1))),H12*(1+Assumptions!$C$7)^1,0)</f>
        <v>10800</v>
      </c>
      <c r="Y12" s="289">
        <f>IF(AND(F12&lt;=DATE(2026,5,1),OR(G12="",G12&gt;=DATE(2026,5,1))),H12*(1+Assumptions!$C$7)^1,0)</f>
        <v>10800</v>
      </c>
      <c r="Z12" s="289">
        <f>IF(AND(F12&lt;=DATE(2026,6,1),OR(G12="",G12&gt;=DATE(2026,6,1))),H12*(1+Assumptions!$C$7)^1,0)</f>
        <v>10800</v>
      </c>
      <c r="AA12" s="289">
        <f>IF(AND(F12&lt;=DATE(2026,7,1),OR(G12="",G12&gt;=DATE(2026,7,1))),H12*(1+Assumptions!$C$7)^1,0)</f>
        <v>10800</v>
      </c>
      <c r="AB12" s="289">
        <f>IF(AND(F12&lt;=DATE(2026,8,1),OR(G12="",G12&gt;=DATE(2026,8,1))),H12*(1+Assumptions!$C$7)^1,0)</f>
        <v>10800</v>
      </c>
      <c r="AC12" s="289">
        <f>IF(AND(F12&lt;=DATE(2026,9,1),OR(G12="",G12&gt;=DATE(2026,9,1))),H12*(1+Assumptions!$C$7)^1,0)</f>
        <v>10800</v>
      </c>
      <c r="AD12" s="289">
        <f>IF(AND(F12&lt;=DATE(2026,10,1),OR(G12="",G12&gt;=DATE(2026,10,1))),H12*(1+Assumptions!$C$7)^1,0)</f>
        <v>10800</v>
      </c>
      <c r="AE12" s="289">
        <f>IF(AND(F12&lt;=DATE(2026,11,1),OR(G12="",G12&gt;=DATE(2026,11,1))),H12*(1+Assumptions!$C$7)^1,0)</f>
        <v>10800</v>
      </c>
      <c r="AF12" s="289">
        <f>IF(AND(F12&lt;=DATE(2026,12,1),OR(G12="",G12&gt;=DATE(2026,12,1))),H12*(1+Assumptions!$C$7)^1,0)</f>
        <v>10800</v>
      </c>
      <c r="AG12" s="289">
        <f>IF(AND(F12&lt;=DATE(2027,1,1),OR(G12="",G12&gt;=DATE(2027,1,1))),H12*(1+Assumptions!$C$7)^2,0)</f>
        <v>11664</v>
      </c>
      <c r="AH12" s="289">
        <f>IF(AND(F12&lt;=DATE(2027,2,1),OR(G12="",G12&gt;=DATE(2027,2,1))),H12*(1+Assumptions!$C$7)^2,0)</f>
        <v>11664</v>
      </c>
      <c r="AI12" s="289">
        <f>IF(AND(F12&lt;=DATE(2027,3,1),OR(G12="",G12&gt;=DATE(2027,3,1))),H12*(1+Assumptions!$C$7)^2,0)</f>
        <v>11664</v>
      </c>
      <c r="AJ12" s="289">
        <f>IF(AND(F12&lt;=DATE(2027,4,1),OR(G12="",G12&gt;=DATE(2027,4,1))),H12*(1+Assumptions!$C$7)^2,0)</f>
        <v>11664</v>
      </c>
      <c r="AK12" s="289">
        <f>IF(AND(F12&lt;=DATE(2027,5,1),OR(G12="",G12&gt;=DATE(2027,5,1))),H12*(1+Assumptions!$C$7)^2,0)</f>
        <v>11664</v>
      </c>
      <c r="AL12" s="289">
        <f>IF(AND(F12&lt;=DATE(2027,6,1),OR(G12="",G12&gt;=DATE(2027,6,1))),H12*(1+Assumptions!$C$7)^2,0)</f>
        <v>11664</v>
      </c>
      <c r="AM12" s="289">
        <f>IF(AND(F12&lt;=DATE(2027,7,1),OR(G12="",G12&gt;=DATE(2027,7,1))),H12*(1+Assumptions!$C$7)^2,0)</f>
        <v>11664</v>
      </c>
      <c r="AN12" s="289">
        <f>IF(AND(F12&lt;=DATE(2027,8,1),OR(G12="",G12&gt;=DATE(2027,8,1))),H12*(1+Assumptions!$C$7)^2,0)</f>
        <v>11664</v>
      </c>
      <c r="AO12" s="289">
        <f>IF(AND(F12&lt;=DATE(2027,9,1),OR(G12="",G12&gt;=DATE(2027,9,1))),H12*(1+Assumptions!$C$7)^2,0)</f>
        <v>11664</v>
      </c>
      <c r="AP12" s="289">
        <f>IF(AND(F12&lt;=DATE(2027,10,1),OR(G12="",G12&gt;=DATE(2027,10,1))),H12*(1+Assumptions!$C$7)^2,0)</f>
        <v>11664</v>
      </c>
      <c r="AQ12" s="289">
        <f>IF(AND(F12&lt;=DATE(2027,11,1),OR(G12="",G12&gt;=DATE(2027,11,1))),H12*(1+Assumptions!$C$7)^2,0)</f>
        <v>11664</v>
      </c>
      <c r="AR12" s="289">
        <f>IF(AND(F12&lt;=DATE(2027,12,1),OR(G12="",G12&gt;=DATE(2027,12,1))),H12*(1+Assumptions!$C$7)^2,0)</f>
        <v>11664</v>
      </c>
      <c r="AS12" s="289">
        <f>IF(AND(F12&lt;=DATE(2028,1,1),OR(G12="",G12&gt;=DATE(2028,1,1))),H12*(1+Assumptions!$C$7)^3,0)</f>
        <v>12597.12</v>
      </c>
      <c r="AT12" s="289">
        <f>IF(AND(F12&lt;=DATE(2028,2,1),OR(G12="",G12&gt;=DATE(2028,2,1))),H12*(1+Assumptions!$C$7)^3,0)</f>
        <v>12597.12</v>
      </c>
      <c r="AU12" s="289">
        <f>IF(AND(F12&lt;=DATE(2028,3,1),OR(G12="",G12&gt;=DATE(2028,3,1))),H12*(1+Assumptions!$C$7)^3,0)</f>
        <v>12597.12</v>
      </c>
      <c r="AV12" s="289">
        <f>IF(AND(F12&lt;=DATE(2028,4,1),OR(G12="",G12&gt;=DATE(2028,4,1))),H12*(1+Assumptions!$C$7)^3,0)</f>
        <v>12597.12</v>
      </c>
      <c r="AW12" s="289">
        <f>IF(AND(F12&lt;=DATE(2028,5,1),OR(G12="",G12&gt;=DATE(2028,5,1))),H12*(1+Assumptions!$C$7)^3,0)</f>
        <v>12597.12</v>
      </c>
      <c r="AX12" s="289">
        <f>IF(AND(F12&lt;=DATE(2028,6,1),OR(G12="",G12&gt;=DATE(2028,6,1))),H12*(1+Assumptions!$C$7)^3,0)</f>
        <v>12597.12</v>
      </c>
      <c r="AY12" s="289">
        <f>IF(AND(F12&lt;=DATE(2028,7,1),OR(G12="",G12&gt;=DATE(2028,7,1))),H12*(1+Assumptions!$C$7)^3,0)</f>
        <v>12597.12</v>
      </c>
      <c r="AZ12" s="289">
        <f>IF(AND(F12&lt;=DATE(2028,8,1),OR(G12="",G12&gt;=DATE(2028,8,1))),H12*(1+Assumptions!$C$7)^3,0)</f>
        <v>12597.12</v>
      </c>
      <c r="BA12" s="289">
        <f>IF(AND(F12&lt;=DATE(2028,9,1),OR(G12="",G12&gt;=DATE(2028,9,1))),H12*(1+Assumptions!$C$7)^3,0)</f>
        <v>12597.12</v>
      </c>
      <c r="BB12" s="289">
        <f>IF(AND(F12&lt;=DATE(2028,10,1),OR(G12="",G12&gt;=DATE(2028,10,1))),H12*(1+Assumptions!$C$7)^3,0)</f>
        <v>12597.12</v>
      </c>
      <c r="BC12" s="289">
        <f>IF(AND(F12&lt;=DATE(2028,11,1),OR(G12="",G12&gt;=DATE(2028,11,1))),H12*(1+Assumptions!$C$7)^3,0)</f>
        <v>12597.12</v>
      </c>
      <c r="BD12" s="289">
        <f>IF(AND(F12&lt;=DATE(2028,12,1),OR(G12="",G12&gt;=DATE(2028,12,1))),H12*(1+Assumptions!$C$7)^3,0)</f>
        <v>12597.12</v>
      </c>
      <c r="BE12" s="289">
        <f>IF(AND(G12&lt;=DATE(2028,12,1),OR(H12="",H12&gt;=DATE(2028,12,1))),I12*(1+Assumptions!$C$7)^3,0)</f>
        <v>0</v>
      </c>
      <c r="BF12" s="289">
        <f>IF(AND(H12&lt;=DATE(2028,12,1),OR(I12="",I12&gt;=DATE(2028,12,1))),J12*(1+Assumptions!$C$7)^3,0)</f>
        <v>0</v>
      </c>
      <c r="BG12" s="289">
        <f>IF(AND(I12&lt;=DATE(2028,12,1),OR(J12="",J12&gt;=DATE(2028,12,1))),K12*(1+Assumptions!$C$7)^3,0)</f>
        <v>0</v>
      </c>
      <c r="BH12" s="289">
        <f>IF(AND(J12&lt;=DATE(2028,12,1),OR(K12="",K12&gt;=DATE(2028,12,1))),L12*(1+Assumptions!$C$7)^3,0)</f>
        <v>0</v>
      </c>
      <c r="BI12" s="289">
        <f>IF(AND(K12&lt;=DATE(2028,12,1),OR(L12="",L12&gt;=DATE(2028,12,1))),M12*(1+Assumptions!$C$7)^3,0)</f>
        <v>0</v>
      </c>
      <c r="BJ12" s="289">
        <f>IF(AND(L12&lt;=DATE(2028,12,1),OR(M12="",M12&gt;=DATE(2028,12,1))),N12*(1+Assumptions!$C$7)^3,0)</f>
        <v>0</v>
      </c>
      <c r="BK12" s="289">
        <f>IF(AND(M12&lt;=DATE(2028,12,1),OR(N12="",N12&gt;=DATE(2028,12,1))),O12*(1+Assumptions!$C$7)^3,0)</f>
        <v>0</v>
      </c>
      <c r="BL12" s="289">
        <f>IF(AND(N12&lt;=DATE(2028,12,1),OR(O12="",O12&gt;=DATE(2028,12,1))),P12*(1+Assumptions!$C$7)^3,0)</f>
        <v>0</v>
      </c>
      <c r="BM12" s="289">
        <f>IF(AND(O12&lt;=DATE(2028,12,1),OR(P12="",P12&gt;=DATE(2028,12,1))),Q12*(1+Assumptions!$C$7)^3,0)</f>
        <v>0</v>
      </c>
      <c r="BN12" s="289">
        <f>IF(AND(P12&lt;=DATE(2028,12,1),OR(Q12="",Q12&gt;=DATE(2028,12,1))),R12*(1+Assumptions!$C$7)^3,0)</f>
        <v>0</v>
      </c>
      <c r="BO12" s="289">
        <f>IF(AND(Q12&lt;=DATE(2028,12,1),OR(R12="",R12&gt;=DATE(2028,12,1))),S12*(1+Assumptions!$C$7)^3,0)</f>
        <v>0</v>
      </c>
      <c r="BP12" s="289">
        <f>IF(AND(R12&lt;=DATE(2028,12,1),OR(S12="",S12&gt;=DATE(2028,12,1))),T12*(1+Assumptions!$C$7)^3,0)</f>
        <v>0</v>
      </c>
      <c r="BQ12" s="121"/>
    </row>
    <row r="13">
      <c r="A13" s="291">
        <v>10.0</v>
      </c>
      <c r="B13" s="284" t="s">
        <v>340</v>
      </c>
      <c r="C13" s="285" t="s">
        <v>141</v>
      </c>
      <c r="D13" s="285" t="s">
        <v>340</v>
      </c>
      <c r="E13" s="292" t="s">
        <v>330</v>
      </c>
      <c r="F13" s="286">
        <v>46266.0</v>
      </c>
      <c r="G13" s="293"/>
      <c r="H13" s="288">
        <v>11500.0</v>
      </c>
      <c r="I13" s="294">
        <f>IF(AND(F13&lt;=DATE(2025,1,1),OR(G13="",G13&gt;=DATE(2025,1,1))),H13*(1+Assumptions!$C$7)^0,0)</f>
        <v>0</v>
      </c>
      <c r="J13" s="294">
        <f>IF(AND(F13&lt;=DATE(2025,2,1),OR(G13="",G13&gt;=DATE(2025,2,1))),H13*(1+Assumptions!$C$7)^0,0)</f>
        <v>0</v>
      </c>
      <c r="K13" s="294">
        <f>IF(AND(F13&lt;=DATE(2025,3,1),OR(G13="",G13&gt;=DATE(2025,3,1))),H13*(1+Assumptions!$C$7)^0,0)</f>
        <v>0</v>
      </c>
      <c r="L13" s="294">
        <f>IF(AND(F13&lt;=DATE(2025,4,1),OR(G13="",G13&gt;=DATE(2025,4,1))),H13*(1+Assumptions!$C$7)^0,0)</f>
        <v>0</v>
      </c>
      <c r="M13" s="294">
        <f>IF(AND(F13&lt;=DATE(2025,5,1),OR(G13="",G13&gt;=DATE(2025,5,1))),H13*(1+Assumptions!$C$7)^0,0)</f>
        <v>0</v>
      </c>
      <c r="N13" s="294">
        <f>IF(AND(F13&lt;=DATE(2025,6,1),OR(G13="",G13&gt;=DATE(2025,6,1))),H13*(1+Assumptions!$C$7)^0,0)</f>
        <v>0</v>
      </c>
      <c r="O13" s="294">
        <f>IF(AND(F13&lt;=DATE(2025,7,1),OR(G13="",G13&gt;=DATE(2025,7,1))),H13*(1+Assumptions!$C$7)^0,0)</f>
        <v>0</v>
      </c>
      <c r="P13" s="294">
        <f>IF(AND(F13&lt;=DATE(2025,8,1),OR(G13="",G13&gt;=DATE(2025,8,1))),H13*(1+Assumptions!$C$7)^0,0)</f>
        <v>0</v>
      </c>
      <c r="Q13" s="294">
        <v>7500.0</v>
      </c>
      <c r="R13" s="294">
        <v>7500.0</v>
      </c>
      <c r="S13" s="294">
        <v>7500.0</v>
      </c>
      <c r="T13" s="294">
        <v>7500.0</v>
      </c>
      <c r="U13" s="294">
        <v>7500.0</v>
      </c>
      <c r="V13" s="294">
        <v>7500.0</v>
      </c>
      <c r="W13" s="294">
        <v>7500.0</v>
      </c>
      <c r="X13" s="294">
        <v>7500.0</v>
      </c>
      <c r="Y13" s="294">
        <v>7500.0</v>
      </c>
      <c r="Z13" s="294">
        <v>7500.0</v>
      </c>
      <c r="AA13" s="294">
        <v>7500.0</v>
      </c>
      <c r="AB13" s="294">
        <v>7500.0</v>
      </c>
      <c r="AC13" s="294">
        <f>IF(AND(F13&lt;=DATE(2026,9,1),OR(G13="",G13&gt;=DATE(2026,9,1))),H13*(1+Assumptions!$C$7)^1,0)</f>
        <v>12420</v>
      </c>
      <c r="AD13" s="294">
        <f>IF(AND(F13&lt;=DATE(2026,10,1),OR(G13="",G13&gt;=DATE(2026,10,1))),H13*(1+Assumptions!$C$7)^1,0)</f>
        <v>12420</v>
      </c>
      <c r="AE13" s="294">
        <f>IF(AND(F13&lt;=DATE(2026,11,1),OR(G13="",G13&gt;=DATE(2026,11,1))),H13*(1+Assumptions!$C$7)^1,0)</f>
        <v>12420</v>
      </c>
      <c r="AF13" s="294">
        <f>IF(AND(F13&lt;=DATE(2026,12,1),OR(G13="",G13&gt;=DATE(2026,12,1))),H13*(1+Assumptions!$C$7)^1,0)</f>
        <v>12420</v>
      </c>
      <c r="AG13" s="294">
        <f>IF(AND(F13&lt;=DATE(2027,1,1),OR(G13="",G13&gt;=DATE(2027,1,1))),H13*(1+Assumptions!$C$7)^2,0)</f>
        <v>13413.6</v>
      </c>
      <c r="AH13" s="294">
        <f>IF(AND(F13&lt;=DATE(2027,2,1),OR(G13="",G13&gt;=DATE(2027,2,1))),H13*(1+Assumptions!$C$7)^2,0)</f>
        <v>13413.6</v>
      </c>
      <c r="AI13" s="294">
        <f>IF(AND(F13&lt;=DATE(2027,3,1),OR(G13="",G13&gt;=DATE(2027,3,1))),H13*(1+Assumptions!$C$7)^2,0)</f>
        <v>13413.6</v>
      </c>
      <c r="AJ13" s="294">
        <f>IF(AND(F13&lt;=DATE(2027,4,1),OR(G13="",G13&gt;=DATE(2027,4,1))),H13*(1+Assumptions!$C$7)^2,0)</f>
        <v>13413.6</v>
      </c>
      <c r="AK13" s="294">
        <f>IF(AND(F13&lt;=DATE(2027,5,1),OR(G13="",G13&gt;=DATE(2027,5,1))),H13*(1+Assumptions!$C$7)^2,0)</f>
        <v>13413.6</v>
      </c>
      <c r="AL13" s="294">
        <f>IF(AND(F13&lt;=DATE(2027,6,1),OR(G13="",G13&gt;=DATE(2027,6,1))),H13*(1+Assumptions!$C$7)^2,0)</f>
        <v>13413.6</v>
      </c>
      <c r="AM13" s="294">
        <f>IF(AND(F13&lt;=DATE(2027,7,1),OR(G13="",G13&gt;=DATE(2027,7,1))),H13*(1+Assumptions!$C$7)^2,0)</f>
        <v>13413.6</v>
      </c>
      <c r="AN13" s="294">
        <f>IF(AND(F13&lt;=DATE(2027,8,1),OR(G13="",G13&gt;=DATE(2027,8,1))),H13*(1+Assumptions!$C$7)^2,0)</f>
        <v>13413.6</v>
      </c>
      <c r="AO13" s="294">
        <f>IF(AND(F13&lt;=DATE(2027,9,1),OR(G13="",G13&gt;=DATE(2027,9,1))),H13*(1+Assumptions!$C$7)^2,0)</f>
        <v>13413.6</v>
      </c>
      <c r="AP13" s="294">
        <f>IF(AND(F13&lt;=DATE(2027,10,1),OR(G13="",G13&gt;=DATE(2027,10,1))),H13*(1+Assumptions!$C$7)^2,0)</f>
        <v>13413.6</v>
      </c>
      <c r="AQ13" s="294">
        <f>IF(AND(F13&lt;=DATE(2027,11,1),OR(G13="",G13&gt;=DATE(2027,11,1))),H13*(1+Assumptions!$C$7)^2,0)</f>
        <v>13413.6</v>
      </c>
      <c r="AR13" s="294">
        <f>IF(AND(F13&lt;=DATE(2027,12,1),OR(G13="",G13&gt;=DATE(2027,12,1))),H13*(1+Assumptions!$C$7)^2,0)</f>
        <v>13413.6</v>
      </c>
      <c r="AS13" s="294">
        <f>IF(AND(F13&lt;=DATE(2028,1,1),OR(G13="",G13&gt;=DATE(2028,1,1))),H13*(1+Assumptions!$C$7)^3,0)</f>
        <v>14486.688</v>
      </c>
      <c r="AT13" s="294">
        <f>IF(AND(F13&lt;=DATE(2028,2,1),OR(G13="",G13&gt;=DATE(2028,2,1))),H13*(1+Assumptions!$C$7)^3,0)</f>
        <v>14486.688</v>
      </c>
      <c r="AU13" s="294">
        <f>IF(AND(F13&lt;=DATE(2028,3,1),OR(G13="",G13&gt;=DATE(2028,3,1))),H13*(1+Assumptions!$C$7)^3,0)</f>
        <v>14486.688</v>
      </c>
      <c r="AV13" s="294">
        <f>IF(AND(F13&lt;=DATE(2028,4,1),OR(G13="",G13&gt;=DATE(2028,4,1))),H13*(1+Assumptions!$C$7)^3,0)</f>
        <v>14486.688</v>
      </c>
      <c r="AW13" s="294">
        <f>IF(AND(F13&lt;=DATE(2028,5,1),OR(G13="",G13&gt;=DATE(2028,5,1))),H13*(1+Assumptions!$C$7)^3,0)</f>
        <v>14486.688</v>
      </c>
      <c r="AX13" s="294">
        <f>IF(AND(F13&lt;=DATE(2028,6,1),OR(G13="",G13&gt;=DATE(2028,6,1))),H13*(1+Assumptions!$C$7)^3,0)</f>
        <v>14486.688</v>
      </c>
      <c r="AY13" s="294">
        <f>IF(AND(F13&lt;=DATE(2028,7,1),OR(G13="",G13&gt;=DATE(2028,7,1))),H13*(1+Assumptions!$C$7)^3,0)</f>
        <v>14486.688</v>
      </c>
      <c r="AZ13" s="294">
        <f>IF(AND(F13&lt;=DATE(2028,8,1),OR(G13="",G13&gt;=DATE(2028,8,1))),H13*(1+Assumptions!$C$7)^3,0)</f>
        <v>14486.688</v>
      </c>
      <c r="BA13" s="294">
        <f>IF(AND(F13&lt;=DATE(2028,9,1),OR(G13="",G13&gt;=DATE(2028,9,1))),H13*(1+Assumptions!$C$7)^3,0)</f>
        <v>14486.688</v>
      </c>
      <c r="BB13" s="294">
        <f>IF(AND(F13&lt;=DATE(2028,10,1),OR(G13="",G13&gt;=DATE(2028,10,1))),H13*(1+Assumptions!$C$7)^3,0)</f>
        <v>14486.688</v>
      </c>
      <c r="BC13" s="294">
        <f>IF(AND(F13&lt;=DATE(2028,11,1),OR(G13="",G13&gt;=DATE(2028,11,1))),H13*(1+Assumptions!$C$7)^3,0)</f>
        <v>14486.688</v>
      </c>
      <c r="BD13" s="294">
        <f>IF(AND(F13&lt;=DATE(2028,12,1),OR(G13="",G13&gt;=DATE(2028,12,1))),H13*(1+Assumptions!$C$7)^3,0)</f>
        <v>14486.688</v>
      </c>
      <c r="BE13" s="294">
        <f>IF(AND(G13&lt;=DATE(2028,12,1),OR(H13="",H13&gt;=DATE(2028,12,1))),I13*(1+Assumptions!$C$7)^3,0)</f>
        <v>0</v>
      </c>
      <c r="BF13" s="294">
        <f>IF(AND(H13&lt;=DATE(2028,12,1),OR(I13="",I13&gt;=DATE(2028,12,1))),J13*(1+Assumptions!$C$7)^3,0)</f>
        <v>0</v>
      </c>
      <c r="BG13" s="294">
        <f>IF(AND(I13&lt;=DATE(2028,12,1),OR(J13="",J13&gt;=DATE(2028,12,1))),K13*(1+Assumptions!$C$7)^3,0)</f>
        <v>0</v>
      </c>
      <c r="BH13" s="294">
        <f>IF(AND(J13&lt;=DATE(2028,12,1),OR(K13="",K13&gt;=DATE(2028,12,1))),L13*(1+Assumptions!$C$7)^3,0)</f>
        <v>0</v>
      </c>
      <c r="BI13" s="294">
        <f>IF(AND(K13&lt;=DATE(2028,12,1),OR(L13="",L13&gt;=DATE(2028,12,1))),M13*(1+Assumptions!$C$7)^3,0)</f>
        <v>0</v>
      </c>
      <c r="BJ13" s="294">
        <f>IF(AND(L13&lt;=DATE(2028,12,1),OR(M13="",M13&gt;=DATE(2028,12,1))),N13*(1+Assumptions!$C$7)^3,0)</f>
        <v>0</v>
      </c>
      <c r="BK13" s="294">
        <f>IF(AND(M13&lt;=DATE(2028,12,1),OR(N13="",N13&gt;=DATE(2028,12,1))),O13*(1+Assumptions!$C$7)^3,0)</f>
        <v>0</v>
      </c>
      <c r="BL13" s="294">
        <f>IF(AND(N13&lt;=DATE(2028,12,1),OR(O13="",O13&gt;=DATE(2028,12,1))),P13*(1+Assumptions!$C$7)^3,0)</f>
        <v>0</v>
      </c>
      <c r="BM13" s="294">
        <f>IF(AND(O13&lt;=DATE(2028,12,1),OR(P13="",P13&gt;=DATE(2028,12,1))),Q13*(1+Assumptions!$C$7)^3,0)</f>
        <v>0</v>
      </c>
      <c r="BN13" s="294">
        <f>IF(AND(P13&lt;=DATE(2028,12,1),OR(Q13="",Q13&gt;=DATE(2028,12,1))),R13*(1+Assumptions!$C$7)^3,0)</f>
        <v>0</v>
      </c>
      <c r="BO13" s="294">
        <f>IF(AND(Q13&lt;=DATE(2028,12,1),OR(R13="",R13&gt;=DATE(2028,12,1))),S13*(1+Assumptions!$C$7)^3,0)</f>
        <v>0</v>
      </c>
      <c r="BP13" s="294">
        <f>IF(AND(R13&lt;=DATE(2028,12,1),OR(S13="",S13&gt;=DATE(2028,12,1))),T13*(1+Assumptions!$C$7)^3,0)</f>
        <v>0</v>
      </c>
      <c r="BQ13" s="121"/>
    </row>
    <row r="14">
      <c r="A14" s="24"/>
      <c r="B14" s="24"/>
      <c r="C14" s="24"/>
      <c r="D14" s="24"/>
      <c r="E14" s="296"/>
      <c r="F14" s="296"/>
      <c r="G14" s="24"/>
      <c r="H14" s="24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0"/>
      <c r="AR14" s="290"/>
      <c r="AS14" s="290"/>
      <c r="AT14" s="290"/>
      <c r="AU14" s="290"/>
      <c r="AV14" s="290"/>
      <c r="AW14" s="290"/>
      <c r="AX14" s="290"/>
      <c r="AY14" s="290"/>
      <c r="AZ14" s="290"/>
      <c r="BA14" s="290"/>
      <c r="BB14" s="290"/>
      <c r="BC14" s="290"/>
      <c r="BD14" s="290"/>
      <c r="BE14" s="290"/>
      <c r="BF14" s="290"/>
      <c r="BG14" s="290"/>
      <c r="BH14" s="290"/>
      <c r="BI14" s="290"/>
      <c r="BJ14" s="290"/>
      <c r="BK14" s="290"/>
      <c r="BL14" s="290"/>
      <c r="BM14" s="290"/>
      <c r="BN14" s="290"/>
      <c r="BO14" s="290"/>
      <c r="BP14" s="290"/>
      <c r="BQ14" s="121"/>
    </row>
    <row r="15">
      <c r="A15" s="273" t="s">
        <v>70</v>
      </c>
      <c r="B15" s="25" t="s">
        <v>341</v>
      </c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0"/>
      <c r="BF15" s="300"/>
      <c r="BG15" s="300"/>
      <c r="BH15" s="300"/>
      <c r="BI15" s="300"/>
      <c r="BJ15" s="300"/>
      <c r="BK15" s="300"/>
      <c r="BL15" s="300"/>
      <c r="BM15" s="300"/>
      <c r="BN15" s="300"/>
      <c r="BO15" s="300"/>
      <c r="BP15" s="300"/>
      <c r="BQ15" s="42"/>
    </row>
    <row r="16">
      <c r="A16" s="301">
        <v>12.0</v>
      </c>
      <c r="B16" s="285" t="s">
        <v>342</v>
      </c>
      <c r="C16" s="285" t="s">
        <v>148</v>
      </c>
      <c r="D16" s="302" t="s">
        <v>343</v>
      </c>
      <c r="E16" s="292" t="s">
        <v>344</v>
      </c>
      <c r="F16" s="286">
        <v>46204.0</v>
      </c>
      <c r="G16" s="303"/>
      <c r="H16" s="288">
        <v>8000.0</v>
      </c>
      <c r="I16" s="294">
        <f>IF(AND($F16&lt;=I$2, OR($G16="",$G16&gt;=I$2)),
  $H16 * (1 + Assumptions!$C$7) ^ INT(((YEAR(I$2)-YEAR($F16))*12 + MONTH(I$2)-MONTH($F16)) / 12),
  0)</f>
        <v>0</v>
      </c>
      <c r="J16" s="294">
        <f>IF(AND($F16&lt;=J$2, OR($G16="",$G16&gt;=J$2)),
  $H16 * (1 + Assumptions!$C$7) ^ INT(((YEAR(J$2)-YEAR($F16))*12 + MONTH(J$2)-MONTH($F16)) / 12),
  0)</f>
        <v>0</v>
      </c>
      <c r="K16" s="294">
        <f>IF(AND($F16&lt;=K$2, OR($G16="",$G16&gt;=K$2)),
  $H16 * (1 + Assumptions!$C$7) ^ INT(((YEAR(K$2)-YEAR($F16))*12 + MONTH(K$2)-MONTH($F16)) / 12),
  0)</f>
        <v>0</v>
      </c>
      <c r="L16" s="294">
        <f>IF(AND($F16&lt;=L$2, OR($G16="",$G16&gt;=L$2)),
  $H16 * (1 + Assumptions!$C$7) ^ INT(((YEAR(L$2)-YEAR($F16))*12 + MONTH(L$2)-MONTH($F16)) / 12),
  0)</f>
        <v>0</v>
      </c>
      <c r="M16" s="294">
        <f>IF(AND($F16&lt;=M$2, OR($G16="",$G16&gt;=M$2)),
  $H16 * (1 + Assumptions!$C$7) ^ INT(((YEAR(M$2)-YEAR($F16))*12 + MONTH(M$2)-MONTH($F16)) / 12),
  0)</f>
        <v>0</v>
      </c>
      <c r="N16" s="294">
        <f>IF(AND($F16&lt;=N$2, OR($G16="",$G16&gt;=N$2)),
  $H16 * (1 + Assumptions!$C$7) ^ INT(((YEAR(N$2)-YEAR($F16))*12 + MONTH(N$2)-MONTH($F16)) / 12),
  0)</f>
        <v>0</v>
      </c>
      <c r="O16" s="294">
        <f>IF(AND($F16&lt;=O$2, OR($G16="",$G16&gt;=O$2)),
  $H16 * (1 + Assumptions!$C$7) ^ INT(((YEAR(O$2)-YEAR($F16))*12 + MONTH(O$2)-MONTH($F16)) / 12),
  0)</f>
        <v>0</v>
      </c>
      <c r="P16" s="294">
        <f>IF(AND($F16&lt;=P$2, OR($G16="",$G16&gt;=P$2)),
  $H16 * (1 + Assumptions!$C$7) ^ INT(((YEAR(P$2)-YEAR($F16))*12 + MONTH(P$2)-MONTH($F16)) / 12),
  0)</f>
        <v>0</v>
      </c>
      <c r="Q16" s="294">
        <f>IF(AND($F16&lt;=Q$2, OR($G16="",$G16&gt;=Q$2)),
  $H16 * (1 + Assumptions!$C$7) ^ INT(((YEAR(Q$2)-YEAR($F16))*12 + MONTH(Q$2)-MONTH($F16)) / 12),
  0)</f>
        <v>0</v>
      </c>
      <c r="R16" s="294">
        <f>IF(AND($F16&lt;=R$2, OR($G16="",$G16&gt;=R$2)),
  $H16 * (1 + Assumptions!$C$7) ^ INT(((YEAR(R$2)-YEAR($F16))*12 + MONTH(R$2)-MONTH($F16)) / 12),
  0)</f>
        <v>0</v>
      </c>
      <c r="S16" s="294">
        <f>IF(AND($F16&lt;=S$2, OR($G16="",$G16&gt;=S$2)),
  $H16 * (1 + Assumptions!$C$7) ^ INT(((YEAR(S$2)-YEAR($F16))*12 + MONTH(S$2)-MONTH($F16)) / 12),
  0)</f>
        <v>0</v>
      </c>
      <c r="T16" s="294">
        <f>IF(AND($F16&lt;=T$2, OR($G16="",$G16&gt;=T$2)),
  $H16 * (1 + Assumptions!$C$7) ^ INT(((YEAR(T$2)-YEAR($F16))*12 + MONTH(T$2)-MONTH($F16)) / 12),
  0)</f>
        <v>0</v>
      </c>
      <c r="U16" s="294">
        <f>IF(AND($F16&lt;=U$2, OR($G16="",$G16&gt;=U$2)),
  $H16 * (1 + Assumptions!$C$7) ^ INT(((YEAR(U$2)-YEAR($F16))*12 + MONTH(U$2)-MONTH($F16)) / 12),
  0)</f>
        <v>0</v>
      </c>
      <c r="V16" s="294">
        <f>IF(AND($F16&lt;=V$2, OR($G16="",$G16&gt;=V$2)),
  $H16 * (1 + Assumptions!$C$7) ^ INT(((YEAR(V$2)-YEAR($F16))*12 + MONTH(V$2)-MONTH($F16)) / 12),
  0)</f>
        <v>0</v>
      </c>
      <c r="W16" s="294">
        <f>IF(AND($F16&lt;=W$2, OR($G16="",$G16&gt;=W$2)),
  $H16 * (1 + Assumptions!$C$7) ^ INT(((YEAR(W$2)-YEAR($F16))*12 + MONTH(W$2)-MONTH($F16)) / 12),
  0)</f>
        <v>0</v>
      </c>
      <c r="X16" s="294">
        <f>IF(AND($F16&lt;=X$2, OR($G16="",$G16&gt;=X$2)),
  $H16 * (1 + Assumptions!$C$7) ^ INT(((YEAR(X$2)-YEAR($F16))*12 + MONTH(X$2)-MONTH($F16)) / 12),
  0)</f>
        <v>0</v>
      </c>
      <c r="Y16" s="294">
        <f>IF(AND($F16&lt;=Y$2, OR($G16="",$G16&gt;=Y$2)),
  $H16 * (1 + Assumptions!$C$7) ^ INT(((YEAR(Y$2)-YEAR($F16))*12 + MONTH(Y$2)-MONTH($F16)) / 12),
  0)</f>
        <v>0</v>
      </c>
      <c r="Z16" s="294">
        <f>IF(AND($F16&lt;=Z$2, OR($G16="",$G16&gt;=Z$2)),
  $H16 * (1 + Assumptions!$C$7) ^ INT(((YEAR(Z$2)-YEAR($F16))*12 + MONTH(Z$2)-MONTH($F16)) / 12),
  0)</f>
        <v>0</v>
      </c>
      <c r="AA16" s="294">
        <f>IF(AND($F16&lt;=AA$2, OR($G16="",$G16&gt;=AA$2)),
  $H16 * (1 + Assumptions!$C$7) ^ INT(((YEAR(AA$2)-YEAR($F16))*12 + MONTH(AA$2)-MONTH($F16)) / 12),
  0)</f>
        <v>8000</v>
      </c>
      <c r="AB16" s="294">
        <f>IF(AND($F16&lt;=AB$2, OR($G16="",$G16&gt;=AB$2)),
  $H16 * (1 + Assumptions!$C$7) ^ INT(((YEAR(AB$2)-YEAR($F16))*12 + MONTH(AB$2)-MONTH($F16)) / 12),
  0)</f>
        <v>8000</v>
      </c>
      <c r="AC16" s="294">
        <f>IF(AND($F16&lt;=AC$2, OR($G16="",$G16&gt;=AC$2)),
  $H16 * (1 + Assumptions!$C$7) ^ INT(((YEAR(AC$2)-YEAR($F16))*12 + MONTH(AC$2)-MONTH($F16)) / 12),
  0)</f>
        <v>8000</v>
      </c>
      <c r="AD16" s="294">
        <f>IF(AND($F16&lt;=AD$2, OR($G16="",$G16&gt;=AD$2)),
  $H16 * (1 + Assumptions!$C$7) ^ INT(((YEAR(AD$2)-YEAR($F16))*12 + MONTH(AD$2)-MONTH($F16)) / 12),
  0)</f>
        <v>8000</v>
      </c>
      <c r="AE16" s="294">
        <f>IF(AND($F16&lt;=AE$2, OR($G16="",$G16&gt;=AE$2)),
  $H16 * (1 + Assumptions!$C$7) ^ INT(((YEAR(AE$2)-YEAR($F16))*12 + MONTH(AE$2)-MONTH($F16)) / 12),
  0)</f>
        <v>8000</v>
      </c>
      <c r="AF16" s="294">
        <f>IF(AND($F16&lt;=AF$2, OR($G16="",$G16&gt;=AF$2)),
  $H16 * (1 + Assumptions!$C$7) ^ INT(((YEAR(AF$2)-YEAR($F16))*12 + MONTH(AF$2)-MONTH($F16)) / 12),
  0)</f>
        <v>8000</v>
      </c>
      <c r="AG16" s="294">
        <f>IF(AND($F16&lt;=AG$2, OR($G16="",$G16&gt;=AG$2)),
  $H16 * (1 + Assumptions!$C$7) ^ INT(((YEAR(AG$2)-YEAR($F16))*12 + MONTH(AG$2)-MONTH($F16)) / 12),
  0)</f>
        <v>8000</v>
      </c>
      <c r="AH16" s="294">
        <f>IF(AND($F16&lt;=AH$2, OR($G16="",$G16&gt;=AH$2)),
  $H16 * (1 + Assumptions!$C$7) ^ INT(((YEAR(AH$2)-YEAR($F16))*12 + MONTH(AH$2)-MONTH($F16)) / 12),
  0)</f>
        <v>8000</v>
      </c>
      <c r="AI16" s="294">
        <f>IF(AND($F16&lt;=AI$2, OR($G16="",$G16&gt;=AI$2)),
  $H16 * (1 + Assumptions!$C$7) ^ INT(((YEAR(AI$2)-YEAR($F16))*12 + MONTH(AI$2)-MONTH($F16)) / 12),
  0)</f>
        <v>8000</v>
      </c>
      <c r="AJ16" s="294">
        <f>IF(AND($F16&lt;=AJ$2, OR($G16="",$G16&gt;=AJ$2)),
  $H16 * (1 + Assumptions!$C$7) ^ INT(((YEAR(AJ$2)-YEAR($F16))*12 + MONTH(AJ$2)-MONTH($F16)) / 12),
  0)</f>
        <v>8000</v>
      </c>
      <c r="AK16" s="294">
        <f>IF(AND($F16&lt;=AK$2, OR($G16="",$G16&gt;=AK$2)),
  $H16 * (1 + Assumptions!$C$7) ^ INT(((YEAR(AK$2)-YEAR($F16))*12 + MONTH(AK$2)-MONTH($F16)) / 12),
  0)</f>
        <v>8000</v>
      </c>
      <c r="AL16" s="294">
        <f>IF(AND($F16&lt;=AL$2, OR($G16="",$G16&gt;=AL$2)),
  $H16 * (1 + Assumptions!$C$7) ^ INT(((YEAR(AL$2)-YEAR($F16))*12 + MONTH(AL$2)-MONTH($F16)) / 12),
  0)</f>
        <v>8000</v>
      </c>
      <c r="AM16" s="294">
        <f>IF(AND($F16&lt;=AM$2, OR($G16="",$G16&gt;=AM$2)),
  $H16 * (1 + Assumptions!$C$7) ^ INT(((YEAR(AM$2)-YEAR($F16))*12 + MONTH(AM$2)-MONTH($F16)) / 12),
  0)</f>
        <v>8640</v>
      </c>
      <c r="AN16" s="294">
        <f>IF(AND($F16&lt;=AN$2, OR($G16="",$G16&gt;=AN$2)),
  $H16 * (1 + Assumptions!$C$7) ^ INT(((YEAR(AN$2)-YEAR($F16))*12 + MONTH(AN$2)-MONTH($F16)) / 12),
  0)</f>
        <v>8640</v>
      </c>
      <c r="AO16" s="294">
        <f>IF(AND($F16&lt;=AO$2, OR($G16="",$G16&gt;=AO$2)),
  $H16 * (1 + Assumptions!$C$7) ^ INT(((YEAR(AO$2)-YEAR($F16))*12 + MONTH(AO$2)-MONTH($F16)) / 12),
  0)</f>
        <v>8640</v>
      </c>
      <c r="AP16" s="294">
        <f>IF(AND($F16&lt;=AP$2, OR($G16="",$G16&gt;=AP$2)),
  $H16 * (1 + Assumptions!$C$7) ^ INT(((YEAR(AP$2)-YEAR($F16))*12 + MONTH(AP$2)-MONTH($F16)) / 12),
  0)</f>
        <v>8640</v>
      </c>
      <c r="AQ16" s="294">
        <f>IF(AND($F16&lt;=AQ$2, OR($G16="",$G16&gt;=AQ$2)),
  $H16 * (1 + Assumptions!$C$7) ^ INT(((YEAR(AQ$2)-YEAR($F16))*12 + MONTH(AQ$2)-MONTH($F16)) / 12),
  0)</f>
        <v>8640</v>
      </c>
      <c r="AR16" s="294">
        <f>IF(AND($F16&lt;=AR$2, OR($G16="",$G16&gt;=AR$2)),
  $H16 * (1 + Assumptions!$C$7) ^ INT(((YEAR(AR$2)-YEAR($F16))*12 + MONTH(AR$2)-MONTH($F16)) / 12),
  0)</f>
        <v>8640</v>
      </c>
      <c r="AS16" s="294">
        <f>IF(AND($F16&lt;=AS$2, OR($G16="",$G16&gt;=AS$2)),
  $H16 * (1 + Assumptions!$C$7) ^ INT(((YEAR(AS$2)-YEAR($F16))*12 + MONTH(AS$2)-MONTH($F16)) / 12),
  0)</f>
        <v>8640</v>
      </c>
      <c r="AT16" s="294">
        <f>IF(AND($F16&lt;=AT$2, OR($G16="",$G16&gt;=AT$2)),
  $H16 * (1 + Assumptions!$C$7) ^ INT(((YEAR(AT$2)-YEAR($F16))*12 + MONTH(AT$2)-MONTH($F16)) / 12),
  0)</f>
        <v>8640</v>
      </c>
      <c r="AU16" s="294">
        <f>IF(AND($F16&lt;=AU$2, OR($G16="",$G16&gt;=AU$2)),
  $H16 * (1 + Assumptions!$C$7) ^ INT(((YEAR(AU$2)-YEAR($F16))*12 + MONTH(AU$2)-MONTH($F16)) / 12),
  0)</f>
        <v>8640</v>
      </c>
      <c r="AV16" s="294">
        <f>IF(AND($F16&lt;=AV$2, OR($G16="",$G16&gt;=AV$2)),
  $H16 * (1 + Assumptions!$C$7) ^ INT(((YEAR(AV$2)-YEAR($F16))*12 + MONTH(AV$2)-MONTH($F16)) / 12),
  0)</f>
        <v>8640</v>
      </c>
      <c r="AW16" s="294">
        <f>IF(AND($F16&lt;=AW$2, OR($G16="",$G16&gt;=AW$2)),
  $H16 * (1 + Assumptions!$C$7) ^ INT(((YEAR(AW$2)-YEAR($F16))*12 + MONTH(AW$2)-MONTH($F16)) / 12),
  0)</f>
        <v>8640</v>
      </c>
      <c r="AX16" s="294">
        <f>IF(AND($F16&lt;=AX$2, OR($G16="",$G16&gt;=AX$2)),
  $H16 * (1 + Assumptions!$C$7) ^ INT(((YEAR(AX$2)-YEAR($F16))*12 + MONTH(AX$2)-MONTH($F16)) / 12),
  0)</f>
        <v>8640</v>
      </c>
      <c r="AY16" s="294">
        <f>IF(AND($F16&lt;=AY$2, OR($G16="",$G16&gt;=AY$2)),
  $H16 * (1 + Assumptions!$C$7) ^ INT(((YEAR(AY$2)-YEAR($F16))*12 + MONTH(AY$2)-MONTH($F16)) / 12),
  0)</f>
        <v>9331.2</v>
      </c>
      <c r="AZ16" s="294">
        <f>IF(AND($F16&lt;=AZ$2, OR($G16="",$G16&gt;=AZ$2)),
  $H16 * (1 + Assumptions!$C$7) ^ INT(((YEAR(AZ$2)-YEAR($F16))*12 + MONTH(AZ$2)-MONTH($F16)) / 12),
  0)</f>
        <v>9331.2</v>
      </c>
      <c r="BA16" s="294">
        <f>IF(AND($F16&lt;=BA$2, OR($G16="",$G16&gt;=BA$2)),
  $H16 * (1 + Assumptions!$C$7) ^ INT(((YEAR(BA$2)-YEAR($F16))*12 + MONTH(BA$2)-MONTH($F16)) / 12),
  0)</f>
        <v>9331.2</v>
      </c>
      <c r="BB16" s="294">
        <f>IF(AND($F16&lt;=BB$2, OR($G16="",$G16&gt;=BB$2)),
  $H16 * (1 + Assumptions!$C$7) ^ INT(((YEAR(BB$2)-YEAR($F16))*12 + MONTH(BB$2)-MONTH($F16)) / 12),
  0)</f>
        <v>9331.2</v>
      </c>
      <c r="BC16" s="294">
        <f>IF(AND($F16&lt;=BC$2, OR($G16="",$G16&gt;=BC$2)),
  $H16 * (1 + Assumptions!$C$7) ^ INT(((YEAR(BC$2)-YEAR($F16))*12 + MONTH(BC$2)-MONTH($F16)) / 12),
  0)</f>
        <v>9331.2</v>
      </c>
      <c r="BD16" s="294">
        <f>IF(AND($F16&lt;=BD$2, OR($G16="",$G16&gt;=BD$2)),
  $H16 * (1 + Assumptions!$C$7) ^ INT(((YEAR(BD$2)-YEAR($F16))*12 + MONTH(BD$2)-MONTH($F16)) / 12),
  0)</f>
        <v>9331.2</v>
      </c>
      <c r="BE16" s="294">
        <f>IF(AND($F16&lt;=BE$2, OR($G16="",$G16&gt;=BE$2)),
  $H16 * (1 + Assumptions!$C$7) ^ INT(((YEAR(BE$2)-YEAR($F16))*12 + MONTH(BE$2)-MONTH($F16)) / 12),
  0)</f>
        <v>9331.2</v>
      </c>
      <c r="BF16" s="294">
        <f>IF(AND($F16&lt;=BF$2, OR($G16="",$G16&gt;=BF$2)),
  $H16 * (1 + Assumptions!$C$7) ^ INT(((YEAR(BF$2)-YEAR($F16))*12 + MONTH(BF$2)-MONTH($F16)) / 12),
  0)</f>
        <v>9331.2</v>
      </c>
      <c r="BG16" s="294">
        <f>IF(AND($F16&lt;=BG$2, OR($G16="",$G16&gt;=BG$2)),
  $H16 * (1 + Assumptions!$C$7) ^ INT(((YEAR(BG$2)-YEAR($F16))*12 + MONTH(BG$2)-MONTH($F16)) / 12),
  0)</f>
        <v>9331.2</v>
      </c>
      <c r="BH16" s="294">
        <f>IF(AND($F16&lt;=BH$2, OR($G16="",$G16&gt;=BH$2)),
  $H16 * (1 + Assumptions!$C$7) ^ INT(((YEAR(BH$2)-YEAR($F16))*12 + MONTH(BH$2)-MONTH($F16)) / 12),
  0)</f>
        <v>9331.2</v>
      </c>
      <c r="BI16" s="294">
        <f>IF(AND($F16&lt;=BI$2, OR($G16="",$G16&gt;=BI$2)),
  $H16 * (1 + Assumptions!$C$7) ^ INT(((YEAR(BI$2)-YEAR($F16))*12 + MONTH(BI$2)-MONTH($F16)) / 12),
  0)</f>
        <v>9331.2</v>
      </c>
      <c r="BJ16" s="294">
        <f>IF(AND($F16&lt;=BJ$2, OR($G16="",$G16&gt;=BJ$2)),
  $H16 * (1 + Assumptions!$C$7) ^ INT(((YEAR(BJ$2)-YEAR($F16))*12 + MONTH(BJ$2)-MONTH($F16)) / 12),
  0)</f>
        <v>9331.2</v>
      </c>
      <c r="BK16" s="294">
        <f>IF(AND($F16&lt;=BK$2, OR($G16="",$G16&gt;=BK$2)),
  $H16 * (1 + Assumptions!$C$7) ^ INT(((YEAR(BK$2)-YEAR($F16))*12 + MONTH(BK$2)-MONTH($F16)) / 12),
  0)</f>
        <v>10077.696</v>
      </c>
      <c r="BL16" s="294">
        <f>IF(AND($F16&lt;=BL$2, OR($G16="",$G16&gt;=BL$2)),
  $H16 * (1 + Assumptions!$C$7) ^ INT(((YEAR(BL$2)-YEAR($F16))*12 + MONTH(BL$2)-MONTH($F16)) / 12),
  0)</f>
        <v>10077.696</v>
      </c>
      <c r="BM16" s="294">
        <f>IF(AND($F16&lt;=BM$2, OR($G16="",$G16&gt;=BM$2)),
  $H16 * (1 + Assumptions!$C$7) ^ INT(((YEAR(BM$2)-YEAR($F16))*12 + MONTH(BM$2)-MONTH($F16)) / 12),
  0)</f>
        <v>10077.696</v>
      </c>
      <c r="BN16" s="294">
        <f>IF(AND($F16&lt;=BN$2, OR($G16="",$G16&gt;=BN$2)),
  $H16 * (1 + Assumptions!$C$7) ^ INT(((YEAR(BN$2)-YEAR($F16))*12 + MONTH(BN$2)-MONTH($F16)) / 12),
  0)</f>
        <v>10077.696</v>
      </c>
      <c r="BO16" s="294">
        <f>IF(AND($F16&lt;=BO$2, OR($G16="",$G16&gt;=BO$2)),
  $H16 * (1 + Assumptions!$C$7) ^ INT(((YEAR(BO$2)-YEAR($F16))*12 + MONTH(BO$2)-MONTH($F16)) / 12),
  0)</f>
        <v>10077.696</v>
      </c>
      <c r="BP16" s="294">
        <f>IF(AND($F16&lt;=BP$2, OR($G16="",$G16&gt;=BP$2)),
  $H16 * (1 + Assumptions!$C$7) ^ INT(((YEAR(BP$2)-YEAR($F16))*12 + MONTH(BP$2)-MONTH($F16)) / 12),
  0)</f>
        <v>10077.696</v>
      </c>
      <c r="BQ16" s="35"/>
    </row>
    <row r="17">
      <c r="A17" s="301">
        <v>13.0</v>
      </c>
      <c r="B17" s="285" t="s">
        <v>342</v>
      </c>
      <c r="C17" s="302" t="s">
        <v>141</v>
      </c>
      <c r="D17" s="302" t="s">
        <v>345</v>
      </c>
      <c r="E17" s="292" t="s">
        <v>344</v>
      </c>
      <c r="F17" s="286">
        <v>46235.0</v>
      </c>
      <c r="G17" s="303"/>
      <c r="H17" s="288">
        <v>9000.0</v>
      </c>
      <c r="I17" s="294">
        <f>IF(AND($F17&lt;=I$2, OR($G17="",$G17&gt;=I$2)),
  $H17 * (1 + Assumptions!$C$7) ^ INT(((YEAR(I$2)-YEAR($F17))*12 + MONTH(I$2)-MONTH($F17)) / 12),
  0)</f>
        <v>0</v>
      </c>
      <c r="J17" s="294">
        <f>IF(AND($F17&lt;=J$2, OR($G17="",$G17&gt;=J$2)),
  $H17 * (1 + Assumptions!$C$7) ^ INT(((YEAR(J$2)-YEAR($F17))*12 + MONTH(J$2)-MONTH($F17)) / 12),
  0)</f>
        <v>0</v>
      </c>
      <c r="K17" s="294">
        <f>IF(AND($F17&lt;=K$2, OR($G17="",$G17&gt;=K$2)),
  $H17 * (1 + Assumptions!$C$7) ^ INT(((YEAR(K$2)-YEAR($F17))*12 + MONTH(K$2)-MONTH($F17)) / 12),
  0)</f>
        <v>0</v>
      </c>
      <c r="L17" s="294">
        <f>IF(AND($F17&lt;=L$2, OR($G17="",$G17&gt;=L$2)),
  $H17 * (1 + Assumptions!$C$7) ^ INT(((YEAR(L$2)-YEAR($F17))*12 + MONTH(L$2)-MONTH($F17)) / 12),
  0)</f>
        <v>0</v>
      </c>
      <c r="M17" s="294">
        <f>IF(AND($F17&lt;=M$2, OR($G17="",$G17&gt;=M$2)),
  $H17 * (1 + Assumptions!$C$7) ^ INT(((YEAR(M$2)-YEAR($F17))*12 + MONTH(M$2)-MONTH($F17)) / 12),
  0)</f>
        <v>0</v>
      </c>
      <c r="N17" s="294">
        <f>IF(AND($F17&lt;=N$2, OR($G17="",$G17&gt;=N$2)),
  $H17 * (1 + Assumptions!$C$7) ^ INT(((YEAR(N$2)-YEAR($F17))*12 + MONTH(N$2)-MONTH($F17)) / 12),
  0)</f>
        <v>0</v>
      </c>
      <c r="O17" s="294">
        <f>IF(AND($F17&lt;=O$2, OR($G17="",$G17&gt;=O$2)),
  $H17 * (1 + Assumptions!$C$7) ^ INT(((YEAR(O$2)-YEAR($F17))*12 + MONTH(O$2)-MONTH($F17)) / 12),
  0)</f>
        <v>0</v>
      </c>
      <c r="P17" s="294">
        <f>IF(AND($F17&lt;=P$2, OR($G17="",$G17&gt;=P$2)),
  $H17 * (1 + Assumptions!$C$7) ^ INT(((YEAR(P$2)-YEAR($F17))*12 + MONTH(P$2)-MONTH($F17)) / 12),
  0)</f>
        <v>0</v>
      </c>
      <c r="Q17" s="294">
        <f>IF(AND($F17&lt;=Q$2, OR($G17="",$G17&gt;=Q$2)),
  $H17 * (1 + Assumptions!$C$7) ^ INT(((YEAR(Q$2)-YEAR($F17))*12 + MONTH(Q$2)-MONTH($F17)) / 12),
  0)</f>
        <v>0</v>
      </c>
      <c r="R17" s="294">
        <f>IF(AND($F17&lt;=R$2, OR($G17="",$G17&gt;=R$2)),
  $H17 * (1 + Assumptions!$C$7) ^ INT(((YEAR(R$2)-YEAR($F17))*12 + MONTH(R$2)-MONTH($F17)) / 12),
  0)</f>
        <v>0</v>
      </c>
      <c r="S17" s="294">
        <f>IF(AND($F17&lt;=S$2, OR($G17="",$G17&gt;=S$2)),
  $H17 * (1 + Assumptions!$C$7) ^ INT(((YEAR(S$2)-YEAR($F17))*12 + MONTH(S$2)-MONTH($F17)) / 12),
  0)</f>
        <v>0</v>
      </c>
      <c r="T17" s="294">
        <f>IF(AND($F17&lt;=T$2, OR($G17="",$G17&gt;=T$2)),
  $H17 * (1 + Assumptions!$C$7) ^ INT(((YEAR(T$2)-YEAR($F17))*12 + MONTH(T$2)-MONTH($F17)) / 12),
  0)</f>
        <v>0</v>
      </c>
      <c r="U17" s="294">
        <f>IF(AND($F17&lt;=U$2, OR($G17="",$G17&gt;=U$2)),
  $H17 * (1 + Assumptions!$C$7) ^ INT(((YEAR(U$2)-YEAR($F17))*12 + MONTH(U$2)-MONTH($F17)) / 12),
  0)</f>
        <v>0</v>
      </c>
      <c r="V17" s="294">
        <f>IF(AND($F17&lt;=V$2, OR($G17="",$G17&gt;=V$2)),
  $H17 * (1 + Assumptions!$C$7) ^ INT(((YEAR(V$2)-YEAR($F17))*12 + MONTH(V$2)-MONTH($F17)) / 12),
  0)</f>
        <v>0</v>
      </c>
      <c r="W17" s="294">
        <f>IF(AND($F17&lt;=W$2, OR($G17="",$G17&gt;=W$2)),
  $H17 * (1 + Assumptions!$C$7) ^ INT(((YEAR(W$2)-YEAR($F17))*12 + MONTH(W$2)-MONTH($F17)) / 12),
  0)</f>
        <v>0</v>
      </c>
      <c r="X17" s="294">
        <f>IF(AND($F17&lt;=X$2, OR($G17="",$G17&gt;=X$2)),
  $H17 * (1 + Assumptions!$C$7) ^ INT(((YEAR(X$2)-YEAR($F17))*12 + MONTH(X$2)-MONTH($F17)) / 12),
  0)</f>
        <v>0</v>
      </c>
      <c r="Y17" s="294">
        <f>IF(AND($F17&lt;=Y$2, OR($G17="",$G17&gt;=Y$2)),
  $H17 * (1 + Assumptions!$C$7) ^ INT(((YEAR(Y$2)-YEAR($F17))*12 + MONTH(Y$2)-MONTH($F17)) / 12),
  0)</f>
        <v>0</v>
      </c>
      <c r="Z17" s="294">
        <f>IF(AND($F17&lt;=Z$2, OR($G17="",$G17&gt;=Z$2)),
  $H17 * (1 + Assumptions!$C$7) ^ INT(((YEAR(Z$2)-YEAR($F17))*12 + MONTH(Z$2)-MONTH($F17)) / 12),
  0)</f>
        <v>0</v>
      </c>
      <c r="AA17" s="294">
        <f>IF(AND($F17&lt;=AA$2, OR($G17="",$G17&gt;=AA$2)),
  $H17 * (1 + Assumptions!$C$7) ^ INT(((YEAR(AA$2)-YEAR($F17))*12 + MONTH(AA$2)-MONTH($F17)) / 12),
  0)</f>
        <v>0</v>
      </c>
      <c r="AB17" s="294">
        <f>IF(AND($F17&lt;=AB$2, OR($G17="",$G17&gt;=AB$2)),
  $H17 * (1 + Assumptions!$C$7) ^ INT(((YEAR(AB$2)-YEAR($F17))*12 + MONTH(AB$2)-MONTH($F17)) / 12),
  0)</f>
        <v>9000</v>
      </c>
      <c r="AC17" s="294">
        <f>IF(AND($F17&lt;=AC$2, OR($G17="",$G17&gt;=AC$2)),
  $H17 * (1 + Assumptions!$C$7) ^ INT(((YEAR(AC$2)-YEAR($F17))*12 + MONTH(AC$2)-MONTH($F17)) / 12),
  0)</f>
        <v>9000</v>
      </c>
      <c r="AD17" s="294">
        <f>IF(AND($F17&lt;=AD$2, OR($G17="",$G17&gt;=AD$2)),
  $H17 * (1 + Assumptions!$C$7) ^ INT(((YEAR(AD$2)-YEAR($F17))*12 + MONTH(AD$2)-MONTH($F17)) / 12),
  0)</f>
        <v>9000</v>
      </c>
      <c r="AE17" s="294">
        <f>IF(AND($F17&lt;=AE$2, OR($G17="",$G17&gt;=AE$2)),
  $H17 * (1 + Assumptions!$C$7) ^ INT(((YEAR(AE$2)-YEAR($F17))*12 + MONTH(AE$2)-MONTH($F17)) / 12),
  0)</f>
        <v>9000</v>
      </c>
      <c r="AF17" s="294">
        <f>IF(AND($F17&lt;=AF$2, OR($G17="",$G17&gt;=AF$2)),
  $H17 * (1 + Assumptions!$C$7) ^ INT(((YEAR(AF$2)-YEAR($F17))*12 + MONTH(AF$2)-MONTH($F17)) / 12),
  0)</f>
        <v>9000</v>
      </c>
      <c r="AG17" s="294">
        <f>IF(AND($F17&lt;=AG$2, OR($G17="",$G17&gt;=AG$2)),
  $H17 * (1 + Assumptions!$C$7) ^ INT(((YEAR(AG$2)-YEAR($F17))*12 + MONTH(AG$2)-MONTH($F17)) / 12),
  0)</f>
        <v>9000</v>
      </c>
      <c r="AH17" s="294">
        <f>IF(AND($F17&lt;=AH$2, OR($G17="",$G17&gt;=AH$2)),
  $H17 * (1 + Assumptions!$C$7) ^ INT(((YEAR(AH$2)-YEAR($F17))*12 + MONTH(AH$2)-MONTH($F17)) / 12),
  0)</f>
        <v>9000</v>
      </c>
      <c r="AI17" s="294">
        <f>IF(AND($F17&lt;=AI$2, OR($G17="",$G17&gt;=AI$2)),
  $H17 * (1 + Assumptions!$C$7) ^ INT(((YEAR(AI$2)-YEAR($F17))*12 + MONTH(AI$2)-MONTH($F17)) / 12),
  0)</f>
        <v>9000</v>
      </c>
      <c r="AJ17" s="294">
        <f>IF(AND($F17&lt;=AJ$2, OR($G17="",$G17&gt;=AJ$2)),
  $H17 * (1 + Assumptions!$C$7) ^ INT(((YEAR(AJ$2)-YEAR($F17))*12 + MONTH(AJ$2)-MONTH($F17)) / 12),
  0)</f>
        <v>9000</v>
      </c>
      <c r="AK17" s="294">
        <f>IF(AND($F17&lt;=AK$2, OR($G17="",$G17&gt;=AK$2)),
  $H17 * (1 + Assumptions!$C$7) ^ INT(((YEAR(AK$2)-YEAR($F17))*12 + MONTH(AK$2)-MONTH($F17)) / 12),
  0)</f>
        <v>9000</v>
      </c>
      <c r="AL17" s="294">
        <f>IF(AND($F17&lt;=AL$2, OR($G17="",$G17&gt;=AL$2)),
  $H17 * (1 + Assumptions!$C$7) ^ INT(((YEAR(AL$2)-YEAR($F17))*12 + MONTH(AL$2)-MONTH($F17)) / 12),
  0)</f>
        <v>9000</v>
      </c>
      <c r="AM17" s="294">
        <f>IF(AND($F17&lt;=AM$2, OR($G17="",$G17&gt;=AM$2)),
  $H17 * (1 + Assumptions!$C$7) ^ INT(((YEAR(AM$2)-YEAR($F17))*12 + MONTH(AM$2)-MONTH($F17)) / 12),
  0)</f>
        <v>9000</v>
      </c>
      <c r="AN17" s="294">
        <f>IF(AND($F17&lt;=AN$2, OR($G17="",$G17&gt;=AN$2)),
  $H17 * (1 + Assumptions!$C$7) ^ INT(((YEAR(AN$2)-YEAR($F17))*12 + MONTH(AN$2)-MONTH($F17)) / 12),
  0)</f>
        <v>9720</v>
      </c>
      <c r="AO17" s="294">
        <f>IF(AND($F17&lt;=AO$2, OR($G17="",$G17&gt;=AO$2)),
  $H17 * (1 + Assumptions!$C$7) ^ INT(((YEAR(AO$2)-YEAR($F17))*12 + MONTH(AO$2)-MONTH($F17)) / 12),
  0)</f>
        <v>9720</v>
      </c>
      <c r="AP17" s="294">
        <f>IF(AND($F17&lt;=AP$2, OR($G17="",$G17&gt;=AP$2)),
  $H17 * (1 + Assumptions!$C$7) ^ INT(((YEAR(AP$2)-YEAR($F17))*12 + MONTH(AP$2)-MONTH($F17)) / 12),
  0)</f>
        <v>9720</v>
      </c>
      <c r="AQ17" s="294">
        <f>IF(AND($F17&lt;=AQ$2, OR($G17="",$G17&gt;=AQ$2)),
  $H17 * (1 + Assumptions!$C$7) ^ INT(((YEAR(AQ$2)-YEAR($F17))*12 + MONTH(AQ$2)-MONTH($F17)) / 12),
  0)</f>
        <v>9720</v>
      </c>
      <c r="AR17" s="294">
        <f>IF(AND($F17&lt;=AR$2, OR($G17="",$G17&gt;=AR$2)),
  $H17 * (1 + Assumptions!$C$7) ^ INT(((YEAR(AR$2)-YEAR($F17))*12 + MONTH(AR$2)-MONTH($F17)) / 12),
  0)</f>
        <v>9720</v>
      </c>
      <c r="AS17" s="294">
        <f>IF(AND($F17&lt;=AS$2, OR($G17="",$G17&gt;=AS$2)),
  $H17 * (1 + Assumptions!$C$7) ^ INT(((YEAR(AS$2)-YEAR($F17))*12 + MONTH(AS$2)-MONTH($F17)) / 12),
  0)</f>
        <v>9720</v>
      </c>
      <c r="AT17" s="294">
        <f>IF(AND($F17&lt;=AT$2, OR($G17="",$G17&gt;=AT$2)),
  $H17 * (1 + Assumptions!$C$7) ^ INT(((YEAR(AT$2)-YEAR($F17))*12 + MONTH(AT$2)-MONTH($F17)) / 12),
  0)</f>
        <v>9720</v>
      </c>
      <c r="AU17" s="294">
        <f>IF(AND($F17&lt;=AU$2, OR($G17="",$G17&gt;=AU$2)),
  $H17 * (1 + Assumptions!$C$7) ^ INT(((YEAR(AU$2)-YEAR($F17))*12 + MONTH(AU$2)-MONTH($F17)) / 12),
  0)</f>
        <v>9720</v>
      </c>
      <c r="AV17" s="294">
        <f>IF(AND($F17&lt;=AV$2, OR($G17="",$G17&gt;=AV$2)),
  $H17 * (1 + Assumptions!$C$7) ^ INT(((YEAR(AV$2)-YEAR($F17))*12 + MONTH(AV$2)-MONTH($F17)) / 12),
  0)</f>
        <v>9720</v>
      </c>
      <c r="AW17" s="294">
        <f>IF(AND($F17&lt;=AW$2, OR($G17="",$G17&gt;=AW$2)),
  $H17 * (1 + Assumptions!$C$7) ^ INT(((YEAR(AW$2)-YEAR($F17))*12 + MONTH(AW$2)-MONTH($F17)) / 12),
  0)</f>
        <v>9720</v>
      </c>
      <c r="AX17" s="294">
        <f>IF(AND($F17&lt;=AX$2, OR($G17="",$G17&gt;=AX$2)),
  $H17 * (1 + Assumptions!$C$7) ^ INT(((YEAR(AX$2)-YEAR($F17))*12 + MONTH(AX$2)-MONTH($F17)) / 12),
  0)</f>
        <v>9720</v>
      </c>
      <c r="AY17" s="294">
        <f>IF(AND($F17&lt;=AY$2, OR($G17="",$G17&gt;=AY$2)),
  $H17 * (1 + Assumptions!$C$7) ^ INT(((YEAR(AY$2)-YEAR($F17))*12 + MONTH(AY$2)-MONTH($F17)) / 12),
  0)</f>
        <v>9720</v>
      </c>
      <c r="AZ17" s="294">
        <f>IF(AND($F17&lt;=AZ$2, OR($G17="",$G17&gt;=AZ$2)),
  $H17 * (1 + Assumptions!$C$7) ^ INT(((YEAR(AZ$2)-YEAR($F17))*12 + MONTH(AZ$2)-MONTH($F17)) / 12),
  0)</f>
        <v>10497.6</v>
      </c>
      <c r="BA17" s="294">
        <f>IF(AND($F17&lt;=BA$2, OR($G17="",$G17&gt;=BA$2)),
  $H17 * (1 + Assumptions!$C$7) ^ INT(((YEAR(BA$2)-YEAR($F17))*12 + MONTH(BA$2)-MONTH($F17)) / 12),
  0)</f>
        <v>10497.6</v>
      </c>
      <c r="BB17" s="294">
        <f>IF(AND($F17&lt;=BB$2, OR($G17="",$G17&gt;=BB$2)),
  $H17 * (1 + Assumptions!$C$7) ^ INT(((YEAR(BB$2)-YEAR($F17))*12 + MONTH(BB$2)-MONTH($F17)) / 12),
  0)</f>
        <v>10497.6</v>
      </c>
      <c r="BC17" s="294">
        <f>IF(AND($F17&lt;=BC$2, OR($G17="",$G17&gt;=BC$2)),
  $H17 * (1 + Assumptions!$C$7) ^ INT(((YEAR(BC$2)-YEAR($F17))*12 + MONTH(BC$2)-MONTH($F17)) / 12),
  0)</f>
        <v>10497.6</v>
      </c>
      <c r="BD17" s="294">
        <f>IF(AND($F17&lt;=BD$2, OR($G17="",$G17&gt;=BD$2)),
  $H17 * (1 + Assumptions!$C$7) ^ INT(((YEAR(BD$2)-YEAR($F17))*12 + MONTH(BD$2)-MONTH($F17)) / 12),
  0)</f>
        <v>10497.6</v>
      </c>
      <c r="BE17" s="294">
        <f>IF(AND($F17&lt;=BE$2, OR($G17="",$G17&gt;=BE$2)),
  $H17 * (1 + Assumptions!$C$7) ^ INT(((YEAR(BE$2)-YEAR($F17))*12 + MONTH(BE$2)-MONTH($F17)) / 12),
  0)</f>
        <v>10497.6</v>
      </c>
      <c r="BF17" s="294">
        <f>IF(AND($F17&lt;=BF$2, OR($G17="",$G17&gt;=BF$2)),
  $H17 * (1 + Assumptions!$C$7) ^ INT(((YEAR(BF$2)-YEAR($F17))*12 + MONTH(BF$2)-MONTH($F17)) / 12),
  0)</f>
        <v>10497.6</v>
      </c>
      <c r="BG17" s="294">
        <f>IF(AND($F17&lt;=BG$2, OR($G17="",$G17&gt;=BG$2)),
  $H17 * (1 + Assumptions!$C$7) ^ INT(((YEAR(BG$2)-YEAR($F17))*12 + MONTH(BG$2)-MONTH($F17)) / 12),
  0)</f>
        <v>10497.6</v>
      </c>
      <c r="BH17" s="294">
        <f>IF(AND($F17&lt;=BH$2, OR($G17="",$G17&gt;=BH$2)),
  $H17 * (1 + Assumptions!$C$7) ^ INT(((YEAR(BH$2)-YEAR($F17))*12 + MONTH(BH$2)-MONTH($F17)) / 12),
  0)</f>
        <v>10497.6</v>
      </c>
      <c r="BI17" s="294">
        <f>IF(AND($F17&lt;=BI$2, OR($G17="",$G17&gt;=BI$2)),
  $H17 * (1 + Assumptions!$C$7) ^ INT(((YEAR(BI$2)-YEAR($F17))*12 + MONTH(BI$2)-MONTH($F17)) / 12),
  0)</f>
        <v>10497.6</v>
      </c>
      <c r="BJ17" s="294">
        <f>IF(AND($F17&lt;=BJ$2, OR($G17="",$G17&gt;=BJ$2)),
  $H17 * (1 + Assumptions!$C$7) ^ INT(((YEAR(BJ$2)-YEAR($F17))*12 + MONTH(BJ$2)-MONTH($F17)) / 12),
  0)</f>
        <v>10497.6</v>
      </c>
      <c r="BK17" s="294">
        <f>IF(AND($F17&lt;=BK$2, OR($G17="",$G17&gt;=BK$2)),
  $H17 * (1 + Assumptions!$C$7) ^ INT(((YEAR(BK$2)-YEAR($F17))*12 + MONTH(BK$2)-MONTH($F17)) / 12),
  0)</f>
        <v>10497.6</v>
      </c>
      <c r="BL17" s="294">
        <f>IF(AND($F17&lt;=BL$2, OR($G17="",$G17&gt;=BL$2)),
  $H17 * (1 + Assumptions!$C$7) ^ INT(((YEAR(BL$2)-YEAR($F17))*12 + MONTH(BL$2)-MONTH($F17)) / 12),
  0)</f>
        <v>11337.408</v>
      </c>
      <c r="BM17" s="294">
        <f>IF(AND($F17&lt;=BM$2, OR($G17="",$G17&gt;=BM$2)),
  $H17 * (1 + Assumptions!$C$7) ^ INT(((YEAR(BM$2)-YEAR($F17))*12 + MONTH(BM$2)-MONTH($F17)) / 12),
  0)</f>
        <v>11337.408</v>
      </c>
      <c r="BN17" s="294">
        <f>IF(AND($F17&lt;=BN$2, OR($G17="",$G17&gt;=BN$2)),
  $H17 * (1 + Assumptions!$C$7) ^ INT(((YEAR(BN$2)-YEAR($F17))*12 + MONTH(BN$2)-MONTH($F17)) / 12),
  0)</f>
        <v>11337.408</v>
      </c>
      <c r="BO17" s="294">
        <f>IF(AND($F17&lt;=BO$2, OR($G17="",$G17&gt;=BO$2)),
  $H17 * (1 + Assumptions!$C$7) ^ INT(((YEAR(BO$2)-YEAR($F17))*12 + MONTH(BO$2)-MONTH($F17)) / 12),
  0)</f>
        <v>11337.408</v>
      </c>
      <c r="BP17" s="294">
        <f>IF(AND($F17&lt;=BP$2, OR($G17="",$G17&gt;=BP$2)),
  $H17 * (1 + Assumptions!$C$7) ^ INT(((YEAR(BP$2)-YEAR($F17))*12 + MONTH(BP$2)-MONTH($F17)) / 12),
  0)</f>
        <v>11337.408</v>
      </c>
      <c r="BQ17" s="35"/>
    </row>
    <row r="18">
      <c r="A18" s="301">
        <v>14.0</v>
      </c>
      <c r="B18" s="285" t="s">
        <v>342</v>
      </c>
      <c r="C18" s="302" t="s">
        <v>148</v>
      </c>
      <c r="D18" s="302" t="s">
        <v>346</v>
      </c>
      <c r="E18" s="292" t="s">
        <v>344</v>
      </c>
      <c r="F18" s="286">
        <v>46235.0</v>
      </c>
      <c r="G18" s="304"/>
      <c r="H18" s="288">
        <v>6000.0</v>
      </c>
      <c r="I18" s="294">
        <f>IF(AND($F18&lt;=I$2, OR($G18="",$G18&gt;=I$2)),
  $H18 * (1 + Assumptions!$C$7) ^ INT(((YEAR(I$2)-YEAR($F18))*12 + MONTH(I$2)-MONTH($F18)) / 12),
  0)</f>
        <v>0</v>
      </c>
      <c r="J18" s="294">
        <f>IF(AND($F18&lt;=J$2, OR($G18="",$G18&gt;=J$2)),
  $H18 * (1 + Assumptions!$C$7) ^ INT(((YEAR(J$2)-YEAR($F18))*12 + MONTH(J$2)-MONTH($F18)) / 12),
  0)</f>
        <v>0</v>
      </c>
      <c r="K18" s="294">
        <f>IF(AND($F18&lt;=K$2, OR($G18="",$G18&gt;=K$2)),
  $H18 * (1 + Assumptions!$C$7) ^ INT(((YEAR(K$2)-YEAR($F18))*12 + MONTH(K$2)-MONTH($F18)) / 12),
  0)</f>
        <v>0</v>
      </c>
      <c r="L18" s="294">
        <f>IF(AND($F18&lt;=L$2, OR($G18="",$G18&gt;=L$2)),
  $H18 * (1 + Assumptions!$C$7) ^ INT(((YEAR(L$2)-YEAR($F18))*12 + MONTH(L$2)-MONTH($F18)) / 12),
  0)</f>
        <v>0</v>
      </c>
      <c r="M18" s="294">
        <f>IF(AND($F18&lt;=M$2, OR($G18="",$G18&gt;=M$2)),
  $H18 * (1 + Assumptions!$C$7) ^ INT(((YEAR(M$2)-YEAR($F18))*12 + MONTH(M$2)-MONTH($F18)) / 12),
  0)</f>
        <v>0</v>
      </c>
      <c r="N18" s="294">
        <f>IF(AND($F18&lt;=N$2, OR($G18="",$G18&gt;=N$2)),
  $H18 * (1 + Assumptions!$C$7) ^ INT(((YEAR(N$2)-YEAR($F18))*12 + MONTH(N$2)-MONTH($F18)) / 12),
  0)</f>
        <v>0</v>
      </c>
      <c r="O18" s="294">
        <f>IF(AND($F18&lt;=O$2, OR($G18="",$G18&gt;=O$2)),
  $H18 * (1 + Assumptions!$C$7) ^ INT(((YEAR(O$2)-YEAR($F18))*12 + MONTH(O$2)-MONTH($F18)) / 12),
  0)</f>
        <v>0</v>
      </c>
      <c r="P18" s="294">
        <f>IF(AND($F18&lt;=P$2, OR($G18="",$G18&gt;=P$2)),
  $H18 * (1 + Assumptions!$C$7) ^ INT(((YEAR(P$2)-YEAR($F18))*12 + MONTH(P$2)-MONTH($F18)) / 12),
  0)</f>
        <v>0</v>
      </c>
      <c r="Q18" s="294">
        <f>IF(AND($F18&lt;=Q$2, OR($G18="",$G18&gt;=Q$2)),
  $H18 * (1 + Assumptions!$C$7) ^ INT(((YEAR(Q$2)-YEAR($F18))*12 + MONTH(Q$2)-MONTH($F18)) / 12),
  0)</f>
        <v>0</v>
      </c>
      <c r="R18" s="294">
        <f>IF(AND($F18&lt;=R$2, OR($G18="",$G18&gt;=R$2)),
  $H18 * (1 + Assumptions!$C$7) ^ INT(((YEAR(R$2)-YEAR($F18))*12 + MONTH(R$2)-MONTH($F18)) / 12),
  0)</f>
        <v>0</v>
      </c>
      <c r="S18" s="294">
        <f>IF(AND($F18&lt;=S$2, OR($G18="",$G18&gt;=S$2)),
  $H18 * (1 + Assumptions!$C$7) ^ INT(((YEAR(S$2)-YEAR($F18))*12 + MONTH(S$2)-MONTH($F18)) / 12),
  0)</f>
        <v>0</v>
      </c>
      <c r="T18" s="294">
        <f>IF(AND($F18&lt;=T$2, OR($G18="",$G18&gt;=T$2)),
  $H18 * (1 + Assumptions!$C$7) ^ INT(((YEAR(T$2)-YEAR($F18))*12 + MONTH(T$2)-MONTH($F18)) / 12),
  0)</f>
        <v>0</v>
      </c>
      <c r="U18" s="294">
        <f>IF(AND($F18&lt;=U$2, OR($G18="",$G18&gt;=U$2)),
  $H18 * (1 + Assumptions!$C$7) ^ INT(((YEAR(U$2)-YEAR($F18))*12 + MONTH(U$2)-MONTH($F18)) / 12),
  0)</f>
        <v>0</v>
      </c>
      <c r="V18" s="294">
        <f>IF(AND($F18&lt;=V$2, OR($G18="",$G18&gt;=V$2)),
  $H18 * (1 + Assumptions!$C$7) ^ INT(((YEAR(V$2)-YEAR($F18))*12 + MONTH(V$2)-MONTH($F18)) / 12),
  0)</f>
        <v>0</v>
      </c>
      <c r="W18" s="294">
        <f>IF(AND($F18&lt;=W$2, OR($G18="",$G18&gt;=W$2)),
  $H18 * (1 + Assumptions!$C$7) ^ INT(((YEAR(W$2)-YEAR($F18))*12 + MONTH(W$2)-MONTH($F18)) / 12),
  0)</f>
        <v>0</v>
      </c>
      <c r="X18" s="294">
        <f>IF(AND($F18&lt;=X$2, OR($G18="",$G18&gt;=X$2)),
  $H18 * (1 + Assumptions!$C$7) ^ INT(((YEAR(X$2)-YEAR($F18))*12 + MONTH(X$2)-MONTH($F18)) / 12),
  0)</f>
        <v>0</v>
      </c>
      <c r="Y18" s="294">
        <f>IF(AND($F18&lt;=Y$2, OR($G18="",$G18&gt;=Y$2)),
  $H18 * (1 + Assumptions!$C$7) ^ INT(((YEAR(Y$2)-YEAR($F18))*12 + MONTH(Y$2)-MONTH($F18)) / 12),
  0)</f>
        <v>0</v>
      </c>
      <c r="Z18" s="294">
        <f>IF(AND($F18&lt;=Z$2, OR($G18="",$G18&gt;=Z$2)),
  $H18 * (1 + Assumptions!$C$7) ^ INT(((YEAR(Z$2)-YEAR($F18))*12 + MONTH(Z$2)-MONTH($F18)) / 12),
  0)</f>
        <v>0</v>
      </c>
      <c r="AA18" s="294">
        <f>IF(AND($F18&lt;=AA$2, OR($G18="",$G18&gt;=AA$2)),
  $H18 * (1 + Assumptions!$C$7) ^ INT(((YEAR(AA$2)-YEAR($F18))*12 + MONTH(AA$2)-MONTH($F18)) / 12),
  0)</f>
        <v>0</v>
      </c>
      <c r="AB18" s="294">
        <f>IF(AND($F18&lt;=AB$2, OR($G18="",$G18&gt;=AB$2)),
  $H18 * (1 + Assumptions!$C$7) ^ INT(((YEAR(AB$2)-YEAR($F18))*12 + MONTH(AB$2)-MONTH($F18)) / 12),
  0)</f>
        <v>6000</v>
      </c>
      <c r="AC18" s="294">
        <f>IF(AND($F18&lt;=AC$2, OR($G18="",$G18&gt;=AC$2)),
  $H18 * (1 + Assumptions!$C$7) ^ INT(((YEAR(AC$2)-YEAR($F18))*12 + MONTH(AC$2)-MONTH($F18)) / 12),
  0)</f>
        <v>6000</v>
      </c>
      <c r="AD18" s="294">
        <f>IF(AND($F18&lt;=AD$2, OR($G18="",$G18&gt;=AD$2)),
  $H18 * (1 + Assumptions!$C$7) ^ INT(((YEAR(AD$2)-YEAR($F18))*12 + MONTH(AD$2)-MONTH($F18)) / 12),
  0)</f>
        <v>6000</v>
      </c>
      <c r="AE18" s="294">
        <f>IF(AND($F18&lt;=AE$2, OR($G18="",$G18&gt;=AE$2)),
  $H18 * (1 + Assumptions!$C$7) ^ INT(((YEAR(AE$2)-YEAR($F18))*12 + MONTH(AE$2)-MONTH($F18)) / 12),
  0)</f>
        <v>6000</v>
      </c>
      <c r="AF18" s="294">
        <f>IF(AND($F18&lt;=AF$2, OR($G18="",$G18&gt;=AF$2)),
  $H18 * (1 + Assumptions!$C$7) ^ INT(((YEAR(AF$2)-YEAR($F18))*12 + MONTH(AF$2)-MONTH($F18)) / 12),
  0)</f>
        <v>6000</v>
      </c>
      <c r="AG18" s="294">
        <f>IF(AND($F18&lt;=AG$2, OR($G18="",$G18&gt;=AG$2)),
  $H18 * (1 + Assumptions!$C$7) ^ INT(((YEAR(AG$2)-YEAR($F18))*12 + MONTH(AG$2)-MONTH($F18)) / 12),
  0)</f>
        <v>6000</v>
      </c>
      <c r="AH18" s="294">
        <f>IF(AND($F18&lt;=AH$2, OR($G18="",$G18&gt;=AH$2)),
  $H18 * (1 + Assumptions!$C$7) ^ INT(((YEAR(AH$2)-YEAR($F18))*12 + MONTH(AH$2)-MONTH($F18)) / 12),
  0)</f>
        <v>6000</v>
      </c>
      <c r="AI18" s="294">
        <f>IF(AND($F18&lt;=AI$2, OR($G18="",$G18&gt;=AI$2)),
  $H18 * (1 + Assumptions!$C$7) ^ INT(((YEAR(AI$2)-YEAR($F18))*12 + MONTH(AI$2)-MONTH($F18)) / 12),
  0)</f>
        <v>6000</v>
      </c>
      <c r="AJ18" s="294">
        <f>IF(AND($F18&lt;=AJ$2, OR($G18="",$G18&gt;=AJ$2)),
  $H18 * (1 + Assumptions!$C$7) ^ INT(((YEAR(AJ$2)-YEAR($F18))*12 + MONTH(AJ$2)-MONTH($F18)) / 12),
  0)</f>
        <v>6000</v>
      </c>
      <c r="AK18" s="294">
        <f>IF(AND($F18&lt;=AK$2, OR($G18="",$G18&gt;=AK$2)),
  $H18 * (1 + Assumptions!$C$7) ^ INT(((YEAR(AK$2)-YEAR($F18))*12 + MONTH(AK$2)-MONTH($F18)) / 12),
  0)</f>
        <v>6000</v>
      </c>
      <c r="AL18" s="294">
        <f>IF(AND($F18&lt;=AL$2, OR($G18="",$G18&gt;=AL$2)),
  $H18 * (1 + Assumptions!$C$7) ^ INT(((YEAR(AL$2)-YEAR($F18))*12 + MONTH(AL$2)-MONTH($F18)) / 12),
  0)</f>
        <v>6000</v>
      </c>
      <c r="AM18" s="294">
        <f>IF(AND($F18&lt;=AM$2, OR($G18="",$G18&gt;=AM$2)),
  $H18 * (1 + Assumptions!$C$7) ^ INT(((YEAR(AM$2)-YEAR($F18))*12 + MONTH(AM$2)-MONTH($F18)) / 12),
  0)</f>
        <v>6000</v>
      </c>
      <c r="AN18" s="294">
        <f>IF(AND($F18&lt;=AN$2, OR($G18="",$G18&gt;=AN$2)),
  $H18 * (1 + Assumptions!$C$7) ^ INT(((YEAR(AN$2)-YEAR($F18))*12 + MONTH(AN$2)-MONTH($F18)) / 12),
  0)</f>
        <v>6480</v>
      </c>
      <c r="AO18" s="294">
        <f>IF(AND($F18&lt;=AO$2, OR($G18="",$G18&gt;=AO$2)),
  $H18 * (1 + Assumptions!$C$7) ^ INT(((YEAR(AO$2)-YEAR($F18))*12 + MONTH(AO$2)-MONTH($F18)) / 12),
  0)</f>
        <v>6480</v>
      </c>
      <c r="AP18" s="294">
        <f>IF(AND($F18&lt;=AP$2, OR($G18="",$G18&gt;=AP$2)),
  $H18 * (1 + Assumptions!$C$7) ^ INT(((YEAR(AP$2)-YEAR($F18))*12 + MONTH(AP$2)-MONTH($F18)) / 12),
  0)</f>
        <v>6480</v>
      </c>
      <c r="AQ18" s="294">
        <f>IF(AND($F18&lt;=AQ$2, OR($G18="",$G18&gt;=AQ$2)),
  $H18 * (1 + Assumptions!$C$7) ^ INT(((YEAR(AQ$2)-YEAR($F18))*12 + MONTH(AQ$2)-MONTH($F18)) / 12),
  0)</f>
        <v>6480</v>
      </c>
      <c r="AR18" s="294">
        <f>IF(AND($F18&lt;=AR$2, OR($G18="",$G18&gt;=AR$2)),
  $H18 * (1 + Assumptions!$C$7) ^ INT(((YEAR(AR$2)-YEAR($F18))*12 + MONTH(AR$2)-MONTH($F18)) / 12),
  0)</f>
        <v>6480</v>
      </c>
      <c r="AS18" s="294">
        <f>IF(AND($F18&lt;=AS$2, OR($G18="",$G18&gt;=AS$2)),
  $H18 * (1 + Assumptions!$C$7) ^ INT(((YEAR(AS$2)-YEAR($F18))*12 + MONTH(AS$2)-MONTH($F18)) / 12),
  0)</f>
        <v>6480</v>
      </c>
      <c r="AT18" s="294">
        <f>IF(AND($F18&lt;=AT$2, OR($G18="",$G18&gt;=AT$2)),
  $H18 * (1 + Assumptions!$C$7) ^ INT(((YEAR(AT$2)-YEAR($F18))*12 + MONTH(AT$2)-MONTH($F18)) / 12),
  0)</f>
        <v>6480</v>
      </c>
      <c r="AU18" s="294">
        <f>IF(AND($F18&lt;=AU$2, OR($G18="",$G18&gt;=AU$2)),
  $H18 * (1 + Assumptions!$C$7) ^ INT(((YEAR(AU$2)-YEAR($F18))*12 + MONTH(AU$2)-MONTH($F18)) / 12),
  0)</f>
        <v>6480</v>
      </c>
      <c r="AV18" s="294">
        <f>IF(AND($F18&lt;=AV$2, OR($G18="",$G18&gt;=AV$2)),
  $H18 * (1 + Assumptions!$C$7) ^ INT(((YEAR(AV$2)-YEAR($F18))*12 + MONTH(AV$2)-MONTH($F18)) / 12),
  0)</f>
        <v>6480</v>
      </c>
      <c r="AW18" s="294">
        <f>IF(AND($F18&lt;=AW$2, OR($G18="",$G18&gt;=AW$2)),
  $H18 * (1 + Assumptions!$C$7) ^ INT(((YEAR(AW$2)-YEAR($F18))*12 + MONTH(AW$2)-MONTH($F18)) / 12),
  0)</f>
        <v>6480</v>
      </c>
      <c r="AX18" s="294">
        <f>IF(AND($F18&lt;=AX$2, OR($G18="",$G18&gt;=AX$2)),
  $H18 * (1 + Assumptions!$C$7) ^ INT(((YEAR(AX$2)-YEAR($F18))*12 + MONTH(AX$2)-MONTH($F18)) / 12),
  0)</f>
        <v>6480</v>
      </c>
      <c r="AY18" s="294">
        <f>IF(AND($F18&lt;=AY$2, OR($G18="",$G18&gt;=AY$2)),
  $H18 * (1 + Assumptions!$C$7) ^ INT(((YEAR(AY$2)-YEAR($F18))*12 + MONTH(AY$2)-MONTH($F18)) / 12),
  0)</f>
        <v>6480</v>
      </c>
      <c r="AZ18" s="294">
        <f>IF(AND($F18&lt;=AZ$2, OR($G18="",$G18&gt;=AZ$2)),
  $H18 * (1 + Assumptions!$C$7) ^ INT(((YEAR(AZ$2)-YEAR($F18))*12 + MONTH(AZ$2)-MONTH($F18)) / 12),
  0)</f>
        <v>6998.4</v>
      </c>
      <c r="BA18" s="294">
        <f>IF(AND($F18&lt;=BA$2, OR($G18="",$G18&gt;=BA$2)),
  $H18 * (1 + Assumptions!$C$7) ^ INT(((YEAR(BA$2)-YEAR($F18))*12 + MONTH(BA$2)-MONTH($F18)) / 12),
  0)</f>
        <v>6998.4</v>
      </c>
      <c r="BB18" s="294">
        <f>IF(AND($F18&lt;=BB$2, OR($G18="",$G18&gt;=BB$2)),
  $H18 * (1 + Assumptions!$C$7) ^ INT(((YEAR(BB$2)-YEAR($F18))*12 + MONTH(BB$2)-MONTH($F18)) / 12),
  0)</f>
        <v>6998.4</v>
      </c>
      <c r="BC18" s="294">
        <f>IF(AND($F18&lt;=BC$2, OR($G18="",$G18&gt;=BC$2)),
  $H18 * (1 + Assumptions!$C$7) ^ INT(((YEAR(BC$2)-YEAR($F18))*12 + MONTH(BC$2)-MONTH($F18)) / 12),
  0)</f>
        <v>6998.4</v>
      </c>
      <c r="BD18" s="294">
        <f>IF(AND($F18&lt;=BD$2, OR($G18="",$G18&gt;=BD$2)),
  $H18 * (1 + Assumptions!$C$7) ^ INT(((YEAR(BD$2)-YEAR($F18))*12 + MONTH(BD$2)-MONTH($F18)) / 12),
  0)</f>
        <v>6998.4</v>
      </c>
      <c r="BE18" s="294">
        <f>IF(AND($F18&lt;=BE$2, OR($G18="",$G18&gt;=BE$2)),
  $H18 * (1 + Assumptions!$C$7) ^ INT(((YEAR(BE$2)-YEAR($F18))*12 + MONTH(BE$2)-MONTH($F18)) / 12),
  0)</f>
        <v>6998.4</v>
      </c>
      <c r="BF18" s="294">
        <f>IF(AND($F18&lt;=BF$2, OR($G18="",$G18&gt;=BF$2)),
  $H18 * (1 + Assumptions!$C$7) ^ INT(((YEAR(BF$2)-YEAR($F18))*12 + MONTH(BF$2)-MONTH($F18)) / 12),
  0)</f>
        <v>6998.4</v>
      </c>
      <c r="BG18" s="294">
        <f>IF(AND($F18&lt;=BG$2, OR($G18="",$G18&gt;=BG$2)),
  $H18 * (1 + Assumptions!$C$7) ^ INT(((YEAR(BG$2)-YEAR($F18))*12 + MONTH(BG$2)-MONTH($F18)) / 12),
  0)</f>
        <v>6998.4</v>
      </c>
      <c r="BH18" s="294">
        <f>IF(AND($F18&lt;=BH$2, OR($G18="",$G18&gt;=BH$2)),
  $H18 * (1 + Assumptions!$C$7) ^ INT(((YEAR(BH$2)-YEAR($F18))*12 + MONTH(BH$2)-MONTH($F18)) / 12),
  0)</f>
        <v>6998.4</v>
      </c>
      <c r="BI18" s="294">
        <f>IF(AND($F18&lt;=BI$2, OR($G18="",$G18&gt;=BI$2)),
  $H18 * (1 + Assumptions!$C$7) ^ INT(((YEAR(BI$2)-YEAR($F18))*12 + MONTH(BI$2)-MONTH($F18)) / 12),
  0)</f>
        <v>6998.4</v>
      </c>
      <c r="BJ18" s="294">
        <f>IF(AND($F18&lt;=BJ$2, OR($G18="",$G18&gt;=BJ$2)),
  $H18 * (1 + Assumptions!$C$7) ^ INT(((YEAR(BJ$2)-YEAR($F18))*12 + MONTH(BJ$2)-MONTH($F18)) / 12),
  0)</f>
        <v>6998.4</v>
      </c>
      <c r="BK18" s="294">
        <f>IF(AND($F18&lt;=BK$2, OR($G18="",$G18&gt;=BK$2)),
  $H18 * (1 + Assumptions!$C$7) ^ INT(((YEAR(BK$2)-YEAR($F18))*12 + MONTH(BK$2)-MONTH($F18)) / 12),
  0)</f>
        <v>6998.4</v>
      </c>
      <c r="BL18" s="294">
        <f>IF(AND($F18&lt;=BL$2, OR($G18="",$G18&gt;=BL$2)),
  $H18 * (1 + Assumptions!$C$7) ^ INT(((YEAR(BL$2)-YEAR($F18))*12 + MONTH(BL$2)-MONTH($F18)) / 12),
  0)</f>
        <v>7558.272</v>
      </c>
      <c r="BM18" s="294">
        <f>IF(AND($F18&lt;=BM$2, OR($G18="",$G18&gt;=BM$2)),
  $H18 * (1 + Assumptions!$C$7) ^ INT(((YEAR(BM$2)-YEAR($F18))*12 + MONTH(BM$2)-MONTH($F18)) / 12),
  0)</f>
        <v>7558.272</v>
      </c>
      <c r="BN18" s="294">
        <f>IF(AND($F18&lt;=BN$2, OR($G18="",$G18&gt;=BN$2)),
  $H18 * (1 + Assumptions!$C$7) ^ INT(((YEAR(BN$2)-YEAR($F18))*12 + MONTH(BN$2)-MONTH($F18)) / 12),
  0)</f>
        <v>7558.272</v>
      </c>
      <c r="BO18" s="294">
        <f>IF(AND($F18&lt;=BO$2, OR($G18="",$G18&gt;=BO$2)),
  $H18 * (1 + Assumptions!$C$7) ^ INT(((YEAR(BO$2)-YEAR($F18))*12 + MONTH(BO$2)-MONTH($F18)) / 12),
  0)</f>
        <v>7558.272</v>
      </c>
      <c r="BP18" s="294">
        <f>IF(AND($F18&lt;=BP$2, OR($G18="",$G18&gt;=BP$2)),
  $H18 * (1 + Assumptions!$C$7) ^ INT(((YEAR(BP$2)-YEAR($F18))*12 + MONTH(BP$2)-MONTH($F18)) / 12),
  0)</f>
        <v>7558.272</v>
      </c>
      <c r="BQ18" s="35"/>
    </row>
    <row r="19">
      <c r="A19" s="301">
        <v>15.0</v>
      </c>
      <c r="B19" s="285" t="s">
        <v>342</v>
      </c>
      <c r="C19" s="302" t="s">
        <v>145</v>
      </c>
      <c r="D19" s="24" t="s">
        <v>347</v>
      </c>
      <c r="E19" s="292" t="s">
        <v>344</v>
      </c>
      <c r="F19" s="286">
        <v>46235.0</v>
      </c>
      <c r="G19" s="297"/>
      <c r="H19" s="288">
        <v>9000.0</v>
      </c>
      <c r="I19" s="294">
        <f>IF(AND($F19&lt;=I$2, OR($G19="",$G19&gt;=I$2)),
  $H19 * (1 + Assumptions!$C$7) ^ INT(((YEAR(I$2)-YEAR($F19))*12 + MONTH(I$2)-MONTH($F19)) / 12),
  0)</f>
        <v>0</v>
      </c>
      <c r="J19" s="294">
        <f>IF(AND($F19&lt;=J$2, OR($G19="",$G19&gt;=J$2)),
  $H19 * (1 + Assumptions!$C$7) ^ INT(((YEAR(J$2)-YEAR($F19))*12 + MONTH(J$2)-MONTH($F19)) / 12),
  0)</f>
        <v>0</v>
      </c>
      <c r="K19" s="294">
        <f>IF(AND($F19&lt;=K$2, OR($G19="",$G19&gt;=K$2)),
  $H19 * (1 + Assumptions!$C$7) ^ INT(((YEAR(K$2)-YEAR($F19))*12 + MONTH(K$2)-MONTH($F19)) / 12),
  0)</f>
        <v>0</v>
      </c>
      <c r="L19" s="294">
        <f>IF(AND($F19&lt;=L$2, OR($G19="",$G19&gt;=L$2)),
  $H19 * (1 + Assumptions!$C$7) ^ INT(((YEAR(L$2)-YEAR($F19))*12 + MONTH(L$2)-MONTH($F19)) / 12),
  0)</f>
        <v>0</v>
      </c>
      <c r="M19" s="294">
        <f>IF(AND($F19&lt;=M$2, OR($G19="",$G19&gt;=M$2)),
  $H19 * (1 + Assumptions!$C$7) ^ INT(((YEAR(M$2)-YEAR($F19))*12 + MONTH(M$2)-MONTH($F19)) / 12),
  0)</f>
        <v>0</v>
      </c>
      <c r="N19" s="294">
        <f>IF(AND($F19&lt;=N$2, OR($G19="",$G19&gt;=N$2)),
  $H19 * (1 + Assumptions!$C$7) ^ INT(((YEAR(N$2)-YEAR($F19))*12 + MONTH(N$2)-MONTH($F19)) / 12),
  0)</f>
        <v>0</v>
      </c>
      <c r="O19" s="294">
        <f>IF(AND($F19&lt;=O$2, OR($G19="",$G19&gt;=O$2)),
  $H19 * (1 + Assumptions!$C$7) ^ INT(((YEAR(O$2)-YEAR($F19))*12 + MONTH(O$2)-MONTH($F19)) / 12),
  0)</f>
        <v>0</v>
      </c>
      <c r="P19" s="294">
        <f>IF(AND($F19&lt;=P$2, OR($G19="",$G19&gt;=P$2)),
  $H19 * (1 + Assumptions!$C$7) ^ INT(((YEAR(P$2)-YEAR($F19))*12 + MONTH(P$2)-MONTH($F19)) / 12),
  0)</f>
        <v>0</v>
      </c>
      <c r="Q19" s="294">
        <f>IF(AND($F19&lt;=Q$2, OR($G19="",$G19&gt;=Q$2)),
  $H19 * (1 + Assumptions!$C$7) ^ INT(((YEAR(Q$2)-YEAR($F19))*12 + MONTH(Q$2)-MONTH($F19)) / 12),
  0)</f>
        <v>0</v>
      </c>
      <c r="R19" s="294">
        <f>IF(AND($F19&lt;=R$2, OR($G19="",$G19&gt;=R$2)),
  $H19 * (1 + Assumptions!$C$7) ^ INT(((YEAR(R$2)-YEAR($F19))*12 + MONTH(R$2)-MONTH($F19)) / 12),
  0)</f>
        <v>0</v>
      </c>
      <c r="S19" s="294">
        <f>IF(AND($F19&lt;=S$2, OR($G19="",$G19&gt;=S$2)),
  $H19 * (1 + Assumptions!$C$7) ^ INT(((YEAR(S$2)-YEAR($F19))*12 + MONTH(S$2)-MONTH($F19)) / 12),
  0)</f>
        <v>0</v>
      </c>
      <c r="T19" s="294">
        <f>IF(AND($F19&lt;=T$2, OR($G19="",$G19&gt;=T$2)),
  $H19 * (1 + Assumptions!$C$7) ^ INT(((YEAR(T$2)-YEAR($F19))*12 + MONTH(T$2)-MONTH($F19)) / 12),
  0)</f>
        <v>0</v>
      </c>
      <c r="U19" s="294">
        <f>IF(AND($F19&lt;=U$2, OR($G19="",$G19&gt;=U$2)),
  $H19 * (1 + Assumptions!$C$7) ^ INT(((YEAR(U$2)-YEAR($F19))*12 + MONTH(U$2)-MONTH($F19)) / 12),
  0)</f>
        <v>0</v>
      </c>
      <c r="V19" s="294">
        <f>IF(AND($F19&lt;=V$2, OR($G19="",$G19&gt;=V$2)),
  $H19 * (1 + Assumptions!$C$7) ^ INT(((YEAR(V$2)-YEAR($F19))*12 + MONTH(V$2)-MONTH($F19)) / 12),
  0)</f>
        <v>0</v>
      </c>
      <c r="W19" s="294">
        <f>IF(AND($F19&lt;=W$2, OR($G19="",$G19&gt;=W$2)),
  $H19 * (1 + Assumptions!$C$7) ^ INT(((YEAR(W$2)-YEAR($F19))*12 + MONTH(W$2)-MONTH($F19)) / 12),
  0)</f>
        <v>0</v>
      </c>
      <c r="X19" s="294">
        <f>IF(AND($F19&lt;=X$2, OR($G19="",$G19&gt;=X$2)),
  $H19 * (1 + Assumptions!$C$7) ^ INT(((YEAR(X$2)-YEAR($F19))*12 + MONTH(X$2)-MONTH($F19)) / 12),
  0)</f>
        <v>0</v>
      </c>
      <c r="Y19" s="294">
        <f>IF(AND($F19&lt;=Y$2, OR($G19="",$G19&gt;=Y$2)),
  $H19 * (1 + Assumptions!$C$7) ^ INT(((YEAR(Y$2)-YEAR($F19))*12 + MONTH(Y$2)-MONTH($F19)) / 12),
  0)</f>
        <v>0</v>
      </c>
      <c r="Z19" s="294">
        <f>IF(AND($F19&lt;=Z$2, OR($G19="",$G19&gt;=Z$2)),
  $H19 * (1 + Assumptions!$C$7) ^ INT(((YEAR(Z$2)-YEAR($F19))*12 + MONTH(Z$2)-MONTH($F19)) / 12),
  0)</f>
        <v>0</v>
      </c>
      <c r="AA19" s="294">
        <f>IF(AND($F19&lt;=AA$2, OR($G19="",$G19&gt;=AA$2)),
  $H19 * (1 + Assumptions!$C$7) ^ INT(((YEAR(AA$2)-YEAR($F19))*12 + MONTH(AA$2)-MONTH($F19)) / 12),
  0)</f>
        <v>0</v>
      </c>
      <c r="AB19" s="294">
        <f>IF(AND($F19&lt;=AB$2, OR($G19="",$G19&gt;=AB$2)),
  $H19 * (1 + Assumptions!$C$7) ^ INT(((YEAR(AB$2)-YEAR($F19))*12 + MONTH(AB$2)-MONTH($F19)) / 12),
  0)</f>
        <v>9000</v>
      </c>
      <c r="AC19" s="294">
        <f>IF(AND($F19&lt;=AC$2, OR($G19="",$G19&gt;=AC$2)),
  $H19 * (1 + Assumptions!$C$7) ^ INT(((YEAR(AC$2)-YEAR($F19))*12 + MONTH(AC$2)-MONTH($F19)) / 12),
  0)</f>
        <v>9000</v>
      </c>
      <c r="AD19" s="294">
        <f>IF(AND($F19&lt;=AD$2, OR($G19="",$G19&gt;=AD$2)),
  $H19 * (1 + Assumptions!$C$7) ^ INT(((YEAR(AD$2)-YEAR($F19))*12 + MONTH(AD$2)-MONTH($F19)) / 12),
  0)</f>
        <v>9000</v>
      </c>
      <c r="AE19" s="294">
        <f>IF(AND($F19&lt;=AE$2, OR($G19="",$G19&gt;=AE$2)),
  $H19 * (1 + Assumptions!$C$7) ^ INT(((YEAR(AE$2)-YEAR($F19))*12 + MONTH(AE$2)-MONTH($F19)) / 12),
  0)</f>
        <v>9000</v>
      </c>
      <c r="AF19" s="294">
        <f>IF(AND($F19&lt;=AF$2, OR($G19="",$G19&gt;=AF$2)),
  $H19 * (1 + Assumptions!$C$7) ^ INT(((YEAR(AF$2)-YEAR($F19))*12 + MONTH(AF$2)-MONTH($F19)) / 12),
  0)</f>
        <v>9000</v>
      </c>
      <c r="AG19" s="294">
        <f>IF(AND($F19&lt;=AG$2, OR($G19="",$G19&gt;=AG$2)),
  $H19 * (1 + Assumptions!$C$7) ^ INT(((YEAR(AG$2)-YEAR($F19))*12 + MONTH(AG$2)-MONTH($F19)) / 12),
  0)</f>
        <v>9000</v>
      </c>
      <c r="AH19" s="294">
        <f>IF(AND($F19&lt;=AH$2, OR($G19="",$G19&gt;=AH$2)),
  $H19 * (1 + Assumptions!$C$7) ^ INT(((YEAR(AH$2)-YEAR($F19))*12 + MONTH(AH$2)-MONTH($F19)) / 12),
  0)</f>
        <v>9000</v>
      </c>
      <c r="AI19" s="294">
        <f>IF(AND($F19&lt;=AI$2, OR($G19="",$G19&gt;=AI$2)),
  $H19 * (1 + Assumptions!$C$7) ^ INT(((YEAR(AI$2)-YEAR($F19))*12 + MONTH(AI$2)-MONTH($F19)) / 12),
  0)</f>
        <v>9000</v>
      </c>
      <c r="AJ19" s="294">
        <f>IF(AND($F19&lt;=AJ$2, OR($G19="",$G19&gt;=AJ$2)),
  $H19 * (1 + Assumptions!$C$7) ^ INT(((YEAR(AJ$2)-YEAR($F19))*12 + MONTH(AJ$2)-MONTH($F19)) / 12),
  0)</f>
        <v>9000</v>
      </c>
      <c r="AK19" s="294">
        <f>IF(AND($F19&lt;=AK$2, OR($G19="",$G19&gt;=AK$2)),
  $H19 * (1 + Assumptions!$C$7) ^ INT(((YEAR(AK$2)-YEAR($F19))*12 + MONTH(AK$2)-MONTH($F19)) / 12),
  0)</f>
        <v>9000</v>
      </c>
      <c r="AL19" s="294">
        <f>IF(AND($F19&lt;=AL$2, OR($G19="",$G19&gt;=AL$2)),
  $H19 * (1 + Assumptions!$C$7) ^ INT(((YEAR(AL$2)-YEAR($F19))*12 + MONTH(AL$2)-MONTH($F19)) / 12),
  0)</f>
        <v>9000</v>
      </c>
      <c r="AM19" s="294">
        <f>IF(AND($F19&lt;=AM$2, OR($G19="",$G19&gt;=AM$2)),
  $H19 * (1 + Assumptions!$C$7) ^ INT(((YEAR(AM$2)-YEAR($F19))*12 + MONTH(AM$2)-MONTH($F19)) / 12),
  0)</f>
        <v>9000</v>
      </c>
      <c r="AN19" s="294">
        <f>IF(AND($F19&lt;=AN$2, OR($G19="",$G19&gt;=AN$2)),
  $H19 * (1 + Assumptions!$C$7) ^ INT(((YEAR(AN$2)-YEAR($F19))*12 + MONTH(AN$2)-MONTH($F19)) / 12),
  0)</f>
        <v>9720</v>
      </c>
      <c r="AO19" s="294">
        <f>IF(AND($F19&lt;=AO$2, OR($G19="",$G19&gt;=AO$2)),
  $H19 * (1 + Assumptions!$C$7) ^ INT(((YEAR(AO$2)-YEAR($F19))*12 + MONTH(AO$2)-MONTH($F19)) / 12),
  0)</f>
        <v>9720</v>
      </c>
      <c r="AP19" s="294">
        <f>IF(AND($F19&lt;=AP$2, OR($G19="",$G19&gt;=AP$2)),
  $H19 * (1 + Assumptions!$C$7) ^ INT(((YEAR(AP$2)-YEAR($F19))*12 + MONTH(AP$2)-MONTH($F19)) / 12),
  0)</f>
        <v>9720</v>
      </c>
      <c r="AQ19" s="294">
        <f>IF(AND($F19&lt;=AQ$2, OR($G19="",$G19&gt;=AQ$2)),
  $H19 * (1 + Assumptions!$C$7) ^ INT(((YEAR(AQ$2)-YEAR($F19))*12 + MONTH(AQ$2)-MONTH($F19)) / 12),
  0)</f>
        <v>9720</v>
      </c>
      <c r="AR19" s="294">
        <f>IF(AND($F19&lt;=AR$2, OR($G19="",$G19&gt;=AR$2)),
  $H19 * (1 + Assumptions!$C$7) ^ INT(((YEAR(AR$2)-YEAR($F19))*12 + MONTH(AR$2)-MONTH($F19)) / 12),
  0)</f>
        <v>9720</v>
      </c>
      <c r="AS19" s="294">
        <f>IF(AND($F19&lt;=AS$2, OR($G19="",$G19&gt;=AS$2)),
  $H19 * (1 + Assumptions!$C$7) ^ INT(((YEAR(AS$2)-YEAR($F19))*12 + MONTH(AS$2)-MONTH($F19)) / 12),
  0)</f>
        <v>9720</v>
      </c>
      <c r="AT19" s="294">
        <f>IF(AND($F19&lt;=AT$2, OR($G19="",$G19&gt;=AT$2)),
  $H19 * (1 + Assumptions!$C$7) ^ INT(((YEAR(AT$2)-YEAR($F19))*12 + MONTH(AT$2)-MONTH($F19)) / 12),
  0)</f>
        <v>9720</v>
      </c>
      <c r="AU19" s="294">
        <f>IF(AND($F19&lt;=AU$2, OR($G19="",$G19&gt;=AU$2)),
  $H19 * (1 + Assumptions!$C$7) ^ INT(((YEAR(AU$2)-YEAR($F19))*12 + MONTH(AU$2)-MONTH($F19)) / 12),
  0)</f>
        <v>9720</v>
      </c>
      <c r="AV19" s="294">
        <f>IF(AND($F19&lt;=AV$2, OR($G19="",$G19&gt;=AV$2)),
  $H19 * (1 + Assumptions!$C$7) ^ INT(((YEAR(AV$2)-YEAR($F19))*12 + MONTH(AV$2)-MONTH($F19)) / 12),
  0)</f>
        <v>9720</v>
      </c>
      <c r="AW19" s="294">
        <f>IF(AND($F19&lt;=AW$2, OR($G19="",$G19&gt;=AW$2)),
  $H19 * (1 + Assumptions!$C$7) ^ INT(((YEAR(AW$2)-YEAR($F19))*12 + MONTH(AW$2)-MONTH($F19)) / 12),
  0)</f>
        <v>9720</v>
      </c>
      <c r="AX19" s="294">
        <f>IF(AND($F19&lt;=AX$2, OR($G19="",$G19&gt;=AX$2)),
  $H19 * (1 + Assumptions!$C$7) ^ INT(((YEAR(AX$2)-YEAR($F19))*12 + MONTH(AX$2)-MONTH($F19)) / 12),
  0)</f>
        <v>9720</v>
      </c>
      <c r="AY19" s="294">
        <f>IF(AND($F19&lt;=AY$2, OR($G19="",$G19&gt;=AY$2)),
  $H19 * (1 + Assumptions!$C$7) ^ INT(((YEAR(AY$2)-YEAR($F19))*12 + MONTH(AY$2)-MONTH($F19)) / 12),
  0)</f>
        <v>9720</v>
      </c>
      <c r="AZ19" s="294">
        <f>IF(AND($F19&lt;=AZ$2, OR($G19="",$G19&gt;=AZ$2)),
  $H19 * (1 + Assumptions!$C$7) ^ INT(((YEAR(AZ$2)-YEAR($F19))*12 + MONTH(AZ$2)-MONTH($F19)) / 12),
  0)</f>
        <v>10497.6</v>
      </c>
      <c r="BA19" s="294">
        <f>IF(AND($F19&lt;=BA$2, OR($G19="",$G19&gt;=BA$2)),
  $H19 * (1 + Assumptions!$C$7) ^ INT(((YEAR(BA$2)-YEAR($F19))*12 + MONTH(BA$2)-MONTH($F19)) / 12),
  0)</f>
        <v>10497.6</v>
      </c>
      <c r="BB19" s="294">
        <f>IF(AND($F19&lt;=BB$2, OR($G19="",$G19&gt;=BB$2)),
  $H19 * (1 + Assumptions!$C$7) ^ INT(((YEAR(BB$2)-YEAR($F19))*12 + MONTH(BB$2)-MONTH($F19)) / 12),
  0)</f>
        <v>10497.6</v>
      </c>
      <c r="BC19" s="294">
        <f>IF(AND($F19&lt;=BC$2, OR($G19="",$G19&gt;=BC$2)),
  $H19 * (1 + Assumptions!$C$7) ^ INT(((YEAR(BC$2)-YEAR($F19))*12 + MONTH(BC$2)-MONTH($F19)) / 12),
  0)</f>
        <v>10497.6</v>
      </c>
      <c r="BD19" s="294">
        <f>IF(AND($F19&lt;=BD$2, OR($G19="",$G19&gt;=BD$2)),
  $H19 * (1 + Assumptions!$C$7) ^ INT(((YEAR(BD$2)-YEAR($F19))*12 + MONTH(BD$2)-MONTH($F19)) / 12),
  0)</f>
        <v>10497.6</v>
      </c>
      <c r="BE19" s="294">
        <f>IF(AND($F19&lt;=BE$2, OR($G19="",$G19&gt;=BE$2)),
  $H19 * (1 + Assumptions!$C$7) ^ INT(((YEAR(BE$2)-YEAR($F19))*12 + MONTH(BE$2)-MONTH($F19)) / 12),
  0)</f>
        <v>10497.6</v>
      </c>
      <c r="BF19" s="294">
        <f>IF(AND($F19&lt;=BF$2, OR($G19="",$G19&gt;=BF$2)),
  $H19 * (1 + Assumptions!$C$7) ^ INT(((YEAR(BF$2)-YEAR($F19))*12 + MONTH(BF$2)-MONTH($F19)) / 12),
  0)</f>
        <v>10497.6</v>
      </c>
      <c r="BG19" s="294">
        <f>IF(AND($F19&lt;=BG$2, OR($G19="",$G19&gt;=BG$2)),
  $H19 * (1 + Assumptions!$C$7) ^ INT(((YEAR(BG$2)-YEAR($F19))*12 + MONTH(BG$2)-MONTH($F19)) / 12),
  0)</f>
        <v>10497.6</v>
      </c>
      <c r="BH19" s="294">
        <f>IF(AND($F19&lt;=BH$2, OR($G19="",$G19&gt;=BH$2)),
  $H19 * (1 + Assumptions!$C$7) ^ INT(((YEAR(BH$2)-YEAR($F19))*12 + MONTH(BH$2)-MONTH($F19)) / 12),
  0)</f>
        <v>10497.6</v>
      </c>
      <c r="BI19" s="294">
        <f>IF(AND($F19&lt;=BI$2, OR($G19="",$G19&gt;=BI$2)),
  $H19 * (1 + Assumptions!$C$7) ^ INT(((YEAR(BI$2)-YEAR($F19))*12 + MONTH(BI$2)-MONTH($F19)) / 12),
  0)</f>
        <v>10497.6</v>
      </c>
      <c r="BJ19" s="294">
        <f>IF(AND($F19&lt;=BJ$2, OR($G19="",$G19&gt;=BJ$2)),
  $H19 * (1 + Assumptions!$C$7) ^ INT(((YEAR(BJ$2)-YEAR($F19))*12 + MONTH(BJ$2)-MONTH($F19)) / 12),
  0)</f>
        <v>10497.6</v>
      </c>
      <c r="BK19" s="294">
        <f>IF(AND($F19&lt;=BK$2, OR($G19="",$G19&gt;=BK$2)),
  $H19 * (1 + Assumptions!$C$7) ^ INT(((YEAR(BK$2)-YEAR($F19))*12 + MONTH(BK$2)-MONTH($F19)) / 12),
  0)</f>
        <v>10497.6</v>
      </c>
      <c r="BL19" s="294">
        <f>IF(AND($F19&lt;=BL$2, OR($G19="",$G19&gt;=BL$2)),
  $H19 * (1 + Assumptions!$C$7) ^ INT(((YEAR(BL$2)-YEAR($F19))*12 + MONTH(BL$2)-MONTH($F19)) / 12),
  0)</f>
        <v>11337.408</v>
      </c>
      <c r="BM19" s="294">
        <f>IF(AND($F19&lt;=BM$2, OR($G19="",$G19&gt;=BM$2)),
  $H19 * (1 + Assumptions!$C$7) ^ INT(((YEAR(BM$2)-YEAR($F19))*12 + MONTH(BM$2)-MONTH($F19)) / 12),
  0)</f>
        <v>11337.408</v>
      </c>
      <c r="BN19" s="294">
        <f>IF(AND($F19&lt;=BN$2, OR($G19="",$G19&gt;=BN$2)),
  $H19 * (1 + Assumptions!$C$7) ^ INT(((YEAR(BN$2)-YEAR($F19))*12 + MONTH(BN$2)-MONTH($F19)) / 12),
  0)</f>
        <v>11337.408</v>
      </c>
      <c r="BO19" s="294">
        <f>IF(AND($F19&lt;=BO$2, OR($G19="",$G19&gt;=BO$2)),
  $H19 * (1 + Assumptions!$C$7) ^ INT(((YEAR(BO$2)-YEAR($F19))*12 + MONTH(BO$2)-MONTH($F19)) / 12),
  0)</f>
        <v>11337.408</v>
      </c>
      <c r="BP19" s="294">
        <f>IF(AND($F19&lt;=BP$2, OR($G19="",$G19&gt;=BP$2)),
  $H19 * (1 + Assumptions!$C$7) ^ INT(((YEAR(BP$2)-YEAR($F19))*12 + MONTH(BP$2)-MONTH($F19)) / 12),
  0)</f>
        <v>11337.408</v>
      </c>
      <c r="BQ19" s="35"/>
    </row>
    <row r="20">
      <c r="A20" s="301">
        <v>16.0</v>
      </c>
      <c r="B20" s="285" t="s">
        <v>342</v>
      </c>
      <c r="C20" s="302" t="s">
        <v>141</v>
      </c>
      <c r="D20" s="302" t="s">
        <v>336</v>
      </c>
      <c r="E20" s="292" t="s">
        <v>344</v>
      </c>
      <c r="F20" s="286">
        <v>46296.0</v>
      </c>
      <c r="G20" s="286"/>
      <c r="H20" s="288">
        <v>9500.0</v>
      </c>
      <c r="I20" s="294">
        <f>IF(AND($F20&lt;=I$2, OR($G20="",$G20&gt;=I$2)),
  $H20 * (1 + Assumptions!$C$7) ^ INT(((YEAR(I$2)-YEAR($F20))*12 + MONTH(I$2)-MONTH($F20)) / 12),
  0)</f>
        <v>0</v>
      </c>
      <c r="J20" s="294">
        <f>IF(AND($F20&lt;=J$2, OR($G20="",$G20&gt;=J$2)),
  $H20 * (1 + Assumptions!$C$7) ^ INT(((YEAR(J$2)-YEAR($F20))*12 + MONTH(J$2)-MONTH($F20)) / 12),
  0)</f>
        <v>0</v>
      </c>
      <c r="K20" s="294">
        <f>IF(AND($F20&lt;=K$2, OR($G20="",$G20&gt;=K$2)),
  $H20 * (1 + Assumptions!$C$7) ^ INT(((YEAR(K$2)-YEAR($F20))*12 + MONTH(K$2)-MONTH($F20)) / 12),
  0)</f>
        <v>0</v>
      </c>
      <c r="L20" s="294">
        <f>IF(AND($F20&lt;=L$2, OR($G20="",$G20&gt;=L$2)),
  $H20 * (1 + Assumptions!$C$7) ^ INT(((YEAR(L$2)-YEAR($F20))*12 + MONTH(L$2)-MONTH($F20)) / 12),
  0)</f>
        <v>0</v>
      </c>
      <c r="M20" s="294">
        <f>IF(AND($F20&lt;=M$2, OR($G20="",$G20&gt;=M$2)),
  $H20 * (1 + Assumptions!$C$7) ^ INT(((YEAR(M$2)-YEAR($F20))*12 + MONTH(M$2)-MONTH($F20)) / 12),
  0)</f>
        <v>0</v>
      </c>
      <c r="N20" s="294">
        <f>IF(AND($F20&lt;=N$2, OR($G20="",$G20&gt;=N$2)),
  $H20 * (1 + Assumptions!$C$7) ^ INT(((YEAR(N$2)-YEAR($F20))*12 + MONTH(N$2)-MONTH($F20)) / 12),
  0)</f>
        <v>0</v>
      </c>
      <c r="O20" s="294">
        <f>IF(AND($F20&lt;=O$2, OR($G20="",$G20&gt;=O$2)),
  $H20 * (1 + Assumptions!$C$7) ^ INT(((YEAR(O$2)-YEAR($F20))*12 + MONTH(O$2)-MONTH($F20)) / 12),
  0)</f>
        <v>0</v>
      </c>
      <c r="P20" s="294">
        <f>IF(AND($F20&lt;=P$2, OR($G20="",$G20&gt;=P$2)),
  $H20 * (1 + Assumptions!$C$7) ^ INT(((YEAR(P$2)-YEAR($F20))*12 + MONTH(P$2)-MONTH($F20)) / 12),
  0)</f>
        <v>0</v>
      </c>
      <c r="Q20" s="294">
        <f>IF(AND($F20&lt;=Q$2, OR($G20="",$G20&gt;=Q$2)),
  $H20 * (1 + Assumptions!$C$7) ^ INT(((YEAR(Q$2)-YEAR($F20))*12 + MONTH(Q$2)-MONTH($F20)) / 12),
  0)</f>
        <v>0</v>
      </c>
      <c r="R20" s="294">
        <f>IF(AND($F20&lt;=R$2, OR($G20="",$G20&gt;=R$2)),
  $H20 * (1 + Assumptions!$C$7) ^ INT(((YEAR(R$2)-YEAR($F20))*12 + MONTH(R$2)-MONTH($F20)) / 12),
  0)</f>
        <v>0</v>
      </c>
      <c r="S20" s="294">
        <f>IF(AND($F20&lt;=S$2, OR($G20="",$G20&gt;=S$2)),
  $H20 * (1 + Assumptions!$C$7) ^ INT(((YEAR(S$2)-YEAR($F20))*12 + MONTH(S$2)-MONTH($F20)) / 12),
  0)</f>
        <v>0</v>
      </c>
      <c r="T20" s="294">
        <f>IF(AND($F20&lt;=T$2, OR($G20="",$G20&gt;=T$2)),
  $H20 * (1 + Assumptions!$C$7) ^ INT(((YEAR(T$2)-YEAR($F20))*12 + MONTH(T$2)-MONTH($F20)) / 12),
  0)</f>
        <v>0</v>
      </c>
      <c r="U20" s="294">
        <f>IF(AND($F20&lt;=U$2, OR($G20="",$G20&gt;=U$2)),
  $H20 * (1 + Assumptions!$C$7) ^ INT(((YEAR(U$2)-YEAR($F20))*12 + MONTH(U$2)-MONTH($F20)) / 12),
  0)</f>
        <v>0</v>
      </c>
      <c r="V20" s="294">
        <f>IF(AND($F20&lt;=V$2, OR($G20="",$G20&gt;=V$2)),
  $H20 * (1 + Assumptions!$C$7) ^ INT(((YEAR(V$2)-YEAR($F20))*12 + MONTH(V$2)-MONTH($F20)) / 12),
  0)</f>
        <v>0</v>
      </c>
      <c r="W20" s="294">
        <f>IF(AND($F20&lt;=W$2, OR($G20="",$G20&gt;=W$2)),
  $H20 * (1 + Assumptions!$C$7) ^ INT(((YEAR(W$2)-YEAR($F20))*12 + MONTH(W$2)-MONTH($F20)) / 12),
  0)</f>
        <v>0</v>
      </c>
      <c r="X20" s="294">
        <f>IF(AND($F20&lt;=X$2, OR($G20="",$G20&gt;=X$2)),
  $H20 * (1 + Assumptions!$C$7) ^ INT(((YEAR(X$2)-YEAR($F20))*12 + MONTH(X$2)-MONTH($F20)) / 12),
  0)</f>
        <v>0</v>
      </c>
      <c r="Y20" s="294">
        <f>IF(AND($F20&lt;=Y$2, OR($G20="",$G20&gt;=Y$2)),
  $H20 * (1 + Assumptions!$C$7) ^ INT(((YEAR(Y$2)-YEAR($F20))*12 + MONTH(Y$2)-MONTH($F20)) / 12),
  0)</f>
        <v>0</v>
      </c>
      <c r="Z20" s="294">
        <f>IF(AND($F20&lt;=Z$2, OR($G20="",$G20&gt;=Z$2)),
  $H20 * (1 + Assumptions!$C$7) ^ INT(((YEAR(Z$2)-YEAR($F20))*12 + MONTH(Z$2)-MONTH($F20)) / 12),
  0)</f>
        <v>0</v>
      </c>
      <c r="AA20" s="294">
        <f>IF(AND($F20&lt;=AA$2, OR($G20="",$G20&gt;=AA$2)),
  $H20 * (1 + Assumptions!$C$7) ^ INT(((YEAR(AA$2)-YEAR($F20))*12 + MONTH(AA$2)-MONTH($F20)) / 12),
  0)</f>
        <v>0</v>
      </c>
      <c r="AB20" s="294">
        <f>IF(AND($F20&lt;=AB$2, OR($G20="",$G20&gt;=AB$2)),
  $H20 * (1 + Assumptions!$C$7) ^ INT(((YEAR(AB$2)-YEAR($F20))*12 + MONTH(AB$2)-MONTH($F20)) / 12),
  0)</f>
        <v>0</v>
      </c>
      <c r="AC20" s="294">
        <f>IF(AND($F20&lt;=AC$2, OR($G20="",$G20&gt;=AC$2)),
  $H20 * (1 + Assumptions!$C$7) ^ INT(((YEAR(AC$2)-YEAR($F20))*12 + MONTH(AC$2)-MONTH($F20)) / 12),
  0)</f>
        <v>0</v>
      </c>
      <c r="AD20" s="294">
        <f>IF(AND($F20&lt;=AD$2, OR($G20="",$G20&gt;=AD$2)),
  $H20 * (1 + Assumptions!$C$7) ^ INT(((YEAR(AD$2)-YEAR($F20))*12 + MONTH(AD$2)-MONTH($F20)) / 12),
  0)</f>
        <v>9500</v>
      </c>
      <c r="AE20" s="294">
        <f>IF(AND($F20&lt;=AE$2, OR($G20="",$G20&gt;=AE$2)),
  $H20 * (1 + Assumptions!$C$7) ^ INT(((YEAR(AE$2)-YEAR($F20))*12 + MONTH(AE$2)-MONTH($F20)) / 12),
  0)</f>
        <v>9500</v>
      </c>
      <c r="AF20" s="294">
        <f>IF(AND($F20&lt;=AF$2, OR($G20="",$G20&gt;=AF$2)),
  $H20 * (1 + Assumptions!$C$7) ^ INT(((YEAR(AF$2)-YEAR($F20))*12 + MONTH(AF$2)-MONTH($F20)) / 12),
  0)</f>
        <v>9500</v>
      </c>
      <c r="AG20" s="294">
        <f>IF(AND($F20&lt;=AG$2, OR($G20="",$G20&gt;=AG$2)),
  $H20 * (1 + Assumptions!$C$7) ^ INT(((YEAR(AG$2)-YEAR($F20))*12 + MONTH(AG$2)-MONTH($F20)) / 12),
  0)</f>
        <v>9500</v>
      </c>
      <c r="AH20" s="294">
        <f>IF(AND($F20&lt;=AH$2, OR($G20="",$G20&gt;=AH$2)),
  $H20 * (1 + Assumptions!$C$7) ^ INT(((YEAR(AH$2)-YEAR($F20))*12 + MONTH(AH$2)-MONTH($F20)) / 12),
  0)</f>
        <v>9500</v>
      </c>
      <c r="AI20" s="294">
        <f>IF(AND($F20&lt;=AI$2, OR($G20="",$G20&gt;=AI$2)),
  $H20 * (1 + Assumptions!$C$7) ^ INT(((YEAR(AI$2)-YEAR($F20))*12 + MONTH(AI$2)-MONTH($F20)) / 12),
  0)</f>
        <v>9500</v>
      </c>
      <c r="AJ20" s="294">
        <f>IF(AND($F20&lt;=AJ$2, OR($G20="",$G20&gt;=AJ$2)),
  $H20 * (1 + Assumptions!$C$7) ^ INT(((YEAR(AJ$2)-YEAR($F20))*12 + MONTH(AJ$2)-MONTH($F20)) / 12),
  0)</f>
        <v>9500</v>
      </c>
      <c r="AK20" s="294">
        <f>IF(AND($F20&lt;=AK$2, OR($G20="",$G20&gt;=AK$2)),
  $H20 * (1 + Assumptions!$C$7) ^ INT(((YEAR(AK$2)-YEAR($F20))*12 + MONTH(AK$2)-MONTH($F20)) / 12),
  0)</f>
        <v>9500</v>
      </c>
      <c r="AL20" s="294">
        <f>IF(AND($F20&lt;=AL$2, OR($G20="",$G20&gt;=AL$2)),
  $H20 * (1 + Assumptions!$C$7) ^ INT(((YEAR(AL$2)-YEAR($F20))*12 + MONTH(AL$2)-MONTH($F20)) / 12),
  0)</f>
        <v>9500</v>
      </c>
      <c r="AM20" s="294">
        <f>IF(AND($F20&lt;=AM$2, OR($G20="",$G20&gt;=AM$2)),
  $H20 * (1 + Assumptions!$C$7) ^ INT(((YEAR(AM$2)-YEAR($F20))*12 + MONTH(AM$2)-MONTH($F20)) / 12),
  0)</f>
        <v>9500</v>
      </c>
      <c r="AN20" s="294">
        <f>IF(AND($F20&lt;=AN$2, OR($G20="",$G20&gt;=AN$2)),
  $H20 * (1 + Assumptions!$C$7) ^ INT(((YEAR(AN$2)-YEAR($F20))*12 + MONTH(AN$2)-MONTH($F20)) / 12),
  0)</f>
        <v>9500</v>
      </c>
      <c r="AO20" s="294">
        <f>IF(AND($F20&lt;=AO$2, OR($G20="",$G20&gt;=AO$2)),
  $H20 * (1 + Assumptions!$C$7) ^ INT(((YEAR(AO$2)-YEAR($F20))*12 + MONTH(AO$2)-MONTH($F20)) / 12),
  0)</f>
        <v>9500</v>
      </c>
      <c r="AP20" s="294">
        <f>IF(AND($F20&lt;=AP$2, OR($G20="",$G20&gt;=AP$2)),
  $H20 * (1 + Assumptions!$C$7) ^ INT(((YEAR(AP$2)-YEAR($F20))*12 + MONTH(AP$2)-MONTH($F20)) / 12),
  0)</f>
        <v>10260</v>
      </c>
      <c r="AQ20" s="294">
        <f>IF(AND($F20&lt;=AQ$2, OR($G20="",$G20&gt;=AQ$2)),
  $H20 * (1 + Assumptions!$C$7) ^ INT(((YEAR(AQ$2)-YEAR($F20))*12 + MONTH(AQ$2)-MONTH($F20)) / 12),
  0)</f>
        <v>10260</v>
      </c>
      <c r="AR20" s="294">
        <f>IF(AND($F20&lt;=AR$2, OR($G20="",$G20&gt;=AR$2)),
  $H20 * (1 + Assumptions!$C$7) ^ INT(((YEAR(AR$2)-YEAR($F20))*12 + MONTH(AR$2)-MONTH($F20)) / 12),
  0)</f>
        <v>10260</v>
      </c>
      <c r="AS20" s="294">
        <f>IF(AND($F20&lt;=AS$2, OR($G20="",$G20&gt;=AS$2)),
  $H20 * (1 + Assumptions!$C$7) ^ INT(((YEAR(AS$2)-YEAR($F20))*12 + MONTH(AS$2)-MONTH($F20)) / 12),
  0)</f>
        <v>10260</v>
      </c>
      <c r="AT20" s="294">
        <f>IF(AND($F20&lt;=AT$2, OR($G20="",$G20&gt;=AT$2)),
  $H20 * (1 + Assumptions!$C$7) ^ INT(((YEAR(AT$2)-YEAR($F20))*12 + MONTH(AT$2)-MONTH($F20)) / 12),
  0)</f>
        <v>10260</v>
      </c>
      <c r="AU20" s="294">
        <f>IF(AND($F20&lt;=AU$2, OR($G20="",$G20&gt;=AU$2)),
  $H20 * (1 + Assumptions!$C$7) ^ INT(((YEAR(AU$2)-YEAR($F20))*12 + MONTH(AU$2)-MONTH($F20)) / 12),
  0)</f>
        <v>10260</v>
      </c>
      <c r="AV20" s="294">
        <f>IF(AND($F20&lt;=AV$2, OR($G20="",$G20&gt;=AV$2)),
  $H20 * (1 + Assumptions!$C$7) ^ INT(((YEAR(AV$2)-YEAR($F20))*12 + MONTH(AV$2)-MONTH($F20)) / 12),
  0)</f>
        <v>10260</v>
      </c>
      <c r="AW20" s="294">
        <f>IF(AND($F20&lt;=AW$2, OR($G20="",$G20&gt;=AW$2)),
  $H20 * (1 + Assumptions!$C$7) ^ INT(((YEAR(AW$2)-YEAR($F20))*12 + MONTH(AW$2)-MONTH($F20)) / 12),
  0)</f>
        <v>10260</v>
      </c>
      <c r="AX20" s="294">
        <f>IF(AND($F20&lt;=AX$2, OR($G20="",$G20&gt;=AX$2)),
  $H20 * (1 + Assumptions!$C$7) ^ INT(((YEAR(AX$2)-YEAR($F20))*12 + MONTH(AX$2)-MONTH($F20)) / 12),
  0)</f>
        <v>10260</v>
      </c>
      <c r="AY20" s="294">
        <f>IF(AND($F20&lt;=AY$2, OR($G20="",$G20&gt;=AY$2)),
  $H20 * (1 + Assumptions!$C$7) ^ INT(((YEAR(AY$2)-YEAR($F20))*12 + MONTH(AY$2)-MONTH($F20)) / 12),
  0)</f>
        <v>10260</v>
      </c>
      <c r="AZ20" s="294">
        <f>IF(AND($F20&lt;=AZ$2, OR($G20="",$G20&gt;=AZ$2)),
  $H20 * (1 + Assumptions!$C$7) ^ INT(((YEAR(AZ$2)-YEAR($F20))*12 + MONTH(AZ$2)-MONTH($F20)) / 12),
  0)</f>
        <v>10260</v>
      </c>
      <c r="BA20" s="294">
        <f>IF(AND($F20&lt;=BA$2, OR($G20="",$G20&gt;=BA$2)),
  $H20 * (1 + Assumptions!$C$7) ^ INT(((YEAR(BA$2)-YEAR($F20))*12 + MONTH(BA$2)-MONTH($F20)) / 12),
  0)</f>
        <v>10260</v>
      </c>
      <c r="BB20" s="294">
        <f>IF(AND($F20&lt;=BB$2, OR($G20="",$G20&gt;=BB$2)),
  $H20 * (1 + Assumptions!$C$7) ^ INT(((YEAR(BB$2)-YEAR($F20))*12 + MONTH(BB$2)-MONTH($F20)) / 12),
  0)</f>
        <v>11080.8</v>
      </c>
      <c r="BC20" s="294">
        <f>IF(AND($F20&lt;=BC$2, OR($G20="",$G20&gt;=BC$2)),
  $H20 * (1 + Assumptions!$C$7) ^ INT(((YEAR(BC$2)-YEAR($F20))*12 + MONTH(BC$2)-MONTH($F20)) / 12),
  0)</f>
        <v>11080.8</v>
      </c>
      <c r="BD20" s="294">
        <f>IF(AND($F20&lt;=BD$2, OR($G20="",$G20&gt;=BD$2)),
  $H20 * (1 + Assumptions!$C$7) ^ INT(((YEAR(BD$2)-YEAR($F20))*12 + MONTH(BD$2)-MONTH($F20)) / 12),
  0)</f>
        <v>11080.8</v>
      </c>
      <c r="BE20" s="294">
        <f>IF(AND($F20&lt;=BE$2, OR($G20="",$G20&gt;=BE$2)),
  $H20 * (1 + Assumptions!$C$7) ^ INT(((YEAR(BE$2)-YEAR($F20))*12 + MONTH(BE$2)-MONTH($F20)) / 12),
  0)</f>
        <v>11080.8</v>
      </c>
      <c r="BF20" s="294">
        <f>IF(AND($F20&lt;=BF$2, OR($G20="",$G20&gt;=BF$2)),
  $H20 * (1 + Assumptions!$C$7) ^ INT(((YEAR(BF$2)-YEAR($F20))*12 + MONTH(BF$2)-MONTH($F20)) / 12),
  0)</f>
        <v>11080.8</v>
      </c>
      <c r="BG20" s="294">
        <f>IF(AND($F20&lt;=BG$2, OR($G20="",$G20&gt;=BG$2)),
  $H20 * (1 + Assumptions!$C$7) ^ INT(((YEAR(BG$2)-YEAR($F20))*12 + MONTH(BG$2)-MONTH($F20)) / 12),
  0)</f>
        <v>11080.8</v>
      </c>
      <c r="BH20" s="294">
        <f>IF(AND($F20&lt;=BH$2, OR($G20="",$G20&gt;=BH$2)),
  $H20 * (1 + Assumptions!$C$7) ^ INT(((YEAR(BH$2)-YEAR($F20))*12 + MONTH(BH$2)-MONTH($F20)) / 12),
  0)</f>
        <v>11080.8</v>
      </c>
      <c r="BI20" s="294">
        <f>IF(AND($F20&lt;=BI$2, OR($G20="",$G20&gt;=BI$2)),
  $H20 * (1 + Assumptions!$C$7) ^ INT(((YEAR(BI$2)-YEAR($F20))*12 + MONTH(BI$2)-MONTH($F20)) / 12),
  0)</f>
        <v>11080.8</v>
      </c>
      <c r="BJ20" s="294">
        <f>IF(AND($F20&lt;=BJ$2, OR($G20="",$G20&gt;=BJ$2)),
  $H20 * (1 + Assumptions!$C$7) ^ INT(((YEAR(BJ$2)-YEAR($F20))*12 + MONTH(BJ$2)-MONTH($F20)) / 12),
  0)</f>
        <v>11080.8</v>
      </c>
      <c r="BK20" s="294">
        <f>IF(AND($F20&lt;=BK$2, OR($G20="",$G20&gt;=BK$2)),
  $H20 * (1 + Assumptions!$C$7) ^ INT(((YEAR(BK$2)-YEAR($F20))*12 + MONTH(BK$2)-MONTH($F20)) / 12),
  0)</f>
        <v>11080.8</v>
      </c>
      <c r="BL20" s="294">
        <f>IF(AND($F20&lt;=BL$2, OR($G20="",$G20&gt;=BL$2)),
  $H20 * (1 + Assumptions!$C$7) ^ INT(((YEAR(BL$2)-YEAR($F20))*12 + MONTH(BL$2)-MONTH($F20)) / 12),
  0)</f>
        <v>11080.8</v>
      </c>
      <c r="BM20" s="294">
        <f>IF(AND($F20&lt;=BM$2, OR($G20="",$G20&gt;=BM$2)),
  $H20 * (1 + Assumptions!$C$7) ^ INT(((YEAR(BM$2)-YEAR($F20))*12 + MONTH(BM$2)-MONTH($F20)) / 12),
  0)</f>
        <v>11080.8</v>
      </c>
      <c r="BN20" s="294">
        <f>IF(AND($F20&lt;=BN$2, OR($G20="",$G20&gt;=BN$2)),
  $H20 * (1 + Assumptions!$C$7) ^ INT(((YEAR(BN$2)-YEAR($F20))*12 + MONTH(BN$2)-MONTH($F20)) / 12),
  0)</f>
        <v>11967.264</v>
      </c>
      <c r="BO20" s="294">
        <f>IF(AND($F20&lt;=BO$2, OR($G20="",$G20&gt;=BO$2)),
  $H20 * (1 + Assumptions!$C$7) ^ INT(((YEAR(BO$2)-YEAR($F20))*12 + MONTH(BO$2)-MONTH($F20)) / 12),
  0)</f>
        <v>11967.264</v>
      </c>
      <c r="BP20" s="294">
        <f>IF(AND($F20&lt;=BP$2, OR($G20="",$G20&gt;=BP$2)),
  $H20 * (1 + Assumptions!$C$7) ^ INT(((YEAR(BP$2)-YEAR($F20))*12 + MONTH(BP$2)-MONTH($F20)) / 12),
  0)</f>
        <v>11967.264</v>
      </c>
      <c r="BQ20" s="35"/>
    </row>
    <row r="21" ht="15.75" customHeight="1">
      <c r="A21" s="301">
        <v>17.0</v>
      </c>
      <c r="B21" s="285" t="s">
        <v>342</v>
      </c>
      <c r="C21" s="302" t="s">
        <v>145</v>
      </c>
      <c r="D21" s="302" t="s">
        <v>348</v>
      </c>
      <c r="E21" s="292" t="s">
        <v>344</v>
      </c>
      <c r="F21" s="286">
        <v>46296.0</v>
      </c>
      <c r="G21" s="286"/>
      <c r="H21" s="288">
        <v>6500.0</v>
      </c>
      <c r="I21" s="294">
        <f>IF(AND($F21&lt;=I$2, OR($G21="",$G21&gt;=I$2)),
  $H21 * (1 + Assumptions!$C$7) ^ INT(((YEAR(I$2)-YEAR($F21))*12 + MONTH(I$2)-MONTH($F21)) / 12),
  0)</f>
        <v>0</v>
      </c>
      <c r="J21" s="294">
        <f>IF(AND($F21&lt;=J$2, OR($G21="",$G21&gt;=J$2)),
  $H21 * (1 + Assumptions!$C$7) ^ INT(((YEAR(J$2)-YEAR($F21))*12 + MONTH(J$2)-MONTH($F21)) / 12),
  0)</f>
        <v>0</v>
      </c>
      <c r="K21" s="294">
        <f>IF(AND($F21&lt;=K$2, OR($G21="",$G21&gt;=K$2)),
  $H21 * (1 + Assumptions!$C$7) ^ INT(((YEAR(K$2)-YEAR($F21))*12 + MONTH(K$2)-MONTH($F21)) / 12),
  0)</f>
        <v>0</v>
      </c>
      <c r="L21" s="294">
        <f>IF(AND($F21&lt;=L$2, OR($G21="",$G21&gt;=L$2)),
  $H21 * (1 + Assumptions!$C$7) ^ INT(((YEAR(L$2)-YEAR($F21))*12 + MONTH(L$2)-MONTH($F21)) / 12),
  0)</f>
        <v>0</v>
      </c>
      <c r="M21" s="294">
        <f>IF(AND($F21&lt;=M$2, OR($G21="",$G21&gt;=M$2)),
  $H21 * (1 + Assumptions!$C$7) ^ INT(((YEAR(M$2)-YEAR($F21))*12 + MONTH(M$2)-MONTH($F21)) / 12),
  0)</f>
        <v>0</v>
      </c>
      <c r="N21" s="294">
        <f>IF(AND($F21&lt;=N$2, OR($G21="",$G21&gt;=N$2)),
  $H21 * (1 + Assumptions!$C$7) ^ INT(((YEAR(N$2)-YEAR($F21))*12 + MONTH(N$2)-MONTH($F21)) / 12),
  0)</f>
        <v>0</v>
      </c>
      <c r="O21" s="294">
        <f>IF(AND($F21&lt;=O$2, OR($G21="",$G21&gt;=O$2)),
  $H21 * (1 + Assumptions!$C$7) ^ INT(((YEAR(O$2)-YEAR($F21))*12 + MONTH(O$2)-MONTH($F21)) / 12),
  0)</f>
        <v>0</v>
      </c>
      <c r="P21" s="294">
        <f>IF(AND($F21&lt;=P$2, OR($G21="",$G21&gt;=P$2)),
  $H21 * (1 + Assumptions!$C$7) ^ INT(((YEAR(P$2)-YEAR($F21))*12 + MONTH(P$2)-MONTH($F21)) / 12),
  0)</f>
        <v>0</v>
      </c>
      <c r="Q21" s="294">
        <f>IF(AND($F21&lt;=Q$2, OR($G21="",$G21&gt;=Q$2)),
  $H21 * (1 + Assumptions!$C$7) ^ INT(((YEAR(Q$2)-YEAR($F21))*12 + MONTH(Q$2)-MONTH($F21)) / 12),
  0)</f>
        <v>0</v>
      </c>
      <c r="R21" s="294">
        <f>IF(AND($F21&lt;=R$2, OR($G21="",$G21&gt;=R$2)),
  $H21 * (1 + Assumptions!$C$7) ^ INT(((YEAR(R$2)-YEAR($F21))*12 + MONTH(R$2)-MONTH($F21)) / 12),
  0)</f>
        <v>0</v>
      </c>
      <c r="S21" s="294">
        <f>IF(AND($F21&lt;=S$2, OR($G21="",$G21&gt;=S$2)),
  $H21 * (1 + Assumptions!$C$7) ^ INT(((YEAR(S$2)-YEAR($F21))*12 + MONTH(S$2)-MONTH($F21)) / 12),
  0)</f>
        <v>0</v>
      </c>
      <c r="T21" s="294">
        <f>IF(AND($F21&lt;=T$2, OR($G21="",$G21&gt;=T$2)),
  $H21 * (1 + Assumptions!$C$7) ^ INT(((YEAR(T$2)-YEAR($F21))*12 + MONTH(T$2)-MONTH($F21)) / 12),
  0)</f>
        <v>0</v>
      </c>
      <c r="U21" s="294">
        <f>IF(AND($F21&lt;=U$2, OR($G21="",$G21&gt;=U$2)),
  $H21 * (1 + Assumptions!$C$7) ^ INT(((YEAR(U$2)-YEAR($F21))*12 + MONTH(U$2)-MONTH($F21)) / 12),
  0)</f>
        <v>0</v>
      </c>
      <c r="V21" s="294">
        <f>IF(AND($F21&lt;=V$2, OR($G21="",$G21&gt;=V$2)),
  $H21 * (1 + Assumptions!$C$7) ^ INT(((YEAR(V$2)-YEAR($F21))*12 + MONTH(V$2)-MONTH($F21)) / 12),
  0)</f>
        <v>0</v>
      </c>
      <c r="W21" s="294">
        <f>IF(AND($F21&lt;=W$2, OR($G21="",$G21&gt;=W$2)),
  $H21 * (1 + Assumptions!$C$7) ^ INT(((YEAR(W$2)-YEAR($F21))*12 + MONTH(W$2)-MONTH($F21)) / 12),
  0)</f>
        <v>0</v>
      </c>
      <c r="X21" s="294">
        <f>IF(AND($F21&lt;=X$2, OR($G21="",$G21&gt;=X$2)),
  $H21 * (1 + Assumptions!$C$7) ^ INT(((YEAR(X$2)-YEAR($F21))*12 + MONTH(X$2)-MONTH($F21)) / 12),
  0)</f>
        <v>0</v>
      </c>
      <c r="Y21" s="294">
        <f>IF(AND($F21&lt;=Y$2, OR($G21="",$G21&gt;=Y$2)),
  $H21 * (1 + Assumptions!$C$7) ^ INT(((YEAR(Y$2)-YEAR($F21))*12 + MONTH(Y$2)-MONTH($F21)) / 12),
  0)</f>
        <v>0</v>
      </c>
      <c r="Z21" s="294">
        <f>IF(AND($F21&lt;=Z$2, OR($G21="",$G21&gt;=Z$2)),
  $H21 * (1 + Assumptions!$C$7) ^ INT(((YEAR(Z$2)-YEAR($F21))*12 + MONTH(Z$2)-MONTH($F21)) / 12),
  0)</f>
        <v>0</v>
      </c>
      <c r="AA21" s="294">
        <f>IF(AND($F21&lt;=AA$2, OR($G21="",$G21&gt;=AA$2)),
  $H21 * (1 + Assumptions!$C$7) ^ INT(((YEAR(AA$2)-YEAR($F21))*12 + MONTH(AA$2)-MONTH($F21)) / 12),
  0)</f>
        <v>0</v>
      </c>
      <c r="AB21" s="294">
        <f>IF(AND($F21&lt;=AB$2, OR($G21="",$G21&gt;=AB$2)),
  $H21 * (1 + Assumptions!$C$7) ^ INT(((YEAR(AB$2)-YEAR($F21))*12 + MONTH(AB$2)-MONTH($F21)) / 12),
  0)</f>
        <v>0</v>
      </c>
      <c r="AC21" s="294">
        <f>IF(AND($F21&lt;=AC$2, OR($G21="",$G21&gt;=AC$2)),
  $H21 * (1 + Assumptions!$C$7) ^ INT(((YEAR(AC$2)-YEAR($F21))*12 + MONTH(AC$2)-MONTH($F21)) / 12),
  0)</f>
        <v>0</v>
      </c>
      <c r="AD21" s="294">
        <f>IF(AND($F21&lt;=AD$2, OR($G21="",$G21&gt;=AD$2)),
  $H21 * (1 + Assumptions!$C$7) ^ INT(((YEAR(AD$2)-YEAR($F21))*12 + MONTH(AD$2)-MONTH($F21)) / 12),
  0)</f>
        <v>6500</v>
      </c>
      <c r="AE21" s="294">
        <f>IF(AND($F21&lt;=AE$2, OR($G21="",$G21&gt;=AE$2)),
  $H21 * (1 + Assumptions!$C$7) ^ INT(((YEAR(AE$2)-YEAR($F21))*12 + MONTH(AE$2)-MONTH($F21)) / 12),
  0)</f>
        <v>6500</v>
      </c>
      <c r="AF21" s="294">
        <f>IF(AND($F21&lt;=AF$2, OR($G21="",$G21&gt;=AF$2)),
  $H21 * (1 + Assumptions!$C$7) ^ INT(((YEAR(AF$2)-YEAR($F21))*12 + MONTH(AF$2)-MONTH($F21)) / 12),
  0)</f>
        <v>6500</v>
      </c>
      <c r="AG21" s="294">
        <f>IF(AND($F21&lt;=AG$2, OR($G21="",$G21&gt;=AG$2)),
  $H21 * (1 + Assumptions!$C$7) ^ INT(((YEAR(AG$2)-YEAR($F21))*12 + MONTH(AG$2)-MONTH($F21)) / 12),
  0)</f>
        <v>6500</v>
      </c>
      <c r="AH21" s="294">
        <f>IF(AND($F21&lt;=AH$2, OR($G21="",$G21&gt;=AH$2)),
  $H21 * (1 + Assumptions!$C$7) ^ INT(((YEAR(AH$2)-YEAR($F21))*12 + MONTH(AH$2)-MONTH($F21)) / 12),
  0)</f>
        <v>6500</v>
      </c>
      <c r="AI21" s="294">
        <f>IF(AND($F21&lt;=AI$2, OR($G21="",$G21&gt;=AI$2)),
  $H21 * (1 + Assumptions!$C$7) ^ INT(((YEAR(AI$2)-YEAR($F21))*12 + MONTH(AI$2)-MONTH($F21)) / 12),
  0)</f>
        <v>6500</v>
      </c>
      <c r="AJ21" s="294">
        <f>IF(AND($F21&lt;=AJ$2, OR($G21="",$G21&gt;=AJ$2)),
  $H21 * (1 + Assumptions!$C$7) ^ INT(((YEAR(AJ$2)-YEAR($F21))*12 + MONTH(AJ$2)-MONTH($F21)) / 12),
  0)</f>
        <v>6500</v>
      </c>
      <c r="AK21" s="294">
        <f>IF(AND($F21&lt;=AK$2, OR($G21="",$G21&gt;=AK$2)),
  $H21 * (1 + Assumptions!$C$7) ^ INT(((YEAR(AK$2)-YEAR($F21))*12 + MONTH(AK$2)-MONTH($F21)) / 12),
  0)</f>
        <v>6500</v>
      </c>
      <c r="AL21" s="294">
        <f>IF(AND($F21&lt;=AL$2, OR($G21="",$G21&gt;=AL$2)),
  $H21 * (1 + Assumptions!$C$7) ^ INT(((YEAR(AL$2)-YEAR($F21))*12 + MONTH(AL$2)-MONTH($F21)) / 12),
  0)</f>
        <v>6500</v>
      </c>
      <c r="AM21" s="294">
        <f>IF(AND($F21&lt;=AM$2, OR($G21="",$G21&gt;=AM$2)),
  $H21 * (1 + Assumptions!$C$7) ^ INT(((YEAR(AM$2)-YEAR($F21))*12 + MONTH(AM$2)-MONTH($F21)) / 12),
  0)</f>
        <v>6500</v>
      </c>
      <c r="AN21" s="294">
        <f>IF(AND($F21&lt;=AN$2, OR($G21="",$G21&gt;=AN$2)),
  $H21 * (1 + Assumptions!$C$7) ^ INT(((YEAR(AN$2)-YEAR($F21))*12 + MONTH(AN$2)-MONTH($F21)) / 12),
  0)</f>
        <v>6500</v>
      </c>
      <c r="AO21" s="294">
        <f>IF(AND($F21&lt;=AO$2, OR($G21="",$G21&gt;=AO$2)),
  $H21 * (1 + Assumptions!$C$7) ^ INT(((YEAR(AO$2)-YEAR($F21))*12 + MONTH(AO$2)-MONTH($F21)) / 12),
  0)</f>
        <v>6500</v>
      </c>
      <c r="AP21" s="294">
        <f>IF(AND($F21&lt;=AP$2, OR($G21="",$G21&gt;=AP$2)),
  $H21 * (1 + Assumptions!$C$7) ^ INT(((YEAR(AP$2)-YEAR($F21))*12 + MONTH(AP$2)-MONTH($F21)) / 12),
  0)</f>
        <v>7020</v>
      </c>
      <c r="AQ21" s="294">
        <f>IF(AND($F21&lt;=AQ$2, OR($G21="",$G21&gt;=AQ$2)),
  $H21 * (1 + Assumptions!$C$7) ^ INT(((YEAR(AQ$2)-YEAR($F21))*12 + MONTH(AQ$2)-MONTH($F21)) / 12),
  0)</f>
        <v>7020</v>
      </c>
      <c r="AR21" s="294">
        <f>IF(AND($F21&lt;=AR$2, OR($G21="",$G21&gt;=AR$2)),
  $H21 * (1 + Assumptions!$C$7) ^ INT(((YEAR(AR$2)-YEAR($F21))*12 + MONTH(AR$2)-MONTH($F21)) / 12),
  0)</f>
        <v>7020</v>
      </c>
      <c r="AS21" s="294">
        <f>IF(AND($F21&lt;=AS$2, OR($G21="",$G21&gt;=AS$2)),
  $H21 * (1 + Assumptions!$C$7) ^ INT(((YEAR(AS$2)-YEAR($F21))*12 + MONTH(AS$2)-MONTH($F21)) / 12),
  0)</f>
        <v>7020</v>
      </c>
      <c r="AT21" s="294">
        <f>IF(AND($F21&lt;=AT$2, OR($G21="",$G21&gt;=AT$2)),
  $H21 * (1 + Assumptions!$C$7) ^ INT(((YEAR(AT$2)-YEAR($F21))*12 + MONTH(AT$2)-MONTH($F21)) / 12),
  0)</f>
        <v>7020</v>
      </c>
      <c r="AU21" s="294">
        <f>IF(AND($F21&lt;=AU$2, OR($G21="",$G21&gt;=AU$2)),
  $H21 * (1 + Assumptions!$C$7) ^ INT(((YEAR(AU$2)-YEAR($F21))*12 + MONTH(AU$2)-MONTH($F21)) / 12),
  0)</f>
        <v>7020</v>
      </c>
      <c r="AV21" s="294">
        <f>IF(AND($F21&lt;=AV$2, OR($G21="",$G21&gt;=AV$2)),
  $H21 * (1 + Assumptions!$C$7) ^ INT(((YEAR(AV$2)-YEAR($F21))*12 + MONTH(AV$2)-MONTH($F21)) / 12),
  0)</f>
        <v>7020</v>
      </c>
      <c r="AW21" s="294">
        <f>IF(AND($F21&lt;=AW$2, OR($G21="",$G21&gt;=AW$2)),
  $H21 * (1 + Assumptions!$C$7) ^ INT(((YEAR(AW$2)-YEAR($F21))*12 + MONTH(AW$2)-MONTH($F21)) / 12),
  0)</f>
        <v>7020</v>
      </c>
      <c r="AX21" s="294">
        <f>IF(AND($F21&lt;=AX$2, OR($G21="",$G21&gt;=AX$2)),
  $H21 * (1 + Assumptions!$C$7) ^ INT(((YEAR(AX$2)-YEAR($F21))*12 + MONTH(AX$2)-MONTH($F21)) / 12),
  0)</f>
        <v>7020</v>
      </c>
      <c r="AY21" s="294">
        <f>IF(AND($F21&lt;=AY$2, OR($G21="",$G21&gt;=AY$2)),
  $H21 * (1 + Assumptions!$C$7) ^ INT(((YEAR(AY$2)-YEAR($F21))*12 + MONTH(AY$2)-MONTH($F21)) / 12),
  0)</f>
        <v>7020</v>
      </c>
      <c r="AZ21" s="294">
        <f>IF(AND($F21&lt;=AZ$2, OR($G21="",$G21&gt;=AZ$2)),
  $H21 * (1 + Assumptions!$C$7) ^ INT(((YEAR(AZ$2)-YEAR($F21))*12 + MONTH(AZ$2)-MONTH($F21)) / 12),
  0)</f>
        <v>7020</v>
      </c>
      <c r="BA21" s="294">
        <f>IF(AND($F21&lt;=BA$2, OR($G21="",$G21&gt;=BA$2)),
  $H21 * (1 + Assumptions!$C$7) ^ INT(((YEAR(BA$2)-YEAR($F21))*12 + MONTH(BA$2)-MONTH($F21)) / 12),
  0)</f>
        <v>7020</v>
      </c>
      <c r="BB21" s="294">
        <f>IF(AND($F21&lt;=BB$2, OR($G21="",$G21&gt;=BB$2)),
  $H21 * (1 + Assumptions!$C$7) ^ INT(((YEAR(BB$2)-YEAR($F21))*12 + MONTH(BB$2)-MONTH($F21)) / 12),
  0)</f>
        <v>7581.6</v>
      </c>
      <c r="BC21" s="294">
        <f>IF(AND($F21&lt;=BC$2, OR($G21="",$G21&gt;=BC$2)),
  $H21 * (1 + Assumptions!$C$7) ^ INT(((YEAR(BC$2)-YEAR($F21))*12 + MONTH(BC$2)-MONTH($F21)) / 12),
  0)</f>
        <v>7581.6</v>
      </c>
      <c r="BD21" s="294">
        <f>IF(AND($F21&lt;=BD$2, OR($G21="",$G21&gt;=BD$2)),
  $H21 * (1 + Assumptions!$C$7) ^ INT(((YEAR(BD$2)-YEAR($F21))*12 + MONTH(BD$2)-MONTH($F21)) / 12),
  0)</f>
        <v>7581.6</v>
      </c>
      <c r="BE21" s="294">
        <f>IF(AND($F21&lt;=BE$2, OR($G21="",$G21&gt;=BE$2)),
  $H21 * (1 + Assumptions!$C$7) ^ INT(((YEAR(BE$2)-YEAR($F21))*12 + MONTH(BE$2)-MONTH($F21)) / 12),
  0)</f>
        <v>7581.6</v>
      </c>
      <c r="BF21" s="294">
        <f>IF(AND($F21&lt;=BF$2, OR($G21="",$G21&gt;=BF$2)),
  $H21 * (1 + Assumptions!$C$7) ^ INT(((YEAR(BF$2)-YEAR($F21))*12 + MONTH(BF$2)-MONTH($F21)) / 12),
  0)</f>
        <v>7581.6</v>
      </c>
      <c r="BG21" s="294">
        <f>IF(AND($F21&lt;=BG$2, OR($G21="",$G21&gt;=BG$2)),
  $H21 * (1 + Assumptions!$C$7) ^ INT(((YEAR(BG$2)-YEAR($F21))*12 + MONTH(BG$2)-MONTH($F21)) / 12),
  0)</f>
        <v>7581.6</v>
      </c>
      <c r="BH21" s="294">
        <f>IF(AND($F21&lt;=BH$2, OR($G21="",$G21&gt;=BH$2)),
  $H21 * (1 + Assumptions!$C$7) ^ INT(((YEAR(BH$2)-YEAR($F21))*12 + MONTH(BH$2)-MONTH($F21)) / 12),
  0)</f>
        <v>7581.6</v>
      </c>
      <c r="BI21" s="294">
        <f>IF(AND($F21&lt;=BI$2, OR($G21="",$G21&gt;=BI$2)),
  $H21 * (1 + Assumptions!$C$7) ^ INT(((YEAR(BI$2)-YEAR($F21))*12 + MONTH(BI$2)-MONTH($F21)) / 12),
  0)</f>
        <v>7581.6</v>
      </c>
      <c r="BJ21" s="294">
        <f>IF(AND($F21&lt;=BJ$2, OR($G21="",$G21&gt;=BJ$2)),
  $H21 * (1 + Assumptions!$C$7) ^ INT(((YEAR(BJ$2)-YEAR($F21))*12 + MONTH(BJ$2)-MONTH($F21)) / 12),
  0)</f>
        <v>7581.6</v>
      </c>
      <c r="BK21" s="294">
        <f>IF(AND($F21&lt;=BK$2, OR($G21="",$G21&gt;=BK$2)),
  $H21 * (1 + Assumptions!$C$7) ^ INT(((YEAR(BK$2)-YEAR($F21))*12 + MONTH(BK$2)-MONTH($F21)) / 12),
  0)</f>
        <v>7581.6</v>
      </c>
      <c r="BL21" s="294">
        <f>IF(AND($F21&lt;=BL$2, OR($G21="",$G21&gt;=BL$2)),
  $H21 * (1 + Assumptions!$C$7) ^ INT(((YEAR(BL$2)-YEAR($F21))*12 + MONTH(BL$2)-MONTH($F21)) / 12),
  0)</f>
        <v>7581.6</v>
      </c>
      <c r="BM21" s="294">
        <f>IF(AND($F21&lt;=BM$2, OR($G21="",$G21&gt;=BM$2)),
  $H21 * (1 + Assumptions!$C$7) ^ INT(((YEAR(BM$2)-YEAR($F21))*12 + MONTH(BM$2)-MONTH($F21)) / 12),
  0)</f>
        <v>7581.6</v>
      </c>
      <c r="BN21" s="294">
        <f>IF(AND($F21&lt;=BN$2, OR($G21="",$G21&gt;=BN$2)),
  $H21 * (1 + Assumptions!$C$7) ^ INT(((YEAR(BN$2)-YEAR($F21))*12 + MONTH(BN$2)-MONTH($F21)) / 12),
  0)</f>
        <v>8188.128</v>
      </c>
      <c r="BO21" s="294">
        <f>IF(AND($F21&lt;=BO$2, OR($G21="",$G21&gt;=BO$2)),
  $H21 * (1 + Assumptions!$C$7) ^ INT(((YEAR(BO$2)-YEAR($F21))*12 + MONTH(BO$2)-MONTH($F21)) / 12),
  0)</f>
        <v>8188.128</v>
      </c>
      <c r="BP21" s="294">
        <f>IF(AND($F21&lt;=BP$2, OR($G21="",$G21&gt;=BP$2)),
  $H21 * (1 + Assumptions!$C$7) ^ INT(((YEAR(BP$2)-YEAR($F21))*12 + MONTH(BP$2)-MONTH($F21)) / 12),
  0)</f>
        <v>8188.128</v>
      </c>
      <c r="BQ21" s="35"/>
    </row>
    <row r="22" ht="15.75" customHeight="1">
      <c r="A22" s="301">
        <v>18.0</v>
      </c>
      <c r="B22" s="285" t="s">
        <v>342</v>
      </c>
      <c r="C22" s="285" t="s">
        <v>148</v>
      </c>
      <c r="D22" s="75" t="s">
        <v>328</v>
      </c>
      <c r="E22" s="292" t="s">
        <v>344</v>
      </c>
      <c r="F22" s="286">
        <v>46388.0</v>
      </c>
      <c r="G22" s="304"/>
      <c r="H22" s="288">
        <v>7500.0</v>
      </c>
      <c r="I22" s="294">
        <f>IF(AND($F22&lt;=I$2, OR($G22="",$G22&gt;=I$2)),
  $H22 * (1 + Assumptions!$C$7) ^ INT(((YEAR(I$2)-YEAR($F22))*12 + MONTH(I$2)-MONTH($F22)) / 12),
  0)</f>
        <v>0</v>
      </c>
      <c r="J22" s="294">
        <f>IF(AND($F22&lt;=J$2, OR($G22="",$G22&gt;=J$2)),
  $H22 * (1 + Assumptions!$C$7) ^ INT(((YEAR(J$2)-YEAR($F22))*12 + MONTH(J$2)-MONTH($F22)) / 12),
  0)</f>
        <v>0</v>
      </c>
      <c r="K22" s="294">
        <f>IF(AND($F22&lt;=K$2, OR($G22="",$G22&gt;=K$2)),
  $H22 * (1 + Assumptions!$C$7) ^ INT(((YEAR(K$2)-YEAR($F22))*12 + MONTH(K$2)-MONTH($F22)) / 12),
  0)</f>
        <v>0</v>
      </c>
      <c r="L22" s="294">
        <f>IF(AND($F22&lt;=L$2, OR($G22="",$G22&gt;=L$2)),
  $H22 * (1 + Assumptions!$C$7) ^ INT(((YEAR(L$2)-YEAR($F22))*12 + MONTH(L$2)-MONTH($F22)) / 12),
  0)</f>
        <v>0</v>
      </c>
      <c r="M22" s="294">
        <f>IF(AND($F22&lt;=M$2, OR($G22="",$G22&gt;=M$2)),
  $H22 * (1 + Assumptions!$C$7) ^ INT(((YEAR(M$2)-YEAR($F22))*12 + MONTH(M$2)-MONTH($F22)) / 12),
  0)</f>
        <v>0</v>
      </c>
      <c r="N22" s="294">
        <f>IF(AND($F22&lt;=N$2, OR($G22="",$G22&gt;=N$2)),
  $H22 * (1 + Assumptions!$C$7) ^ INT(((YEAR(N$2)-YEAR($F22))*12 + MONTH(N$2)-MONTH($F22)) / 12),
  0)</f>
        <v>0</v>
      </c>
      <c r="O22" s="294">
        <f>IF(AND($F22&lt;=O$2, OR($G22="",$G22&gt;=O$2)),
  $H22 * (1 + Assumptions!$C$7) ^ INT(((YEAR(O$2)-YEAR($F22))*12 + MONTH(O$2)-MONTH($F22)) / 12),
  0)</f>
        <v>0</v>
      </c>
      <c r="P22" s="294">
        <f>IF(AND($F22&lt;=P$2, OR($G22="",$G22&gt;=P$2)),
  $H22 * (1 + Assumptions!$C$7) ^ INT(((YEAR(P$2)-YEAR($F22))*12 + MONTH(P$2)-MONTH($F22)) / 12),
  0)</f>
        <v>0</v>
      </c>
      <c r="Q22" s="294">
        <f>IF(AND($F22&lt;=Q$2, OR($G22="",$G22&gt;=Q$2)),
  $H22 * (1 + Assumptions!$C$7) ^ INT(((YEAR(Q$2)-YEAR($F22))*12 + MONTH(Q$2)-MONTH($F22)) / 12),
  0)</f>
        <v>0</v>
      </c>
      <c r="R22" s="294">
        <f>IF(AND($F22&lt;=R$2, OR($G22="",$G22&gt;=R$2)),
  $H22 * (1 + Assumptions!$C$7) ^ INT(((YEAR(R$2)-YEAR($F22))*12 + MONTH(R$2)-MONTH($F22)) / 12),
  0)</f>
        <v>0</v>
      </c>
      <c r="S22" s="294">
        <f>IF(AND($F22&lt;=S$2, OR($G22="",$G22&gt;=S$2)),
  $H22 * (1 + Assumptions!$C$7) ^ INT(((YEAR(S$2)-YEAR($F22))*12 + MONTH(S$2)-MONTH($F22)) / 12),
  0)</f>
        <v>0</v>
      </c>
      <c r="T22" s="294">
        <f>IF(AND($F22&lt;=T$2, OR($G22="",$G22&gt;=T$2)),
  $H22 * (1 + Assumptions!$C$7) ^ INT(((YEAR(T$2)-YEAR($F22))*12 + MONTH(T$2)-MONTH($F22)) / 12),
  0)</f>
        <v>0</v>
      </c>
      <c r="U22" s="294">
        <f>IF(AND($F22&lt;=U$2, OR($G22="",$G22&gt;=U$2)),
  $H22 * (1 + Assumptions!$C$7) ^ INT(((YEAR(U$2)-YEAR($F22))*12 + MONTH(U$2)-MONTH($F22)) / 12),
  0)</f>
        <v>0</v>
      </c>
      <c r="V22" s="294">
        <f>IF(AND($F22&lt;=V$2, OR($G22="",$G22&gt;=V$2)),
  $H22 * (1 + Assumptions!$C$7) ^ INT(((YEAR(V$2)-YEAR($F22))*12 + MONTH(V$2)-MONTH($F22)) / 12),
  0)</f>
        <v>0</v>
      </c>
      <c r="W22" s="294">
        <f>IF(AND($F22&lt;=W$2, OR($G22="",$G22&gt;=W$2)),
  $H22 * (1 + Assumptions!$C$7) ^ INT(((YEAR(W$2)-YEAR($F22))*12 + MONTH(W$2)-MONTH($F22)) / 12),
  0)</f>
        <v>0</v>
      </c>
      <c r="X22" s="294">
        <f>IF(AND($F22&lt;=X$2, OR($G22="",$G22&gt;=X$2)),
  $H22 * (1 + Assumptions!$C$7) ^ INT(((YEAR(X$2)-YEAR($F22))*12 + MONTH(X$2)-MONTH($F22)) / 12),
  0)</f>
        <v>0</v>
      </c>
      <c r="Y22" s="294">
        <f>IF(AND($F22&lt;=Y$2, OR($G22="",$G22&gt;=Y$2)),
  $H22 * (1 + Assumptions!$C$7) ^ INT(((YEAR(Y$2)-YEAR($F22))*12 + MONTH(Y$2)-MONTH($F22)) / 12),
  0)</f>
        <v>0</v>
      </c>
      <c r="Z22" s="294">
        <f>IF(AND($F22&lt;=Z$2, OR($G22="",$G22&gt;=Z$2)),
  $H22 * (1 + Assumptions!$C$7) ^ INT(((YEAR(Z$2)-YEAR($F22))*12 + MONTH(Z$2)-MONTH($F22)) / 12),
  0)</f>
        <v>0</v>
      </c>
      <c r="AA22" s="294">
        <f>IF(AND($F22&lt;=AA$2, OR($G22="",$G22&gt;=AA$2)),
  $H22 * (1 + Assumptions!$C$7) ^ INT(((YEAR(AA$2)-YEAR($F22))*12 + MONTH(AA$2)-MONTH($F22)) / 12),
  0)</f>
        <v>0</v>
      </c>
      <c r="AB22" s="294">
        <f>IF(AND($F22&lt;=AB$2, OR($G22="",$G22&gt;=AB$2)),
  $H22 * (1 + Assumptions!$C$7) ^ INT(((YEAR(AB$2)-YEAR($F22))*12 + MONTH(AB$2)-MONTH($F22)) / 12),
  0)</f>
        <v>0</v>
      </c>
      <c r="AC22" s="294">
        <f>IF(AND($F22&lt;=AC$2, OR($G22="",$G22&gt;=AC$2)),
  $H22 * (1 + Assumptions!$C$7) ^ INT(((YEAR(AC$2)-YEAR($F22))*12 + MONTH(AC$2)-MONTH($F22)) / 12),
  0)</f>
        <v>0</v>
      </c>
      <c r="AD22" s="294">
        <f>IF(AND($F22&lt;=AD$2, OR($G22="",$G22&gt;=AD$2)),
  $H22 * (1 + Assumptions!$C$7) ^ INT(((YEAR(AD$2)-YEAR($F22))*12 + MONTH(AD$2)-MONTH($F22)) / 12),
  0)</f>
        <v>0</v>
      </c>
      <c r="AE22" s="294">
        <f>IF(AND($F22&lt;=AE$2, OR($G22="",$G22&gt;=AE$2)),
  $H22 * (1 + Assumptions!$C$7) ^ INT(((YEAR(AE$2)-YEAR($F22))*12 + MONTH(AE$2)-MONTH($F22)) / 12),
  0)</f>
        <v>0</v>
      </c>
      <c r="AF22" s="294">
        <f>IF(AND($F22&lt;=AF$2, OR($G22="",$G22&gt;=AF$2)),
  $H22 * (1 + Assumptions!$C$7) ^ INT(((YEAR(AF$2)-YEAR($F22))*12 + MONTH(AF$2)-MONTH($F22)) / 12),
  0)</f>
        <v>0</v>
      </c>
      <c r="AG22" s="294">
        <f>IF(AND($F22&lt;=AG$2, OR($G22="",$G22&gt;=AG$2)),
  $H22 * (1 + Assumptions!$C$7) ^ INT(((YEAR(AG$2)-YEAR($F22))*12 + MONTH(AG$2)-MONTH($F22)) / 12),
  0)</f>
        <v>7500</v>
      </c>
      <c r="AH22" s="294">
        <f>IF(AND($F22&lt;=AH$2, OR($G22="",$G22&gt;=AH$2)),
  $H22 * (1 + Assumptions!$C$7) ^ INT(((YEAR(AH$2)-YEAR($F22))*12 + MONTH(AH$2)-MONTH($F22)) / 12),
  0)</f>
        <v>7500</v>
      </c>
      <c r="AI22" s="294">
        <f>IF(AND($F22&lt;=AI$2, OR($G22="",$G22&gt;=AI$2)),
  $H22 * (1 + Assumptions!$C$7) ^ INT(((YEAR(AI$2)-YEAR($F22))*12 + MONTH(AI$2)-MONTH($F22)) / 12),
  0)</f>
        <v>7500</v>
      </c>
      <c r="AJ22" s="294">
        <f>IF(AND($F22&lt;=AJ$2, OR($G22="",$G22&gt;=AJ$2)),
  $H22 * (1 + Assumptions!$C$7) ^ INT(((YEAR(AJ$2)-YEAR($F22))*12 + MONTH(AJ$2)-MONTH($F22)) / 12),
  0)</f>
        <v>7500</v>
      </c>
      <c r="AK22" s="294">
        <f>IF(AND($F22&lt;=AK$2, OR($G22="",$G22&gt;=AK$2)),
  $H22 * (1 + Assumptions!$C$7) ^ INT(((YEAR(AK$2)-YEAR($F22))*12 + MONTH(AK$2)-MONTH($F22)) / 12),
  0)</f>
        <v>7500</v>
      </c>
      <c r="AL22" s="294">
        <f>IF(AND($F22&lt;=AL$2, OR($G22="",$G22&gt;=AL$2)),
  $H22 * (1 + Assumptions!$C$7) ^ INT(((YEAR(AL$2)-YEAR($F22))*12 + MONTH(AL$2)-MONTH($F22)) / 12),
  0)</f>
        <v>7500</v>
      </c>
      <c r="AM22" s="294">
        <f>IF(AND($F22&lt;=AM$2, OR($G22="",$G22&gt;=AM$2)),
  $H22 * (1 + Assumptions!$C$7) ^ INT(((YEAR(AM$2)-YEAR($F22))*12 + MONTH(AM$2)-MONTH($F22)) / 12),
  0)</f>
        <v>7500</v>
      </c>
      <c r="AN22" s="294">
        <f>IF(AND($F22&lt;=AN$2, OR($G22="",$G22&gt;=AN$2)),
  $H22 * (1 + Assumptions!$C$7) ^ INT(((YEAR(AN$2)-YEAR($F22))*12 + MONTH(AN$2)-MONTH($F22)) / 12),
  0)</f>
        <v>7500</v>
      </c>
      <c r="AO22" s="294">
        <f>IF(AND($F22&lt;=AO$2, OR($G22="",$G22&gt;=AO$2)),
  $H22 * (1 + Assumptions!$C$7) ^ INT(((YEAR(AO$2)-YEAR($F22))*12 + MONTH(AO$2)-MONTH($F22)) / 12),
  0)</f>
        <v>7500</v>
      </c>
      <c r="AP22" s="294">
        <f>IF(AND($F22&lt;=AP$2, OR($G22="",$G22&gt;=AP$2)),
  $H22 * (1 + Assumptions!$C$7) ^ INT(((YEAR(AP$2)-YEAR($F22))*12 + MONTH(AP$2)-MONTH($F22)) / 12),
  0)</f>
        <v>7500</v>
      </c>
      <c r="AQ22" s="294">
        <f>IF(AND($F22&lt;=AQ$2, OR($G22="",$G22&gt;=AQ$2)),
  $H22 * (1 + Assumptions!$C$7) ^ INT(((YEAR(AQ$2)-YEAR($F22))*12 + MONTH(AQ$2)-MONTH($F22)) / 12),
  0)</f>
        <v>7500</v>
      </c>
      <c r="AR22" s="294">
        <f>IF(AND($F22&lt;=AR$2, OR($G22="",$G22&gt;=AR$2)),
  $H22 * (1 + Assumptions!$C$7) ^ INT(((YEAR(AR$2)-YEAR($F22))*12 + MONTH(AR$2)-MONTH($F22)) / 12),
  0)</f>
        <v>7500</v>
      </c>
      <c r="AS22" s="294">
        <f>IF(AND($F22&lt;=AS$2, OR($G22="",$G22&gt;=AS$2)),
  $H22 * (1 + Assumptions!$C$7) ^ INT(((YEAR(AS$2)-YEAR($F22))*12 + MONTH(AS$2)-MONTH($F22)) / 12),
  0)</f>
        <v>8100</v>
      </c>
      <c r="AT22" s="294">
        <f>IF(AND($F22&lt;=AT$2, OR($G22="",$G22&gt;=AT$2)),
  $H22 * (1 + Assumptions!$C$7) ^ INT(((YEAR(AT$2)-YEAR($F22))*12 + MONTH(AT$2)-MONTH($F22)) / 12),
  0)</f>
        <v>8100</v>
      </c>
      <c r="AU22" s="294">
        <f>IF(AND($F22&lt;=AU$2, OR($G22="",$G22&gt;=AU$2)),
  $H22 * (1 + Assumptions!$C$7) ^ INT(((YEAR(AU$2)-YEAR($F22))*12 + MONTH(AU$2)-MONTH($F22)) / 12),
  0)</f>
        <v>8100</v>
      </c>
      <c r="AV22" s="294">
        <f>IF(AND($F22&lt;=AV$2, OR($G22="",$G22&gt;=AV$2)),
  $H22 * (1 + Assumptions!$C$7) ^ INT(((YEAR(AV$2)-YEAR($F22))*12 + MONTH(AV$2)-MONTH($F22)) / 12),
  0)</f>
        <v>8100</v>
      </c>
      <c r="AW22" s="294">
        <f>IF(AND($F22&lt;=AW$2, OR($G22="",$G22&gt;=AW$2)),
  $H22 * (1 + Assumptions!$C$7) ^ INT(((YEAR(AW$2)-YEAR($F22))*12 + MONTH(AW$2)-MONTH($F22)) / 12),
  0)</f>
        <v>8100</v>
      </c>
      <c r="AX22" s="294">
        <f>IF(AND($F22&lt;=AX$2, OR($G22="",$G22&gt;=AX$2)),
  $H22 * (1 + Assumptions!$C$7) ^ INT(((YEAR(AX$2)-YEAR($F22))*12 + MONTH(AX$2)-MONTH($F22)) / 12),
  0)</f>
        <v>8100</v>
      </c>
      <c r="AY22" s="294">
        <f>IF(AND($F22&lt;=AY$2, OR($G22="",$G22&gt;=AY$2)),
  $H22 * (1 + Assumptions!$C$7) ^ INT(((YEAR(AY$2)-YEAR($F22))*12 + MONTH(AY$2)-MONTH($F22)) / 12),
  0)</f>
        <v>8100</v>
      </c>
      <c r="AZ22" s="294">
        <f>IF(AND($F22&lt;=AZ$2, OR($G22="",$G22&gt;=AZ$2)),
  $H22 * (1 + Assumptions!$C$7) ^ INT(((YEAR(AZ$2)-YEAR($F22))*12 + MONTH(AZ$2)-MONTH($F22)) / 12),
  0)</f>
        <v>8100</v>
      </c>
      <c r="BA22" s="294">
        <f>IF(AND($F22&lt;=BA$2, OR($G22="",$G22&gt;=BA$2)),
  $H22 * (1 + Assumptions!$C$7) ^ INT(((YEAR(BA$2)-YEAR($F22))*12 + MONTH(BA$2)-MONTH($F22)) / 12),
  0)</f>
        <v>8100</v>
      </c>
      <c r="BB22" s="294">
        <f>IF(AND($F22&lt;=BB$2, OR($G22="",$G22&gt;=BB$2)),
  $H22 * (1 + Assumptions!$C$7) ^ INT(((YEAR(BB$2)-YEAR($F22))*12 + MONTH(BB$2)-MONTH($F22)) / 12),
  0)</f>
        <v>8100</v>
      </c>
      <c r="BC22" s="294">
        <f>IF(AND($F22&lt;=BC$2, OR($G22="",$G22&gt;=BC$2)),
  $H22 * (1 + Assumptions!$C$7) ^ INT(((YEAR(BC$2)-YEAR($F22))*12 + MONTH(BC$2)-MONTH($F22)) / 12),
  0)</f>
        <v>8100</v>
      </c>
      <c r="BD22" s="294">
        <f>IF(AND($F22&lt;=BD$2, OR($G22="",$G22&gt;=BD$2)),
  $H22 * (1 + Assumptions!$C$7) ^ INT(((YEAR(BD$2)-YEAR($F22))*12 + MONTH(BD$2)-MONTH($F22)) / 12),
  0)</f>
        <v>8100</v>
      </c>
      <c r="BE22" s="294">
        <f>IF(AND($F22&lt;=BE$2, OR($G22="",$G22&gt;=BE$2)),
  $H22 * (1 + Assumptions!$C$7) ^ INT(((YEAR(BE$2)-YEAR($F22))*12 + MONTH(BE$2)-MONTH($F22)) / 12),
  0)</f>
        <v>8748</v>
      </c>
      <c r="BF22" s="294">
        <f>IF(AND($F22&lt;=BF$2, OR($G22="",$G22&gt;=BF$2)),
  $H22 * (1 + Assumptions!$C$7) ^ INT(((YEAR(BF$2)-YEAR($F22))*12 + MONTH(BF$2)-MONTH($F22)) / 12),
  0)</f>
        <v>8748</v>
      </c>
      <c r="BG22" s="294">
        <f>IF(AND($F22&lt;=BG$2, OR($G22="",$G22&gt;=BG$2)),
  $H22 * (1 + Assumptions!$C$7) ^ INT(((YEAR(BG$2)-YEAR($F22))*12 + MONTH(BG$2)-MONTH($F22)) / 12),
  0)</f>
        <v>8748</v>
      </c>
      <c r="BH22" s="294">
        <f>IF(AND($F22&lt;=BH$2, OR($G22="",$G22&gt;=BH$2)),
  $H22 * (1 + Assumptions!$C$7) ^ INT(((YEAR(BH$2)-YEAR($F22))*12 + MONTH(BH$2)-MONTH($F22)) / 12),
  0)</f>
        <v>8748</v>
      </c>
      <c r="BI22" s="294">
        <f>IF(AND($F22&lt;=BI$2, OR($G22="",$G22&gt;=BI$2)),
  $H22 * (1 + Assumptions!$C$7) ^ INT(((YEAR(BI$2)-YEAR($F22))*12 + MONTH(BI$2)-MONTH($F22)) / 12),
  0)</f>
        <v>8748</v>
      </c>
      <c r="BJ22" s="294">
        <f>IF(AND($F22&lt;=BJ$2, OR($G22="",$G22&gt;=BJ$2)),
  $H22 * (1 + Assumptions!$C$7) ^ INT(((YEAR(BJ$2)-YEAR($F22))*12 + MONTH(BJ$2)-MONTH($F22)) / 12),
  0)</f>
        <v>8748</v>
      </c>
      <c r="BK22" s="294">
        <f>IF(AND($F22&lt;=BK$2, OR($G22="",$G22&gt;=BK$2)),
  $H22 * (1 + Assumptions!$C$7) ^ INT(((YEAR(BK$2)-YEAR($F22))*12 + MONTH(BK$2)-MONTH($F22)) / 12),
  0)</f>
        <v>8748</v>
      </c>
      <c r="BL22" s="294">
        <f>IF(AND($F22&lt;=BL$2, OR($G22="",$G22&gt;=BL$2)),
  $H22 * (1 + Assumptions!$C$7) ^ INT(((YEAR(BL$2)-YEAR($F22))*12 + MONTH(BL$2)-MONTH($F22)) / 12),
  0)</f>
        <v>8748</v>
      </c>
      <c r="BM22" s="294">
        <f>IF(AND($F22&lt;=BM$2, OR($G22="",$G22&gt;=BM$2)),
  $H22 * (1 + Assumptions!$C$7) ^ INT(((YEAR(BM$2)-YEAR($F22))*12 + MONTH(BM$2)-MONTH($F22)) / 12),
  0)</f>
        <v>8748</v>
      </c>
      <c r="BN22" s="294">
        <f>IF(AND($F22&lt;=BN$2, OR($G22="",$G22&gt;=BN$2)),
  $H22 * (1 + Assumptions!$C$7) ^ INT(((YEAR(BN$2)-YEAR($F22))*12 + MONTH(BN$2)-MONTH($F22)) / 12),
  0)</f>
        <v>8748</v>
      </c>
      <c r="BO22" s="294">
        <f>IF(AND($F22&lt;=BO$2, OR($G22="",$G22&gt;=BO$2)),
  $H22 * (1 + Assumptions!$C$7) ^ INT(((YEAR(BO$2)-YEAR($F22))*12 + MONTH(BO$2)-MONTH($F22)) / 12),
  0)</f>
        <v>8748</v>
      </c>
      <c r="BP22" s="294">
        <f>IF(AND($F22&lt;=BP$2, OR($G22="",$G22&gt;=BP$2)),
  $H22 * (1 + Assumptions!$C$7) ^ INT(((YEAR(BP$2)-YEAR($F22))*12 + MONTH(BP$2)-MONTH($F22)) / 12),
  0)</f>
        <v>8748</v>
      </c>
      <c r="BQ22" s="35"/>
    </row>
    <row r="23" ht="15.75" customHeight="1">
      <c r="A23" s="301">
        <v>19.0</v>
      </c>
      <c r="B23" s="285" t="s">
        <v>342</v>
      </c>
      <c r="C23" s="24" t="s">
        <v>141</v>
      </c>
      <c r="D23" s="24" t="s">
        <v>349</v>
      </c>
      <c r="E23" s="292" t="s">
        <v>344</v>
      </c>
      <c r="F23" s="286">
        <v>46388.0</v>
      </c>
      <c r="G23" s="297"/>
      <c r="H23" s="288">
        <v>4500.0</v>
      </c>
      <c r="I23" s="294">
        <f>IF(AND($F23&lt;=I$2, OR($G23="",$G23&gt;=I$2)),
  $H23 * (1 + Assumptions!$C$7) ^ INT(((YEAR(I$2)-YEAR($F23))*12 + MONTH(I$2)-MONTH($F23)) / 12),
  0)</f>
        <v>0</v>
      </c>
      <c r="J23" s="294">
        <f>IF(AND($F23&lt;=J$2, OR($G23="",$G23&gt;=J$2)),
  $H23 * (1 + Assumptions!$C$7) ^ INT(((YEAR(J$2)-YEAR($F23))*12 + MONTH(J$2)-MONTH($F23)) / 12),
  0)</f>
        <v>0</v>
      </c>
      <c r="K23" s="294">
        <f>IF(AND($F23&lt;=K$2, OR($G23="",$G23&gt;=K$2)),
  $H23 * (1 + Assumptions!$C$7) ^ INT(((YEAR(K$2)-YEAR($F23))*12 + MONTH(K$2)-MONTH($F23)) / 12),
  0)</f>
        <v>0</v>
      </c>
      <c r="L23" s="294">
        <f>IF(AND($F23&lt;=L$2, OR($G23="",$G23&gt;=L$2)),
  $H23 * (1 + Assumptions!$C$7) ^ INT(((YEAR(L$2)-YEAR($F23))*12 + MONTH(L$2)-MONTH($F23)) / 12),
  0)</f>
        <v>0</v>
      </c>
      <c r="M23" s="294">
        <f>IF(AND($F23&lt;=M$2, OR($G23="",$G23&gt;=M$2)),
  $H23 * (1 + Assumptions!$C$7) ^ INT(((YEAR(M$2)-YEAR($F23))*12 + MONTH(M$2)-MONTH($F23)) / 12),
  0)</f>
        <v>0</v>
      </c>
      <c r="N23" s="294">
        <f>IF(AND($F23&lt;=N$2, OR($G23="",$G23&gt;=N$2)),
  $H23 * (1 + Assumptions!$C$7) ^ INT(((YEAR(N$2)-YEAR($F23))*12 + MONTH(N$2)-MONTH($F23)) / 12),
  0)</f>
        <v>0</v>
      </c>
      <c r="O23" s="294">
        <f>IF(AND($F23&lt;=O$2, OR($G23="",$G23&gt;=O$2)),
  $H23 * (1 + Assumptions!$C$7) ^ INT(((YEAR(O$2)-YEAR($F23))*12 + MONTH(O$2)-MONTH($F23)) / 12),
  0)</f>
        <v>0</v>
      </c>
      <c r="P23" s="294">
        <f>IF(AND($F23&lt;=P$2, OR($G23="",$G23&gt;=P$2)),
  $H23 * (1 + Assumptions!$C$7) ^ INT(((YEAR(P$2)-YEAR($F23))*12 + MONTH(P$2)-MONTH($F23)) / 12),
  0)</f>
        <v>0</v>
      </c>
      <c r="Q23" s="294">
        <f>IF(AND($F23&lt;=Q$2, OR($G23="",$G23&gt;=Q$2)),
  $H23 * (1 + Assumptions!$C$7) ^ INT(((YEAR(Q$2)-YEAR($F23))*12 + MONTH(Q$2)-MONTH($F23)) / 12),
  0)</f>
        <v>0</v>
      </c>
      <c r="R23" s="294">
        <f>IF(AND($F23&lt;=R$2, OR($G23="",$G23&gt;=R$2)),
  $H23 * (1 + Assumptions!$C$7) ^ INT(((YEAR(R$2)-YEAR($F23))*12 + MONTH(R$2)-MONTH($F23)) / 12),
  0)</f>
        <v>0</v>
      </c>
      <c r="S23" s="294">
        <f>IF(AND($F23&lt;=S$2, OR($G23="",$G23&gt;=S$2)),
  $H23 * (1 + Assumptions!$C$7) ^ INT(((YEAR(S$2)-YEAR($F23))*12 + MONTH(S$2)-MONTH($F23)) / 12),
  0)</f>
        <v>0</v>
      </c>
      <c r="T23" s="294">
        <f>IF(AND($F23&lt;=T$2, OR($G23="",$G23&gt;=T$2)),
  $H23 * (1 + Assumptions!$C$7) ^ INT(((YEAR(T$2)-YEAR($F23))*12 + MONTH(T$2)-MONTH($F23)) / 12),
  0)</f>
        <v>0</v>
      </c>
      <c r="U23" s="294">
        <f>IF(AND($F23&lt;=U$2, OR($G23="",$G23&gt;=U$2)),
  $H23 * (1 + Assumptions!$C$7) ^ INT(((YEAR(U$2)-YEAR($F23))*12 + MONTH(U$2)-MONTH($F23)) / 12),
  0)</f>
        <v>0</v>
      </c>
      <c r="V23" s="294">
        <f>IF(AND($F23&lt;=V$2, OR($G23="",$G23&gt;=V$2)),
  $H23 * (1 + Assumptions!$C$7) ^ INT(((YEAR(V$2)-YEAR($F23))*12 + MONTH(V$2)-MONTH($F23)) / 12),
  0)</f>
        <v>0</v>
      </c>
      <c r="W23" s="294">
        <f>IF(AND($F23&lt;=W$2, OR($G23="",$G23&gt;=W$2)),
  $H23 * (1 + Assumptions!$C$7) ^ INT(((YEAR(W$2)-YEAR($F23))*12 + MONTH(W$2)-MONTH($F23)) / 12),
  0)</f>
        <v>0</v>
      </c>
      <c r="X23" s="294">
        <f>IF(AND($F23&lt;=X$2, OR($G23="",$G23&gt;=X$2)),
  $H23 * (1 + Assumptions!$C$7) ^ INT(((YEAR(X$2)-YEAR($F23))*12 + MONTH(X$2)-MONTH($F23)) / 12),
  0)</f>
        <v>0</v>
      </c>
      <c r="Y23" s="294">
        <f>IF(AND($F23&lt;=Y$2, OR($G23="",$G23&gt;=Y$2)),
  $H23 * (1 + Assumptions!$C$7) ^ INT(((YEAR(Y$2)-YEAR($F23))*12 + MONTH(Y$2)-MONTH($F23)) / 12),
  0)</f>
        <v>0</v>
      </c>
      <c r="Z23" s="294">
        <f>IF(AND($F23&lt;=Z$2, OR($G23="",$G23&gt;=Z$2)),
  $H23 * (1 + Assumptions!$C$7) ^ INT(((YEAR(Z$2)-YEAR($F23))*12 + MONTH(Z$2)-MONTH($F23)) / 12),
  0)</f>
        <v>0</v>
      </c>
      <c r="AA23" s="294">
        <f>IF(AND($F23&lt;=AA$2, OR($G23="",$G23&gt;=AA$2)),
  $H23 * (1 + Assumptions!$C$7) ^ INT(((YEAR(AA$2)-YEAR($F23))*12 + MONTH(AA$2)-MONTH($F23)) / 12),
  0)</f>
        <v>0</v>
      </c>
      <c r="AB23" s="294">
        <f>IF(AND($F23&lt;=AB$2, OR($G23="",$G23&gt;=AB$2)),
  $H23 * (1 + Assumptions!$C$7) ^ INT(((YEAR(AB$2)-YEAR($F23))*12 + MONTH(AB$2)-MONTH($F23)) / 12),
  0)</f>
        <v>0</v>
      </c>
      <c r="AC23" s="294">
        <f>IF(AND($F23&lt;=AC$2, OR($G23="",$G23&gt;=AC$2)),
  $H23 * (1 + Assumptions!$C$7) ^ INT(((YEAR(AC$2)-YEAR($F23))*12 + MONTH(AC$2)-MONTH($F23)) / 12),
  0)</f>
        <v>0</v>
      </c>
      <c r="AD23" s="294">
        <f>IF(AND($F23&lt;=AD$2, OR($G23="",$G23&gt;=AD$2)),
  $H23 * (1 + Assumptions!$C$7) ^ INT(((YEAR(AD$2)-YEAR($F23))*12 + MONTH(AD$2)-MONTH($F23)) / 12),
  0)</f>
        <v>0</v>
      </c>
      <c r="AE23" s="294">
        <f>IF(AND($F23&lt;=AE$2, OR($G23="",$G23&gt;=AE$2)),
  $H23 * (1 + Assumptions!$C$7) ^ INT(((YEAR(AE$2)-YEAR($F23))*12 + MONTH(AE$2)-MONTH($F23)) / 12),
  0)</f>
        <v>0</v>
      </c>
      <c r="AF23" s="294">
        <f>IF(AND($F23&lt;=AF$2, OR($G23="",$G23&gt;=AF$2)),
  $H23 * (1 + Assumptions!$C$7) ^ INT(((YEAR(AF$2)-YEAR($F23))*12 + MONTH(AF$2)-MONTH($F23)) / 12),
  0)</f>
        <v>0</v>
      </c>
      <c r="AG23" s="294">
        <f>IF(AND($F23&lt;=AG$2, OR($G23="",$G23&gt;=AG$2)),
  $H23 * (1 + Assumptions!$C$7) ^ INT(((YEAR(AG$2)-YEAR($F23))*12 + MONTH(AG$2)-MONTH($F23)) / 12),
  0)</f>
        <v>4500</v>
      </c>
      <c r="AH23" s="294">
        <f>IF(AND($F23&lt;=AH$2, OR($G23="",$G23&gt;=AH$2)),
  $H23 * (1 + Assumptions!$C$7) ^ INT(((YEAR(AH$2)-YEAR($F23))*12 + MONTH(AH$2)-MONTH($F23)) / 12),
  0)</f>
        <v>4500</v>
      </c>
      <c r="AI23" s="294">
        <f>IF(AND($F23&lt;=AI$2, OR($G23="",$G23&gt;=AI$2)),
  $H23 * (1 + Assumptions!$C$7) ^ INT(((YEAR(AI$2)-YEAR($F23))*12 + MONTH(AI$2)-MONTH($F23)) / 12),
  0)</f>
        <v>4500</v>
      </c>
      <c r="AJ23" s="294">
        <f>IF(AND($F23&lt;=AJ$2, OR($G23="",$G23&gt;=AJ$2)),
  $H23 * (1 + Assumptions!$C$7) ^ INT(((YEAR(AJ$2)-YEAR($F23))*12 + MONTH(AJ$2)-MONTH($F23)) / 12),
  0)</f>
        <v>4500</v>
      </c>
      <c r="AK23" s="294">
        <f>IF(AND($F23&lt;=AK$2, OR($G23="",$G23&gt;=AK$2)),
  $H23 * (1 + Assumptions!$C$7) ^ INT(((YEAR(AK$2)-YEAR($F23))*12 + MONTH(AK$2)-MONTH($F23)) / 12),
  0)</f>
        <v>4500</v>
      </c>
      <c r="AL23" s="294">
        <f>IF(AND($F23&lt;=AL$2, OR($G23="",$G23&gt;=AL$2)),
  $H23 * (1 + Assumptions!$C$7) ^ INT(((YEAR(AL$2)-YEAR($F23))*12 + MONTH(AL$2)-MONTH($F23)) / 12),
  0)</f>
        <v>4500</v>
      </c>
      <c r="AM23" s="294">
        <f>IF(AND($F23&lt;=AM$2, OR($G23="",$G23&gt;=AM$2)),
  $H23 * (1 + Assumptions!$C$7) ^ INT(((YEAR(AM$2)-YEAR($F23))*12 + MONTH(AM$2)-MONTH($F23)) / 12),
  0)</f>
        <v>4500</v>
      </c>
      <c r="AN23" s="294">
        <f>IF(AND($F23&lt;=AN$2, OR($G23="",$G23&gt;=AN$2)),
  $H23 * (1 + Assumptions!$C$7) ^ INT(((YEAR(AN$2)-YEAR($F23))*12 + MONTH(AN$2)-MONTH($F23)) / 12),
  0)</f>
        <v>4500</v>
      </c>
      <c r="AO23" s="294">
        <f>IF(AND($F23&lt;=AO$2, OR($G23="",$G23&gt;=AO$2)),
  $H23 * (1 + Assumptions!$C$7) ^ INT(((YEAR(AO$2)-YEAR($F23))*12 + MONTH(AO$2)-MONTH($F23)) / 12),
  0)</f>
        <v>4500</v>
      </c>
      <c r="AP23" s="294">
        <f>IF(AND($F23&lt;=AP$2, OR($G23="",$G23&gt;=AP$2)),
  $H23 * (1 + Assumptions!$C$7) ^ INT(((YEAR(AP$2)-YEAR($F23))*12 + MONTH(AP$2)-MONTH($F23)) / 12),
  0)</f>
        <v>4500</v>
      </c>
      <c r="AQ23" s="294">
        <f>IF(AND($F23&lt;=AQ$2, OR($G23="",$G23&gt;=AQ$2)),
  $H23 * (1 + Assumptions!$C$7) ^ INT(((YEAR(AQ$2)-YEAR($F23))*12 + MONTH(AQ$2)-MONTH($F23)) / 12),
  0)</f>
        <v>4500</v>
      </c>
      <c r="AR23" s="294">
        <f>IF(AND($F23&lt;=AR$2, OR($G23="",$G23&gt;=AR$2)),
  $H23 * (1 + Assumptions!$C$7) ^ INT(((YEAR(AR$2)-YEAR($F23))*12 + MONTH(AR$2)-MONTH($F23)) / 12),
  0)</f>
        <v>4500</v>
      </c>
      <c r="AS23" s="294">
        <f>IF(AND($F23&lt;=AS$2, OR($G23="",$G23&gt;=AS$2)),
  $H23 * (1 + Assumptions!$C$7) ^ INT(((YEAR(AS$2)-YEAR($F23))*12 + MONTH(AS$2)-MONTH($F23)) / 12),
  0)</f>
        <v>4860</v>
      </c>
      <c r="AT23" s="294">
        <f>IF(AND($F23&lt;=AT$2, OR($G23="",$G23&gt;=AT$2)),
  $H23 * (1 + Assumptions!$C$7) ^ INT(((YEAR(AT$2)-YEAR($F23))*12 + MONTH(AT$2)-MONTH($F23)) / 12),
  0)</f>
        <v>4860</v>
      </c>
      <c r="AU23" s="294">
        <f>IF(AND($F23&lt;=AU$2, OR($G23="",$G23&gt;=AU$2)),
  $H23 * (1 + Assumptions!$C$7) ^ INT(((YEAR(AU$2)-YEAR($F23))*12 + MONTH(AU$2)-MONTH($F23)) / 12),
  0)</f>
        <v>4860</v>
      </c>
      <c r="AV23" s="294">
        <f>IF(AND($F23&lt;=AV$2, OR($G23="",$G23&gt;=AV$2)),
  $H23 * (1 + Assumptions!$C$7) ^ INT(((YEAR(AV$2)-YEAR($F23))*12 + MONTH(AV$2)-MONTH($F23)) / 12),
  0)</f>
        <v>4860</v>
      </c>
      <c r="AW23" s="294">
        <f>IF(AND($F23&lt;=AW$2, OR($G23="",$G23&gt;=AW$2)),
  $H23 * (1 + Assumptions!$C$7) ^ INT(((YEAR(AW$2)-YEAR($F23))*12 + MONTH(AW$2)-MONTH($F23)) / 12),
  0)</f>
        <v>4860</v>
      </c>
      <c r="AX23" s="294">
        <f>IF(AND($F23&lt;=AX$2, OR($G23="",$G23&gt;=AX$2)),
  $H23 * (1 + Assumptions!$C$7) ^ INT(((YEAR(AX$2)-YEAR($F23))*12 + MONTH(AX$2)-MONTH($F23)) / 12),
  0)</f>
        <v>4860</v>
      </c>
      <c r="AY23" s="294">
        <f>IF(AND($F23&lt;=AY$2, OR($G23="",$G23&gt;=AY$2)),
  $H23 * (1 + Assumptions!$C$7) ^ INT(((YEAR(AY$2)-YEAR($F23))*12 + MONTH(AY$2)-MONTH($F23)) / 12),
  0)</f>
        <v>4860</v>
      </c>
      <c r="AZ23" s="294">
        <f>IF(AND($F23&lt;=AZ$2, OR($G23="",$G23&gt;=AZ$2)),
  $H23 * (1 + Assumptions!$C$7) ^ INT(((YEAR(AZ$2)-YEAR($F23))*12 + MONTH(AZ$2)-MONTH($F23)) / 12),
  0)</f>
        <v>4860</v>
      </c>
      <c r="BA23" s="294">
        <f>IF(AND($F23&lt;=BA$2, OR($G23="",$G23&gt;=BA$2)),
  $H23 * (1 + Assumptions!$C$7) ^ INT(((YEAR(BA$2)-YEAR($F23))*12 + MONTH(BA$2)-MONTH($F23)) / 12),
  0)</f>
        <v>4860</v>
      </c>
      <c r="BB23" s="294">
        <f>IF(AND($F23&lt;=BB$2, OR($G23="",$G23&gt;=BB$2)),
  $H23 * (1 + Assumptions!$C$7) ^ INT(((YEAR(BB$2)-YEAR($F23))*12 + MONTH(BB$2)-MONTH($F23)) / 12),
  0)</f>
        <v>4860</v>
      </c>
      <c r="BC23" s="294">
        <f>IF(AND($F23&lt;=BC$2, OR($G23="",$G23&gt;=BC$2)),
  $H23 * (1 + Assumptions!$C$7) ^ INT(((YEAR(BC$2)-YEAR($F23))*12 + MONTH(BC$2)-MONTH($F23)) / 12),
  0)</f>
        <v>4860</v>
      </c>
      <c r="BD23" s="294">
        <f>IF(AND($F23&lt;=BD$2, OR($G23="",$G23&gt;=BD$2)),
  $H23 * (1 + Assumptions!$C$7) ^ INT(((YEAR(BD$2)-YEAR($F23))*12 + MONTH(BD$2)-MONTH($F23)) / 12),
  0)</f>
        <v>4860</v>
      </c>
      <c r="BE23" s="294">
        <f>IF(AND($F23&lt;=BE$2, OR($G23="",$G23&gt;=BE$2)),
  $H23 * (1 + Assumptions!$C$7) ^ INT(((YEAR(BE$2)-YEAR($F23))*12 + MONTH(BE$2)-MONTH($F23)) / 12),
  0)</f>
        <v>5248.8</v>
      </c>
      <c r="BF23" s="294">
        <f>IF(AND($F23&lt;=BF$2, OR($G23="",$G23&gt;=BF$2)),
  $H23 * (1 + Assumptions!$C$7) ^ INT(((YEAR(BF$2)-YEAR($F23))*12 + MONTH(BF$2)-MONTH($F23)) / 12),
  0)</f>
        <v>5248.8</v>
      </c>
      <c r="BG23" s="294">
        <f>IF(AND($F23&lt;=BG$2, OR($G23="",$G23&gt;=BG$2)),
  $H23 * (1 + Assumptions!$C$7) ^ INT(((YEAR(BG$2)-YEAR($F23))*12 + MONTH(BG$2)-MONTH($F23)) / 12),
  0)</f>
        <v>5248.8</v>
      </c>
      <c r="BH23" s="294">
        <f>IF(AND($F23&lt;=BH$2, OR($G23="",$G23&gt;=BH$2)),
  $H23 * (1 + Assumptions!$C$7) ^ INT(((YEAR(BH$2)-YEAR($F23))*12 + MONTH(BH$2)-MONTH($F23)) / 12),
  0)</f>
        <v>5248.8</v>
      </c>
      <c r="BI23" s="294">
        <f>IF(AND($F23&lt;=BI$2, OR($G23="",$G23&gt;=BI$2)),
  $H23 * (1 + Assumptions!$C$7) ^ INT(((YEAR(BI$2)-YEAR($F23))*12 + MONTH(BI$2)-MONTH($F23)) / 12),
  0)</f>
        <v>5248.8</v>
      </c>
      <c r="BJ23" s="294">
        <f>IF(AND($F23&lt;=BJ$2, OR($G23="",$G23&gt;=BJ$2)),
  $H23 * (1 + Assumptions!$C$7) ^ INT(((YEAR(BJ$2)-YEAR($F23))*12 + MONTH(BJ$2)-MONTH($F23)) / 12),
  0)</f>
        <v>5248.8</v>
      </c>
      <c r="BK23" s="294">
        <f>IF(AND($F23&lt;=BK$2, OR($G23="",$G23&gt;=BK$2)),
  $H23 * (1 + Assumptions!$C$7) ^ INT(((YEAR(BK$2)-YEAR($F23))*12 + MONTH(BK$2)-MONTH($F23)) / 12),
  0)</f>
        <v>5248.8</v>
      </c>
      <c r="BL23" s="294">
        <f>IF(AND($F23&lt;=BL$2, OR($G23="",$G23&gt;=BL$2)),
  $H23 * (1 + Assumptions!$C$7) ^ INT(((YEAR(BL$2)-YEAR($F23))*12 + MONTH(BL$2)-MONTH($F23)) / 12),
  0)</f>
        <v>5248.8</v>
      </c>
      <c r="BM23" s="294">
        <f>IF(AND($F23&lt;=BM$2, OR($G23="",$G23&gt;=BM$2)),
  $H23 * (1 + Assumptions!$C$7) ^ INT(((YEAR(BM$2)-YEAR($F23))*12 + MONTH(BM$2)-MONTH($F23)) / 12),
  0)</f>
        <v>5248.8</v>
      </c>
      <c r="BN23" s="294">
        <f>IF(AND($F23&lt;=BN$2, OR($G23="",$G23&gt;=BN$2)),
  $H23 * (1 + Assumptions!$C$7) ^ INT(((YEAR(BN$2)-YEAR($F23))*12 + MONTH(BN$2)-MONTH($F23)) / 12),
  0)</f>
        <v>5248.8</v>
      </c>
      <c r="BO23" s="294">
        <f>IF(AND($F23&lt;=BO$2, OR($G23="",$G23&gt;=BO$2)),
  $H23 * (1 + Assumptions!$C$7) ^ INT(((YEAR(BO$2)-YEAR($F23))*12 + MONTH(BO$2)-MONTH($F23)) / 12),
  0)</f>
        <v>5248.8</v>
      </c>
      <c r="BP23" s="294">
        <f>IF(AND($F23&lt;=BP$2, OR($G23="",$G23&gt;=BP$2)),
  $H23 * (1 + Assumptions!$C$7) ^ INT(((YEAR(BP$2)-YEAR($F23))*12 + MONTH(BP$2)-MONTH($F23)) / 12),
  0)</f>
        <v>5248.8</v>
      </c>
      <c r="BQ23" s="35"/>
    </row>
    <row r="24" ht="15.75" customHeight="1">
      <c r="A24" s="301">
        <v>20.0</v>
      </c>
      <c r="B24" s="285" t="s">
        <v>342</v>
      </c>
      <c r="C24" s="285" t="s">
        <v>148</v>
      </c>
      <c r="D24" s="302" t="s">
        <v>169</v>
      </c>
      <c r="E24" s="292" t="s">
        <v>344</v>
      </c>
      <c r="F24" s="286">
        <v>46388.0</v>
      </c>
      <c r="G24" s="303"/>
      <c r="H24" s="288">
        <v>6500.0</v>
      </c>
      <c r="I24" s="294">
        <f>IF(AND($F24&lt;=I$2, OR($G24="",$G24&gt;=I$2)),
  $H24 * (1 + Assumptions!$C$7) ^ INT(((YEAR(I$2)-YEAR($F24))*12 + MONTH(I$2)-MONTH($F24)) / 12),
  0)</f>
        <v>0</v>
      </c>
      <c r="J24" s="294">
        <f>IF(AND($F24&lt;=J$2, OR($G24="",$G24&gt;=J$2)),
  $H24 * (1 + Assumptions!$C$7) ^ INT(((YEAR(J$2)-YEAR($F24))*12 + MONTH(J$2)-MONTH($F24)) / 12),
  0)</f>
        <v>0</v>
      </c>
      <c r="K24" s="294">
        <f>IF(AND($F24&lt;=K$2, OR($G24="",$G24&gt;=K$2)),
  $H24 * (1 + Assumptions!$C$7) ^ INT(((YEAR(K$2)-YEAR($F24))*12 + MONTH(K$2)-MONTH($F24)) / 12),
  0)</f>
        <v>0</v>
      </c>
      <c r="L24" s="294">
        <f>IF(AND($F24&lt;=L$2, OR($G24="",$G24&gt;=L$2)),
  $H24 * (1 + Assumptions!$C$7) ^ INT(((YEAR(L$2)-YEAR($F24))*12 + MONTH(L$2)-MONTH($F24)) / 12),
  0)</f>
        <v>0</v>
      </c>
      <c r="M24" s="294">
        <f>IF(AND($F24&lt;=M$2, OR($G24="",$G24&gt;=M$2)),
  $H24 * (1 + Assumptions!$C$7) ^ INT(((YEAR(M$2)-YEAR($F24))*12 + MONTH(M$2)-MONTH($F24)) / 12),
  0)</f>
        <v>0</v>
      </c>
      <c r="N24" s="294">
        <f>IF(AND($F24&lt;=N$2, OR($G24="",$G24&gt;=N$2)),
  $H24 * (1 + Assumptions!$C$7) ^ INT(((YEAR(N$2)-YEAR($F24))*12 + MONTH(N$2)-MONTH($F24)) / 12),
  0)</f>
        <v>0</v>
      </c>
      <c r="O24" s="294">
        <f>IF(AND($F24&lt;=O$2, OR($G24="",$G24&gt;=O$2)),
  $H24 * (1 + Assumptions!$C$7) ^ INT(((YEAR(O$2)-YEAR($F24))*12 + MONTH(O$2)-MONTH($F24)) / 12),
  0)</f>
        <v>0</v>
      </c>
      <c r="P24" s="294">
        <f>IF(AND($F24&lt;=P$2, OR($G24="",$G24&gt;=P$2)),
  $H24 * (1 + Assumptions!$C$7) ^ INT(((YEAR(P$2)-YEAR($F24))*12 + MONTH(P$2)-MONTH($F24)) / 12),
  0)</f>
        <v>0</v>
      </c>
      <c r="Q24" s="294">
        <f>IF(AND($F24&lt;=Q$2, OR($G24="",$G24&gt;=Q$2)),
  $H24 * (1 + Assumptions!$C$7) ^ INT(((YEAR(Q$2)-YEAR($F24))*12 + MONTH(Q$2)-MONTH($F24)) / 12),
  0)</f>
        <v>0</v>
      </c>
      <c r="R24" s="294">
        <f>IF(AND($F24&lt;=R$2, OR($G24="",$G24&gt;=R$2)),
  $H24 * (1 + Assumptions!$C$7) ^ INT(((YEAR(R$2)-YEAR($F24))*12 + MONTH(R$2)-MONTH($F24)) / 12),
  0)</f>
        <v>0</v>
      </c>
      <c r="S24" s="294">
        <f>IF(AND($F24&lt;=S$2, OR($G24="",$G24&gt;=S$2)),
  $H24 * (1 + Assumptions!$C$7) ^ INT(((YEAR(S$2)-YEAR($F24))*12 + MONTH(S$2)-MONTH($F24)) / 12),
  0)</f>
        <v>0</v>
      </c>
      <c r="T24" s="294">
        <f>IF(AND($F24&lt;=T$2, OR($G24="",$G24&gt;=T$2)),
  $H24 * (1 + Assumptions!$C$7) ^ INT(((YEAR(T$2)-YEAR($F24))*12 + MONTH(T$2)-MONTH($F24)) / 12),
  0)</f>
        <v>0</v>
      </c>
      <c r="U24" s="294">
        <f>IF(AND($F24&lt;=U$2, OR($G24="",$G24&gt;=U$2)),
  $H24 * (1 + Assumptions!$C$7) ^ INT(((YEAR(U$2)-YEAR($F24))*12 + MONTH(U$2)-MONTH($F24)) / 12),
  0)</f>
        <v>0</v>
      </c>
      <c r="V24" s="294">
        <f>IF(AND($F24&lt;=V$2, OR($G24="",$G24&gt;=V$2)),
  $H24 * (1 + Assumptions!$C$7) ^ INT(((YEAR(V$2)-YEAR($F24))*12 + MONTH(V$2)-MONTH($F24)) / 12),
  0)</f>
        <v>0</v>
      </c>
      <c r="W24" s="294">
        <f>IF(AND($F24&lt;=W$2, OR($G24="",$G24&gt;=W$2)),
  $H24 * (1 + Assumptions!$C$7) ^ INT(((YEAR(W$2)-YEAR($F24))*12 + MONTH(W$2)-MONTH($F24)) / 12),
  0)</f>
        <v>0</v>
      </c>
      <c r="X24" s="294">
        <f>IF(AND($F24&lt;=X$2, OR($G24="",$G24&gt;=X$2)),
  $H24 * (1 + Assumptions!$C$7) ^ INT(((YEAR(X$2)-YEAR($F24))*12 + MONTH(X$2)-MONTH($F24)) / 12),
  0)</f>
        <v>0</v>
      </c>
      <c r="Y24" s="294">
        <f>IF(AND($F24&lt;=Y$2, OR($G24="",$G24&gt;=Y$2)),
  $H24 * (1 + Assumptions!$C$7) ^ INT(((YEAR(Y$2)-YEAR($F24))*12 + MONTH(Y$2)-MONTH($F24)) / 12),
  0)</f>
        <v>0</v>
      </c>
      <c r="Z24" s="294">
        <f>IF(AND($F24&lt;=Z$2, OR($G24="",$G24&gt;=Z$2)),
  $H24 * (1 + Assumptions!$C$7) ^ INT(((YEAR(Z$2)-YEAR($F24))*12 + MONTH(Z$2)-MONTH($F24)) / 12),
  0)</f>
        <v>0</v>
      </c>
      <c r="AA24" s="294">
        <f>IF(AND($F24&lt;=AA$2, OR($G24="",$G24&gt;=AA$2)),
  $H24 * (1 + Assumptions!$C$7) ^ INT(((YEAR(AA$2)-YEAR($F24))*12 + MONTH(AA$2)-MONTH($F24)) / 12),
  0)</f>
        <v>0</v>
      </c>
      <c r="AB24" s="294">
        <f>IF(AND($F24&lt;=AB$2, OR($G24="",$G24&gt;=AB$2)),
  $H24 * (1 + Assumptions!$C$7) ^ INT(((YEAR(AB$2)-YEAR($F24))*12 + MONTH(AB$2)-MONTH($F24)) / 12),
  0)</f>
        <v>0</v>
      </c>
      <c r="AC24" s="294">
        <f>IF(AND($F24&lt;=AC$2, OR($G24="",$G24&gt;=AC$2)),
  $H24 * (1 + Assumptions!$C$7) ^ INT(((YEAR(AC$2)-YEAR($F24))*12 + MONTH(AC$2)-MONTH($F24)) / 12),
  0)</f>
        <v>0</v>
      </c>
      <c r="AD24" s="294">
        <f>IF(AND($F24&lt;=AD$2, OR($G24="",$G24&gt;=AD$2)),
  $H24 * (1 + Assumptions!$C$7) ^ INT(((YEAR(AD$2)-YEAR($F24))*12 + MONTH(AD$2)-MONTH($F24)) / 12),
  0)</f>
        <v>0</v>
      </c>
      <c r="AE24" s="294">
        <f>IF(AND($F24&lt;=AE$2, OR($G24="",$G24&gt;=AE$2)),
  $H24 * (1 + Assumptions!$C$7) ^ INT(((YEAR(AE$2)-YEAR($F24))*12 + MONTH(AE$2)-MONTH($F24)) / 12),
  0)</f>
        <v>0</v>
      </c>
      <c r="AF24" s="294">
        <f>IF(AND($F24&lt;=AF$2, OR($G24="",$G24&gt;=AF$2)),
  $H24 * (1 + Assumptions!$C$7) ^ INT(((YEAR(AF$2)-YEAR($F24))*12 + MONTH(AF$2)-MONTH($F24)) / 12),
  0)</f>
        <v>0</v>
      </c>
      <c r="AG24" s="294">
        <f>IF(AND($F24&lt;=AG$2, OR($G24="",$G24&gt;=AG$2)),
  $H24 * (1 + Assumptions!$C$7) ^ INT(((YEAR(AG$2)-YEAR($F24))*12 + MONTH(AG$2)-MONTH($F24)) / 12),
  0)</f>
        <v>6500</v>
      </c>
      <c r="AH24" s="294">
        <f>IF(AND($F24&lt;=AH$2, OR($G24="",$G24&gt;=AH$2)),
  $H24 * (1 + Assumptions!$C$7) ^ INT(((YEAR(AH$2)-YEAR($F24))*12 + MONTH(AH$2)-MONTH($F24)) / 12),
  0)</f>
        <v>6500</v>
      </c>
      <c r="AI24" s="294">
        <f>IF(AND($F24&lt;=AI$2, OR($G24="",$G24&gt;=AI$2)),
  $H24 * (1 + Assumptions!$C$7) ^ INT(((YEAR(AI$2)-YEAR($F24))*12 + MONTH(AI$2)-MONTH($F24)) / 12),
  0)</f>
        <v>6500</v>
      </c>
      <c r="AJ24" s="294">
        <f>IF(AND($F24&lt;=AJ$2, OR($G24="",$G24&gt;=AJ$2)),
  $H24 * (1 + Assumptions!$C$7) ^ INT(((YEAR(AJ$2)-YEAR($F24))*12 + MONTH(AJ$2)-MONTH($F24)) / 12),
  0)</f>
        <v>6500</v>
      </c>
      <c r="AK24" s="294">
        <f>IF(AND($F24&lt;=AK$2, OR($G24="",$G24&gt;=AK$2)),
  $H24 * (1 + Assumptions!$C$7) ^ INT(((YEAR(AK$2)-YEAR($F24))*12 + MONTH(AK$2)-MONTH($F24)) / 12),
  0)</f>
        <v>6500</v>
      </c>
      <c r="AL24" s="294">
        <f>IF(AND($F24&lt;=AL$2, OR($G24="",$G24&gt;=AL$2)),
  $H24 * (1 + Assumptions!$C$7) ^ INT(((YEAR(AL$2)-YEAR($F24))*12 + MONTH(AL$2)-MONTH($F24)) / 12),
  0)</f>
        <v>6500</v>
      </c>
      <c r="AM24" s="294">
        <f>IF(AND($F24&lt;=AM$2, OR($G24="",$G24&gt;=AM$2)),
  $H24 * (1 + Assumptions!$C$7) ^ INT(((YEAR(AM$2)-YEAR($F24))*12 + MONTH(AM$2)-MONTH($F24)) / 12),
  0)</f>
        <v>6500</v>
      </c>
      <c r="AN24" s="294">
        <f>IF(AND($F24&lt;=AN$2, OR($G24="",$G24&gt;=AN$2)),
  $H24 * (1 + Assumptions!$C$7) ^ INT(((YEAR(AN$2)-YEAR($F24))*12 + MONTH(AN$2)-MONTH($F24)) / 12),
  0)</f>
        <v>6500</v>
      </c>
      <c r="AO24" s="294">
        <f>IF(AND($F24&lt;=AO$2, OR($G24="",$G24&gt;=AO$2)),
  $H24 * (1 + Assumptions!$C$7) ^ INT(((YEAR(AO$2)-YEAR($F24))*12 + MONTH(AO$2)-MONTH($F24)) / 12),
  0)</f>
        <v>6500</v>
      </c>
      <c r="AP24" s="294">
        <f>IF(AND($F24&lt;=AP$2, OR($G24="",$G24&gt;=AP$2)),
  $H24 * (1 + Assumptions!$C$7) ^ INT(((YEAR(AP$2)-YEAR($F24))*12 + MONTH(AP$2)-MONTH($F24)) / 12),
  0)</f>
        <v>6500</v>
      </c>
      <c r="AQ24" s="294">
        <f>IF(AND($F24&lt;=AQ$2, OR($G24="",$G24&gt;=AQ$2)),
  $H24 * (1 + Assumptions!$C$7) ^ INT(((YEAR(AQ$2)-YEAR($F24))*12 + MONTH(AQ$2)-MONTH($F24)) / 12),
  0)</f>
        <v>6500</v>
      </c>
      <c r="AR24" s="294">
        <f>IF(AND($F24&lt;=AR$2, OR($G24="",$G24&gt;=AR$2)),
  $H24 * (1 + Assumptions!$C$7) ^ INT(((YEAR(AR$2)-YEAR($F24))*12 + MONTH(AR$2)-MONTH($F24)) / 12),
  0)</f>
        <v>6500</v>
      </c>
      <c r="AS24" s="294">
        <f>IF(AND($F24&lt;=AS$2, OR($G24="",$G24&gt;=AS$2)),
  $H24 * (1 + Assumptions!$C$7) ^ INT(((YEAR(AS$2)-YEAR($F24))*12 + MONTH(AS$2)-MONTH($F24)) / 12),
  0)</f>
        <v>7020</v>
      </c>
      <c r="AT24" s="294">
        <f>IF(AND($F24&lt;=AT$2, OR($G24="",$G24&gt;=AT$2)),
  $H24 * (1 + Assumptions!$C$7) ^ INT(((YEAR(AT$2)-YEAR($F24))*12 + MONTH(AT$2)-MONTH($F24)) / 12),
  0)</f>
        <v>7020</v>
      </c>
      <c r="AU24" s="294">
        <f>IF(AND($F24&lt;=AU$2, OR($G24="",$G24&gt;=AU$2)),
  $H24 * (1 + Assumptions!$C$7) ^ INT(((YEAR(AU$2)-YEAR($F24))*12 + MONTH(AU$2)-MONTH($F24)) / 12),
  0)</f>
        <v>7020</v>
      </c>
      <c r="AV24" s="294">
        <f>IF(AND($F24&lt;=AV$2, OR($G24="",$G24&gt;=AV$2)),
  $H24 * (1 + Assumptions!$C$7) ^ INT(((YEAR(AV$2)-YEAR($F24))*12 + MONTH(AV$2)-MONTH($F24)) / 12),
  0)</f>
        <v>7020</v>
      </c>
      <c r="AW24" s="294">
        <f>IF(AND($F24&lt;=AW$2, OR($G24="",$G24&gt;=AW$2)),
  $H24 * (1 + Assumptions!$C$7) ^ INT(((YEAR(AW$2)-YEAR($F24))*12 + MONTH(AW$2)-MONTH($F24)) / 12),
  0)</f>
        <v>7020</v>
      </c>
      <c r="AX24" s="294">
        <f>IF(AND($F24&lt;=AX$2, OR($G24="",$G24&gt;=AX$2)),
  $H24 * (1 + Assumptions!$C$7) ^ INT(((YEAR(AX$2)-YEAR($F24))*12 + MONTH(AX$2)-MONTH($F24)) / 12),
  0)</f>
        <v>7020</v>
      </c>
      <c r="AY24" s="294">
        <f>IF(AND($F24&lt;=AY$2, OR($G24="",$G24&gt;=AY$2)),
  $H24 * (1 + Assumptions!$C$7) ^ INT(((YEAR(AY$2)-YEAR($F24))*12 + MONTH(AY$2)-MONTH($F24)) / 12),
  0)</f>
        <v>7020</v>
      </c>
      <c r="AZ24" s="294">
        <f>IF(AND($F24&lt;=AZ$2, OR($G24="",$G24&gt;=AZ$2)),
  $H24 * (1 + Assumptions!$C$7) ^ INT(((YEAR(AZ$2)-YEAR($F24))*12 + MONTH(AZ$2)-MONTH($F24)) / 12),
  0)</f>
        <v>7020</v>
      </c>
      <c r="BA24" s="294">
        <f>IF(AND($F24&lt;=BA$2, OR($G24="",$G24&gt;=BA$2)),
  $H24 * (1 + Assumptions!$C$7) ^ INT(((YEAR(BA$2)-YEAR($F24))*12 + MONTH(BA$2)-MONTH($F24)) / 12),
  0)</f>
        <v>7020</v>
      </c>
      <c r="BB24" s="294">
        <f>IF(AND($F24&lt;=BB$2, OR($G24="",$G24&gt;=BB$2)),
  $H24 * (1 + Assumptions!$C$7) ^ INT(((YEAR(BB$2)-YEAR($F24))*12 + MONTH(BB$2)-MONTH($F24)) / 12),
  0)</f>
        <v>7020</v>
      </c>
      <c r="BC24" s="294">
        <f>IF(AND($F24&lt;=BC$2, OR($G24="",$G24&gt;=BC$2)),
  $H24 * (1 + Assumptions!$C$7) ^ INT(((YEAR(BC$2)-YEAR($F24))*12 + MONTH(BC$2)-MONTH($F24)) / 12),
  0)</f>
        <v>7020</v>
      </c>
      <c r="BD24" s="294">
        <f>IF(AND($F24&lt;=BD$2, OR($G24="",$G24&gt;=BD$2)),
  $H24 * (1 + Assumptions!$C$7) ^ INT(((YEAR(BD$2)-YEAR($F24))*12 + MONTH(BD$2)-MONTH($F24)) / 12),
  0)</f>
        <v>7020</v>
      </c>
      <c r="BE24" s="294">
        <f>IF(AND($F24&lt;=BE$2, OR($G24="",$G24&gt;=BE$2)),
  $H24 * (1 + Assumptions!$C$7) ^ INT(((YEAR(BE$2)-YEAR($F24))*12 + MONTH(BE$2)-MONTH($F24)) / 12),
  0)</f>
        <v>7581.6</v>
      </c>
      <c r="BF24" s="294">
        <f>IF(AND($F24&lt;=BF$2, OR($G24="",$G24&gt;=BF$2)),
  $H24 * (1 + Assumptions!$C$7) ^ INT(((YEAR(BF$2)-YEAR($F24))*12 + MONTH(BF$2)-MONTH($F24)) / 12),
  0)</f>
        <v>7581.6</v>
      </c>
      <c r="BG24" s="294">
        <f>IF(AND($F24&lt;=BG$2, OR($G24="",$G24&gt;=BG$2)),
  $H24 * (1 + Assumptions!$C$7) ^ INT(((YEAR(BG$2)-YEAR($F24))*12 + MONTH(BG$2)-MONTH($F24)) / 12),
  0)</f>
        <v>7581.6</v>
      </c>
      <c r="BH24" s="294">
        <f>IF(AND($F24&lt;=BH$2, OR($G24="",$G24&gt;=BH$2)),
  $H24 * (1 + Assumptions!$C$7) ^ INT(((YEAR(BH$2)-YEAR($F24))*12 + MONTH(BH$2)-MONTH($F24)) / 12),
  0)</f>
        <v>7581.6</v>
      </c>
      <c r="BI24" s="294">
        <f>IF(AND($F24&lt;=BI$2, OR($G24="",$G24&gt;=BI$2)),
  $H24 * (1 + Assumptions!$C$7) ^ INT(((YEAR(BI$2)-YEAR($F24))*12 + MONTH(BI$2)-MONTH($F24)) / 12),
  0)</f>
        <v>7581.6</v>
      </c>
      <c r="BJ24" s="294">
        <f>IF(AND($F24&lt;=BJ$2, OR($G24="",$G24&gt;=BJ$2)),
  $H24 * (1 + Assumptions!$C$7) ^ INT(((YEAR(BJ$2)-YEAR($F24))*12 + MONTH(BJ$2)-MONTH($F24)) / 12),
  0)</f>
        <v>7581.6</v>
      </c>
      <c r="BK24" s="294">
        <f>IF(AND($F24&lt;=BK$2, OR($G24="",$G24&gt;=BK$2)),
  $H24 * (1 + Assumptions!$C$7) ^ INT(((YEAR(BK$2)-YEAR($F24))*12 + MONTH(BK$2)-MONTH($F24)) / 12),
  0)</f>
        <v>7581.6</v>
      </c>
      <c r="BL24" s="294">
        <f>IF(AND($F24&lt;=BL$2, OR($G24="",$G24&gt;=BL$2)),
  $H24 * (1 + Assumptions!$C$7) ^ INT(((YEAR(BL$2)-YEAR($F24))*12 + MONTH(BL$2)-MONTH($F24)) / 12),
  0)</f>
        <v>7581.6</v>
      </c>
      <c r="BM24" s="294">
        <f>IF(AND($F24&lt;=BM$2, OR($G24="",$G24&gt;=BM$2)),
  $H24 * (1 + Assumptions!$C$7) ^ INT(((YEAR(BM$2)-YEAR($F24))*12 + MONTH(BM$2)-MONTH($F24)) / 12),
  0)</f>
        <v>7581.6</v>
      </c>
      <c r="BN24" s="294">
        <f>IF(AND($F24&lt;=BN$2, OR($G24="",$G24&gt;=BN$2)),
  $H24 * (1 + Assumptions!$C$7) ^ INT(((YEAR(BN$2)-YEAR($F24))*12 + MONTH(BN$2)-MONTH($F24)) / 12),
  0)</f>
        <v>7581.6</v>
      </c>
      <c r="BO24" s="294">
        <f>IF(AND($F24&lt;=BO$2, OR($G24="",$G24&gt;=BO$2)),
  $H24 * (1 + Assumptions!$C$7) ^ INT(((YEAR(BO$2)-YEAR($F24))*12 + MONTH(BO$2)-MONTH($F24)) / 12),
  0)</f>
        <v>7581.6</v>
      </c>
      <c r="BP24" s="294">
        <f>IF(AND($F24&lt;=BP$2, OR($G24="",$G24&gt;=BP$2)),
  $H24 * (1 + Assumptions!$C$7) ^ INT(((YEAR(BP$2)-YEAR($F24))*12 + MONTH(BP$2)-MONTH($F24)) / 12),
  0)</f>
        <v>7581.6</v>
      </c>
      <c r="BQ24" s="35"/>
    </row>
    <row r="25" ht="15.75" customHeight="1">
      <c r="A25" s="301">
        <v>21.0</v>
      </c>
      <c r="B25" s="285" t="s">
        <v>342</v>
      </c>
      <c r="C25" s="302" t="s">
        <v>141</v>
      </c>
      <c r="D25" s="301" t="s">
        <v>350</v>
      </c>
      <c r="E25" s="292" t="s">
        <v>344</v>
      </c>
      <c r="F25" s="286">
        <v>46388.0</v>
      </c>
      <c r="G25" s="303"/>
      <c r="H25" s="288">
        <v>6500.0</v>
      </c>
      <c r="I25" s="294">
        <f>IF(AND($F25&lt;=I$2, OR($G25="",$G25&gt;=I$2)),
  $H25 * (1 + Assumptions!$C$7) ^ INT(((YEAR(I$2)-YEAR($F25))*12 + MONTH(I$2)-MONTH($F25)) / 12),
  0)</f>
        <v>0</v>
      </c>
      <c r="J25" s="294">
        <f>IF(AND($F25&lt;=J$2, OR($G25="",$G25&gt;=J$2)),
  $H25 * (1 + Assumptions!$C$7) ^ INT(((YEAR(J$2)-YEAR($F25))*12 + MONTH(J$2)-MONTH($F25)) / 12),
  0)</f>
        <v>0</v>
      </c>
      <c r="K25" s="294">
        <f>IF(AND($F25&lt;=K$2, OR($G25="",$G25&gt;=K$2)),
  $H25 * (1 + Assumptions!$C$7) ^ INT(((YEAR(K$2)-YEAR($F25))*12 + MONTH(K$2)-MONTH($F25)) / 12),
  0)</f>
        <v>0</v>
      </c>
      <c r="L25" s="294">
        <f>IF(AND($F25&lt;=L$2, OR($G25="",$G25&gt;=L$2)),
  $H25 * (1 + Assumptions!$C$7) ^ INT(((YEAR(L$2)-YEAR($F25))*12 + MONTH(L$2)-MONTH($F25)) / 12),
  0)</f>
        <v>0</v>
      </c>
      <c r="M25" s="294">
        <f>IF(AND($F25&lt;=M$2, OR($G25="",$G25&gt;=M$2)),
  $H25 * (1 + Assumptions!$C$7) ^ INT(((YEAR(M$2)-YEAR($F25))*12 + MONTH(M$2)-MONTH($F25)) / 12),
  0)</f>
        <v>0</v>
      </c>
      <c r="N25" s="294">
        <f>IF(AND($F25&lt;=N$2, OR($G25="",$G25&gt;=N$2)),
  $H25 * (1 + Assumptions!$C$7) ^ INT(((YEAR(N$2)-YEAR($F25))*12 + MONTH(N$2)-MONTH($F25)) / 12),
  0)</f>
        <v>0</v>
      </c>
      <c r="O25" s="294">
        <f>IF(AND($F25&lt;=O$2, OR($G25="",$G25&gt;=O$2)),
  $H25 * (1 + Assumptions!$C$7) ^ INT(((YEAR(O$2)-YEAR($F25))*12 + MONTH(O$2)-MONTH($F25)) / 12),
  0)</f>
        <v>0</v>
      </c>
      <c r="P25" s="294">
        <f>IF(AND($F25&lt;=P$2, OR($G25="",$G25&gt;=P$2)),
  $H25 * (1 + Assumptions!$C$7) ^ INT(((YEAR(P$2)-YEAR($F25))*12 + MONTH(P$2)-MONTH($F25)) / 12),
  0)</f>
        <v>0</v>
      </c>
      <c r="Q25" s="294">
        <f>IF(AND($F25&lt;=Q$2, OR($G25="",$G25&gt;=Q$2)),
  $H25 * (1 + Assumptions!$C$7) ^ INT(((YEAR(Q$2)-YEAR($F25))*12 + MONTH(Q$2)-MONTH($F25)) / 12),
  0)</f>
        <v>0</v>
      </c>
      <c r="R25" s="294">
        <f>IF(AND($F25&lt;=R$2, OR($G25="",$G25&gt;=R$2)),
  $H25 * (1 + Assumptions!$C$7) ^ INT(((YEAR(R$2)-YEAR($F25))*12 + MONTH(R$2)-MONTH($F25)) / 12),
  0)</f>
        <v>0</v>
      </c>
      <c r="S25" s="294">
        <f>IF(AND($F25&lt;=S$2, OR($G25="",$G25&gt;=S$2)),
  $H25 * (1 + Assumptions!$C$7) ^ INT(((YEAR(S$2)-YEAR($F25))*12 + MONTH(S$2)-MONTH($F25)) / 12),
  0)</f>
        <v>0</v>
      </c>
      <c r="T25" s="294">
        <f>IF(AND($F25&lt;=T$2, OR($G25="",$G25&gt;=T$2)),
  $H25 * (1 + Assumptions!$C$7) ^ INT(((YEAR(T$2)-YEAR($F25))*12 + MONTH(T$2)-MONTH($F25)) / 12),
  0)</f>
        <v>0</v>
      </c>
      <c r="U25" s="294">
        <f>IF(AND($F25&lt;=U$2, OR($G25="",$G25&gt;=U$2)),
  $H25 * (1 + Assumptions!$C$7) ^ INT(((YEAR(U$2)-YEAR($F25))*12 + MONTH(U$2)-MONTH($F25)) / 12),
  0)</f>
        <v>0</v>
      </c>
      <c r="V25" s="294">
        <f>IF(AND($F25&lt;=V$2, OR($G25="",$G25&gt;=V$2)),
  $H25 * (1 + Assumptions!$C$7) ^ INT(((YEAR(V$2)-YEAR($F25))*12 + MONTH(V$2)-MONTH($F25)) / 12),
  0)</f>
        <v>0</v>
      </c>
      <c r="W25" s="294">
        <f>IF(AND($F25&lt;=W$2, OR($G25="",$G25&gt;=W$2)),
  $H25 * (1 + Assumptions!$C$7) ^ INT(((YEAR(W$2)-YEAR($F25))*12 + MONTH(W$2)-MONTH($F25)) / 12),
  0)</f>
        <v>0</v>
      </c>
      <c r="X25" s="294">
        <f>IF(AND($F25&lt;=X$2, OR($G25="",$G25&gt;=X$2)),
  $H25 * (1 + Assumptions!$C$7) ^ INT(((YEAR(X$2)-YEAR($F25))*12 + MONTH(X$2)-MONTH($F25)) / 12),
  0)</f>
        <v>0</v>
      </c>
      <c r="Y25" s="294">
        <f>IF(AND($F25&lt;=Y$2, OR($G25="",$G25&gt;=Y$2)),
  $H25 * (1 + Assumptions!$C$7) ^ INT(((YEAR(Y$2)-YEAR($F25))*12 + MONTH(Y$2)-MONTH($F25)) / 12),
  0)</f>
        <v>0</v>
      </c>
      <c r="Z25" s="294">
        <f>IF(AND($F25&lt;=Z$2, OR($G25="",$G25&gt;=Z$2)),
  $H25 * (1 + Assumptions!$C$7) ^ INT(((YEAR(Z$2)-YEAR($F25))*12 + MONTH(Z$2)-MONTH($F25)) / 12),
  0)</f>
        <v>0</v>
      </c>
      <c r="AA25" s="294">
        <f>IF(AND($F25&lt;=AA$2, OR($G25="",$G25&gt;=AA$2)),
  $H25 * (1 + Assumptions!$C$7) ^ INT(((YEAR(AA$2)-YEAR($F25))*12 + MONTH(AA$2)-MONTH($F25)) / 12),
  0)</f>
        <v>0</v>
      </c>
      <c r="AB25" s="294">
        <f>IF(AND($F25&lt;=AB$2, OR($G25="",$G25&gt;=AB$2)),
  $H25 * (1 + Assumptions!$C$7) ^ INT(((YEAR(AB$2)-YEAR($F25))*12 + MONTH(AB$2)-MONTH($F25)) / 12),
  0)</f>
        <v>0</v>
      </c>
      <c r="AC25" s="294">
        <f>IF(AND($F25&lt;=AC$2, OR($G25="",$G25&gt;=AC$2)),
  $H25 * (1 + Assumptions!$C$7) ^ INT(((YEAR(AC$2)-YEAR($F25))*12 + MONTH(AC$2)-MONTH($F25)) / 12),
  0)</f>
        <v>0</v>
      </c>
      <c r="AD25" s="294">
        <f>IF(AND($F25&lt;=AD$2, OR($G25="",$G25&gt;=AD$2)),
  $H25 * (1 + Assumptions!$C$7) ^ INT(((YEAR(AD$2)-YEAR($F25))*12 + MONTH(AD$2)-MONTH($F25)) / 12),
  0)</f>
        <v>0</v>
      </c>
      <c r="AE25" s="294">
        <f>IF(AND($F25&lt;=AE$2, OR($G25="",$G25&gt;=AE$2)),
  $H25 * (1 + Assumptions!$C$7) ^ INT(((YEAR(AE$2)-YEAR($F25))*12 + MONTH(AE$2)-MONTH($F25)) / 12),
  0)</f>
        <v>0</v>
      </c>
      <c r="AF25" s="294">
        <f>IF(AND($F25&lt;=AF$2, OR($G25="",$G25&gt;=AF$2)),
  $H25 * (1 + Assumptions!$C$7) ^ INT(((YEAR(AF$2)-YEAR($F25))*12 + MONTH(AF$2)-MONTH($F25)) / 12),
  0)</f>
        <v>0</v>
      </c>
      <c r="AG25" s="294">
        <f>IF(AND($F25&lt;=AG$2, OR($G25="",$G25&gt;=AG$2)),
  $H25 * (1 + Assumptions!$C$7) ^ INT(((YEAR(AG$2)-YEAR($F25))*12 + MONTH(AG$2)-MONTH($F25)) / 12),
  0)</f>
        <v>6500</v>
      </c>
      <c r="AH25" s="294">
        <f>IF(AND($F25&lt;=AH$2, OR($G25="",$G25&gt;=AH$2)),
  $H25 * (1 + Assumptions!$C$7) ^ INT(((YEAR(AH$2)-YEAR($F25))*12 + MONTH(AH$2)-MONTH($F25)) / 12),
  0)</f>
        <v>6500</v>
      </c>
      <c r="AI25" s="294">
        <f>IF(AND($F25&lt;=AI$2, OR($G25="",$G25&gt;=AI$2)),
  $H25 * (1 + Assumptions!$C$7) ^ INT(((YEAR(AI$2)-YEAR($F25))*12 + MONTH(AI$2)-MONTH($F25)) / 12),
  0)</f>
        <v>6500</v>
      </c>
      <c r="AJ25" s="294">
        <f>IF(AND($F25&lt;=AJ$2, OR($G25="",$G25&gt;=AJ$2)),
  $H25 * (1 + Assumptions!$C$7) ^ INT(((YEAR(AJ$2)-YEAR($F25))*12 + MONTH(AJ$2)-MONTH($F25)) / 12),
  0)</f>
        <v>6500</v>
      </c>
      <c r="AK25" s="294">
        <f>IF(AND($F25&lt;=AK$2, OR($G25="",$G25&gt;=AK$2)),
  $H25 * (1 + Assumptions!$C$7) ^ INT(((YEAR(AK$2)-YEAR($F25))*12 + MONTH(AK$2)-MONTH($F25)) / 12),
  0)</f>
        <v>6500</v>
      </c>
      <c r="AL25" s="294">
        <f>IF(AND($F25&lt;=AL$2, OR($G25="",$G25&gt;=AL$2)),
  $H25 * (1 + Assumptions!$C$7) ^ INT(((YEAR(AL$2)-YEAR($F25))*12 + MONTH(AL$2)-MONTH($F25)) / 12),
  0)</f>
        <v>6500</v>
      </c>
      <c r="AM25" s="294">
        <f>IF(AND($F25&lt;=AM$2, OR($G25="",$G25&gt;=AM$2)),
  $H25 * (1 + Assumptions!$C$7) ^ INT(((YEAR(AM$2)-YEAR($F25))*12 + MONTH(AM$2)-MONTH($F25)) / 12),
  0)</f>
        <v>6500</v>
      </c>
      <c r="AN25" s="294">
        <f>IF(AND($F25&lt;=AN$2, OR($G25="",$G25&gt;=AN$2)),
  $H25 * (1 + Assumptions!$C$7) ^ INT(((YEAR(AN$2)-YEAR($F25))*12 + MONTH(AN$2)-MONTH($F25)) / 12),
  0)</f>
        <v>6500</v>
      </c>
      <c r="AO25" s="294">
        <f>IF(AND($F25&lt;=AO$2, OR($G25="",$G25&gt;=AO$2)),
  $H25 * (1 + Assumptions!$C$7) ^ INT(((YEAR(AO$2)-YEAR($F25))*12 + MONTH(AO$2)-MONTH($F25)) / 12),
  0)</f>
        <v>6500</v>
      </c>
      <c r="AP25" s="294">
        <f>IF(AND($F25&lt;=AP$2, OR($G25="",$G25&gt;=AP$2)),
  $H25 * (1 + Assumptions!$C$7) ^ INT(((YEAR(AP$2)-YEAR($F25))*12 + MONTH(AP$2)-MONTH($F25)) / 12),
  0)</f>
        <v>6500</v>
      </c>
      <c r="AQ25" s="294">
        <f>IF(AND($F25&lt;=AQ$2, OR($G25="",$G25&gt;=AQ$2)),
  $H25 * (1 + Assumptions!$C$7) ^ INT(((YEAR(AQ$2)-YEAR($F25))*12 + MONTH(AQ$2)-MONTH($F25)) / 12),
  0)</f>
        <v>6500</v>
      </c>
      <c r="AR25" s="294">
        <f>IF(AND($F25&lt;=AR$2, OR($G25="",$G25&gt;=AR$2)),
  $H25 * (1 + Assumptions!$C$7) ^ INT(((YEAR(AR$2)-YEAR($F25))*12 + MONTH(AR$2)-MONTH($F25)) / 12),
  0)</f>
        <v>6500</v>
      </c>
      <c r="AS25" s="294">
        <f>IF(AND($F25&lt;=AS$2, OR($G25="",$G25&gt;=AS$2)),
  $H25 * (1 + Assumptions!$C$7) ^ INT(((YEAR(AS$2)-YEAR($F25))*12 + MONTH(AS$2)-MONTH($F25)) / 12),
  0)</f>
        <v>7020</v>
      </c>
      <c r="AT25" s="294">
        <f>IF(AND($F25&lt;=AT$2, OR($G25="",$G25&gt;=AT$2)),
  $H25 * (1 + Assumptions!$C$7) ^ INT(((YEAR(AT$2)-YEAR($F25))*12 + MONTH(AT$2)-MONTH($F25)) / 12),
  0)</f>
        <v>7020</v>
      </c>
      <c r="AU25" s="294">
        <f>IF(AND($F25&lt;=AU$2, OR($G25="",$G25&gt;=AU$2)),
  $H25 * (1 + Assumptions!$C$7) ^ INT(((YEAR(AU$2)-YEAR($F25))*12 + MONTH(AU$2)-MONTH($F25)) / 12),
  0)</f>
        <v>7020</v>
      </c>
      <c r="AV25" s="294">
        <f>IF(AND($F25&lt;=AV$2, OR($G25="",$G25&gt;=AV$2)),
  $H25 * (1 + Assumptions!$C$7) ^ INT(((YEAR(AV$2)-YEAR($F25))*12 + MONTH(AV$2)-MONTH($F25)) / 12),
  0)</f>
        <v>7020</v>
      </c>
      <c r="AW25" s="294">
        <f>IF(AND($F25&lt;=AW$2, OR($G25="",$G25&gt;=AW$2)),
  $H25 * (1 + Assumptions!$C$7) ^ INT(((YEAR(AW$2)-YEAR($F25))*12 + MONTH(AW$2)-MONTH($F25)) / 12),
  0)</f>
        <v>7020</v>
      </c>
      <c r="AX25" s="294">
        <f>IF(AND($F25&lt;=AX$2, OR($G25="",$G25&gt;=AX$2)),
  $H25 * (1 + Assumptions!$C$7) ^ INT(((YEAR(AX$2)-YEAR($F25))*12 + MONTH(AX$2)-MONTH($F25)) / 12),
  0)</f>
        <v>7020</v>
      </c>
      <c r="AY25" s="294">
        <f>IF(AND($F25&lt;=AY$2, OR($G25="",$G25&gt;=AY$2)),
  $H25 * (1 + Assumptions!$C$7) ^ INT(((YEAR(AY$2)-YEAR($F25))*12 + MONTH(AY$2)-MONTH($F25)) / 12),
  0)</f>
        <v>7020</v>
      </c>
      <c r="AZ25" s="294">
        <f>IF(AND($F25&lt;=AZ$2, OR($G25="",$G25&gt;=AZ$2)),
  $H25 * (1 + Assumptions!$C$7) ^ INT(((YEAR(AZ$2)-YEAR($F25))*12 + MONTH(AZ$2)-MONTH($F25)) / 12),
  0)</f>
        <v>7020</v>
      </c>
      <c r="BA25" s="294">
        <f>IF(AND($F25&lt;=BA$2, OR($G25="",$G25&gt;=BA$2)),
  $H25 * (1 + Assumptions!$C$7) ^ INT(((YEAR(BA$2)-YEAR($F25))*12 + MONTH(BA$2)-MONTH($F25)) / 12),
  0)</f>
        <v>7020</v>
      </c>
      <c r="BB25" s="294">
        <f>IF(AND($F25&lt;=BB$2, OR($G25="",$G25&gt;=BB$2)),
  $H25 * (1 + Assumptions!$C$7) ^ INT(((YEAR(BB$2)-YEAR($F25))*12 + MONTH(BB$2)-MONTH($F25)) / 12),
  0)</f>
        <v>7020</v>
      </c>
      <c r="BC25" s="294">
        <f>IF(AND($F25&lt;=BC$2, OR($G25="",$G25&gt;=BC$2)),
  $H25 * (1 + Assumptions!$C$7) ^ INT(((YEAR(BC$2)-YEAR($F25))*12 + MONTH(BC$2)-MONTH($F25)) / 12),
  0)</f>
        <v>7020</v>
      </c>
      <c r="BD25" s="294">
        <f>IF(AND($F25&lt;=BD$2, OR($G25="",$G25&gt;=BD$2)),
  $H25 * (1 + Assumptions!$C$7) ^ INT(((YEAR(BD$2)-YEAR($F25))*12 + MONTH(BD$2)-MONTH($F25)) / 12),
  0)</f>
        <v>7020</v>
      </c>
      <c r="BE25" s="294">
        <f>IF(AND($F25&lt;=BE$2, OR($G25="",$G25&gt;=BE$2)),
  $H25 * (1 + Assumptions!$C$7) ^ INT(((YEAR(BE$2)-YEAR($F25))*12 + MONTH(BE$2)-MONTH($F25)) / 12),
  0)</f>
        <v>7581.6</v>
      </c>
      <c r="BF25" s="294">
        <f>IF(AND($F25&lt;=BF$2, OR($G25="",$G25&gt;=BF$2)),
  $H25 * (1 + Assumptions!$C$7) ^ INT(((YEAR(BF$2)-YEAR($F25))*12 + MONTH(BF$2)-MONTH($F25)) / 12),
  0)</f>
        <v>7581.6</v>
      </c>
      <c r="BG25" s="294">
        <f>IF(AND($F25&lt;=BG$2, OR($G25="",$G25&gt;=BG$2)),
  $H25 * (1 + Assumptions!$C$7) ^ INT(((YEAR(BG$2)-YEAR($F25))*12 + MONTH(BG$2)-MONTH($F25)) / 12),
  0)</f>
        <v>7581.6</v>
      </c>
      <c r="BH25" s="294">
        <f>IF(AND($F25&lt;=BH$2, OR($G25="",$G25&gt;=BH$2)),
  $H25 * (1 + Assumptions!$C$7) ^ INT(((YEAR(BH$2)-YEAR($F25))*12 + MONTH(BH$2)-MONTH($F25)) / 12),
  0)</f>
        <v>7581.6</v>
      </c>
      <c r="BI25" s="294">
        <f>IF(AND($F25&lt;=BI$2, OR($G25="",$G25&gt;=BI$2)),
  $H25 * (1 + Assumptions!$C$7) ^ INT(((YEAR(BI$2)-YEAR($F25))*12 + MONTH(BI$2)-MONTH($F25)) / 12),
  0)</f>
        <v>7581.6</v>
      </c>
      <c r="BJ25" s="294">
        <f>IF(AND($F25&lt;=BJ$2, OR($G25="",$G25&gt;=BJ$2)),
  $H25 * (1 + Assumptions!$C$7) ^ INT(((YEAR(BJ$2)-YEAR($F25))*12 + MONTH(BJ$2)-MONTH($F25)) / 12),
  0)</f>
        <v>7581.6</v>
      </c>
      <c r="BK25" s="294">
        <f>IF(AND($F25&lt;=BK$2, OR($G25="",$G25&gt;=BK$2)),
  $H25 * (1 + Assumptions!$C$7) ^ INT(((YEAR(BK$2)-YEAR($F25))*12 + MONTH(BK$2)-MONTH($F25)) / 12),
  0)</f>
        <v>7581.6</v>
      </c>
      <c r="BL25" s="294">
        <f>IF(AND($F25&lt;=BL$2, OR($G25="",$G25&gt;=BL$2)),
  $H25 * (1 + Assumptions!$C$7) ^ INT(((YEAR(BL$2)-YEAR($F25))*12 + MONTH(BL$2)-MONTH($F25)) / 12),
  0)</f>
        <v>7581.6</v>
      </c>
      <c r="BM25" s="294">
        <f>IF(AND($F25&lt;=BM$2, OR($G25="",$G25&gt;=BM$2)),
  $H25 * (1 + Assumptions!$C$7) ^ INT(((YEAR(BM$2)-YEAR($F25))*12 + MONTH(BM$2)-MONTH($F25)) / 12),
  0)</f>
        <v>7581.6</v>
      </c>
      <c r="BN25" s="294">
        <f>IF(AND($F25&lt;=BN$2, OR($G25="",$G25&gt;=BN$2)),
  $H25 * (1 + Assumptions!$C$7) ^ INT(((YEAR(BN$2)-YEAR($F25))*12 + MONTH(BN$2)-MONTH($F25)) / 12),
  0)</f>
        <v>7581.6</v>
      </c>
      <c r="BO25" s="294">
        <f>IF(AND($F25&lt;=BO$2, OR($G25="",$G25&gt;=BO$2)),
  $H25 * (1 + Assumptions!$C$7) ^ INT(((YEAR(BO$2)-YEAR($F25))*12 + MONTH(BO$2)-MONTH($F25)) / 12),
  0)</f>
        <v>7581.6</v>
      </c>
      <c r="BP25" s="294">
        <f>IF(AND($F25&lt;=BP$2, OR($G25="",$G25&gt;=BP$2)),
  $H25 * (1 + Assumptions!$C$7) ^ INT(((YEAR(BP$2)-YEAR($F25))*12 + MONTH(BP$2)-MONTH($F25)) / 12),
  0)</f>
        <v>7581.6</v>
      </c>
      <c r="BQ25" s="35"/>
    </row>
    <row r="26" ht="15.75" customHeight="1">
      <c r="A26" s="301">
        <v>22.0</v>
      </c>
      <c r="B26" s="285" t="s">
        <v>342</v>
      </c>
      <c r="C26" s="285" t="s">
        <v>148</v>
      </c>
      <c r="D26" s="285" t="s">
        <v>329</v>
      </c>
      <c r="E26" s="292" t="s">
        <v>344</v>
      </c>
      <c r="F26" s="286">
        <v>46388.0</v>
      </c>
      <c r="G26" s="293"/>
      <c r="H26" s="288">
        <v>6500.0</v>
      </c>
      <c r="I26" s="294">
        <f>IF(AND($F26&lt;=I$2, OR($G26="",$G26&gt;=I$2)),
  $H26 * (1 + Assumptions!$C$7) ^ INT(((YEAR(I$2)-YEAR($F26))*12 + MONTH(I$2)-MONTH($F26)) / 12),
  0)</f>
        <v>0</v>
      </c>
      <c r="J26" s="294">
        <f>IF(AND($F26&lt;=J$2, OR($G26="",$G26&gt;=J$2)),
  $H26 * (1 + Assumptions!$C$7) ^ INT(((YEAR(J$2)-YEAR($F26))*12 + MONTH(J$2)-MONTH($F26)) / 12),
  0)</f>
        <v>0</v>
      </c>
      <c r="K26" s="294">
        <f>IF(AND($F26&lt;=K$2, OR($G26="",$G26&gt;=K$2)),
  $H26 * (1 + Assumptions!$C$7) ^ INT(((YEAR(K$2)-YEAR($F26))*12 + MONTH(K$2)-MONTH($F26)) / 12),
  0)</f>
        <v>0</v>
      </c>
      <c r="L26" s="294">
        <f>IF(AND($F26&lt;=L$2, OR($G26="",$G26&gt;=L$2)),
  $H26 * (1 + Assumptions!$C$7) ^ INT(((YEAR(L$2)-YEAR($F26))*12 + MONTH(L$2)-MONTH($F26)) / 12),
  0)</f>
        <v>0</v>
      </c>
      <c r="M26" s="294">
        <f>IF(AND($F26&lt;=M$2, OR($G26="",$G26&gt;=M$2)),
  $H26 * (1 + Assumptions!$C$7) ^ INT(((YEAR(M$2)-YEAR($F26))*12 + MONTH(M$2)-MONTH($F26)) / 12),
  0)</f>
        <v>0</v>
      </c>
      <c r="N26" s="294">
        <f>IF(AND($F26&lt;=N$2, OR($G26="",$G26&gt;=N$2)),
  $H26 * (1 + Assumptions!$C$7) ^ INT(((YEAR(N$2)-YEAR($F26))*12 + MONTH(N$2)-MONTH($F26)) / 12),
  0)</f>
        <v>0</v>
      </c>
      <c r="O26" s="294">
        <f>IF(AND($F26&lt;=O$2, OR($G26="",$G26&gt;=O$2)),
  $H26 * (1 + Assumptions!$C$7) ^ INT(((YEAR(O$2)-YEAR($F26))*12 + MONTH(O$2)-MONTH($F26)) / 12),
  0)</f>
        <v>0</v>
      </c>
      <c r="P26" s="294">
        <f>IF(AND($F26&lt;=P$2, OR($G26="",$G26&gt;=P$2)),
  $H26 * (1 + Assumptions!$C$7) ^ INT(((YEAR(P$2)-YEAR($F26))*12 + MONTH(P$2)-MONTH($F26)) / 12),
  0)</f>
        <v>0</v>
      </c>
      <c r="Q26" s="294">
        <f>IF(AND($F26&lt;=Q$2, OR($G26="",$G26&gt;=Q$2)),
  $H26 * (1 + Assumptions!$C$7) ^ INT(((YEAR(Q$2)-YEAR($F26))*12 + MONTH(Q$2)-MONTH($F26)) / 12),
  0)</f>
        <v>0</v>
      </c>
      <c r="R26" s="294">
        <f>IF(AND($F26&lt;=R$2, OR($G26="",$G26&gt;=R$2)),
  $H26 * (1 + Assumptions!$C$7) ^ INT(((YEAR(R$2)-YEAR($F26))*12 + MONTH(R$2)-MONTH($F26)) / 12),
  0)</f>
        <v>0</v>
      </c>
      <c r="S26" s="294">
        <f>IF(AND($F26&lt;=S$2, OR($G26="",$G26&gt;=S$2)),
  $H26 * (1 + Assumptions!$C$7) ^ INT(((YEAR(S$2)-YEAR($F26))*12 + MONTH(S$2)-MONTH($F26)) / 12),
  0)</f>
        <v>0</v>
      </c>
      <c r="T26" s="294">
        <f>IF(AND($F26&lt;=T$2, OR($G26="",$G26&gt;=T$2)),
  $H26 * (1 + Assumptions!$C$7) ^ INT(((YEAR(T$2)-YEAR($F26))*12 + MONTH(T$2)-MONTH($F26)) / 12),
  0)</f>
        <v>0</v>
      </c>
      <c r="U26" s="294">
        <f>IF(AND($F26&lt;=U$2, OR($G26="",$G26&gt;=U$2)),
  $H26 * (1 + Assumptions!$C$7) ^ INT(((YEAR(U$2)-YEAR($F26))*12 + MONTH(U$2)-MONTH($F26)) / 12),
  0)</f>
        <v>0</v>
      </c>
      <c r="V26" s="294">
        <f>IF(AND($F26&lt;=V$2, OR($G26="",$G26&gt;=V$2)),
  $H26 * (1 + Assumptions!$C$7) ^ INT(((YEAR(V$2)-YEAR($F26))*12 + MONTH(V$2)-MONTH($F26)) / 12),
  0)</f>
        <v>0</v>
      </c>
      <c r="W26" s="294">
        <f>IF(AND($F26&lt;=W$2, OR($G26="",$G26&gt;=W$2)),
  $H26 * (1 + Assumptions!$C$7) ^ INT(((YEAR(W$2)-YEAR($F26))*12 + MONTH(W$2)-MONTH($F26)) / 12),
  0)</f>
        <v>0</v>
      </c>
      <c r="X26" s="294">
        <f>IF(AND($F26&lt;=X$2, OR($G26="",$G26&gt;=X$2)),
  $H26 * (1 + Assumptions!$C$7) ^ INT(((YEAR(X$2)-YEAR($F26))*12 + MONTH(X$2)-MONTH($F26)) / 12),
  0)</f>
        <v>0</v>
      </c>
      <c r="Y26" s="294">
        <f>IF(AND($F26&lt;=Y$2, OR($G26="",$G26&gt;=Y$2)),
  $H26 * (1 + Assumptions!$C$7) ^ INT(((YEAR(Y$2)-YEAR($F26))*12 + MONTH(Y$2)-MONTH($F26)) / 12),
  0)</f>
        <v>0</v>
      </c>
      <c r="Z26" s="294">
        <f>IF(AND($F26&lt;=Z$2, OR($G26="",$G26&gt;=Z$2)),
  $H26 * (1 + Assumptions!$C$7) ^ INT(((YEAR(Z$2)-YEAR($F26))*12 + MONTH(Z$2)-MONTH($F26)) / 12),
  0)</f>
        <v>0</v>
      </c>
      <c r="AA26" s="294">
        <f>IF(AND($F26&lt;=AA$2, OR($G26="",$G26&gt;=AA$2)),
  $H26 * (1 + Assumptions!$C$7) ^ INT(((YEAR(AA$2)-YEAR($F26))*12 + MONTH(AA$2)-MONTH($F26)) / 12),
  0)</f>
        <v>0</v>
      </c>
      <c r="AB26" s="294">
        <f>IF(AND($F26&lt;=AB$2, OR($G26="",$G26&gt;=AB$2)),
  $H26 * (1 + Assumptions!$C$7) ^ INT(((YEAR(AB$2)-YEAR($F26))*12 + MONTH(AB$2)-MONTH($F26)) / 12),
  0)</f>
        <v>0</v>
      </c>
      <c r="AC26" s="294">
        <f>IF(AND($F26&lt;=AC$2, OR($G26="",$G26&gt;=AC$2)),
  $H26 * (1 + Assumptions!$C$7) ^ INT(((YEAR(AC$2)-YEAR($F26))*12 + MONTH(AC$2)-MONTH($F26)) / 12),
  0)</f>
        <v>0</v>
      </c>
      <c r="AD26" s="294">
        <f>IF(AND($F26&lt;=AD$2, OR($G26="",$G26&gt;=AD$2)),
  $H26 * (1 + Assumptions!$C$7) ^ INT(((YEAR(AD$2)-YEAR($F26))*12 + MONTH(AD$2)-MONTH($F26)) / 12),
  0)</f>
        <v>0</v>
      </c>
      <c r="AE26" s="294">
        <f>IF(AND($F26&lt;=AE$2, OR($G26="",$G26&gt;=AE$2)),
  $H26 * (1 + Assumptions!$C$7) ^ INT(((YEAR(AE$2)-YEAR($F26))*12 + MONTH(AE$2)-MONTH($F26)) / 12),
  0)</f>
        <v>0</v>
      </c>
      <c r="AF26" s="294">
        <f>IF(AND($F26&lt;=AF$2, OR($G26="",$G26&gt;=AF$2)),
  $H26 * (1 + Assumptions!$C$7) ^ INT(((YEAR(AF$2)-YEAR($F26))*12 + MONTH(AF$2)-MONTH($F26)) / 12),
  0)</f>
        <v>0</v>
      </c>
      <c r="AG26" s="294">
        <f>IF(AND($F26&lt;=AG$2, OR($G26="",$G26&gt;=AG$2)),
  $H26 * (1 + Assumptions!$C$7) ^ INT(((YEAR(AG$2)-YEAR($F26))*12 + MONTH(AG$2)-MONTH($F26)) / 12),
  0)</f>
        <v>6500</v>
      </c>
      <c r="AH26" s="294">
        <f>IF(AND($F26&lt;=AH$2, OR($G26="",$G26&gt;=AH$2)),
  $H26 * (1 + Assumptions!$C$7) ^ INT(((YEAR(AH$2)-YEAR($F26))*12 + MONTH(AH$2)-MONTH($F26)) / 12),
  0)</f>
        <v>6500</v>
      </c>
      <c r="AI26" s="294">
        <f>IF(AND($F26&lt;=AI$2, OR($G26="",$G26&gt;=AI$2)),
  $H26 * (1 + Assumptions!$C$7) ^ INT(((YEAR(AI$2)-YEAR($F26))*12 + MONTH(AI$2)-MONTH($F26)) / 12),
  0)</f>
        <v>6500</v>
      </c>
      <c r="AJ26" s="294">
        <f>IF(AND($F26&lt;=AJ$2, OR($G26="",$G26&gt;=AJ$2)),
  $H26 * (1 + Assumptions!$C$7) ^ INT(((YEAR(AJ$2)-YEAR($F26))*12 + MONTH(AJ$2)-MONTH($F26)) / 12),
  0)</f>
        <v>6500</v>
      </c>
      <c r="AK26" s="294">
        <f>IF(AND($F26&lt;=AK$2, OR($G26="",$G26&gt;=AK$2)),
  $H26 * (1 + Assumptions!$C$7) ^ INT(((YEAR(AK$2)-YEAR($F26))*12 + MONTH(AK$2)-MONTH($F26)) / 12),
  0)</f>
        <v>6500</v>
      </c>
      <c r="AL26" s="294">
        <f>IF(AND($F26&lt;=AL$2, OR($G26="",$G26&gt;=AL$2)),
  $H26 * (1 + Assumptions!$C$7) ^ INT(((YEAR(AL$2)-YEAR($F26))*12 + MONTH(AL$2)-MONTH($F26)) / 12),
  0)</f>
        <v>6500</v>
      </c>
      <c r="AM26" s="294">
        <f>IF(AND($F26&lt;=AM$2, OR($G26="",$G26&gt;=AM$2)),
  $H26 * (1 + Assumptions!$C$7) ^ INT(((YEAR(AM$2)-YEAR($F26))*12 + MONTH(AM$2)-MONTH($F26)) / 12),
  0)</f>
        <v>6500</v>
      </c>
      <c r="AN26" s="294">
        <f>IF(AND($F26&lt;=AN$2, OR($G26="",$G26&gt;=AN$2)),
  $H26 * (1 + Assumptions!$C$7) ^ INT(((YEAR(AN$2)-YEAR($F26))*12 + MONTH(AN$2)-MONTH($F26)) / 12),
  0)</f>
        <v>6500</v>
      </c>
      <c r="AO26" s="294">
        <f>IF(AND($F26&lt;=AO$2, OR($G26="",$G26&gt;=AO$2)),
  $H26 * (1 + Assumptions!$C$7) ^ INT(((YEAR(AO$2)-YEAR($F26))*12 + MONTH(AO$2)-MONTH($F26)) / 12),
  0)</f>
        <v>6500</v>
      </c>
      <c r="AP26" s="294">
        <f>IF(AND($F26&lt;=AP$2, OR($G26="",$G26&gt;=AP$2)),
  $H26 * (1 + Assumptions!$C$7) ^ INT(((YEAR(AP$2)-YEAR($F26))*12 + MONTH(AP$2)-MONTH($F26)) / 12),
  0)</f>
        <v>6500</v>
      </c>
      <c r="AQ26" s="294">
        <f>IF(AND($F26&lt;=AQ$2, OR($G26="",$G26&gt;=AQ$2)),
  $H26 * (1 + Assumptions!$C$7) ^ INT(((YEAR(AQ$2)-YEAR($F26))*12 + MONTH(AQ$2)-MONTH($F26)) / 12),
  0)</f>
        <v>6500</v>
      </c>
      <c r="AR26" s="294">
        <f>IF(AND($F26&lt;=AR$2, OR($G26="",$G26&gt;=AR$2)),
  $H26 * (1 + Assumptions!$C$7) ^ INT(((YEAR(AR$2)-YEAR($F26))*12 + MONTH(AR$2)-MONTH($F26)) / 12),
  0)</f>
        <v>6500</v>
      </c>
      <c r="AS26" s="294">
        <f>IF(AND($F26&lt;=AS$2, OR($G26="",$G26&gt;=AS$2)),
  $H26 * (1 + Assumptions!$C$7) ^ INT(((YEAR(AS$2)-YEAR($F26))*12 + MONTH(AS$2)-MONTH($F26)) / 12),
  0)</f>
        <v>7020</v>
      </c>
      <c r="AT26" s="294">
        <f>IF(AND($F26&lt;=AT$2, OR($G26="",$G26&gt;=AT$2)),
  $H26 * (1 + Assumptions!$C$7) ^ INT(((YEAR(AT$2)-YEAR($F26))*12 + MONTH(AT$2)-MONTH($F26)) / 12),
  0)</f>
        <v>7020</v>
      </c>
      <c r="AU26" s="294">
        <f>IF(AND($F26&lt;=AU$2, OR($G26="",$G26&gt;=AU$2)),
  $H26 * (1 + Assumptions!$C$7) ^ INT(((YEAR(AU$2)-YEAR($F26))*12 + MONTH(AU$2)-MONTH($F26)) / 12),
  0)</f>
        <v>7020</v>
      </c>
      <c r="AV26" s="294">
        <f>IF(AND($F26&lt;=AV$2, OR($G26="",$G26&gt;=AV$2)),
  $H26 * (1 + Assumptions!$C$7) ^ INT(((YEAR(AV$2)-YEAR($F26))*12 + MONTH(AV$2)-MONTH($F26)) / 12),
  0)</f>
        <v>7020</v>
      </c>
      <c r="AW26" s="294">
        <f>IF(AND($F26&lt;=AW$2, OR($G26="",$G26&gt;=AW$2)),
  $H26 * (1 + Assumptions!$C$7) ^ INT(((YEAR(AW$2)-YEAR($F26))*12 + MONTH(AW$2)-MONTH($F26)) / 12),
  0)</f>
        <v>7020</v>
      </c>
      <c r="AX26" s="294">
        <f>IF(AND($F26&lt;=AX$2, OR($G26="",$G26&gt;=AX$2)),
  $H26 * (1 + Assumptions!$C$7) ^ INT(((YEAR(AX$2)-YEAR($F26))*12 + MONTH(AX$2)-MONTH($F26)) / 12),
  0)</f>
        <v>7020</v>
      </c>
      <c r="AY26" s="294">
        <f>IF(AND($F26&lt;=AY$2, OR($G26="",$G26&gt;=AY$2)),
  $H26 * (1 + Assumptions!$C$7) ^ INT(((YEAR(AY$2)-YEAR($F26))*12 + MONTH(AY$2)-MONTH($F26)) / 12),
  0)</f>
        <v>7020</v>
      </c>
      <c r="AZ26" s="294">
        <f>IF(AND($F26&lt;=AZ$2, OR($G26="",$G26&gt;=AZ$2)),
  $H26 * (1 + Assumptions!$C$7) ^ INT(((YEAR(AZ$2)-YEAR($F26))*12 + MONTH(AZ$2)-MONTH($F26)) / 12),
  0)</f>
        <v>7020</v>
      </c>
      <c r="BA26" s="294">
        <f>IF(AND($F26&lt;=BA$2, OR($G26="",$G26&gt;=BA$2)),
  $H26 * (1 + Assumptions!$C$7) ^ INT(((YEAR(BA$2)-YEAR($F26))*12 + MONTH(BA$2)-MONTH($F26)) / 12),
  0)</f>
        <v>7020</v>
      </c>
      <c r="BB26" s="294">
        <f>IF(AND($F26&lt;=BB$2, OR($G26="",$G26&gt;=BB$2)),
  $H26 * (1 + Assumptions!$C$7) ^ INT(((YEAR(BB$2)-YEAR($F26))*12 + MONTH(BB$2)-MONTH($F26)) / 12),
  0)</f>
        <v>7020</v>
      </c>
      <c r="BC26" s="294">
        <f>IF(AND($F26&lt;=BC$2, OR($G26="",$G26&gt;=BC$2)),
  $H26 * (1 + Assumptions!$C$7) ^ INT(((YEAR(BC$2)-YEAR($F26))*12 + MONTH(BC$2)-MONTH($F26)) / 12),
  0)</f>
        <v>7020</v>
      </c>
      <c r="BD26" s="294">
        <f>IF(AND($F26&lt;=BD$2, OR($G26="",$G26&gt;=BD$2)),
  $H26 * (1 + Assumptions!$C$7) ^ INT(((YEAR(BD$2)-YEAR($F26))*12 + MONTH(BD$2)-MONTH($F26)) / 12),
  0)</f>
        <v>7020</v>
      </c>
      <c r="BE26" s="294">
        <f>IF(AND($F26&lt;=BE$2, OR($G26="",$G26&gt;=BE$2)),
  $H26 * (1 + Assumptions!$C$7) ^ INT(((YEAR(BE$2)-YEAR($F26))*12 + MONTH(BE$2)-MONTH($F26)) / 12),
  0)</f>
        <v>7581.6</v>
      </c>
      <c r="BF26" s="294">
        <f>IF(AND($F26&lt;=BF$2, OR($G26="",$G26&gt;=BF$2)),
  $H26 * (1 + Assumptions!$C$7) ^ INT(((YEAR(BF$2)-YEAR($F26))*12 + MONTH(BF$2)-MONTH($F26)) / 12),
  0)</f>
        <v>7581.6</v>
      </c>
      <c r="BG26" s="294">
        <f>IF(AND($F26&lt;=BG$2, OR($G26="",$G26&gt;=BG$2)),
  $H26 * (1 + Assumptions!$C$7) ^ INT(((YEAR(BG$2)-YEAR($F26))*12 + MONTH(BG$2)-MONTH($F26)) / 12),
  0)</f>
        <v>7581.6</v>
      </c>
      <c r="BH26" s="294">
        <f>IF(AND($F26&lt;=BH$2, OR($G26="",$G26&gt;=BH$2)),
  $H26 * (1 + Assumptions!$C$7) ^ INT(((YEAR(BH$2)-YEAR($F26))*12 + MONTH(BH$2)-MONTH($F26)) / 12),
  0)</f>
        <v>7581.6</v>
      </c>
      <c r="BI26" s="294">
        <f>IF(AND($F26&lt;=BI$2, OR($G26="",$G26&gt;=BI$2)),
  $H26 * (1 + Assumptions!$C$7) ^ INT(((YEAR(BI$2)-YEAR($F26))*12 + MONTH(BI$2)-MONTH($F26)) / 12),
  0)</f>
        <v>7581.6</v>
      </c>
      <c r="BJ26" s="294">
        <f>IF(AND($F26&lt;=BJ$2, OR($G26="",$G26&gt;=BJ$2)),
  $H26 * (1 + Assumptions!$C$7) ^ INT(((YEAR(BJ$2)-YEAR($F26))*12 + MONTH(BJ$2)-MONTH($F26)) / 12),
  0)</f>
        <v>7581.6</v>
      </c>
      <c r="BK26" s="294">
        <f>IF(AND($F26&lt;=BK$2, OR($G26="",$G26&gt;=BK$2)),
  $H26 * (1 + Assumptions!$C$7) ^ INT(((YEAR(BK$2)-YEAR($F26))*12 + MONTH(BK$2)-MONTH($F26)) / 12),
  0)</f>
        <v>7581.6</v>
      </c>
      <c r="BL26" s="294">
        <f>IF(AND($F26&lt;=BL$2, OR($G26="",$G26&gt;=BL$2)),
  $H26 * (1 + Assumptions!$C$7) ^ INT(((YEAR(BL$2)-YEAR($F26))*12 + MONTH(BL$2)-MONTH($F26)) / 12),
  0)</f>
        <v>7581.6</v>
      </c>
      <c r="BM26" s="294">
        <f>IF(AND($F26&lt;=BM$2, OR($G26="",$G26&gt;=BM$2)),
  $H26 * (1 + Assumptions!$C$7) ^ INT(((YEAR(BM$2)-YEAR($F26))*12 + MONTH(BM$2)-MONTH($F26)) / 12),
  0)</f>
        <v>7581.6</v>
      </c>
      <c r="BN26" s="294">
        <f>IF(AND($F26&lt;=BN$2, OR($G26="",$G26&gt;=BN$2)),
  $H26 * (1 + Assumptions!$C$7) ^ INT(((YEAR(BN$2)-YEAR($F26))*12 + MONTH(BN$2)-MONTH($F26)) / 12),
  0)</f>
        <v>7581.6</v>
      </c>
      <c r="BO26" s="294">
        <f>IF(AND($F26&lt;=BO$2, OR($G26="",$G26&gt;=BO$2)),
  $H26 * (1 + Assumptions!$C$7) ^ INT(((YEAR(BO$2)-YEAR($F26))*12 + MONTH(BO$2)-MONTH($F26)) / 12),
  0)</f>
        <v>7581.6</v>
      </c>
      <c r="BP26" s="294">
        <f>IF(AND($F26&lt;=BP$2, OR($G26="",$G26&gt;=BP$2)),
  $H26 * (1 + Assumptions!$C$7) ^ INT(((YEAR(BP$2)-YEAR($F26))*12 + MONTH(BP$2)-MONTH($F26)) / 12),
  0)</f>
        <v>7581.6</v>
      </c>
      <c r="BQ26" s="35"/>
    </row>
    <row r="27" ht="15.75" customHeight="1">
      <c r="A27" s="301">
        <v>23.0</v>
      </c>
      <c r="B27" s="285" t="s">
        <v>342</v>
      </c>
      <c r="C27" s="285" t="s">
        <v>148</v>
      </c>
      <c r="D27" s="301" t="s">
        <v>329</v>
      </c>
      <c r="E27" s="292" t="s">
        <v>344</v>
      </c>
      <c r="F27" s="286">
        <v>46539.0</v>
      </c>
      <c r="G27" s="297"/>
      <c r="H27" s="288">
        <v>6500.0</v>
      </c>
      <c r="I27" s="294">
        <f>IF(AND($F27&lt;=I$2, OR($G27="",$G27&gt;=I$2)),
  $H27 * (1 + Assumptions!$C$7) ^ INT(((YEAR(I$2)-YEAR($F27))*12 + MONTH(I$2)-MONTH($F27)) / 12),
  0)</f>
        <v>0</v>
      </c>
      <c r="J27" s="294">
        <f>IF(AND($F27&lt;=J$2, OR($G27="",$G27&gt;=J$2)),
  $H27 * (1 + Assumptions!$C$7) ^ INT(((YEAR(J$2)-YEAR($F27))*12 + MONTH(J$2)-MONTH($F27)) / 12),
  0)</f>
        <v>0</v>
      </c>
      <c r="K27" s="294">
        <f>IF(AND($F27&lt;=K$2, OR($G27="",$G27&gt;=K$2)),
  $H27 * (1 + Assumptions!$C$7) ^ INT(((YEAR(K$2)-YEAR($F27))*12 + MONTH(K$2)-MONTH($F27)) / 12),
  0)</f>
        <v>0</v>
      </c>
      <c r="L27" s="294">
        <f>IF(AND($F27&lt;=L$2, OR($G27="",$G27&gt;=L$2)),
  $H27 * (1 + Assumptions!$C$7) ^ INT(((YEAR(L$2)-YEAR($F27))*12 + MONTH(L$2)-MONTH($F27)) / 12),
  0)</f>
        <v>0</v>
      </c>
      <c r="M27" s="294">
        <f>IF(AND($F27&lt;=M$2, OR($G27="",$G27&gt;=M$2)),
  $H27 * (1 + Assumptions!$C$7) ^ INT(((YEAR(M$2)-YEAR($F27))*12 + MONTH(M$2)-MONTH($F27)) / 12),
  0)</f>
        <v>0</v>
      </c>
      <c r="N27" s="294">
        <f>IF(AND($F27&lt;=N$2, OR($G27="",$G27&gt;=N$2)),
  $H27 * (1 + Assumptions!$C$7) ^ INT(((YEAR(N$2)-YEAR($F27))*12 + MONTH(N$2)-MONTH($F27)) / 12),
  0)</f>
        <v>0</v>
      </c>
      <c r="O27" s="294">
        <f>IF(AND($F27&lt;=O$2, OR($G27="",$G27&gt;=O$2)),
  $H27 * (1 + Assumptions!$C$7) ^ INT(((YEAR(O$2)-YEAR($F27))*12 + MONTH(O$2)-MONTH($F27)) / 12),
  0)</f>
        <v>0</v>
      </c>
      <c r="P27" s="294">
        <f>IF(AND($F27&lt;=P$2, OR($G27="",$G27&gt;=P$2)),
  $H27 * (1 + Assumptions!$C$7) ^ INT(((YEAR(P$2)-YEAR($F27))*12 + MONTH(P$2)-MONTH($F27)) / 12),
  0)</f>
        <v>0</v>
      </c>
      <c r="Q27" s="294">
        <f>IF(AND($F27&lt;=Q$2, OR($G27="",$G27&gt;=Q$2)),
  $H27 * (1 + Assumptions!$C$7) ^ INT(((YEAR(Q$2)-YEAR($F27))*12 + MONTH(Q$2)-MONTH($F27)) / 12),
  0)</f>
        <v>0</v>
      </c>
      <c r="R27" s="294">
        <f>IF(AND($F27&lt;=R$2, OR($G27="",$G27&gt;=R$2)),
  $H27 * (1 + Assumptions!$C$7) ^ INT(((YEAR(R$2)-YEAR($F27))*12 + MONTH(R$2)-MONTH($F27)) / 12),
  0)</f>
        <v>0</v>
      </c>
      <c r="S27" s="294">
        <f>IF(AND($F27&lt;=S$2, OR($G27="",$G27&gt;=S$2)),
  $H27 * (1 + Assumptions!$C$7) ^ INT(((YEAR(S$2)-YEAR($F27))*12 + MONTH(S$2)-MONTH($F27)) / 12),
  0)</f>
        <v>0</v>
      </c>
      <c r="T27" s="294">
        <f>IF(AND($F27&lt;=T$2, OR($G27="",$G27&gt;=T$2)),
  $H27 * (1 + Assumptions!$C$7) ^ INT(((YEAR(T$2)-YEAR($F27))*12 + MONTH(T$2)-MONTH($F27)) / 12),
  0)</f>
        <v>0</v>
      </c>
      <c r="U27" s="294">
        <f>IF(AND($F27&lt;=U$2, OR($G27="",$G27&gt;=U$2)),
  $H27 * (1 + Assumptions!$C$7) ^ INT(((YEAR(U$2)-YEAR($F27))*12 + MONTH(U$2)-MONTH($F27)) / 12),
  0)</f>
        <v>0</v>
      </c>
      <c r="V27" s="294">
        <f>IF(AND($F27&lt;=V$2, OR($G27="",$G27&gt;=V$2)),
  $H27 * (1 + Assumptions!$C$7) ^ INT(((YEAR(V$2)-YEAR($F27))*12 + MONTH(V$2)-MONTH($F27)) / 12),
  0)</f>
        <v>0</v>
      </c>
      <c r="W27" s="294">
        <f>IF(AND($F27&lt;=W$2, OR($G27="",$G27&gt;=W$2)),
  $H27 * (1 + Assumptions!$C$7) ^ INT(((YEAR(W$2)-YEAR($F27))*12 + MONTH(W$2)-MONTH($F27)) / 12),
  0)</f>
        <v>0</v>
      </c>
      <c r="X27" s="294">
        <f>IF(AND($F27&lt;=X$2, OR($G27="",$G27&gt;=X$2)),
  $H27 * (1 + Assumptions!$C$7) ^ INT(((YEAR(X$2)-YEAR($F27))*12 + MONTH(X$2)-MONTH($F27)) / 12),
  0)</f>
        <v>0</v>
      </c>
      <c r="Y27" s="294">
        <f>IF(AND($F27&lt;=Y$2, OR($G27="",$G27&gt;=Y$2)),
  $H27 * (1 + Assumptions!$C$7) ^ INT(((YEAR(Y$2)-YEAR($F27))*12 + MONTH(Y$2)-MONTH($F27)) / 12),
  0)</f>
        <v>0</v>
      </c>
      <c r="Z27" s="294">
        <f>IF(AND($F27&lt;=Z$2, OR($G27="",$G27&gt;=Z$2)),
  $H27 * (1 + Assumptions!$C$7) ^ INT(((YEAR(Z$2)-YEAR($F27))*12 + MONTH(Z$2)-MONTH($F27)) / 12),
  0)</f>
        <v>0</v>
      </c>
      <c r="AA27" s="294">
        <f>IF(AND($F27&lt;=AA$2, OR($G27="",$G27&gt;=AA$2)),
  $H27 * (1 + Assumptions!$C$7) ^ INT(((YEAR(AA$2)-YEAR($F27))*12 + MONTH(AA$2)-MONTH($F27)) / 12),
  0)</f>
        <v>0</v>
      </c>
      <c r="AB27" s="294">
        <f>IF(AND($F27&lt;=AB$2, OR($G27="",$G27&gt;=AB$2)),
  $H27 * (1 + Assumptions!$C$7) ^ INT(((YEAR(AB$2)-YEAR($F27))*12 + MONTH(AB$2)-MONTH($F27)) / 12),
  0)</f>
        <v>0</v>
      </c>
      <c r="AC27" s="294">
        <f>IF(AND($F27&lt;=AC$2, OR($G27="",$G27&gt;=AC$2)),
  $H27 * (1 + Assumptions!$C$7) ^ INT(((YEAR(AC$2)-YEAR($F27))*12 + MONTH(AC$2)-MONTH($F27)) / 12),
  0)</f>
        <v>0</v>
      </c>
      <c r="AD27" s="294">
        <f>IF(AND($F27&lt;=AD$2, OR($G27="",$G27&gt;=AD$2)),
  $H27 * (1 + Assumptions!$C$7) ^ INT(((YEAR(AD$2)-YEAR($F27))*12 + MONTH(AD$2)-MONTH($F27)) / 12),
  0)</f>
        <v>0</v>
      </c>
      <c r="AE27" s="294">
        <f>IF(AND($F27&lt;=AE$2, OR($G27="",$G27&gt;=AE$2)),
  $H27 * (1 + Assumptions!$C$7) ^ INT(((YEAR(AE$2)-YEAR($F27))*12 + MONTH(AE$2)-MONTH($F27)) / 12),
  0)</f>
        <v>0</v>
      </c>
      <c r="AF27" s="294">
        <f>IF(AND($F27&lt;=AF$2, OR($G27="",$G27&gt;=AF$2)),
  $H27 * (1 + Assumptions!$C$7) ^ INT(((YEAR(AF$2)-YEAR($F27))*12 + MONTH(AF$2)-MONTH($F27)) / 12),
  0)</f>
        <v>0</v>
      </c>
      <c r="AG27" s="294">
        <f>IF(AND($F27&lt;=AG$2, OR($G27="",$G27&gt;=AG$2)),
  $H27 * (1 + Assumptions!$C$7) ^ INT(((YEAR(AG$2)-YEAR($F27))*12 + MONTH(AG$2)-MONTH($F27)) / 12),
  0)</f>
        <v>0</v>
      </c>
      <c r="AH27" s="294">
        <f>IF(AND($F27&lt;=AH$2, OR($G27="",$G27&gt;=AH$2)),
  $H27 * (1 + Assumptions!$C$7) ^ INT(((YEAR(AH$2)-YEAR($F27))*12 + MONTH(AH$2)-MONTH($F27)) / 12),
  0)</f>
        <v>0</v>
      </c>
      <c r="AI27" s="294">
        <f>IF(AND($F27&lt;=AI$2, OR($G27="",$G27&gt;=AI$2)),
  $H27 * (1 + Assumptions!$C$7) ^ INT(((YEAR(AI$2)-YEAR($F27))*12 + MONTH(AI$2)-MONTH($F27)) / 12),
  0)</f>
        <v>0</v>
      </c>
      <c r="AJ27" s="294">
        <f>IF(AND($F27&lt;=AJ$2, OR($G27="",$G27&gt;=AJ$2)),
  $H27 * (1 + Assumptions!$C$7) ^ INT(((YEAR(AJ$2)-YEAR($F27))*12 + MONTH(AJ$2)-MONTH($F27)) / 12),
  0)</f>
        <v>0</v>
      </c>
      <c r="AK27" s="294">
        <f>IF(AND($F27&lt;=AK$2, OR($G27="",$G27&gt;=AK$2)),
  $H27 * (1 + Assumptions!$C$7) ^ INT(((YEAR(AK$2)-YEAR($F27))*12 + MONTH(AK$2)-MONTH($F27)) / 12),
  0)</f>
        <v>0</v>
      </c>
      <c r="AL27" s="294">
        <f>IF(AND($F27&lt;=AL$2, OR($G27="",$G27&gt;=AL$2)),
  $H27 * (1 + Assumptions!$C$7) ^ INT(((YEAR(AL$2)-YEAR($F27))*12 + MONTH(AL$2)-MONTH($F27)) / 12),
  0)</f>
        <v>6500</v>
      </c>
      <c r="AM27" s="294">
        <f>IF(AND($F27&lt;=AM$2, OR($G27="",$G27&gt;=AM$2)),
  $H27 * (1 + Assumptions!$C$7) ^ INT(((YEAR(AM$2)-YEAR($F27))*12 + MONTH(AM$2)-MONTH($F27)) / 12),
  0)</f>
        <v>6500</v>
      </c>
      <c r="AN27" s="294">
        <f>IF(AND($F27&lt;=AN$2, OR($G27="",$G27&gt;=AN$2)),
  $H27 * (1 + Assumptions!$C$7) ^ INT(((YEAR(AN$2)-YEAR($F27))*12 + MONTH(AN$2)-MONTH($F27)) / 12),
  0)</f>
        <v>6500</v>
      </c>
      <c r="AO27" s="294">
        <f>IF(AND($F27&lt;=AO$2, OR($G27="",$G27&gt;=AO$2)),
  $H27 * (1 + Assumptions!$C$7) ^ INT(((YEAR(AO$2)-YEAR($F27))*12 + MONTH(AO$2)-MONTH($F27)) / 12),
  0)</f>
        <v>6500</v>
      </c>
      <c r="AP27" s="294">
        <f>IF(AND($F27&lt;=AP$2, OR($G27="",$G27&gt;=AP$2)),
  $H27 * (1 + Assumptions!$C$7) ^ INT(((YEAR(AP$2)-YEAR($F27))*12 + MONTH(AP$2)-MONTH($F27)) / 12),
  0)</f>
        <v>6500</v>
      </c>
      <c r="AQ27" s="294">
        <f>IF(AND($F27&lt;=AQ$2, OR($G27="",$G27&gt;=AQ$2)),
  $H27 * (1 + Assumptions!$C$7) ^ INT(((YEAR(AQ$2)-YEAR($F27))*12 + MONTH(AQ$2)-MONTH($F27)) / 12),
  0)</f>
        <v>6500</v>
      </c>
      <c r="AR27" s="294">
        <f>IF(AND($F27&lt;=AR$2, OR($G27="",$G27&gt;=AR$2)),
  $H27 * (1 + Assumptions!$C$7) ^ INT(((YEAR(AR$2)-YEAR($F27))*12 + MONTH(AR$2)-MONTH($F27)) / 12),
  0)</f>
        <v>6500</v>
      </c>
      <c r="AS27" s="294">
        <f>IF(AND($F27&lt;=AS$2, OR($G27="",$G27&gt;=AS$2)),
  $H27 * (1 + Assumptions!$C$7) ^ INT(((YEAR(AS$2)-YEAR($F27))*12 + MONTH(AS$2)-MONTH($F27)) / 12),
  0)</f>
        <v>6500</v>
      </c>
      <c r="AT27" s="294">
        <f>IF(AND($F27&lt;=AT$2, OR($G27="",$G27&gt;=AT$2)),
  $H27 * (1 + Assumptions!$C$7) ^ INT(((YEAR(AT$2)-YEAR($F27))*12 + MONTH(AT$2)-MONTH($F27)) / 12),
  0)</f>
        <v>6500</v>
      </c>
      <c r="AU27" s="294">
        <f>IF(AND($F27&lt;=AU$2, OR($G27="",$G27&gt;=AU$2)),
  $H27 * (1 + Assumptions!$C$7) ^ INT(((YEAR(AU$2)-YEAR($F27))*12 + MONTH(AU$2)-MONTH($F27)) / 12),
  0)</f>
        <v>6500</v>
      </c>
      <c r="AV27" s="294">
        <f>IF(AND($F27&lt;=AV$2, OR($G27="",$G27&gt;=AV$2)),
  $H27 * (1 + Assumptions!$C$7) ^ INT(((YEAR(AV$2)-YEAR($F27))*12 + MONTH(AV$2)-MONTH($F27)) / 12),
  0)</f>
        <v>6500</v>
      </c>
      <c r="AW27" s="294">
        <f>IF(AND($F27&lt;=AW$2, OR($G27="",$G27&gt;=AW$2)),
  $H27 * (1 + Assumptions!$C$7) ^ INT(((YEAR(AW$2)-YEAR($F27))*12 + MONTH(AW$2)-MONTH($F27)) / 12),
  0)</f>
        <v>6500</v>
      </c>
      <c r="AX27" s="294">
        <f>IF(AND($F27&lt;=AX$2, OR($G27="",$G27&gt;=AX$2)),
  $H27 * (1 + Assumptions!$C$7) ^ INT(((YEAR(AX$2)-YEAR($F27))*12 + MONTH(AX$2)-MONTH($F27)) / 12),
  0)</f>
        <v>7020</v>
      </c>
      <c r="AY27" s="294">
        <f>IF(AND($F27&lt;=AY$2, OR($G27="",$G27&gt;=AY$2)),
  $H27 * (1 + Assumptions!$C$7) ^ INT(((YEAR(AY$2)-YEAR($F27))*12 + MONTH(AY$2)-MONTH($F27)) / 12),
  0)</f>
        <v>7020</v>
      </c>
      <c r="AZ27" s="294">
        <f>IF(AND($F27&lt;=AZ$2, OR($G27="",$G27&gt;=AZ$2)),
  $H27 * (1 + Assumptions!$C$7) ^ INT(((YEAR(AZ$2)-YEAR($F27))*12 + MONTH(AZ$2)-MONTH($F27)) / 12),
  0)</f>
        <v>7020</v>
      </c>
      <c r="BA27" s="294">
        <f>IF(AND($F27&lt;=BA$2, OR($G27="",$G27&gt;=BA$2)),
  $H27 * (1 + Assumptions!$C$7) ^ INT(((YEAR(BA$2)-YEAR($F27))*12 + MONTH(BA$2)-MONTH($F27)) / 12),
  0)</f>
        <v>7020</v>
      </c>
      <c r="BB27" s="294">
        <f>IF(AND($F27&lt;=BB$2, OR($G27="",$G27&gt;=BB$2)),
  $H27 * (1 + Assumptions!$C$7) ^ INT(((YEAR(BB$2)-YEAR($F27))*12 + MONTH(BB$2)-MONTH($F27)) / 12),
  0)</f>
        <v>7020</v>
      </c>
      <c r="BC27" s="294">
        <f>IF(AND($F27&lt;=BC$2, OR($G27="",$G27&gt;=BC$2)),
  $H27 * (1 + Assumptions!$C$7) ^ INT(((YEAR(BC$2)-YEAR($F27))*12 + MONTH(BC$2)-MONTH($F27)) / 12),
  0)</f>
        <v>7020</v>
      </c>
      <c r="BD27" s="294">
        <f>IF(AND($F27&lt;=BD$2, OR($G27="",$G27&gt;=BD$2)),
  $H27 * (1 + Assumptions!$C$7) ^ INT(((YEAR(BD$2)-YEAR($F27))*12 + MONTH(BD$2)-MONTH($F27)) / 12),
  0)</f>
        <v>7020</v>
      </c>
      <c r="BE27" s="294">
        <f>IF(AND($F27&lt;=BE$2, OR($G27="",$G27&gt;=BE$2)),
  $H27 * (1 + Assumptions!$C$7) ^ INT(((YEAR(BE$2)-YEAR($F27))*12 + MONTH(BE$2)-MONTH($F27)) / 12),
  0)</f>
        <v>7020</v>
      </c>
      <c r="BF27" s="294">
        <f>IF(AND($F27&lt;=BF$2, OR($G27="",$G27&gt;=BF$2)),
  $H27 * (1 + Assumptions!$C$7) ^ INT(((YEAR(BF$2)-YEAR($F27))*12 + MONTH(BF$2)-MONTH($F27)) / 12),
  0)</f>
        <v>7020</v>
      </c>
      <c r="BG27" s="294">
        <f>IF(AND($F27&lt;=BG$2, OR($G27="",$G27&gt;=BG$2)),
  $H27 * (1 + Assumptions!$C$7) ^ INT(((YEAR(BG$2)-YEAR($F27))*12 + MONTH(BG$2)-MONTH($F27)) / 12),
  0)</f>
        <v>7020</v>
      </c>
      <c r="BH27" s="294">
        <f>IF(AND($F27&lt;=BH$2, OR($G27="",$G27&gt;=BH$2)),
  $H27 * (1 + Assumptions!$C$7) ^ INT(((YEAR(BH$2)-YEAR($F27))*12 + MONTH(BH$2)-MONTH($F27)) / 12),
  0)</f>
        <v>7020</v>
      </c>
      <c r="BI27" s="294">
        <f>IF(AND($F27&lt;=BI$2, OR($G27="",$G27&gt;=BI$2)),
  $H27 * (1 + Assumptions!$C$7) ^ INT(((YEAR(BI$2)-YEAR($F27))*12 + MONTH(BI$2)-MONTH($F27)) / 12),
  0)</f>
        <v>7020</v>
      </c>
      <c r="BJ27" s="294">
        <f>IF(AND($F27&lt;=BJ$2, OR($G27="",$G27&gt;=BJ$2)),
  $H27 * (1 + Assumptions!$C$7) ^ INT(((YEAR(BJ$2)-YEAR($F27))*12 + MONTH(BJ$2)-MONTH($F27)) / 12),
  0)</f>
        <v>7581.6</v>
      </c>
      <c r="BK27" s="294">
        <f>IF(AND($F27&lt;=BK$2, OR($G27="",$G27&gt;=BK$2)),
  $H27 * (1 + Assumptions!$C$7) ^ INT(((YEAR(BK$2)-YEAR($F27))*12 + MONTH(BK$2)-MONTH($F27)) / 12),
  0)</f>
        <v>7581.6</v>
      </c>
      <c r="BL27" s="294">
        <f>IF(AND($F27&lt;=BL$2, OR($G27="",$G27&gt;=BL$2)),
  $H27 * (1 + Assumptions!$C$7) ^ INT(((YEAR(BL$2)-YEAR($F27))*12 + MONTH(BL$2)-MONTH($F27)) / 12),
  0)</f>
        <v>7581.6</v>
      </c>
      <c r="BM27" s="294">
        <f>IF(AND($F27&lt;=BM$2, OR($G27="",$G27&gt;=BM$2)),
  $H27 * (1 + Assumptions!$C$7) ^ INT(((YEAR(BM$2)-YEAR($F27))*12 + MONTH(BM$2)-MONTH($F27)) / 12),
  0)</f>
        <v>7581.6</v>
      </c>
      <c r="BN27" s="294">
        <f>IF(AND($F27&lt;=BN$2, OR($G27="",$G27&gt;=BN$2)),
  $H27 * (1 + Assumptions!$C$7) ^ INT(((YEAR(BN$2)-YEAR($F27))*12 + MONTH(BN$2)-MONTH($F27)) / 12),
  0)</f>
        <v>7581.6</v>
      </c>
      <c r="BO27" s="294">
        <f>IF(AND($F27&lt;=BO$2, OR($G27="",$G27&gt;=BO$2)),
  $H27 * (1 + Assumptions!$C$7) ^ INT(((YEAR(BO$2)-YEAR($F27))*12 + MONTH(BO$2)-MONTH($F27)) / 12),
  0)</f>
        <v>7581.6</v>
      </c>
      <c r="BP27" s="294">
        <f>IF(AND($F27&lt;=BP$2, OR($G27="",$G27&gt;=BP$2)),
  $H27 * (1 + Assumptions!$C$7) ^ INT(((YEAR(BP$2)-YEAR($F27))*12 + MONTH(BP$2)-MONTH($F27)) / 12),
  0)</f>
        <v>7581.6</v>
      </c>
      <c r="BQ27" s="35"/>
    </row>
    <row r="28" ht="15.75" customHeight="1">
      <c r="A28" s="301">
        <v>24.0</v>
      </c>
      <c r="B28" s="285" t="s">
        <v>342</v>
      </c>
      <c r="C28" s="285" t="s">
        <v>145</v>
      </c>
      <c r="D28" s="302" t="s">
        <v>351</v>
      </c>
      <c r="E28" s="292" t="s">
        <v>344</v>
      </c>
      <c r="F28" s="286">
        <v>46753.0</v>
      </c>
      <c r="G28" s="303"/>
      <c r="H28" s="288">
        <v>7500.0</v>
      </c>
      <c r="I28" s="294">
        <f>IF(AND($F28&lt;=I$2, OR($G28="",$G28&gt;=I$2)),
  $H28 * (1 + Assumptions!$C$7) ^ INT(((YEAR(I$2)-YEAR($F28))*12 + MONTH(I$2)-MONTH($F28)) / 12),
  0)</f>
        <v>0</v>
      </c>
      <c r="J28" s="294">
        <f>IF(AND($F28&lt;=J$2, OR($G28="",$G28&gt;=J$2)),
  $H28 * (1 + Assumptions!$C$7) ^ INT(((YEAR(J$2)-YEAR($F28))*12 + MONTH(J$2)-MONTH($F28)) / 12),
  0)</f>
        <v>0</v>
      </c>
      <c r="K28" s="294">
        <f>IF(AND($F28&lt;=K$2, OR($G28="",$G28&gt;=K$2)),
  $H28 * (1 + Assumptions!$C$7) ^ INT(((YEAR(K$2)-YEAR($F28))*12 + MONTH(K$2)-MONTH($F28)) / 12),
  0)</f>
        <v>0</v>
      </c>
      <c r="L28" s="294">
        <f>IF(AND($F28&lt;=L$2, OR($G28="",$G28&gt;=L$2)),
  $H28 * (1 + Assumptions!$C$7) ^ INT(((YEAR(L$2)-YEAR($F28))*12 + MONTH(L$2)-MONTH($F28)) / 12),
  0)</f>
        <v>0</v>
      </c>
      <c r="M28" s="294">
        <f>IF(AND($F28&lt;=M$2, OR($G28="",$G28&gt;=M$2)),
  $H28 * (1 + Assumptions!$C$7) ^ INT(((YEAR(M$2)-YEAR($F28))*12 + MONTH(M$2)-MONTH($F28)) / 12),
  0)</f>
        <v>0</v>
      </c>
      <c r="N28" s="294">
        <f>IF(AND($F28&lt;=N$2, OR($G28="",$G28&gt;=N$2)),
  $H28 * (1 + Assumptions!$C$7) ^ INT(((YEAR(N$2)-YEAR($F28))*12 + MONTH(N$2)-MONTH($F28)) / 12),
  0)</f>
        <v>0</v>
      </c>
      <c r="O28" s="294">
        <f>IF(AND($F28&lt;=O$2, OR($G28="",$G28&gt;=O$2)),
  $H28 * (1 + Assumptions!$C$7) ^ INT(((YEAR(O$2)-YEAR($F28))*12 + MONTH(O$2)-MONTH($F28)) / 12),
  0)</f>
        <v>0</v>
      </c>
      <c r="P28" s="294">
        <f>IF(AND($F28&lt;=P$2, OR($G28="",$G28&gt;=P$2)),
  $H28 * (1 + Assumptions!$C$7) ^ INT(((YEAR(P$2)-YEAR($F28))*12 + MONTH(P$2)-MONTH($F28)) / 12),
  0)</f>
        <v>0</v>
      </c>
      <c r="Q28" s="294">
        <f>IF(AND($F28&lt;=Q$2, OR($G28="",$G28&gt;=Q$2)),
  $H28 * (1 + Assumptions!$C$7) ^ INT(((YEAR(Q$2)-YEAR($F28))*12 + MONTH(Q$2)-MONTH($F28)) / 12),
  0)</f>
        <v>0</v>
      </c>
      <c r="R28" s="294">
        <f>IF(AND($F28&lt;=R$2, OR($G28="",$G28&gt;=R$2)),
  $H28 * (1 + Assumptions!$C$7) ^ INT(((YEAR(R$2)-YEAR($F28))*12 + MONTH(R$2)-MONTH($F28)) / 12),
  0)</f>
        <v>0</v>
      </c>
      <c r="S28" s="294">
        <f>IF(AND($F28&lt;=S$2, OR($G28="",$G28&gt;=S$2)),
  $H28 * (1 + Assumptions!$C$7) ^ INT(((YEAR(S$2)-YEAR($F28))*12 + MONTH(S$2)-MONTH($F28)) / 12),
  0)</f>
        <v>0</v>
      </c>
      <c r="T28" s="294">
        <f>IF(AND($F28&lt;=T$2, OR($G28="",$G28&gt;=T$2)),
  $H28 * (1 + Assumptions!$C$7) ^ INT(((YEAR(T$2)-YEAR($F28))*12 + MONTH(T$2)-MONTH($F28)) / 12),
  0)</f>
        <v>0</v>
      </c>
      <c r="U28" s="294">
        <f>IF(AND($F28&lt;=U$2, OR($G28="",$G28&gt;=U$2)),
  $H28 * (1 + Assumptions!$C$7) ^ INT(((YEAR(U$2)-YEAR($F28))*12 + MONTH(U$2)-MONTH($F28)) / 12),
  0)</f>
        <v>0</v>
      </c>
      <c r="V28" s="294">
        <f>IF(AND($F28&lt;=V$2, OR($G28="",$G28&gt;=V$2)),
  $H28 * (1 + Assumptions!$C$7) ^ INT(((YEAR(V$2)-YEAR($F28))*12 + MONTH(V$2)-MONTH($F28)) / 12),
  0)</f>
        <v>0</v>
      </c>
      <c r="W28" s="294">
        <f>IF(AND($F28&lt;=W$2, OR($G28="",$G28&gt;=W$2)),
  $H28 * (1 + Assumptions!$C$7) ^ INT(((YEAR(W$2)-YEAR($F28))*12 + MONTH(W$2)-MONTH($F28)) / 12),
  0)</f>
        <v>0</v>
      </c>
      <c r="X28" s="294">
        <f>IF(AND($F28&lt;=X$2, OR($G28="",$G28&gt;=X$2)),
  $H28 * (1 + Assumptions!$C$7) ^ INT(((YEAR(X$2)-YEAR($F28))*12 + MONTH(X$2)-MONTH($F28)) / 12),
  0)</f>
        <v>0</v>
      </c>
      <c r="Y28" s="294">
        <f>IF(AND($F28&lt;=Y$2, OR($G28="",$G28&gt;=Y$2)),
  $H28 * (1 + Assumptions!$C$7) ^ INT(((YEAR(Y$2)-YEAR($F28))*12 + MONTH(Y$2)-MONTH($F28)) / 12),
  0)</f>
        <v>0</v>
      </c>
      <c r="Z28" s="294">
        <f>IF(AND($F28&lt;=Z$2, OR($G28="",$G28&gt;=Z$2)),
  $H28 * (1 + Assumptions!$C$7) ^ INT(((YEAR(Z$2)-YEAR($F28))*12 + MONTH(Z$2)-MONTH($F28)) / 12),
  0)</f>
        <v>0</v>
      </c>
      <c r="AA28" s="294">
        <f>IF(AND($F28&lt;=AA$2, OR($G28="",$G28&gt;=AA$2)),
  $H28 * (1 + Assumptions!$C$7) ^ INT(((YEAR(AA$2)-YEAR($F28))*12 + MONTH(AA$2)-MONTH($F28)) / 12),
  0)</f>
        <v>0</v>
      </c>
      <c r="AB28" s="294">
        <f>IF(AND($F28&lt;=AB$2, OR($G28="",$G28&gt;=AB$2)),
  $H28 * (1 + Assumptions!$C$7) ^ INT(((YEAR(AB$2)-YEAR($F28))*12 + MONTH(AB$2)-MONTH($F28)) / 12),
  0)</f>
        <v>0</v>
      </c>
      <c r="AC28" s="294">
        <f>IF(AND($F28&lt;=AC$2, OR($G28="",$G28&gt;=AC$2)),
  $H28 * (1 + Assumptions!$C$7) ^ INT(((YEAR(AC$2)-YEAR($F28))*12 + MONTH(AC$2)-MONTH($F28)) / 12),
  0)</f>
        <v>0</v>
      </c>
      <c r="AD28" s="294">
        <f>IF(AND($F28&lt;=AD$2, OR($G28="",$G28&gt;=AD$2)),
  $H28 * (1 + Assumptions!$C$7) ^ INT(((YEAR(AD$2)-YEAR($F28))*12 + MONTH(AD$2)-MONTH($F28)) / 12),
  0)</f>
        <v>0</v>
      </c>
      <c r="AE28" s="294">
        <f>IF(AND($F28&lt;=AE$2, OR($G28="",$G28&gt;=AE$2)),
  $H28 * (1 + Assumptions!$C$7) ^ INT(((YEAR(AE$2)-YEAR($F28))*12 + MONTH(AE$2)-MONTH($F28)) / 12),
  0)</f>
        <v>0</v>
      </c>
      <c r="AF28" s="294">
        <f>IF(AND($F28&lt;=AF$2, OR($G28="",$G28&gt;=AF$2)),
  $H28 * (1 + Assumptions!$C$7) ^ INT(((YEAR(AF$2)-YEAR($F28))*12 + MONTH(AF$2)-MONTH($F28)) / 12),
  0)</f>
        <v>0</v>
      </c>
      <c r="AG28" s="294">
        <f>IF(AND($F28&lt;=AG$2, OR($G28="",$G28&gt;=AG$2)),
  $H28 * (1 + Assumptions!$C$7) ^ INT(((YEAR(AG$2)-YEAR($F28))*12 + MONTH(AG$2)-MONTH($F28)) / 12),
  0)</f>
        <v>0</v>
      </c>
      <c r="AH28" s="294">
        <f>IF(AND($F28&lt;=AH$2, OR($G28="",$G28&gt;=AH$2)),
  $H28 * (1 + Assumptions!$C$7) ^ INT(((YEAR(AH$2)-YEAR($F28))*12 + MONTH(AH$2)-MONTH($F28)) / 12),
  0)</f>
        <v>0</v>
      </c>
      <c r="AI28" s="294">
        <f>IF(AND($F28&lt;=AI$2, OR($G28="",$G28&gt;=AI$2)),
  $H28 * (1 + Assumptions!$C$7) ^ INT(((YEAR(AI$2)-YEAR($F28))*12 + MONTH(AI$2)-MONTH($F28)) / 12),
  0)</f>
        <v>0</v>
      </c>
      <c r="AJ28" s="294">
        <f>IF(AND($F28&lt;=AJ$2, OR($G28="",$G28&gt;=AJ$2)),
  $H28 * (1 + Assumptions!$C$7) ^ INT(((YEAR(AJ$2)-YEAR($F28))*12 + MONTH(AJ$2)-MONTH($F28)) / 12),
  0)</f>
        <v>0</v>
      </c>
      <c r="AK28" s="294">
        <f>IF(AND($F28&lt;=AK$2, OR($G28="",$G28&gt;=AK$2)),
  $H28 * (1 + Assumptions!$C$7) ^ INT(((YEAR(AK$2)-YEAR($F28))*12 + MONTH(AK$2)-MONTH($F28)) / 12),
  0)</f>
        <v>0</v>
      </c>
      <c r="AL28" s="294">
        <f>IF(AND($F28&lt;=AL$2, OR($G28="",$G28&gt;=AL$2)),
  $H28 * (1 + Assumptions!$C$7) ^ INT(((YEAR(AL$2)-YEAR($F28))*12 + MONTH(AL$2)-MONTH($F28)) / 12),
  0)</f>
        <v>0</v>
      </c>
      <c r="AM28" s="294">
        <f>IF(AND($F28&lt;=AM$2, OR($G28="",$G28&gt;=AM$2)),
  $H28 * (1 + Assumptions!$C$7) ^ INT(((YEAR(AM$2)-YEAR($F28))*12 + MONTH(AM$2)-MONTH($F28)) / 12),
  0)</f>
        <v>0</v>
      </c>
      <c r="AN28" s="294">
        <f>IF(AND($F28&lt;=AN$2, OR($G28="",$G28&gt;=AN$2)),
  $H28 * (1 + Assumptions!$C$7) ^ INT(((YEAR(AN$2)-YEAR($F28))*12 + MONTH(AN$2)-MONTH($F28)) / 12),
  0)</f>
        <v>0</v>
      </c>
      <c r="AO28" s="294">
        <f>IF(AND($F28&lt;=AO$2, OR($G28="",$G28&gt;=AO$2)),
  $H28 * (1 + Assumptions!$C$7) ^ INT(((YEAR(AO$2)-YEAR($F28))*12 + MONTH(AO$2)-MONTH($F28)) / 12),
  0)</f>
        <v>0</v>
      </c>
      <c r="AP28" s="294">
        <f>IF(AND($F28&lt;=AP$2, OR($G28="",$G28&gt;=AP$2)),
  $H28 * (1 + Assumptions!$C$7) ^ INT(((YEAR(AP$2)-YEAR($F28))*12 + MONTH(AP$2)-MONTH($F28)) / 12),
  0)</f>
        <v>0</v>
      </c>
      <c r="AQ28" s="294">
        <f>IF(AND($F28&lt;=AQ$2, OR($G28="",$G28&gt;=AQ$2)),
  $H28 * (1 + Assumptions!$C$7) ^ INT(((YEAR(AQ$2)-YEAR($F28))*12 + MONTH(AQ$2)-MONTH($F28)) / 12),
  0)</f>
        <v>0</v>
      </c>
      <c r="AR28" s="294">
        <f>IF(AND($F28&lt;=AR$2, OR($G28="",$G28&gt;=AR$2)),
  $H28 * (1 + Assumptions!$C$7) ^ INT(((YEAR(AR$2)-YEAR($F28))*12 + MONTH(AR$2)-MONTH($F28)) / 12),
  0)</f>
        <v>0</v>
      </c>
      <c r="AS28" s="294">
        <f>IF(AND($F28&lt;=AS$2, OR($G28="",$G28&gt;=AS$2)),
  $H28 * (1 + Assumptions!$C$7) ^ INT(((YEAR(AS$2)-YEAR($F28))*12 + MONTH(AS$2)-MONTH($F28)) / 12),
  0)</f>
        <v>7500</v>
      </c>
      <c r="AT28" s="294">
        <f>IF(AND($F28&lt;=AT$2, OR($G28="",$G28&gt;=AT$2)),
  $H28 * (1 + Assumptions!$C$7) ^ INT(((YEAR(AT$2)-YEAR($F28))*12 + MONTH(AT$2)-MONTH($F28)) / 12),
  0)</f>
        <v>7500</v>
      </c>
      <c r="AU28" s="294">
        <f>IF(AND($F28&lt;=AU$2, OR($G28="",$G28&gt;=AU$2)),
  $H28 * (1 + Assumptions!$C$7) ^ INT(((YEAR(AU$2)-YEAR($F28))*12 + MONTH(AU$2)-MONTH($F28)) / 12),
  0)</f>
        <v>7500</v>
      </c>
      <c r="AV28" s="294">
        <f>IF(AND($F28&lt;=AV$2, OR($G28="",$G28&gt;=AV$2)),
  $H28 * (1 + Assumptions!$C$7) ^ INT(((YEAR(AV$2)-YEAR($F28))*12 + MONTH(AV$2)-MONTH($F28)) / 12),
  0)</f>
        <v>7500</v>
      </c>
      <c r="AW28" s="294">
        <f>IF(AND($F28&lt;=AW$2, OR($G28="",$G28&gt;=AW$2)),
  $H28 * (1 + Assumptions!$C$7) ^ INT(((YEAR(AW$2)-YEAR($F28))*12 + MONTH(AW$2)-MONTH($F28)) / 12),
  0)</f>
        <v>7500</v>
      </c>
      <c r="AX28" s="294">
        <f>IF(AND($F28&lt;=AX$2, OR($G28="",$G28&gt;=AX$2)),
  $H28 * (1 + Assumptions!$C$7) ^ INT(((YEAR(AX$2)-YEAR($F28))*12 + MONTH(AX$2)-MONTH($F28)) / 12),
  0)</f>
        <v>7500</v>
      </c>
      <c r="AY28" s="294">
        <f>IF(AND($F28&lt;=AY$2, OR($G28="",$G28&gt;=AY$2)),
  $H28 * (1 + Assumptions!$C$7) ^ INT(((YEAR(AY$2)-YEAR($F28))*12 + MONTH(AY$2)-MONTH($F28)) / 12),
  0)</f>
        <v>7500</v>
      </c>
      <c r="AZ28" s="294">
        <f>IF(AND($F28&lt;=AZ$2, OR($G28="",$G28&gt;=AZ$2)),
  $H28 * (1 + Assumptions!$C$7) ^ INT(((YEAR(AZ$2)-YEAR($F28))*12 + MONTH(AZ$2)-MONTH($F28)) / 12),
  0)</f>
        <v>7500</v>
      </c>
      <c r="BA28" s="294">
        <f>IF(AND($F28&lt;=BA$2, OR($G28="",$G28&gt;=BA$2)),
  $H28 * (1 + Assumptions!$C$7) ^ INT(((YEAR(BA$2)-YEAR($F28))*12 + MONTH(BA$2)-MONTH($F28)) / 12),
  0)</f>
        <v>7500</v>
      </c>
      <c r="BB28" s="294">
        <f>IF(AND($F28&lt;=BB$2, OR($G28="",$G28&gt;=BB$2)),
  $H28 * (1 + Assumptions!$C$7) ^ INT(((YEAR(BB$2)-YEAR($F28))*12 + MONTH(BB$2)-MONTH($F28)) / 12),
  0)</f>
        <v>7500</v>
      </c>
      <c r="BC28" s="294">
        <f>IF(AND($F28&lt;=BC$2, OR($G28="",$G28&gt;=BC$2)),
  $H28 * (1 + Assumptions!$C$7) ^ INT(((YEAR(BC$2)-YEAR($F28))*12 + MONTH(BC$2)-MONTH($F28)) / 12),
  0)</f>
        <v>7500</v>
      </c>
      <c r="BD28" s="294">
        <f>IF(AND($F28&lt;=BD$2, OR($G28="",$G28&gt;=BD$2)),
  $H28 * (1 + Assumptions!$C$7) ^ INT(((YEAR(BD$2)-YEAR($F28))*12 + MONTH(BD$2)-MONTH($F28)) / 12),
  0)</f>
        <v>7500</v>
      </c>
      <c r="BE28" s="294">
        <f>IF(AND($F28&lt;=BE$2, OR($G28="",$G28&gt;=BE$2)),
  $H28 * (1 + Assumptions!$C$7) ^ INT(((YEAR(BE$2)-YEAR($F28))*12 + MONTH(BE$2)-MONTH($F28)) / 12),
  0)</f>
        <v>8100</v>
      </c>
      <c r="BF28" s="294">
        <f>IF(AND($F28&lt;=BF$2, OR($G28="",$G28&gt;=BF$2)),
  $H28 * (1 + Assumptions!$C$7) ^ INT(((YEAR(BF$2)-YEAR($F28))*12 + MONTH(BF$2)-MONTH($F28)) / 12),
  0)</f>
        <v>8100</v>
      </c>
      <c r="BG28" s="294">
        <f>IF(AND($F28&lt;=BG$2, OR($G28="",$G28&gt;=BG$2)),
  $H28 * (1 + Assumptions!$C$7) ^ INT(((YEAR(BG$2)-YEAR($F28))*12 + MONTH(BG$2)-MONTH($F28)) / 12),
  0)</f>
        <v>8100</v>
      </c>
      <c r="BH28" s="294">
        <f>IF(AND($F28&lt;=BH$2, OR($G28="",$G28&gt;=BH$2)),
  $H28 * (1 + Assumptions!$C$7) ^ INT(((YEAR(BH$2)-YEAR($F28))*12 + MONTH(BH$2)-MONTH($F28)) / 12),
  0)</f>
        <v>8100</v>
      </c>
      <c r="BI28" s="294">
        <f>IF(AND($F28&lt;=BI$2, OR($G28="",$G28&gt;=BI$2)),
  $H28 * (1 + Assumptions!$C$7) ^ INT(((YEAR(BI$2)-YEAR($F28))*12 + MONTH(BI$2)-MONTH($F28)) / 12),
  0)</f>
        <v>8100</v>
      </c>
      <c r="BJ28" s="294">
        <f>IF(AND($F28&lt;=BJ$2, OR($G28="",$G28&gt;=BJ$2)),
  $H28 * (1 + Assumptions!$C$7) ^ INT(((YEAR(BJ$2)-YEAR($F28))*12 + MONTH(BJ$2)-MONTH($F28)) / 12),
  0)</f>
        <v>8100</v>
      </c>
      <c r="BK28" s="294">
        <f>IF(AND($F28&lt;=BK$2, OR($G28="",$G28&gt;=BK$2)),
  $H28 * (1 + Assumptions!$C$7) ^ INT(((YEAR(BK$2)-YEAR($F28))*12 + MONTH(BK$2)-MONTH($F28)) / 12),
  0)</f>
        <v>8100</v>
      </c>
      <c r="BL28" s="294">
        <f>IF(AND($F28&lt;=BL$2, OR($G28="",$G28&gt;=BL$2)),
  $H28 * (1 + Assumptions!$C$7) ^ INT(((YEAR(BL$2)-YEAR($F28))*12 + MONTH(BL$2)-MONTH($F28)) / 12),
  0)</f>
        <v>8100</v>
      </c>
      <c r="BM28" s="294">
        <f>IF(AND($F28&lt;=BM$2, OR($G28="",$G28&gt;=BM$2)),
  $H28 * (1 + Assumptions!$C$7) ^ INT(((YEAR(BM$2)-YEAR($F28))*12 + MONTH(BM$2)-MONTH($F28)) / 12),
  0)</f>
        <v>8100</v>
      </c>
      <c r="BN28" s="294">
        <f>IF(AND($F28&lt;=BN$2, OR($G28="",$G28&gt;=BN$2)),
  $H28 * (1 + Assumptions!$C$7) ^ INT(((YEAR(BN$2)-YEAR($F28))*12 + MONTH(BN$2)-MONTH($F28)) / 12),
  0)</f>
        <v>8100</v>
      </c>
      <c r="BO28" s="294">
        <f>IF(AND($F28&lt;=BO$2, OR($G28="",$G28&gt;=BO$2)),
  $H28 * (1 + Assumptions!$C$7) ^ INT(((YEAR(BO$2)-YEAR($F28))*12 + MONTH(BO$2)-MONTH($F28)) / 12),
  0)</f>
        <v>8100</v>
      </c>
      <c r="BP28" s="294">
        <f>IF(AND($F28&lt;=BP$2, OR($G28="",$G28&gt;=BP$2)),
  $H28 * (1 + Assumptions!$C$7) ^ INT(((YEAR(BP$2)-YEAR($F28))*12 + MONTH(BP$2)-MONTH($F28)) / 12),
  0)</f>
        <v>8100</v>
      </c>
      <c r="BQ28" s="28"/>
    </row>
    <row r="29" ht="15.75" customHeight="1">
      <c r="A29" s="301">
        <v>25.0</v>
      </c>
      <c r="B29" s="285" t="s">
        <v>342</v>
      </c>
      <c r="C29" s="285" t="s">
        <v>145</v>
      </c>
      <c r="D29" s="75" t="s">
        <v>347</v>
      </c>
      <c r="E29" s="292" t="s">
        <v>344</v>
      </c>
      <c r="F29" s="286">
        <v>46753.0</v>
      </c>
      <c r="G29" s="303"/>
      <c r="H29" s="288">
        <v>7500.0</v>
      </c>
      <c r="I29" s="294">
        <f>IF(AND($F29&lt;=I$2, OR($G29="",$G29&gt;=I$2)),
  $H29 * (1 + Assumptions!$C$7) ^ INT(((YEAR(I$2)-YEAR($F29))*12 + MONTH(I$2)-MONTH($F29)) / 12),
  0)</f>
        <v>0</v>
      </c>
      <c r="J29" s="294">
        <f>IF(AND($F29&lt;=J$2, OR($G29="",$G29&gt;=J$2)),
  $H29 * (1 + Assumptions!$C$7) ^ INT(((YEAR(J$2)-YEAR($F29))*12 + MONTH(J$2)-MONTH($F29)) / 12),
  0)</f>
        <v>0</v>
      </c>
      <c r="K29" s="294">
        <f>IF(AND($F29&lt;=K$2, OR($G29="",$G29&gt;=K$2)),
  $H29 * (1 + Assumptions!$C$7) ^ INT(((YEAR(K$2)-YEAR($F29))*12 + MONTH(K$2)-MONTH($F29)) / 12),
  0)</f>
        <v>0</v>
      </c>
      <c r="L29" s="294">
        <f>IF(AND($F29&lt;=L$2, OR($G29="",$G29&gt;=L$2)),
  $H29 * (1 + Assumptions!$C$7) ^ INT(((YEAR(L$2)-YEAR($F29))*12 + MONTH(L$2)-MONTH($F29)) / 12),
  0)</f>
        <v>0</v>
      </c>
      <c r="M29" s="294">
        <f>IF(AND($F29&lt;=M$2, OR($G29="",$G29&gt;=M$2)),
  $H29 * (1 + Assumptions!$C$7) ^ INT(((YEAR(M$2)-YEAR($F29))*12 + MONTH(M$2)-MONTH($F29)) / 12),
  0)</f>
        <v>0</v>
      </c>
      <c r="N29" s="294">
        <f>IF(AND($F29&lt;=N$2, OR($G29="",$G29&gt;=N$2)),
  $H29 * (1 + Assumptions!$C$7) ^ INT(((YEAR(N$2)-YEAR($F29))*12 + MONTH(N$2)-MONTH($F29)) / 12),
  0)</f>
        <v>0</v>
      </c>
      <c r="O29" s="294">
        <f>IF(AND($F29&lt;=O$2, OR($G29="",$G29&gt;=O$2)),
  $H29 * (1 + Assumptions!$C$7) ^ INT(((YEAR(O$2)-YEAR($F29))*12 + MONTH(O$2)-MONTH($F29)) / 12),
  0)</f>
        <v>0</v>
      </c>
      <c r="P29" s="294">
        <f>IF(AND($F29&lt;=P$2, OR($G29="",$G29&gt;=P$2)),
  $H29 * (1 + Assumptions!$C$7) ^ INT(((YEAR(P$2)-YEAR($F29))*12 + MONTH(P$2)-MONTH($F29)) / 12),
  0)</f>
        <v>0</v>
      </c>
      <c r="Q29" s="294">
        <f>IF(AND($F29&lt;=Q$2, OR($G29="",$G29&gt;=Q$2)),
  $H29 * (1 + Assumptions!$C$7) ^ INT(((YEAR(Q$2)-YEAR($F29))*12 + MONTH(Q$2)-MONTH($F29)) / 12),
  0)</f>
        <v>0</v>
      </c>
      <c r="R29" s="294">
        <f>IF(AND($F29&lt;=R$2, OR($G29="",$G29&gt;=R$2)),
  $H29 * (1 + Assumptions!$C$7) ^ INT(((YEAR(R$2)-YEAR($F29))*12 + MONTH(R$2)-MONTH($F29)) / 12),
  0)</f>
        <v>0</v>
      </c>
      <c r="S29" s="294">
        <f>IF(AND($F29&lt;=S$2, OR($G29="",$G29&gt;=S$2)),
  $H29 * (1 + Assumptions!$C$7) ^ INT(((YEAR(S$2)-YEAR($F29))*12 + MONTH(S$2)-MONTH($F29)) / 12),
  0)</f>
        <v>0</v>
      </c>
      <c r="T29" s="294">
        <f>IF(AND($F29&lt;=T$2, OR($G29="",$G29&gt;=T$2)),
  $H29 * (1 + Assumptions!$C$7) ^ INT(((YEAR(T$2)-YEAR($F29))*12 + MONTH(T$2)-MONTH($F29)) / 12),
  0)</f>
        <v>0</v>
      </c>
      <c r="U29" s="294">
        <f>IF(AND($F29&lt;=U$2, OR($G29="",$G29&gt;=U$2)),
  $H29 * (1 + Assumptions!$C$7) ^ INT(((YEAR(U$2)-YEAR($F29))*12 + MONTH(U$2)-MONTH($F29)) / 12),
  0)</f>
        <v>0</v>
      </c>
      <c r="V29" s="294">
        <f>IF(AND($F29&lt;=V$2, OR($G29="",$G29&gt;=V$2)),
  $H29 * (1 + Assumptions!$C$7) ^ INT(((YEAR(V$2)-YEAR($F29))*12 + MONTH(V$2)-MONTH($F29)) / 12),
  0)</f>
        <v>0</v>
      </c>
      <c r="W29" s="294">
        <f>IF(AND($F29&lt;=W$2, OR($G29="",$G29&gt;=W$2)),
  $H29 * (1 + Assumptions!$C$7) ^ INT(((YEAR(W$2)-YEAR($F29))*12 + MONTH(W$2)-MONTH($F29)) / 12),
  0)</f>
        <v>0</v>
      </c>
      <c r="X29" s="294">
        <f>IF(AND($F29&lt;=X$2, OR($G29="",$G29&gt;=X$2)),
  $H29 * (1 + Assumptions!$C$7) ^ INT(((YEAR(X$2)-YEAR($F29))*12 + MONTH(X$2)-MONTH($F29)) / 12),
  0)</f>
        <v>0</v>
      </c>
      <c r="Y29" s="294">
        <f>IF(AND($F29&lt;=Y$2, OR($G29="",$G29&gt;=Y$2)),
  $H29 * (1 + Assumptions!$C$7) ^ INT(((YEAR(Y$2)-YEAR($F29))*12 + MONTH(Y$2)-MONTH($F29)) / 12),
  0)</f>
        <v>0</v>
      </c>
      <c r="Z29" s="294">
        <f>IF(AND($F29&lt;=Z$2, OR($G29="",$G29&gt;=Z$2)),
  $H29 * (1 + Assumptions!$C$7) ^ INT(((YEAR(Z$2)-YEAR($F29))*12 + MONTH(Z$2)-MONTH($F29)) / 12),
  0)</f>
        <v>0</v>
      </c>
      <c r="AA29" s="294">
        <f>IF(AND($F29&lt;=AA$2, OR($G29="",$G29&gt;=AA$2)),
  $H29 * (1 + Assumptions!$C$7) ^ INT(((YEAR(AA$2)-YEAR($F29))*12 + MONTH(AA$2)-MONTH($F29)) / 12),
  0)</f>
        <v>0</v>
      </c>
      <c r="AB29" s="294">
        <f>IF(AND($F29&lt;=AB$2, OR($G29="",$G29&gt;=AB$2)),
  $H29 * (1 + Assumptions!$C$7) ^ INT(((YEAR(AB$2)-YEAR($F29))*12 + MONTH(AB$2)-MONTH($F29)) / 12),
  0)</f>
        <v>0</v>
      </c>
      <c r="AC29" s="294">
        <f>IF(AND($F29&lt;=AC$2, OR($G29="",$G29&gt;=AC$2)),
  $H29 * (1 + Assumptions!$C$7) ^ INT(((YEAR(AC$2)-YEAR($F29))*12 + MONTH(AC$2)-MONTH($F29)) / 12),
  0)</f>
        <v>0</v>
      </c>
      <c r="AD29" s="294">
        <f>IF(AND($F29&lt;=AD$2, OR($G29="",$G29&gt;=AD$2)),
  $H29 * (1 + Assumptions!$C$7) ^ INT(((YEAR(AD$2)-YEAR($F29))*12 + MONTH(AD$2)-MONTH($F29)) / 12),
  0)</f>
        <v>0</v>
      </c>
      <c r="AE29" s="294">
        <f>IF(AND($F29&lt;=AE$2, OR($G29="",$G29&gt;=AE$2)),
  $H29 * (1 + Assumptions!$C$7) ^ INT(((YEAR(AE$2)-YEAR($F29))*12 + MONTH(AE$2)-MONTH($F29)) / 12),
  0)</f>
        <v>0</v>
      </c>
      <c r="AF29" s="294">
        <f>IF(AND($F29&lt;=AF$2, OR($G29="",$G29&gt;=AF$2)),
  $H29 * (1 + Assumptions!$C$7) ^ INT(((YEAR(AF$2)-YEAR($F29))*12 + MONTH(AF$2)-MONTH($F29)) / 12),
  0)</f>
        <v>0</v>
      </c>
      <c r="AG29" s="294">
        <f>IF(AND($F29&lt;=AG$2, OR($G29="",$G29&gt;=AG$2)),
  $H29 * (1 + Assumptions!$C$7) ^ INT(((YEAR(AG$2)-YEAR($F29))*12 + MONTH(AG$2)-MONTH($F29)) / 12),
  0)</f>
        <v>0</v>
      </c>
      <c r="AH29" s="294">
        <f>IF(AND($F29&lt;=AH$2, OR($G29="",$G29&gt;=AH$2)),
  $H29 * (1 + Assumptions!$C$7) ^ INT(((YEAR(AH$2)-YEAR($F29))*12 + MONTH(AH$2)-MONTH($F29)) / 12),
  0)</f>
        <v>0</v>
      </c>
      <c r="AI29" s="294">
        <f>IF(AND($F29&lt;=AI$2, OR($G29="",$G29&gt;=AI$2)),
  $H29 * (1 + Assumptions!$C$7) ^ INT(((YEAR(AI$2)-YEAR($F29))*12 + MONTH(AI$2)-MONTH($F29)) / 12),
  0)</f>
        <v>0</v>
      </c>
      <c r="AJ29" s="294">
        <f>IF(AND($F29&lt;=AJ$2, OR($G29="",$G29&gt;=AJ$2)),
  $H29 * (1 + Assumptions!$C$7) ^ INT(((YEAR(AJ$2)-YEAR($F29))*12 + MONTH(AJ$2)-MONTH($F29)) / 12),
  0)</f>
        <v>0</v>
      </c>
      <c r="AK29" s="294">
        <f>IF(AND($F29&lt;=AK$2, OR($G29="",$G29&gt;=AK$2)),
  $H29 * (1 + Assumptions!$C$7) ^ INT(((YEAR(AK$2)-YEAR($F29))*12 + MONTH(AK$2)-MONTH($F29)) / 12),
  0)</f>
        <v>0</v>
      </c>
      <c r="AL29" s="294">
        <f>IF(AND($F29&lt;=AL$2, OR($G29="",$G29&gt;=AL$2)),
  $H29 * (1 + Assumptions!$C$7) ^ INT(((YEAR(AL$2)-YEAR($F29))*12 + MONTH(AL$2)-MONTH($F29)) / 12),
  0)</f>
        <v>0</v>
      </c>
      <c r="AM29" s="294">
        <f>IF(AND($F29&lt;=AM$2, OR($G29="",$G29&gt;=AM$2)),
  $H29 * (1 + Assumptions!$C$7) ^ INT(((YEAR(AM$2)-YEAR($F29))*12 + MONTH(AM$2)-MONTH($F29)) / 12),
  0)</f>
        <v>0</v>
      </c>
      <c r="AN29" s="294">
        <f>IF(AND($F29&lt;=AN$2, OR($G29="",$G29&gt;=AN$2)),
  $H29 * (1 + Assumptions!$C$7) ^ INT(((YEAR(AN$2)-YEAR($F29))*12 + MONTH(AN$2)-MONTH($F29)) / 12),
  0)</f>
        <v>0</v>
      </c>
      <c r="AO29" s="294">
        <f>IF(AND($F29&lt;=AO$2, OR($G29="",$G29&gt;=AO$2)),
  $H29 * (1 + Assumptions!$C$7) ^ INT(((YEAR(AO$2)-YEAR($F29))*12 + MONTH(AO$2)-MONTH($F29)) / 12),
  0)</f>
        <v>0</v>
      </c>
      <c r="AP29" s="294">
        <f>IF(AND($F29&lt;=AP$2, OR($G29="",$G29&gt;=AP$2)),
  $H29 * (1 + Assumptions!$C$7) ^ INT(((YEAR(AP$2)-YEAR($F29))*12 + MONTH(AP$2)-MONTH($F29)) / 12),
  0)</f>
        <v>0</v>
      </c>
      <c r="AQ29" s="294">
        <f>IF(AND($F29&lt;=AQ$2, OR($G29="",$G29&gt;=AQ$2)),
  $H29 * (1 + Assumptions!$C$7) ^ INT(((YEAR(AQ$2)-YEAR($F29))*12 + MONTH(AQ$2)-MONTH($F29)) / 12),
  0)</f>
        <v>0</v>
      </c>
      <c r="AR29" s="294">
        <f>IF(AND($F29&lt;=AR$2, OR($G29="",$G29&gt;=AR$2)),
  $H29 * (1 + Assumptions!$C$7) ^ INT(((YEAR(AR$2)-YEAR($F29))*12 + MONTH(AR$2)-MONTH($F29)) / 12),
  0)</f>
        <v>0</v>
      </c>
      <c r="AS29" s="294">
        <f>IF(AND($F29&lt;=AS$2, OR($G29="",$G29&gt;=AS$2)),
  $H29 * (1 + Assumptions!$C$7) ^ INT(((YEAR(AS$2)-YEAR($F29))*12 + MONTH(AS$2)-MONTH($F29)) / 12),
  0)</f>
        <v>7500</v>
      </c>
      <c r="AT29" s="294">
        <f>IF(AND($F29&lt;=AT$2, OR($G29="",$G29&gt;=AT$2)),
  $H29 * (1 + Assumptions!$C$7) ^ INT(((YEAR(AT$2)-YEAR($F29))*12 + MONTH(AT$2)-MONTH($F29)) / 12),
  0)</f>
        <v>7500</v>
      </c>
      <c r="AU29" s="294">
        <f>IF(AND($F29&lt;=AU$2, OR($G29="",$G29&gt;=AU$2)),
  $H29 * (1 + Assumptions!$C$7) ^ INT(((YEAR(AU$2)-YEAR($F29))*12 + MONTH(AU$2)-MONTH($F29)) / 12),
  0)</f>
        <v>7500</v>
      </c>
      <c r="AV29" s="294">
        <f>IF(AND($F29&lt;=AV$2, OR($G29="",$G29&gt;=AV$2)),
  $H29 * (1 + Assumptions!$C$7) ^ INT(((YEAR(AV$2)-YEAR($F29))*12 + MONTH(AV$2)-MONTH($F29)) / 12),
  0)</f>
        <v>7500</v>
      </c>
      <c r="AW29" s="294">
        <f>IF(AND($F29&lt;=AW$2, OR($G29="",$G29&gt;=AW$2)),
  $H29 * (1 + Assumptions!$C$7) ^ INT(((YEAR(AW$2)-YEAR($F29))*12 + MONTH(AW$2)-MONTH($F29)) / 12),
  0)</f>
        <v>7500</v>
      </c>
      <c r="AX29" s="294">
        <f>IF(AND($F29&lt;=AX$2, OR($G29="",$G29&gt;=AX$2)),
  $H29 * (1 + Assumptions!$C$7) ^ INT(((YEAR(AX$2)-YEAR($F29))*12 + MONTH(AX$2)-MONTH($F29)) / 12),
  0)</f>
        <v>7500</v>
      </c>
      <c r="AY29" s="294">
        <f>IF(AND($F29&lt;=AY$2, OR($G29="",$G29&gt;=AY$2)),
  $H29 * (1 + Assumptions!$C$7) ^ INT(((YEAR(AY$2)-YEAR($F29))*12 + MONTH(AY$2)-MONTH($F29)) / 12),
  0)</f>
        <v>7500</v>
      </c>
      <c r="AZ29" s="294">
        <f>IF(AND($F29&lt;=AZ$2, OR($G29="",$G29&gt;=AZ$2)),
  $H29 * (1 + Assumptions!$C$7) ^ INT(((YEAR(AZ$2)-YEAR($F29))*12 + MONTH(AZ$2)-MONTH($F29)) / 12),
  0)</f>
        <v>7500</v>
      </c>
      <c r="BA29" s="294">
        <f>IF(AND($F29&lt;=BA$2, OR($G29="",$G29&gt;=BA$2)),
  $H29 * (1 + Assumptions!$C$7) ^ INT(((YEAR(BA$2)-YEAR($F29))*12 + MONTH(BA$2)-MONTH($F29)) / 12),
  0)</f>
        <v>7500</v>
      </c>
      <c r="BB29" s="294">
        <f>IF(AND($F29&lt;=BB$2, OR($G29="",$G29&gt;=BB$2)),
  $H29 * (1 + Assumptions!$C$7) ^ INT(((YEAR(BB$2)-YEAR($F29))*12 + MONTH(BB$2)-MONTH($F29)) / 12),
  0)</f>
        <v>7500</v>
      </c>
      <c r="BC29" s="294">
        <f>IF(AND($F29&lt;=BC$2, OR($G29="",$G29&gt;=BC$2)),
  $H29 * (1 + Assumptions!$C$7) ^ INT(((YEAR(BC$2)-YEAR($F29))*12 + MONTH(BC$2)-MONTH($F29)) / 12),
  0)</f>
        <v>7500</v>
      </c>
      <c r="BD29" s="294">
        <f>IF(AND($F29&lt;=BD$2, OR($G29="",$G29&gt;=BD$2)),
  $H29 * (1 + Assumptions!$C$7) ^ INT(((YEAR(BD$2)-YEAR($F29))*12 + MONTH(BD$2)-MONTH($F29)) / 12),
  0)</f>
        <v>7500</v>
      </c>
      <c r="BE29" s="294">
        <f>IF(AND($F29&lt;=BE$2, OR($G29="",$G29&gt;=BE$2)),
  $H29 * (1 + Assumptions!$C$7) ^ INT(((YEAR(BE$2)-YEAR($F29))*12 + MONTH(BE$2)-MONTH($F29)) / 12),
  0)</f>
        <v>8100</v>
      </c>
      <c r="BF29" s="294">
        <f>IF(AND($F29&lt;=BF$2, OR($G29="",$G29&gt;=BF$2)),
  $H29 * (1 + Assumptions!$C$7) ^ INT(((YEAR(BF$2)-YEAR($F29))*12 + MONTH(BF$2)-MONTH($F29)) / 12),
  0)</f>
        <v>8100</v>
      </c>
      <c r="BG29" s="294">
        <f>IF(AND($F29&lt;=BG$2, OR($G29="",$G29&gt;=BG$2)),
  $H29 * (1 + Assumptions!$C$7) ^ INT(((YEAR(BG$2)-YEAR($F29))*12 + MONTH(BG$2)-MONTH($F29)) / 12),
  0)</f>
        <v>8100</v>
      </c>
      <c r="BH29" s="294">
        <f>IF(AND($F29&lt;=BH$2, OR($G29="",$G29&gt;=BH$2)),
  $H29 * (1 + Assumptions!$C$7) ^ INT(((YEAR(BH$2)-YEAR($F29))*12 + MONTH(BH$2)-MONTH($F29)) / 12),
  0)</f>
        <v>8100</v>
      </c>
      <c r="BI29" s="294">
        <f>IF(AND($F29&lt;=BI$2, OR($G29="",$G29&gt;=BI$2)),
  $H29 * (1 + Assumptions!$C$7) ^ INT(((YEAR(BI$2)-YEAR($F29))*12 + MONTH(BI$2)-MONTH($F29)) / 12),
  0)</f>
        <v>8100</v>
      </c>
      <c r="BJ29" s="294">
        <f>IF(AND($F29&lt;=BJ$2, OR($G29="",$G29&gt;=BJ$2)),
  $H29 * (1 + Assumptions!$C$7) ^ INT(((YEAR(BJ$2)-YEAR($F29))*12 + MONTH(BJ$2)-MONTH($F29)) / 12),
  0)</f>
        <v>8100</v>
      </c>
      <c r="BK29" s="294">
        <f>IF(AND($F29&lt;=BK$2, OR($G29="",$G29&gt;=BK$2)),
  $H29 * (1 + Assumptions!$C$7) ^ INT(((YEAR(BK$2)-YEAR($F29))*12 + MONTH(BK$2)-MONTH($F29)) / 12),
  0)</f>
        <v>8100</v>
      </c>
      <c r="BL29" s="294">
        <f>IF(AND($F29&lt;=BL$2, OR($G29="",$G29&gt;=BL$2)),
  $H29 * (1 + Assumptions!$C$7) ^ INT(((YEAR(BL$2)-YEAR($F29))*12 + MONTH(BL$2)-MONTH($F29)) / 12),
  0)</f>
        <v>8100</v>
      </c>
      <c r="BM29" s="294">
        <f>IF(AND($F29&lt;=BM$2, OR($G29="",$G29&gt;=BM$2)),
  $H29 * (1 + Assumptions!$C$7) ^ INT(((YEAR(BM$2)-YEAR($F29))*12 + MONTH(BM$2)-MONTH($F29)) / 12),
  0)</f>
        <v>8100</v>
      </c>
      <c r="BN29" s="294">
        <f>IF(AND($F29&lt;=BN$2, OR($G29="",$G29&gt;=BN$2)),
  $H29 * (1 + Assumptions!$C$7) ^ INT(((YEAR(BN$2)-YEAR($F29))*12 + MONTH(BN$2)-MONTH($F29)) / 12),
  0)</f>
        <v>8100</v>
      </c>
      <c r="BO29" s="294">
        <f>IF(AND($F29&lt;=BO$2, OR($G29="",$G29&gt;=BO$2)),
  $H29 * (1 + Assumptions!$C$7) ^ INT(((YEAR(BO$2)-YEAR($F29))*12 + MONTH(BO$2)-MONTH($F29)) / 12),
  0)</f>
        <v>8100</v>
      </c>
      <c r="BP29" s="294">
        <f>IF(AND($F29&lt;=BP$2, OR($G29="",$G29&gt;=BP$2)),
  $H29 * (1 + Assumptions!$C$7) ^ INT(((YEAR(BP$2)-YEAR($F29))*12 + MONTH(BP$2)-MONTH($F29)) / 12),
  0)</f>
        <v>8100</v>
      </c>
      <c r="BQ29" s="28"/>
    </row>
    <row r="30" ht="15.75" customHeight="1">
      <c r="A30" s="301">
        <v>26.0</v>
      </c>
      <c r="B30" s="285" t="s">
        <v>342</v>
      </c>
      <c r="C30" s="285" t="s">
        <v>145</v>
      </c>
      <c r="D30" s="301" t="s">
        <v>348</v>
      </c>
      <c r="E30" s="292" t="s">
        <v>344</v>
      </c>
      <c r="F30" s="286">
        <v>46754.0</v>
      </c>
      <c r="G30" s="303"/>
      <c r="H30" s="288">
        <v>7500.0</v>
      </c>
      <c r="I30" s="294">
        <f>IF(AND($F30&lt;=I$2, OR($G30="",$G30&gt;=I$2)),
  $H30 * (1 + Assumptions!$C$7) ^ INT(((YEAR(I$2)-YEAR($F30))*12 + MONTH(I$2)-MONTH($F30)) / 12),
  0)</f>
        <v>0</v>
      </c>
      <c r="J30" s="294">
        <f>IF(AND($F30&lt;=J$2, OR($G30="",$G30&gt;=J$2)),
  $H30 * (1 + Assumptions!$C$7) ^ INT(((YEAR(J$2)-YEAR($F30))*12 + MONTH(J$2)-MONTH($F30)) / 12),
  0)</f>
        <v>0</v>
      </c>
      <c r="K30" s="294">
        <f>IF(AND($F30&lt;=K$2, OR($G30="",$G30&gt;=K$2)),
  $H30 * (1 + Assumptions!$C$7) ^ INT(((YEAR(K$2)-YEAR($F30))*12 + MONTH(K$2)-MONTH($F30)) / 12),
  0)</f>
        <v>0</v>
      </c>
      <c r="L30" s="294">
        <f>IF(AND($F30&lt;=L$2, OR($G30="",$G30&gt;=L$2)),
  $H30 * (1 + Assumptions!$C$7) ^ INT(((YEAR(L$2)-YEAR($F30))*12 + MONTH(L$2)-MONTH($F30)) / 12),
  0)</f>
        <v>0</v>
      </c>
      <c r="M30" s="294">
        <f>IF(AND($F30&lt;=M$2, OR($G30="",$G30&gt;=M$2)),
  $H30 * (1 + Assumptions!$C$7) ^ INT(((YEAR(M$2)-YEAR($F30))*12 + MONTH(M$2)-MONTH($F30)) / 12),
  0)</f>
        <v>0</v>
      </c>
      <c r="N30" s="294">
        <f>IF(AND($F30&lt;=N$2, OR($G30="",$G30&gt;=N$2)),
  $H30 * (1 + Assumptions!$C$7) ^ INT(((YEAR(N$2)-YEAR($F30))*12 + MONTH(N$2)-MONTH($F30)) / 12),
  0)</f>
        <v>0</v>
      </c>
      <c r="O30" s="294">
        <f>IF(AND($F30&lt;=O$2, OR($G30="",$G30&gt;=O$2)),
  $H30 * (1 + Assumptions!$C$7) ^ INT(((YEAR(O$2)-YEAR($F30))*12 + MONTH(O$2)-MONTH($F30)) / 12),
  0)</f>
        <v>0</v>
      </c>
      <c r="P30" s="294">
        <f>IF(AND($F30&lt;=P$2, OR($G30="",$G30&gt;=P$2)),
  $H30 * (1 + Assumptions!$C$7) ^ INT(((YEAR(P$2)-YEAR($F30))*12 + MONTH(P$2)-MONTH($F30)) / 12),
  0)</f>
        <v>0</v>
      </c>
      <c r="Q30" s="294">
        <f>IF(AND($F30&lt;=Q$2, OR($G30="",$G30&gt;=Q$2)),
  $H30 * (1 + Assumptions!$C$7) ^ INT(((YEAR(Q$2)-YEAR($F30))*12 + MONTH(Q$2)-MONTH($F30)) / 12),
  0)</f>
        <v>0</v>
      </c>
      <c r="R30" s="294">
        <f>IF(AND($F30&lt;=R$2, OR($G30="",$G30&gt;=R$2)),
  $H30 * (1 + Assumptions!$C$7) ^ INT(((YEAR(R$2)-YEAR($F30))*12 + MONTH(R$2)-MONTH($F30)) / 12),
  0)</f>
        <v>0</v>
      </c>
      <c r="S30" s="294">
        <f>IF(AND($F30&lt;=S$2, OR($G30="",$G30&gt;=S$2)),
  $H30 * (1 + Assumptions!$C$7) ^ INT(((YEAR(S$2)-YEAR($F30))*12 + MONTH(S$2)-MONTH($F30)) / 12),
  0)</f>
        <v>0</v>
      </c>
      <c r="T30" s="294">
        <f>IF(AND($F30&lt;=T$2, OR($G30="",$G30&gt;=T$2)),
  $H30 * (1 + Assumptions!$C$7) ^ INT(((YEAR(T$2)-YEAR($F30))*12 + MONTH(T$2)-MONTH($F30)) / 12),
  0)</f>
        <v>0</v>
      </c>
      <c r="U30" s="294">
        <f>IF(AND($F30&lt;=U$2, OR($G30="",$G30&gt;=U$2)),
  $H30 * (1 + Assumptions!$C$7) ^ INT(((YEAR(U$2)-YEAR($F30))*12 + MONTH(U$2)-MONTH($F30)) / 12),
  0)</f>
        <v>0</v>
      </c>
      <c r="V30" s="294">
        <f>IF(AND($F30&lt;=V$2, OR($G30="",$G30&gt;=V$2)),
  $H30 * (1 + Assumptions!$C$7) ^ INT(((YEAR(V$2)-YEAR($F30))*12 + MONTH(V$2)-MONTH($F30)) / 12),
  0)</f>
        <v>0</v>
      </c>
      <c r="W30" s="294">
        <f>IF(AND($F30&lt;=W$2, OR($G30="",$G30&gt;=W$2)),
  $H30 * (1 + Assumptions!$C$7) ^ INT(((YEAR(W$2)-YEAR($F30))*12 + MONTH(W$2)-MONTH($F30)) / 12),
  0)</f>
        <v>0</v>
      </c>
      <c r="X30" s="294">
        <f>IF(AND($F30&lt;=X$2, OR($G30="",$G30&gt;=X$2)),
  $H30 * (1 + Assumptions!$C$7) ^ INT(((YEAR(X$2)-YEAR($F30))*12 + MONTH(X$2)-MONTH($F30)) / 12),
  0)</f>
        <v>0</v>
      </c>
      <c r="Y30" s="294">
        <f>IF(AND($F30&lt;=Y$2, OR($G30="",$G30&gt;=Y$2)),
  $H30 * (1 + Assumptions!$C$7) ^ INT(((YEAR(Y$2)-YEAR($F30))*12 + MONTH(Y$2)-MONTH($F30)) / 12),
  0)</f>
        <v>0</v>
      </c>
      <c r="Z30" s="294">
        <f>IF(AND($F30&lt;=Z$2, OR($G30="",$G30&gt;=Z$2)),
  $H30 * (1 + Assumptions!$C$7) ^ INT(((YEAR(Z$2)-YEAR($F30))*12 + MONTH(Z$2)-MONTH($F30)) / 12),
  0)</f>
        <v>0</v>
      </c>
      <c r="AA30" s="294">
        <f>IF(AND($F30&lt;=AA$2, OR($G30="",$G30&gt;=AA$2)),
  $H30 * (1 + Assumptions!$C$7) ^ INT(((YEAR(AA$2)-YEAR($F30))*12 + MONTH(AA$2)-MONTH($F30)) / 12),
  0)</f>
        <v>0</v>
      </c>
      <c r="AB30" s="294">
        <f>IF(AND($F30&lt;=AB$2, OR($G30="",$G30&gt;=AB$2)),
  $H30 * (1 + Assumptions!$C$7) ^ INT(((YEAR(AB$2)-YEAR($F30))*12 + MONTH(AB$2)-MONTH($F30)) / 12),
  0)</f>
        <v>0</v>
      </c>
      <c r="AC30" s="294">
        <f>IF(AND($F30&lt;=AC$2, OR($G30="",$G30&gt;=AC$2)),
  $H30 * (1 + Assumptions!$C$7) ^ INT(((YEAR(AC$2)-YEAR($F30))*12 + MONTH(AC$2)-MONTH($F30)) / 12),
  0)</f>
        <v>0</v>
      </c>
      <c r="AD30" s="294">
        <f>IF(AND($F30&lt;=AD$2, OR($G30="",$G30&gt;=AD$2)),
  $H30 * (1 + Assumptions!$C$7) ^ INT(((YEAR(AD$2)-YEAR($F30))*12 + MONTH(AD$2)-MONTH($F30)) / 12),
  0)</f>
        <v>0</v>
      </c>
      <c r="AE30" s="294">
        <f>IF(AND($F30&lt;=AE$2, OR($G30="",$G30&gt;=AE$2)),
  $H30 * (1 + Assumptions!$C$7) ^ INT(((YEAR(AE$2)-YEAR($F30))*12 + MONTH(AE$2)-MONTH($F30)) / 12),
  0)</f>
        <v>0</v>
      </c>
      <c r="AF30" s="294">
        <f>IF(AND($F30&lt;=AF$2, OR($G30="",$G30&gt;=AF$2)),
  $H30 * (1 + Assumptions!$C$7) ^ INT(((YEAR(AF$2)-YEAR($F30))*12 + MONTH(AF$2)-MONTH($F30)) / 12),
  0)</f>
        <v>0</v>
      </c>
      <c r="AG30" s="294">
        <f>IF(AND($F30&lt;=AG$2, OR($G30="",$G30&gt;=AG$2)),
  $H30 * (1 + Assumptions!$C$7) ^ INT(((YEAR(AG$2)-YEAR($F30))*12 + MONTH(AG$2)-MONTH($F30)) / 12),
  0)</f>
        <v>0</v>
      </c>
      <c r="AH30" s="294">
        <f>IF(AND($F30&lt;=AH$2, OR($G30="",$G30&gt;=AH$2)),
  $H30 * (1 + Assumptions!$C$7) ^ INT(((YEAR(AH$2)-YEAR($F30))*12 + MONTH(AH$2)-MONTH($F30)) / 12),
  0)</f>
        <v>0</v>
      </c>
      <c r="AI30" s="294">
        <f>IF(AND($F30&lt;=AI$2, OR($G30="",$G30&gt;=AI$2)),
  $H30 * (1 + Assumptions!$C$7) ^ INT(((YEAR(AI$2)-YEAR($F30))*12 + MONTH(AI$2)-MONTH($F30)) / 12),
  0)</f>
        <v>0</v>
      </c>
      <c r="AJ30" s="294">
        <f>IF(AND($F30&lt;=AJ$2, OR($G30="",$G30&gt;=AJ$2)),
  $H30 * (1 + Assumptions!$C$7) ^ INT(((YEAR(AJ$2)-YEAR($F30))*12 + MONTH(AJ$2)-MONTH($F30)) / 12),
  0)</f>
        <v>0</v>
      </c>
      <c r="AK30" s="294">
        <f>IF(AND($F30&lt;=AK$2, OR($G30="",$G30&gt;=AK$2)),
  $H30 * (1 + Assumptions!$C$7) ^ INT(((YEAR(AK$2)-YEAR($F30))*12 + MONTH(AK$2)-MONTH($F30)) / 12),
  0)</f>
        <v>0</v>
      </c>
      <c r="AL30" s="294">
        <f>IF(AND($F30&lt;=AL$2, OR($G30="",$G30&gt;=AL$2)),
  $H30 * (1 + Assumptions!$C$7) ^ INT(((YEAR(AL$2)-YEAR($F30))*12 + MONTH(AL$2)-MONTH($F30)) / 12),
  0)</f>
        <v>0</v>
      </c>
      <c r="AM30" s="294">
        <f>IF(AND($F30&lt;=AM$2, OR($G30="",$G30&gt;=AM$2)),
  $H30 * (1 + Assumptions!$C$7) ^ INT(((YEAR(AM$2)-YEAR($F30))*12 + MONTH(AM$2)-MONTH($F30)) / 12),
  0)</f>
        <v>0</v>
      </c>
      <c r="AN30" s="294">
        <f>IF(AND($F30&lt;=AN$2, OR($G30="",$G30&gt;=AN$2)),
  $H30 * (1 + Assumptions!$C$7) ^ INT(((YEAR(AN$2)-YEAR($F30))*12 + MONTH(AN$2)-MONTH($F30)) / 12),
  0)</f>
        <v>0</v>
      </c>
      <c r="AO30" s="294">
        <f>IF(AND($F30&lt;=AO$2, OR($G30="",$G30&gt;=AO$2)),
  $H30 * (1 + Assumptions!$C$7) ^ INT(((YEAR(AO$2)-YEAR($F30))*12 + MONTH(AO$2)-MONTH($F30)) / 12),
  0)</f>
        <v>0</v>
      </c>
      <c r="AP30" s="294">
        <f>IF(AND($F30&lt;=AP$2, OR($G30="",$G30&gt;=AP$2)),
  $H30 * (1 + Assumptions!$C$7) ^ INT(((YEAR(AP$2)-YEAR($F30))*12 + MONTH(AP$2)-MONTH($F30)) / 12),
  0)</f>
        <v>0</v>
      </c>
      <c r="AQ30" s="294">
        <f>IF(AND($F30&lt;=AQ$2, OR($G30="",$G30&gt;=AQ$2)),
  $H30 * (1 + Assumptions!$C$7) ^ INT(((YEAR(AQ$2)-YEAR($F30))*12 + MONTH(AQ$2)-MONTH($F30)) / 12),
  0)</f>
        <v>0</v>
      </c>
      <c r="AR30" s="294">
        <f>IF(AND($F30&lt;=AR$2, OR($G30="",$G30&gt;=AR$2)),
  $H30 * (1 + Assumptions!$C$7) ^ INT(((YEAR(AR$2)-YEAR($F30))*12 + MONTH(AR$2)-MONTH($F30)) / 12),
  0)</f>
        <v>0</v>
      </c>
      <c r="AS30" s="294">
        <f>IF(AND($F30&lt;=AS$2, OR($G30="",$G30&gt;=AS$2)),
  $H30 * (1 + Assumptions!$C$7) ^ INT(((YEAR(AS$2)-YEAR($F30))*12 + MONTH(AS$2)-MONTH($F30)) / 12),
  0)</f>
        <v>0</v>
      </c>
      <c r="AT30" s="294">
        <f>IF(AND($F30&lt;=AT$2, OR($G30="",$G30&gt;=AT$2)),
  $H30 * (1 + Assumptions!$C$7) ^ INT(((YEAR(AT$2)-YEAR($F30))*12 + MONTH(AT$2)-MONTH($F30)) / 12),
  0)</f>
        <v>7500</v>
      </c>
      <c r="AU30" s="294">
        <f>IF(AND($F30&lt;=AU$2, OR($G30="",$G30&gt;=AU$2)),
  $H30 * (1 + Assumptions!$C$7) ^ INT(((YEAR(AU$2)-YEAR($F30))*12 + MONTH(AU$2)-MONTH($F30)) / 12),
  0)</f>
        <v>7500</v>
      </c>
      <c r="AV30" s="294">
        <f>IF(AND($F30&lt;=AV$2, OR($G30="",$G30&gt;=AV$2)),
  $H30 * (1 + Assumptions!$C$7) ^ INT(((YEAR(AV$2)-YEAR($F30))*12 + MONTH(AV$2)-MONTH($F30)) / 12),
  0)</f>
        <v>7500</v>
      </c>
      <c r="AW30" s="294">
        <f>IF(AND($F30&lt;=AW$2, OR($G30="",$G30&gt;=AW$2)),
  $H30 * (1 + Assumptions!$C$7) ^ INT(((YEAR(AW$2)-YEAR($F30))*12 + MONTH(AW$2)-MONTH($F30)) / 12),
  0)</f>
        <v>7500</v>
      </c>
      <c r="AX30" s="294">
        <f>IF(AND($F30&lt;=AX$2, OR($G30="",$G30&gt;=AX$2)),
  $H30 * (1 + Assumptions!$C$7) ^ INT(((YEAR(AX$2)-YEAR($F30))*12 + MONTH(AX$2)-MONTH($F30)) / 12),
  0)</f>
        <v>7500</v>
      </c>
      <c r="AY30" s="294">
        <f>IF(AND($F30&lt;=AY$2, OR($G30="",$G30&gt;=AY$2)),
  $H30 * (1 + Assumptions!$C$7) ^ INT(((YEAR(AY$2)-YEAR($F30))*12 + MONTH(AY$2)-MONTH($F30)) / 12),
  0)</f>
        <v>7500</v>
      </c>
      <c r="AZ30" s="294">
        <f>IF(AND($F30&lt;=AZ$2, OR($G30="",$G30&gt;=AZ$2)),
  $H30 * (1 + Assumptions!$C$7) ^ INT(((YEAR(AZ$2)-YEAR($F30))*12 + MONTH(AZ$2)-MONTH($F30)) / 12),
  0)</f>
        <v>7500</v>
      </c>
      <c r="BA30" s="294">
        <f>IF(AND($F30&lt;=BA$2, OR($G30="",$G30&gt;=BA$2)),
  $H30 * (1 + Assumptions!$C$7) ^ INT(((YEAR(BA$2)-YEAR($F30))*12 + MONTH(BA$2)-MONTH($F30)) / 12),
  0)</f>
        <v>7500</v>
      </c>
      <c r="BB30" s="294">
        <f>IF(AND($F30&lt;=BB$2, OR($G30="",$G30&gt;=BB$2)),
  $H30 * (1 + Assumptions!$C$7) ^ INT(((YEAR(BB$2)-YEAR($F30))*12 + MONTH(BB$2)-MONTH($F30)) / 12),
  0)</f>
        <v>7500</v>
      </c>
      <c r="BC30" s="294">
        <f>IF(AND($F30&lt;=BC$2, OR($G30="",$G30&gt;=BC$2)),
  $H30 * (1 + Assumptions!$C$7) ^ INT(((YEAR(BC$2)-YEAR($F30))*12 + MONTH(BC$2)-MONTH($F30)) / 12),
  0)</f>
        <v>7500</v>
      </c>
      <c r="BD30" s="294">
        <f>IF(AND($F30&lt;=BD$2, OR($G30="",$G30&gt;=BD$2)),
  $H30 * (1 + Assumptions!$C$7) ^ INT(((YEAR(BD$2)-YEAR($F30))*12 + MONTH(BD$2)-MONTH($F30)) / 12),
  0)</f>
        <v>7500</v>
      </c>
      <c r="BE30" s="294">
        <f>IF(AND($F30&lt;=BE$2, OR($G30="",$G30&gt;=BE$2)),
  $H30 * (1 + Assumptions!$C$7) ^ INT(((YEAR(BE$2)-YEAR($F30))*12 + MONTH(BE$2)-MONTH($F30)) / 12),
  0)</f>
        <v>8100</v>
      </c>
      <c r="BF30" s="294">
        <f>IF(AND($F30&lt;=BF$2, OR($G30="",$G30&gt;=BF$2)),
  $H30 * (1 + Assumptions!$C$7) ^ INT(((YEAR(BF$2)-YEAR($F30))*12 + MONTH(BF$2)-MONTH($F30)) / 12),
  0)</f>
        <v>8100</v>
      </c>
      <c r="BG30" s="294">
        <f>IF(AND($F30&lt;=BG$2, OR($G30="",$G30&gt;=BG$2)),
  $H30 * (1 + Assumptions!$C$7) ^ INT(((YEAR(BG$2)-YEAR($F30))*12 + MONTH(BG$2)-MONTH($F30)) / 12),
  0)</f>
        <v>8100</v>
      </c>
      <c r="BH30" s="294">
        <f>IF(AND($F30&lt;=BH$2, OR($G30="",$G30&gt;=BH$2)),
  $H30 * (1 + Assumptions!$C$7) ^ INT(((YEAR(BH$2)-YEAR($F30))*12 + MONTH(BH$2)-MONTH($F30)) / 12),
  0)</f>
        <v>8100</v>
      </c>
      <c r="BI30" s="294">
        <f>IF(AND($F30&lt;=BI$2, OR($G30="",$G30&gt;=BI$2)),
  $H30 * (1 + Assumptions!$C$7) ^ INT(((YEAR(BI$2)-YEAR($F30))*12 + MONTH(BI$2)-MONTH($F30)) / 12),
  0)</f>
        <v>8100</v>
      </c>
      <c r="BJ30" s="294">
        <f>IF(AND($F30&lt;=BJ$2, OR($G30="",$G30&gt;=BJ$2)),
  $H30 * (1 + Assumptions!$C$7) ^ INT(((YEAR(BJ$2)-YEAR($F30))*12 + MONTH(BJ$2)-MONTH($F30)) / 12),
  0)</f>
        <v>8100</v>
      </c>
      <c r="BK30" s="294">
        <f>IF(AND($F30&lt;=BK$2, OR($G30="",$G30&gt;=BK$2)),
  $H30 * (1 + Assumptions!$C$7) ^ INT(((YEAR(BK$2)-YEAR($F30))*12 + MONTH(BK$2)-MONTH($F30)) / 12),
  0)</f>
        <v>8100</v>
      </c>
      <c r="BL30" s="294">
        <f>IF(AND($F30&lt;=BL$2, OR($G30="",$G30&gt;=BL$2)),
  $H30 * (1 + Assumptions!$C$7) ^ INT(((YEAR(BL$2)-YEAR($F30))*12 + MONTH(BL$2)-MONTH($F30)) / 12),
  0)</f>
        <v>8100</v>
      </c>
      <c r="BM30" s="294">
        <f>IF(AND($F30&lt;=BM$2, OR($G30="",$G30&gt;=BM$2)),
  $H30 * (1 + Assumptions!$C$7) ^ INT(((YEAR(BM$2)-YEAR($F30))*12 + MONTH(BM$2)-MONTH($F30)) / 12),
  0)</f>
        <v>8100</v>
      </c>
      <c r="BN30" s="294">
        <f>IF(AND($F30&lt;=BN$2, OR($G30="",$G30&gt;=BN$2)),
  $H30 * (1 + Assumptions!$C$7) ^ INT(((YEAR(BN$2)-YEAR($F30))*12 + MONTH(BN$2)-MONTH($F30)) / 12),
  0)</f>
        <v>8100</v>
      </c>
      <c r="BO30" s="294">
        <f>IF(AND($F30&lt;=BO$2, OR($G30="",$G30&gt;=BO$2)),
  $H30 * (1 + Assumptions!$C$7) ^ INT(((YEAR(BO$2)-YEAR($F30))*12 + MONTH(BO$2)-MONTH($F30)) / 12),
  0)</f>
        <v>8100</v>
      </c>
      <c r="BP30" s="294">
        <f>IF(AND($F30&lt;=BP$2, OR($G30="",$G30&gt;=BP$2)),
  $H30 * (1 + Assumptions!$C$7) ^ INT(((YEAR(BP$2)-YEAR($F30))*12 + MONTH(BP$2)-MONTH($F30)) / 12),
  0)</f>
        <v>8100</v>
      </c>
      <c r="BQ30" s="28"/>
    </row>
    <row r="31" ht="15.75" customHeight="1">
      <c r="A31" s="301">
        <v>27.0</v>
      </c>
      <c r="B31" s="285" t="s">
        <v>342</v>
      </c>
      <c r="C31" s="24" t="s">
        <v>141</v>
      </c>
      <c r="D31" s="301" t="s">
        <v>352</v>
      </c>
      <c r="E31" s="292" t="s">
        <v>344</v>
      </c>
      <c r="F31" s="286">
        <v>46754.0</v>
      </c>
      <c r="G31" s="303"/>
      <c r="H31" s="288">
        <v>7500.0</v>
      </c>
      <c r="I31" s="294">
        <f>IF(AND($F31&lt;=I$2, OR($G31="",$G31&gt;=I$2)),
  $H31 * (1 + Assumptions!$C$7) ^ INT(((YEAR(I$2)-YEAR($F31))*12 + MONTH(I$2)-MONTH($F31)) / 12),
  0)</f>
        <v>0</v>
      </c>
      <c r="J31" s="294">
        <f>IF(AND($F31&lt;=J$2, OR($G31="",$G31&gt;=J$2)),
  $H31 * (1 + Assumptions!$C$7) ^ INT(((YEAR(J$2)-YEAR($F31))*12 + MONTH(J$2)-MONTH($F31)) / 12),
  0)</f>
        <v>0</v>
      </c>
      <c r="K31" s="294">
        <f>IF(AND($F31&lt;=K$2, OR($G31="",$G31&gt;=K$2)),
  $H31 * (1 + Assumptions!$C$7) ^ INT(((YEAR(K$2)-YEAR($F31))*12 + MONTH(K$2)-MONTH($F31)) / 12),
  0)</f>
        <v>0</v>
      </c>
      <c r="L31" s="294">
        <f>IF(AND($F31&lt;=L$2, OR($G31="",$G31&gt;=L$2)),
  $H31 * (1 + Assumptions!$C$7) ^ INT(((YEAR(L$2)-YEAR($F31))*12 + MONTH(L$2)-MONTH($F31)) / 12),
  0)</f>
        <v>0</v>
      </c>
      <c r="M31" s="294">
        <f>IF(AND($F31&lt;=M$2, OR($G31="",$G31&gt;=M$2)),
  $H31 * (1 + Assumptions!$C$7) ^ INT(((YEAR(M$2)-YEAR($F31))*12 + MONTH(M$2)-MONTH($F31)) / 12),
  0)</f>
        <v>0</v>
      </c>
      <c r="N31" s="294">
        <f>IF(AND($F31&lt;=N$2, OR($G31="",$G31&gt;=N$2)),
  $H31 * (1 + Assumptions!$C$7) ^ INT(((YEAR(N$2)-YEAR($F31))*12 + MONTH(N$2)-MONTH($F31)) / 12),
  0)</f>
        <v>0</v>
      </c>
      <c r="O31" s="294">
        <f>IF(AND($F31&lt;=O$2, OR($G31="",$G31&gt;=O$2)),
  $H31 * (1 + Assumptions!$C$7) ^ INT(((YEAR(O$2)-YEAR($F31))*12 + MONTH(O$2)-MONTH($F31)) / 12),
  0)</f>
        <v>0</v>
      </c>
      <c r="P31" s="294">
        <f>IF(AND($F31&lt;=P$2, OR($G31="",$G31&gt;=P$2)),
  $H31 * (1 + Assumptions!$C$7) ^ INT(((YEAR(P$2)-YEAR($F31))*12 + MONTH(P$2)-MONTH($F31)) / 12),
  0)</f>
        <v>0</v>
      </c>
      <c r="Q31" s="294">
        <f>IF(AND($F31&lt;=Q$2, OR($G31="",$G31&gt;=Q$2)),
  $H31 * (1 + Assumptions!$C$7) ^ INT(((YEAR(Q$2)-YEAR($F31))*12 + MONTH(Q$2)-MONTH($F31)) / 12),
  0)</f>
        <v>0</v>
      </c>
      <c r="R31" s="294">
        <f>IF(AND($F31&lt;=R$2, OR($G31="",$G31&gt;=R$2)),
  $H31 * (1 + Assumptions!$C$7) ^ INT(((YEAR(R$2)-YEAR($F31))*12 + MONTH(R$2)-MONTH($F31)) / 12),
  0)</f>
        <v>0</v>
      </c>
      <c r="S31" s="294">
        <f>IF(AND($F31&lt;=S$2, OR($G31="",$G31&gt;=S$2)),
  $H31 * (1 + Assumptions!$C$7) ^ INT(((YEAR(S$2)-YEAR($F31))*12 + MONTH(S$2)-MONTH($F31)) / 12),
  0)</f>
        <v>0</v>
      </c>
      <c r="T31" s="294">
        <f>IF(AND($F31&lt;=T$2, OR($G31="",$G31&gt;=T$2)),
  $H31 * (1 + Assumptions!$C$7) ^ INT(((YEAR(T$2)-YEAR($F31))*12 + MONTH(T$2)-MONTH($F31)) / 12),
  0)</f>
        <v>0</v>
      </c>
      <c r="U31" s="294">
        <f>IF(AND($F31&lt;=U$2, OR($G31="",$G31&gt;=U$2)),
  $H31 * (1 + Assumptions!$C$7) ^ INT(((YEAR(U$2)-YEAR($F31))*12 + MONTH(U$2)-MONTH($F31)) / 12),
  0)</f>
        <v>0</v>
      </c>
      <c r="V31" s="294">
        <f>IF(AND($F31&lt;=V$2, OR($G31="",$G31&gt;=V$2)),
  $H31 * (1 + Assumptions!$C$7) ^ INT(((YEAR(V$2)-YEAR($F31))*12 + MONTH(V$2)-MONTH($F31)) / 12),
  0)</f>
        <v>0</v>
      </c>
      <c r="W31" s="294">
        <f>IF(AND($F31&lt;=W$2, OR($G31="",$G31&gt;=W$2)),
  $H31 * (1 + Assumptions!$C$7) ^ INT(((YEAR(W$2)-YEAR($F31))*12 + MONTH(W$2)-MONTH($F31)) / 12),
  0)</f>
        <v>0</v>
      </c>
      <c r="X31" s="294">
        <f>IF(AND($F31&lt;=X$2, OR($G31="",$G31&gt;=X$2)),
  $H31 * (1 + Assumptions!$C$7) ^ INT(((YEAR(X$2)-YEAR($F31))*12 + MONTH(X$2)-MONTH($F31)) / 12),
  0)</f>
        <v>0</v>
      </c>
      <c r="Y31" s="294">
        <f>IF(AND($F31&lt;=Y$2, OR($G31="",$G31&gt;=Y$2)),
  $H31 * (1 + Assumptions!$C$7) ^ INT(((YEAR(Y$2)-YEAR($F31))*12 + MONTH(Y$2)-MONTH($F31)) / 12),
  0)</f>
        <v>0</v>
      </c>
      <c r="Z31" s="294">
        <f>IF(AND($F31&lt;=Z$2, OR($G31="",$G31&gt;=Z$2)),
  $H31 * (1 + Assumptions!$C$7) ^ INT(((YEAR(Z$2)-YEAR($F31))*12 + MONTH(Z$2)-MONTH($F31)) / 12),
  0)</f>
        <v>0</v>
      </c>
      <c r="AA31" s="294">
        <f>IF(AND($F31&lt;=AA$2, OR($G31="",$G31&gt;=AA$2)),
  $H31 * (1 + Assumptions!$C$7) ^ INT(((YEAR(AA$2)-YEAR($F31))*12 + MONTH(AA$2)-MONTH($F31)) / 12),
  0)</f>
        <v>0</v>
      </c>
      <c r="AB31" s="294">
        <f>IF(AND($F31&lt;=AB$2, OR($G31="",$G31&gt;=AB$2)),
  $H31 * (1 + Assumptions!$C$7) ^ INT(((YEAR(AB$2)-YEAR($F31))*12 + MONTH(AB$2)-MONTH($F31)) / 12),
  0)</f>
        <v>0</v>
      </c>
      <c r="AC31" s="294">
        <f>IF(AND($F31&lt;=AC$2, OR($G31="",$G31&gt;=AC$2)),
  $H31 * (1 + Assumptions!$C$7) ^ INT(((YEAR(AC$2)-YEAR($F31))*12 + MONTH(AC$2)-MONTH($F31)) / 12),
  0)</f>
        <v>0</v>
      </c>
      <c r="AD31" s="294">
        <f>IF(AND($F31&lt;=AD$2, OR($G31="",$G31&gt;=AD$2)),
  $H31 * (1 + Assumptions!$C$7) ^ INT(((YEAR(AD$2)-YEAR($F31))*12 + MONTH(AD$2)-MONTH($F31)) / 12),
  0)</f>
        <v>0</v>
      </c>
      <c r="AE31" s="294">
        <f>IF(AND($F31&lt;=AE$2, OR($G31="",$G31&gt;=AE$2)),
  $H31 * (1 + Assumptions!$C$7) ^ INT(((YEAR(AE$2)-YEAR($F31))*12 + MONTH(AE$2)-MONTH($F31)) / 12),
  0)</f>
        <v>0</v>
      </c>
      <c r="AF31" s="294">
        <f>IF(AND($F31&lt;=AF$2, OR($G31="",$G31&gt;=AF$2)),
  $H31 * (1 + Assumptions!$C$7) ^ INT(((YEAR(AF$2)-YEAR($F31))*12 + MONTH(AF$2)-MONTH($F31)) / 12),
  0)</f>
        <v>0</v>
      </c>
      <c r="AG31" s="294">
        <f>IF(AND($F31&lt;=AG$2, OR($G31="",$G31&gt;=AG$2)),
  $H31 * (1 + Assumptions!$C$7) ^ INT(((YEAR(AG$2)-YEAR($F31))*12 + MONTH(AG$2)-MONTH($F31)) / 12),
  0)</f>
        <v>0</v>
      </c>
      <c r="AH31" s="294">
        <f>IF(AND($F31&lt;=AH$2, OR($G31="",$G31&gt;=AH$2)),
  $H31 * (1 + Assumptions!$C$7) ^ INT(((YEAR(AH$2)-YEAR($F31))*12 + MONTH(AH$2)-MONTH($F31)) / 12),
  0)</f>
        <v>0</v>
      </c>
      <c r="AI31" s="294">
        <f>IF(AND($F31&lt;=AI$2, OR($G31="",$G31&gt;=AI$2)),
  $H31 * (1 + Assumptions!$C$7) ^ INT(((YEAR(AI$2)-YEAR($F31))*12 + MONTH(AI$2)-MONTH($F31)) / 12),
  0)</f>
        <v>0</v>
      </c>
      <c r="AJ31" s="294">
        <f>IF(AND($F31&lt;=AJ$2, OR($G31="",$G31&gt;=AJ$2)),
  $H31 * (1 + Assumptions!$C$7) ^ INT(((YEAR(AJ$2)-YEAR($F31))*12 + MONTH(AJ$2)-MONTH($F31)) / 12),
  0)</f>
        <v>0</v>
      </c>
      <c r="AK31" s="294">
        <f>IF(AND($F31&lt;=AK$2, OR($G31="",$G31&gt;=AK$2)),
  $H31 * (1 + Assumptions!$C$7) ^ INT(((YEAR(AK$2)-YEAR($F31))*12 + MONTH(AK$2)-MONTH($F31)) / 12),
  0)</f>
        <v>0</v>
      </c>
      <c r="AL31" s="294">
        <f>IF(AND($F31&lt;=AL$2, OR($G31="",$G31&gt;=AL$2)),
  $H31 * (1 + Assumptions!$C$7) ^ INT(((YEAR(AL$2)-YEAR($F31))*12 + MONTH(AL$2)-MONTH($F31)) / 12),
  0)</f>
        <v>0</v>
      </c>
      <c r="AM31" s="294">
        <f>IF(AND($F31&lt;=AM$2, OR($G31="",$G31&gt;=AM$2)),
  $H31 * (1 + Assumptions!$C$7) ^ INT(((YEAR(AM$2)-YEAR($F31))*12 + MONTH(AM$2)-MONTH($F31)) / 12),
  0)</f>
        <v>0</v>
      </c>
      <c r="AN31" s="294">
        <f>IF(AND($F31&lt;=AN$2, OR($G31="",$G31&gt;=AN$2)),
  $H31 * (1 + Assumptions!$C$7) ^ INT(((YEAR(AN$2)-YEAR($F31))*12 + MONTH(AN$2)-MONTH($F31)) / 12),
  0)</f>
        <v>0</v>
      </c>
      <c r="AO31" s="294">
        <f>IF(AND($F31&lt;=AO$2, OR($G31="",$G31&gt;=AO$2)),
  $H31 * (1 + Assumptions!$C$7) ^ INT(((YEAR(AO$2)-YEAR($F31))*12 + MONTH(AO$2)-MONTH($F31)) / 12),
  0)</f>
        <v>0</v>
      </c>
      <c r="AP31" s="294">
        <f>IF(AND($F31&lt;=AP$2, OR($G31="",$G31&gt;=AP$2)),
  $H31 * (1 + Assumptions!$C$7) ^ INT(((YEAR(AP$2)-YEAR($F31))*12 + MONTH(AP$2)-MONTH($F31)) / 12),
  0)</f>
        <v>0</v>
      </c>
      <c r="AQ31" s="294">
        <f>IF(AND($F31&lt;=AQ$2, OR($G31="",$G31&gt;=AQ$2)),
  $H31 * (1 + Assumptions!$C$7) ^ INT(((YEAR(AQ$2)-YEAR($F31))*12 + MONTH(AQ$2)-MONTH($F31)) / 12),
  0)</f>
        <v>0</v>
      </c>
      <c r="AR31" s="294">
        <f>IF(AND($F31&lt;=AR$2, OR($G31="",$G31&gt;=AR$2)),
  $H31 * (1 + Assumptions!$C$7) ^ INT(((YEAR(AR$2)-YEAR($F31))*12 + MONTH(AR$2)-MONTH($F31)) / 12),
  0)</f>
        <v>0</v>
      </c>
      <c r="AS31" s="294">
        <f>IF(AND($F31&lt;=AS$2, OR($G31="",$G31&gt;=AS$2)),
  $H31 * (1 + Assumptions!$C$7) ^ INT(((YEAR(AS$2)-YEAR($F31))*12 + MONTH(AS$2)-MONTH($F31)) / 12),
  0)</f>
        <v>0</v>
      </c>
      <c r="AT31" s="294">
        <f>IF(AND($F31&lt;=AT$2, OR($G31="",$G31&gt;=AT$2)),
  $H31 * (1 + Assumptions!$C$7) ^ INT(((YEAR(AT$2)-YEAR($F31))*12 + MONTH(AT$2)-MONTH($F31)) / 12),
  0)</f>
        <v>7500</v>
      </c>
      <c r="AU31" s="294">
        <f>IF(AND($F31&lt;=AU$2, OR($G31="",$G31&gt;=AU$2)),
  $H31 * (1 + Assumptions!$C$7) ^ INT(((YEAR(AU$2)-YEAR($F31))*12 + MONTH(AU$2)-MONTH($F31)) / 12),
  0)</f>
        <v>7500</v>
      </c>
      <c r="AV31" s="294">
        <f>IF(AND($F31&lt;=AV$2, OR($G31="",$G31&gt;=AV$2)),
  $H31 * (1 + Assumptions!$C$7) ^ INT(((YEAR(AV$2)-YEAR($F31))*12 + MONTH(AV$2)-MONTH($F31)) / 12),
  0)</f>
        <v>7500</v>
      </c>
      <c r="AW31" s="294">
        <f>IF(AND($F31&lt;=AW$2, OR($G31="",$G31&gt;=AW$2)),
  $H31 * (1 + Assumptions!$C$7) ^ INT(((YEAR(AW$2)-YEAR($F31))*12 + MONTH(AW$2)-MONTH($F31)) / 12),
  0)</f>
        <v>7500</v>
      </c>
      <c r="AX31" s="294">
        <f>IF(AND($F31&lt;=AX$2, OR($G31="",$G31&gt;=AX$2)),
  $H31 * (1 + Assumptions!$C$7) ^ INT(((YEAR(AX$2)-YEAR($F31))*12 + MONTH(AX$2)-MONTH($F31)) / 12),
  0)</f>
        <v>7500</v>
      </c>
      <c r="AY31" s="294">
        <f>IF(AND($F31&lt;=AY$2, OR($G31="",$G31&gt;=AY$2)),
  $H31 * (1 + Assumptions!$C$7) ^ INT(((YEAR(AY$2)-YEAR($F31))*12 + MONTH(AY$2)-MONTH($F31)) / 12),
  0)</f>
        <v>7500</v>
      </c>
      <c r="AZ31" s="294">
        <f>IF(AND($F31&lt;=AZ$2, OR($G31="",$G31&gt;=AZ$2)),
  $H31 * (1 + Assumptions!$C$7) ^ INT(((YEAR(AZ$2)-YEAR($F31))*12 + MONTH(AZ$2)-MONTH($F31)) / 12),
  0)</f>
        <v>7500</v>
      </c>
      <c r="BA31" s="294">
        <f>IF(AND($F31&lt;=BA$2, OR($G31="",$G31&gt;=BA$2)),
  $H31 * (1 + Assumptions!$C$7) ^ INT(((YEAR(BA$2)-YEAR($F31))*12 + MONTH(BA$2)-MONTH($F31)) / 12),
  0)</f>
        <v>7500</v>
      </c>
      <c r="BB31" s="294">
        <f>IF(AND($F31&lt;=BB$2, OR($G31="",$G31&gt;=BB$2)),
  $H31 * (1 + Assumptions!$C$7) ^ INT(((YEAR(BB$2)-YEAR($F31))*12 + MONTH(BB$2)-MONTH($F31)) / 12),
  0)</f>
        <v>7500</v>
      </c>
      <c r="BC31" s="294">
        <f>IF(AND($F31&lt;=BC$2, OR($G31="",$G31&gt;=BC$2)),
  $H31 * (1 + Assumptions!$C$7) ^ INT(((YEAR(BC$2)-YEAR($F31))*12 + MONTH(BC$2)-MONTH($F31)) / 12),
  0)</f>
        <v>7500</v>
      </c>
      <c r="BD31" s="294">
        <f>IF(AND($F31&lt;=BD$2, OR($G31="",$G31&gt;=BD$2)),
  $H31 * (1 + Assumptions!$C$7) ^ INT(((YEAR(BD$2)-YEAR($F31))*12 + MONTH(BD$2)-MONTH($F31)) / 12),
  0)</f>
        <v>7500</v>
      </c>
      <c r="BE31" s="294">
        <f>IF(AND($F31&lt;=BE$2, OR($G31="",$G31&gt;=BE$2)),
  $H31 * (1 + Assumptions!$C$7) ^ INT(((YEAR(BE$2)-YEAR($F31))*12 + MONTH(BE$2)-MONTH($F31)) / 12),
  0)</f>
        <v>8100</v>
      </c>
      <c r="BF31" s="294">
        <f>IF(AND($F31&lt;=BF$2, OR($G31="",$G31&gt;=BF$2)),
  $H31 * (1 + Assumptions!$C$7) ^ INT(((YEAR(BF$2)-YEAR($F31))*12 + MONTH(BF$2)-MONTH($F31)) / 12),
  0)</f>
        <v>8100</v>
      </c>
      <c r="BG31" s="294">
        <f>IF(AND($F31&lt;=BG$2, OR($G31="",$G31&gt;=BG$2)),
  $H31 * (1 + Assumptions!$C$7) ^ INT(((YEAR(BG$2)-YEAR($F31))*12 + MONTH(BG$2)-MONTH($F31)) / 12),
  0)</f>
        <v>8100</v>
      </c>
      <c r="BH31" s="294">
        <f>IF(AND($F31&lt;=BH$2, OR($G31="",$G31&gt;=BH$2)),
  $H31 * (1 + Assumptions!$C$7) ^ INT(((YEAR(BH$2)-YEAR($F31))*12 + MONTH(BH$2)-MONTH($F31)) / 12),
  0)</f>
        <v>8100</v>
      </c>
      <c r="BI31" s="294">
        <f>IF(AND($F31&lt;=BI$2, OR($G31="",$G31&gt;=BI$2)),
  $H31 * (1 + Assumptions!$C$7) ^ INT(((YEAR(BI$2)-YEAR($F31))*12 + MONTH(BI$2)-MONTH($F31)) / 12),
  0)</f>
        <v>8100</v>
      </c>
      <c r="BJ31" s="294">
        <f>IF(AND($F31&lt;=BJ$2, OR($G31="",$G31&gt;=BJ$2)),
  $H31 * (1 + Assumptions!$C$7) ^ INT(((YEAR(BJ$2)-YEAR($F31))*12 + MONTH(BJ$2)-MONTH($F31)) / 12),
  0)</f>
        <v>8100</v>
      </c>
      <c r="BK31" s="294">
        <f>IF(AND($F31&lt;=BK$2, OR($G31="",$G31&gt;=BK$2)),
  $H31 * (1 + Assumptions!$C$7) ^ INT(((YEAR(BK$2)-YEAR($F31))*12 + MONTH(BK$2)-MONTH($F31)) / 12),
  0)</f>
        <v>8100</v>
      </c>
      <c r="BL31" s="294">
        <f>IF(AND($F31&lt;=BL$2, OR($G31="",$G31&gt;=BL$2)),
  $H31 * (1 + Assumptions!$C$7) ^ INT(((YEAR(BL$2)-YEAR($F31))*12 + MONTH(BL$2)-MONTH($F31)) / 12),
  0)</f>
        <v>8100</v>
      </c>
      <c r="BM31" s="294">
        <f>IF(AND($F31&lt;=BM$2, OR($G31="",$G31&gt;=BM$2)),
  $H31 * (1 + Assumptions!$C$7) ^ INT(((YEAR(BM$2)-YEAR($F31))*12 + MONTH(BM$2)-MONTH($F31)) / 12),
  0)</f>
        <v>8100</v>
      </c>
      <c r="BN31" s="294">
        <f>IF(AND($F31&lt;=BN$2, OR($G31="",$G31&gt;=BN$2)),
  $H31 * (1 + Assumptions!$C$7) ^ INT(((YEAR(BN$2)-YEAR($F31))*12 + MONTH(BN$2)-MONTH($F31)) / 12),
  0)</f>
        <v>8100</v>
      </c>
      <c r="BO31" s="294">
        <f>IF(AND($F31&lt;=BO$2, OR($G31="",$G31&gt;=BO$2)),
  $H31 * (1 + Assumptions!$C$7) ^ INT(((YEAR(BO$2)-YEAR($F31))*12 + MONTH(BO$2)-MONTH($F31)) / 12),
  0)</f>
        <v>8100</v>
      </c>
      <c r="BP31" s="294">
        <f>IF(AND($F31&lt;=BP$2, OR($G31="",$G31&gt;=BP$2)),
  $H31 * (1 + Assumptions!$C$7) ^ INT(((YEAR(BP$2)-YEAR($F31))*12 + MONTH(BP$2)-MONTH($F31)) / 12),
  0)</f>
        <v>8100</v>
      </c>
      <c r="BQ31" s="28"/>
    </row>
    <row r="32" ht="15.75" customHeight="1">
      <c r="A32" s="301">
        <v>28.0</v>
      </c>
      <c r="B32" s="285" t="s">
        <v>342</v>
      </c>
      <c r="C32" s="24" t="s">
        <v>145</v>
      </c>
      <c r="D32" s="301" t="s">
        <v>353</v>
      </c>
      <c r="E32" s="292" t="s">
        <v>344</v>
      </c>
      <c r="F32" s="286">
        <v>47119.0</v>
      </c>
      <c r="G32" s="303"/>
      <c r="H32" s="288">
        <v>8000.0</v>
      </c>
      <c r="I32" s="294">
        <f>IF(AND($F32&lt;=I$2, OR($G32="",$G32&gt;=I$2)),
  $H32 * (1 + Assumptions!$C$7) ^ INT(((YEAR(I$2)-YEAR($F32))*12 + MONTH(I$2)-MONTH($F32)) / 12),
  0)</f>
        <v>0</v>
      </c>
      <c r="J32" s="294">
        <f>IF(AND($F32&lt;=J$2, OR($G32="",$G32&gt;=J$2)),
  $H32 * (1 + Assumptions!$C$7) ^ INT(((YEAR(J$2)-YEAR($F32))*12 + MONTH(J$2)-MONTH($F32)) / 12),
  0)</f>
        <v>0</v>
      </c>
      <c r="K32" s="294">
        <f>IF(AND($F32&lt;=K$2, OR($G32="",$G32&gt;=K$2)),
  $H32 * (1 + Assumptions!$C$7) ^ INT(((YEAR(K$2)-YEAR($F32))*12 + MONTH(K$2)-MONTH($F32)) / 12),
  0)</f>
        <v>0</v>
      </c>
      <c r="L32" s="294">
        <f>IF(AND($F32&lt;=L$2, OR($G32="",$G32&gt;=L$2)),
  $H32 * (1 + Assumptions!$C$7) ^ INT(((YEAR(L$2)-YEAR($F32))*12 + MONTH(L$2)-MONTH($F32)) / 12),
  0)</f>
        <v>0</v>
      </c>
      <c r="M32" s="294">
        <f>IF(AND($F32&lt;=M$2, OR($G32="",$G32&gt;=M$2)),
  $H32 * (1 + Assumptions!$C$7) ^ INT(((YEAR(M$2)-YEAR($F32))*12 + MONTH(M$2)-MONTH($F32)) / 12),
  0)</f>
        <v>0</v>
      </c>
      <c r="N32" s="294">
        <f>IF(AND($F32&lt;=N$2, OR($G32="",$G32&gt;=N$2)),
  $H32 * (1 + Assumptions!$C$7) ^ INT(((YEAR(N$2)-YEAR($F32))*12 + MONTH(N$2)-MONTH($F32)) / 12),
  0)</f>
        <v>0</v>
      </c>
      <c r="O32" s="294">
        <f>IF(AND($F32&lt;=O$2, OR($G32="",$G32&gt;=O$2)),
  $H32 * (1 + Assumptions!$C$7) ^ INT(((YEAR(O$2)-YEAR($F32))*12 + MONTH(O$2)-MONTH($F32)) / 12),
  0)</f>
        <v>0</v>
      </c>
      <c r="P32" s="294">
        <f>IF(AND($F32&lt;=P$2, OR($G32="",$G32&gt;=P$2)),
  $H32 * (1 + Assumptions!$C$7) ^ INT(((YEAR(P$2)-YEAR($F32))*12 + MONTH(P$2)-MONTH($F32)) / 12),
  0)</f>
        <v>0</v>
      </c>
      <c r="Q32" s="294">
        <f>IF(AND($F32&lt;=Q$2, OR($G32="",$G32&gt;=Q$2)),
  $H32 * (1 + Assumptions!$C$7) ^ INT(((YEAR(Q$2)-YEAR($F32))*12 + MONTH(Q$2)-MONTH($F32)) / 12),
  0)</f>
        <v>0</v>
      </c>
      <c r="R32" s="294">
        <f>IF(AND($F32&lt;=R$2, OR($G32="",$G32&gt;=R$2)),
  $H32 * (1 + Assumptions!$C$7) ^ INT(((YEAR(R$2)-YEAR($F32))*12 + MONTH(R$2)-MONTH($F32)) / 12),
  0)</f>
        <v>0</v>
      </c>
      <c r="S32" s="294">
        <f>IF(AND($F32&lt;=S$2, OR($G32="",$G32&gt;=S$2)),
  $H32 * (1 + Assumptions!$C$7) ^ INT(((YEAR(S$2)-YEAR($F32))*12 + MONTH(S$2)-MONTH($F32)) / 12),
  0)</f>
        <v>0</v>
      </c>
      <c r="T32" s="294">
        <f>IF(AND($F32&lt;=T$2, OR($G32="",$G32&gt;=T$2)),
  $H32 * (1 + Assumptions!$C$7) ^ INT(((YEAR(T$2)-YEAR($F32))*12 + MONTH(T$2)-MONTH($F32)) / 12),
  0)</f>
        <v>0</v>
      </c>
      <c r="U32" s="294">
        <f>IF(AND($F32&lt;=U$2, OR($G32="",$G32&gt;=U$2)),
  $H32 * (1 + Assumptions!$C$7) ^ INT(((YEAR(U$2)-YEAR($F32))*12 + MONTH(U$2)-MONTH($F32)) / 12),
  0)</f>
        <v>0</v>
      </c>
      <c r="V32" s="294">
        <f>IF(AND($F32&lt;=V$2, OR($G32="",$G32&gt;=V$2)),
  $H32 * (1 + Assumptions!$C$7) ^ INT(((YEAR(V$2)-YEAR($F32))*12 + MONTH(V$2)-MONTH($F32)) / 12),
  0)</f>
        <v>0</v>
      </c>
      <c r="W32" s="294">
        <f>IF(AND($F32&lt;=W$2, OR($G32="",$G32&gt;=W$2)),
  $H32 * (1 + Assumptions!$C$7) ^ INT(((YEAR(W$2)-YEAR($F32))*12 + MONTH(W$2)-MONTH($F32)) / 12),
  0)</f>
        <v>0</v>
      </c>
      <c r="X32" s="294">
        <f>IF(AND($F32&lt;=X$2, OR($G32="",$G32&gt;=X$2)),
  $H32 * (1 + Assumptions!$C$7) ^ INT(((YEAR(X$2)-YEAR($F32))*12 + MONTH(X$2)-MONTH($F32)) / 12),
  0)</f>
        <v>0</v>
      </c>
      <c r="Y32" s="294">
        <f>IF(AND($F32&lt;=Y$2, OR($G32="",$G32&gt;=Y$2)),
  $H32 * (1 + Assumptions!$C$7) ^ INT(((YEAR(Y$2)-YEAR($F32))*12 + MONTH(Y$2)-MONTH($F32)) / 12),
  0)</f>
        <v>0</v>
      </c>
      <c r="Z32" s="294">
        <f>IF(AND($F32&lt;=Z$2, OR($G32="",$G32&gt;=Z$2)),
  $H32 * (1 + Assumptions!$C$7) ^ INT(((YEAR(Z$2)-YEAR($F32))*12 + MONTH(Z$2)-MONTH($F32)) / 12),
  0)</f>
        <v>0</v>
      </c>
      <c r="AA32" s="294">
        <f>IF(AND($F32&lt;=AA$2, OR($G32="",$G32&gt;=AA$2)),
  $H32 * (1 + Assumptions!$C$7) ^ INT(((YEAR(AA$2)-YEAR($F32))*12 + MONTH(AA$2)-MONTH($F32)) / 12),
  0)</f>
        <v>0</v>
      </c>
      <c r="AB32" s="294">
        <f>IF(AND($F32&lt;=AB$2, OR($G32="",$G32&gt;=AB$2)),
  $H32 * (1 + Assumptions!$C$7) ^ INT(((YEAR(AB$2)-YEAR($F32))*12 + MONTH(AB$2)-MONTH($F32)) / 12),
  0)</f>
        <v>0</v>
      </c>
      <c r="AC32" s="294">
        <f>IF(AND($F32&lt;=AC$2, OR($G32="",$G32&gt;=AC$2)),
  $H32 * (1 + Assumptions!$C$7) ^ INT(((YEAR(AC$2)-YEAR($F32))*12 + MONTH(AC$2)-MONTH($F32)) / 12),
  0)</f>
        <v>0</v>
      </c>
      <c r="AD32" s="294">
        <f>IF(AND($F32&lt;=AD$2, OR($G32="",$G32&gt;=AD$2)),
  $H32 * (1 + Assumptions!$C$7) ^ INT(((YEAR(AD$2)-YEAR($F32))*12 + MONTH(AD$2)-MONTH($F32)) / 12),
  0)</f>
        <v>0</v>
      </c>
      <c r="AE32" s="294">
        <f>IF(AND($F32&lt;=AE$2, OR($G32="",$G32&gt;=AE$2)),
  $H32 * (1 + Assumptions!$C$7) ^ INT(((YEAR(AE$2)-YEAR($F32))*12 + MONTH(AE$2)-MONTH($F32)) / 12),
  0)</f>
        <v>0</v>
      </c>
      <c r="AF32" s="294">
        <f>IF(AND($F32&lt;=AF$2, OR($G32="",$G32&gt;=AF$2)),
  $H32 * (1 + Assumptions!$C$7) ^ INT(((YEAR(AF$2)-YEAR($F32))*12 + MONTH(AF$2)-MONTH($F32)) / 12),
  0)</f>
        <v>0</v>
      </c>
      <c r="AG32" s="294">
        <f>IF(AND($F32&lt;=AG$2, OR($G32="",$G32&gt;=AG$2)),
  $H32 * (1 + Assumptions!$C$7) ^ INT(((YEAR(AG$2)-YEAR($F32))*12 + MONTH(AG$2)-MONTH($F32)) / 12),
  0)</f>
        <v>0</v>
      </c>
      <c r="AH32" s="294">
        <f>IF(AND($F32&lt;=AH$2, OR($G32="",$G32&gt;=AH$2)),
  $H32 * (1 + Assumptions!$C$7) ^ INT(((YEAR(AH$2)-YEAR($F32))*12 + MONTH(AH$2)-MONTH($F32)) / 12),
  0)</f>
        <v>0</v>
      </c>
      <c r="AI32" s="294">
        <f>IF(AND($F32&lt;=AI$2, OR($G32="",$G32&gt;=AI$2)),
  $H32 * (1 + Assumptions!$C$7) ^ INT(((YEAR(AI$2)-YEAR($F32))*12 + MONTH(AI$2)-MONTH($F32)) / 12),
  0)</f>
        <v>0</v>
      </c>
      <c r="AJ32" s="294">
        <f>IF(AND($F32&lt;=AJ$2, OR($G32="",$G32&gt;=AJ$2)),
  $H32 * (1 + Assumptions!$C$7) ^ INT(((YEAR(AJ$2)-YEAR($F32))*12 + MONTH(AJ$2)-MONTH($F32)) / 12),
  0)</f>
        <v>0</v>
      </c>
      <c r="AK32" s="294">
        <f>IF(AND($F32&lt;=AK$2, OR($G32="",$G32&gt;=AK$2)),
  $H32 * (1 + Assumptions!$C$7) ^ INT(((YEAR(AK$2)-YEAR($F32))*12 + MONTH(AK$2)-MONTH($F32)) / 12),
  0)</f>
        <v>0</v>
      </c>
      <c r="AL32" s="294">
        <f>IF(AND($F32&lt;=AL$2, OR($G32="",$G32&gt;=AL$2)),
  $H32 * (1 + Assumptions!$C$7) ^ INT(((YEAR(AL$2)-YEAR($F32))*12 + MONTH(AL$2)-MONTH($F32)) / 12),
  0)</f>
        <v>0</v>
      </c>
      <c r="AM32" s="294">
        <f>IF(AND($F32&lt;=AM$2, OR($G32="",$G32&gt;=AM$2)),
  $H32 * (1 + Assumptions!$C$7) ^ INT(((YEAR(AM$2)-YEAR($F32))*12 + MONTH(AM$2)-MONTH($F32)) / 12),
  0)</f>
        <v>0</v>
      </c>
      <c r="AN32" s="294">
        <f>IF(AND($F32&lt;=AN$2, OR($G32="",$G32&gt;=AN$2)),
  $H32 * (1 + Assumptions!$C$7) ^ INT(((YEAR(AN$2)-YEAR($F32))*12 + MONTH(AN$2)-MONTH($F32)) / 12),
  0)</f>
        <v>0</v>
      </c>
      <c r="AO32" s="294">
        <f>IF(AND($F32&lt;=AO$2, OR($G32="",$G32&gt;=AO$2)),
  $H32 * (1 + Assumptions!$C$7) ^ INT(((YEAR(AO$2)-YEAR($F32))*12 + MONTH(AO$2)-MONTH($F32)) / 12),
  0)</f>
        <v>0</v>
      </c>
      <c r="AP32" s="294">
        <f>IF(AND($F32&lt;=AP$2, OR($G32="",$G32&gt;=AP$2)),
  $H32 * (1 + Assumptions!$C$7) ^ INT(((YEAR(AP$2)-YEAR($F32))*12 + MONTH(AP$2)-MONTH($F32)) / 12),
  0)</f>
        <v>0</v>
      </c>
      <c r="AQ32" s="294">
        <f>IF(AND($F32&lt;=AQ$2, OR($G32="",$G32&gt;=AQ$2)),
  $H32 * (1 + Assumptions!$C$7) ^ INT(((YEAR(AQ$2)-YEAR($F32))*12 + MONTH(AQ$2)-MONTH($F32)) / 12),
  0)</f>
        <v>0</v>
      </c>
      <c r="AR32" s="294">
        <f>IF(AND($F32&lt;=AR$2, OR($G32="",$G32&gt;=AR$2)),
  $H32 * (1 + Assumptions!$C$7) ^ INT(((YEAR(AR$2)-YEAR($F32))*12 + MONTH(AR$2)-MONTH($F32)) / 12),
  0)</f>
        <v>0</v>
      </c>
      <c r="AS32" s="294">
        <f>IF(AND($F32&lt;=AS$2, OR($G32="",$G32&gt;=AS$2)),
  $H32 * (1 + Assumptions!$C$7) ^ INT(((YEAR(AS$2)-YEAR($F32))*12 + MONTH(AS$2)-MONTH($F32)) / 12),
  0)</f>
        <v>0</v>
      </c>
      <c r="AT32" s="294">
        <f>IF(AND($F32&lt;=AT$2, OR($G32="",$G32&gt;=AT$2)),
  $H32 * (1 + Assumptions!$C$7) ^ INT(((YEAR(AT$2)-YEAR($F32))*12 + MONTH(AT$2)-MONTH($F32)) / 12),
  0)</f>
        <v>0</v>
      </c>
      <c r="AU32" s="294">
        <f>IF(AND($F32&lt;=AU$2, OR($G32="",$G32&gt;=AU$2)),
  $H32 * (1 + Assumptions!$C$7) ^ INT(((YEAR(AU$2)-YEAR($F32))*12 + MONTH(AU$2)-MONTH($F32)) / 12),
  0)</f>
        <v>0</v>
      </c>
      <c r="AV32" s="294">
        <f>IF(AND($F32&lt;=AV$2, OR($G32="",$G32&gt;=AV$2)),
  $H32 * (1 + Assumptions!$C$7) ^ INT(((YEAR(AV$2)-YEAR($F32))*12 + MONTH(AV$2)-MONTH($F32)) / 12),
  0)</f>
        <v>0</v>
      </c>
      <c r="AW32" s="294">
        <f>IF(AND($F32&lt;=AW$2, OR($G32="",$G32&gt;=AW$2)),
  $H32 * (1 + Assumptions!$C$7) ^ INT(((YEAR(AW$2)-YEAR($F32))*12 + MONTH(AW$2)-MONTH($F32)) / 12),
  0)</f>
        <v>0</v>
      </c>
      <c r="AX32" s="294">
        <f>IF(AND($F32&lt;=AX$2, OR($G32="",$G32&gt;=AX$2)),
  $H32 * (1 + Assumptions!$C$7) ^ INT(((YEAR(AX$2)-YEAR($F32))*12 + MONTH(AX$2)-MONTH($F32)) / 12),
  0)</f>
        <v>0</v>
      </c>
      <c r="AY32" s="294">
        <f>IF(AND($F32&lt;=AY$2, OR($G32="",$G32&gt;=AY$2)),
  $H32 * (1 + Assumptions!$C$7) ^ INT(((YEAR(AY$2)-YEAR($F32))*12 + MONTH(AY$2)-MONTH($F32)) / 12),
  0)</f>
        <v>0</v>
      </c>
      <c r="AZ32" s="294">
        <f>IF(AND($F32&lt;=AZ$2, OR($G32="",$G32&gt;=AZ$2)),
  $H32 * (1 + Assumptions!$C$7) ^ INT(((YEAR(AZ$2)-YEAR($F32))*12 + MONTH(AZ$2)-MONTH($F32)) / 12),
  0)</f>
        <v>0</v>
      </c>
      <c r="BA32" s="294">
        <f>IF(AND($F32&lt;=BA$2, OR($G32="",$G32&gt;=BA$2)),
  $H32 * (1 + Assumptions!$C$7) ^ INT(((YEAR(BA$2)-YEAR($F32))*12 + MONTH(BA$2)-MONTH($F32)) / 12),
  0)</f>
        <v>0</v>
      </c>
      <c r="BB32" s="294">
        <f>IF(AND($F32&lt;=BB$2, OR($G32="",$G32&gt;=BB$2)),
  $H32 * (1 + Assumptions!$C$7) ^ INT(((YEAR(BB$2)-YEAR($F32))*12 + MONTH(BB$2)-MONTH($F32)) / 12),
  0)</f>
        <v>0</v>
      </c>
      <c r="BC32" s="294">
        <f>IF(AND($F32&lt;=BC$2, OR($G32="",$G32&gt;=BC$2)),
  $H32 * (1 + Assumptions!$C$7) ^ INT(((YEAR(BC$2)-YEAR($F32))*12 + MONTH(BC$2)-MONTH($F32)) / 12),
  0)</f>
        <v>0</v>
      </c>
      <c r="BD32" s="294">
        <f>IF(AND($F32&lt;=BD$2, OR($G32="",$G32&gt;=BD$2)),
  $H32 * (1 + Assumptions!$C$7) ^ INT(((YEAR(BD$2)-YEAR($F32))*12 + MONTH(BD$2)-MONTH($F32)) / 12),
  0)</f>
        <v>0</v>
      </c>
      <c r="BE32" s="294">
        <f>IF(AND($F32&lt;=BE$2, OR($G32="",$G32&gt;=BE$2)),
  $H32 * (1 + Assumptions!$C$7) ^ INT(((YEAR(BE$2)-YEAR($F32))*12 + MONTH(BE$2)-MONTH($F32)) / 12),
  0)</f>
        <v>8000</v>
      </c>
      <c r="BF32" s="294">
        <f>IF(AND($F32&lt;=BF$2, OR($G32="",$G32&gt;=BF$2)),
  $H32 * (1 + Assumptions!$C$7) ^ INT(((YEAR(BF$2)-YEAR($F32))*12 + MONTH(BF$2)-MONTH($F32)) / 12),
  0)</f>
        <v>8000</v>
      </c>
      <c r="BG32" s="294">
        <f>IF(AND($F32&lt;=BG$2, OR($G32="",$G32&gt;=BG$2)),
  $H32 * (1 + Assumptions!$C$7) ^ INT(((YEAR(BG$2)-YEAR($F32))*12 + MONTH(BG$2)-MONTH($F32)) / 12),
  0)</f>
        <v>8000</v>
      </c>
      <c r="BH32" s="294">
        <f>IF(AND($F32&lt;=BH$2, OR($G32="",$G32&gt;=BH$2)),
  $H32 * (1 + Assumptions!$C$7) ^ INT(((YEAR(BH$2)-YEAR($F32))*12 + MONTH(BH$2)-MONTH($F32)) / 12),
  0)</f>
        <v>8000</v>
      </c>
      <c r="BI32" s="294">
        <f>IF(AND($F32&lt;=BI$2, OR($G32="",$G32&gt;=BI$2)),
  $H32 * (1 + Assumptions!$C$7) ^ INT(((YEAR(BI$2)-YEAR($F32))*12 + MONTH(BI$2)-MONTH($F32)) / 12),
  0)</f>
        <v>8000</v>
      </c>
      <c r="BJ32" s="294">
        <f>IF(AND($F32&lt;=BJ$2, OR($G32="",$G32&gt;=BJ$2)),
  $H32 * (1 + Assumptions!$C$7) ^ INT(((YEAR(BJ$2)-YEAR($F32))*12 + MONTH(BJ$2)-MONTH($F32)) / 12),
  0)</f>
        <v>8000</v>
      </c>
      <c r="BK32" s="294">
        <f>IF(AND($F32&lt;=BK$2, OR($G32="",$G32&gt;=BK$2)),
  $H32 * (1 + Assumptions!$C$7) ^ INT(((YEAR(BK$2)-YEAR($F32))*12 + MONTH(BK$2)-MONTH($F32)) / 12),
  0)</f>
        <v>8000</v>
      </c>
      <c r="BL32" s="294">
        <f>IF(AND($F32&lt;=BL$2, OR($G32="",$G32&gt;=BL$2)),
  $H32 * (1 + Assumptions!$C$7) ^ INT(((YEAR(BL$2)-YEAR($F32))*12 + MONTH(BL$2)-MONTH($F32)) / 12),
  0)</f>
        <v>8000</v>
      </c>
      <c r="BM32" s="294">
        <f>IF(AND($F32&lt;=BM$2, OR($G32="",$G32&gt;=BM$2)),
  $H32 * (1 + Assumptions!$C$7) ^ INT(((YEAR(BM$2)-YEAR($F32))*12 + MONTH(BM$2)-MONTH($F32)) / 12),
  0)</f>
        <v>8000</v>
      </c>
      <c r="BN32" s="294">
        <f>IF(AND($F32&lt;=BN$2, OR($G32="",$G32&gt;=BN$2)),
  $H32 * (1 + Assumptions!$C$7) ^ INT(((YEAR(BN$2)-YEAR($F32))*12 + MONTH(BN$2)-MONTH($F32)) / 12),
  0)</f>
        <v>8000</v>
      </c>
      <c r="BO32" s="294">
        <f>IF(AND($F32&lt;=BO$2, OR($G32="",$G32&gt;=BO$2)),
  $H32 * (1 + Assumptions!$C$7) ^ INT(((YEAR(BO$2)-YEAR($F32))*12 + MONTH(BO$2)-MONTH($F32)) / 12),
  0)</f>
        <v>8000</v>
      </c>
      <c r="BP32" s="294">
        <f>IF(AND($F32&lt;=BP$2, OR($G32="",$G32&gt;=BP$2)),
  $H32 * (1 + Assumptions!$C$7) ^ INT(((YEAR(BP$2)-YEAR($F32))*12 + MONTH(BP$2)-MONTH($F32)) / 12),
  0)</f>
        <v>8000</v>
      </c>
      <c r="BQ32" s="28"/>
    </row>
    <row r="33" ht="15.75" customHeight="1">
      <c r="A33" s="301">
        <v>29.0</v>
      </c>
      <c r="B33" s="285" t="s">
        <v>342</v>
      </c>
      <c r="C33" s="24" t="s">
        <v>145</v>
      </c>
      <c r="D33" s="301" t="s">
        <v>348</v>
      </c>
      <c r="E33" s="292" t="s">
        <v>344</v>
      </c>
      <c r="F33" s="286">
        <v>47119.0</v>
      </c>
      <c r="G33" s="303"/>
      <c r="H33" s="288">
        <v>6500.0</v>
      </c>
      <c r="I33" s="294">
        <f>IF(AND($F33&lt;=I$2, OR($G33="",$G33&gt;=I$2)),
  $H33 * (1 + Assumptions!$C$7) ^ INT(((YEAR(I$2)-YEAR($F33))*12 + MONTH(I$2)-MONTH($F33)) / 12),
  0)</f>
        <v>0</v>
      </c>
      <c r="J33" s="294">
        <f>IF(AND($F33&lt;=J$2, OR($G33="",$G33&gt;=J$2)),
  $H33 * (1 + Assumptions!$C$7) ^ INT(((YEAR(J$2)-YEAR($F33))*12 + MONTH(J$2)-MONTH($F33)) / 12),
  0)</f>
        <v>0</v>
      </c>
      <c r="K33" s="294">
        <f>IF(AND($F33&lt;=K$2, OR($G33="",$G33&gt;=K$2)),
  $H33 * (1 + Assumptions!$C$7) ^ INT(((YEAR(K$2)-YEAR($F33))*12 + MONTH(K$2)-MONTH($F33)) / 12),
  0)</f>
        <v>0</v>
      </c>
      <c r="L33" s="294">
        <f>IF(AND($F33&lt;=L$2, OR($G33="",$G33&gt;=L$2)),
  $H33 * (1 + Assumptions!$C$7) ^ INT(((YEAR(L$2)-YEAR($F33))*12 + MONTH(L$2)-MONTH($F33)) / 12),
  0)</f>
        <v>0</v>
      </c>
      <c r="M33" s="294">
        <f>IF(AND($F33&lt;=M$2, OR($G33="",$G33&gt;=M$2)),
  $H33 * (1 + Assumptions!$C$7) ^ INT(((YEAR(M$2)-YEAR($F33))*12 + MONTH(M$2)-MONTH($F33)) / 12),
  0)</f>
        <v>0</v>
      </c>
      <c r="N33" s="294">
        <f>IF(AND($F33&lt;=N$2, OR($G33="",$G33&gt;=N$2)),
  $H33 * (1 + Assumptions!$C$7) ^ INT(((YEAR(N$2)-YEAR($F33))*12 + MONTH(N$2)-MONTH($F33)) / 12),
  0)</f>
        <v>0</v>
      </c>
      <c r="O33" s="294">
        <f>IF(AND($F33&lt;=O$2, OR($G33="",$G33&gt;=O$2)),
  $H33 * (1 + Assumptions!$C$7) ^ INT(((YEAR(O$2)-YEAR($F33))*12 + MONTH(O$2)-MONTH($F33)) / 12),
  0)</f>
        <v>0</v>
      </c>
      <c r="P33" s="294">
        <f>IF(AND($F33&lt;=P$2, OR($G33="",$G33&gt;=P$2)),
  $H33 * (1 + Assumptions!$C$7) ^ INT(((YEAR(P$2)-YEAR($F33))*12 + MONTH(P$2)-MONTH($F33)) / 12),
  0)</f>
        <v>0</v>
      </c>
      <c r="Q33" s="294">
        <f>IF(AND($F33&lt;=Q$2, OR($G33="",$G33&gt;=Q$2)),
  $H33 * (1 + Assumptions!$C$7) ^ INT(((YEAR(Q$2)-YEAR($F33))*12 + MONTH(Q$2)-MONTH($F33)) / 12),
  0)</f>
        <v>0</v>
      </c>
      <c r="R33" s="294">
        <f>IF(AND($F33&lt;=R$2, OR($G33="",$G33&gt;=R$2)),
  $H33 * (1 + Assumptions!$C$7) ^ INT(((YEAR(R$2)-YEAR($F33))*12 + MONTH(R$2)-MONTH($F33)) / 12),
  0)</f>
        <v>0</v>
      </c>
      <c r="S33" s="294">
        <f>IF(AND($F33&lt;=S$2, OR($G33="",$G33&gt;=S$2)),
  $H33 * (1 + Assumptions!$C$7) ^ INT(((YEAR(S$2)-YEAR($F33))*12 + MONTH(S$2)-MONTH($F33)) / 12),
  0)</f>
        <v>0</v>
      </c>
      <c r="T33" s="294">
        <f>IF(AND($F33&lt;=T$2, OR($G33="",$G33&gt;=T$2)),
  $H33 * (1 + Assumptions!$C$7) ^ INT(((YEAR(T$2)-YEAR($F33))*12 + MONTH(T$2)-MONTH($F33)) / 12),
  0)</f>
        <v>0</v>
      </c>
      <c r="U33" s="294">
        <f>IF(AND($F33&lt;=U$2, OR($G33="",$G33&gt;=U$2)),
  $H33 * (1 + Assumptions!$C$7) ^ INT(((YEAR(U$2)-YEAR($F33))*12 + MONTH(U$2)-MONTH($F33)) / 12),
  0)</f>
        <v>0</v>
      </c>
      <c r="V33" s="294">
        <f>IF(AND($F33&lt;=V$2, OR($G33="",$G33&gt;=V$2)),
  $H33 * (1 + Assumptions!$C$7) ^ INT(((YEAR(V$2)-YEAR($F33))*12 + MONTH(V$2)-MONTH($F33)) / 12),
  0)</f>
        <v>0</v>
      </c>
      <c r="W33" s="294">
        <f>IF(AND($F33&lt;=W$2, OR($G33="",$G33&gt;=W$2)),
  $H33 * (1 + Assumptions!$C$7) ^ INT(((YEAR(W$2)-YEAR($F33))*12 + MONTH(W$2)-MONTH($F33)) / 12),
  0)</f>
        <v>0</v>
      </c>
      <c r="X33" s="294">
        <f>IF(AND($F33&lt;=X$2, OR($G33="",$G33&gt;=X$2)),
  $H33 * (1 + Assumptions!$C$7) ^ INT(((YEAR(X$2)-YEAR($F33))*12 + MONTH(X$2)-MONTH($F33)) / 12),
  0)</f>
        <v>0</v>
      </c>
      <c r="Y33" s="294">
        <f>IF(AND($F33&lt;=Y$2, OR($G33="",$G33&gt;=Y$2)),
  $H33 * (1 + Assumptions!$C$7) ^ INT(((YEAR(Y$2)-YEAR($F33))*12 + MONTH(Y$2)-MONTH($F33)) / 12),
  0)</f>
        <v>0</v>
      </c>
      <c r="Z33" s="294">
        <f>IF(AND($F33&lt;=Z$2, OR($G33="",$G33&gt;=Z$2)),
  $H33 * (1 + Assumptions!$C$7) ^ INT(((YEAR(Z$2)-YEAR($F33))*12 + MONTH(Z$2)-MONTH($F33)) / 12),
  0)</f>
        <v>0</v>
      </c>
      <c r="AA33" s="294">
        <f>IF(AND($F33&lt;=AA$2, OR($G33="",$G33&gt;=AA$2)),
  $H33 * (1 + Assumptions!$C$7) ^ INT(((YEAR(AA$2)-YEAR($F33))*12 + MONTH(AA$2)-MONTH($F33)) / 12),
  0)</f>
        <v>0</v>
      </c>
      <c r="AB33" s="294">
        <f>IF(AND($F33&lt;=AB$2, OR($G33="",$G33&gt;=AB$2)),
  $H33 * (1 + Assumptions!$C$7) ^ INT(((YEAR(AB$2)-YEAR($F33))*12 + MONTH(AB$2)-MONTH($F33)) / 12),
  0)</f>
        <v>0</v>
      </c>
      <c r="AC33" s="294">
        <f>IF(AND($F33&lt;=AC$2, OR($G33="",$G33&gt;=AC$2)),
  $H33 * (1 + Assumptions!$C$7) ^ INT(((YEAR(AC$2)-YEAR($F33))*12 + MONTH(AC$2)-MONTH($F33)) / 12),
  0)</f>
        <v>0</v>
      </c>
      <c r="AD33" s="294">
        <f>IF(AND($F33&lt;=AD$2, OR($G33="",$G33&gt;=AD$2)),
  $H33 * (1 + Assumptions!$C$7) ^ INT(((YEAR(AD$2)-YEAR($F33))*12 + MONTH(AD$2)-MONTH($F33)) / 12),
  0)</f>
        <v>0</v>
      </c>
      <c r="AE33" s="294">
        <f>IF(AND($F33&lt;=AE$2, OR($G33="",$G33&gt;=AE$2)),
  $H33 * (1 + Assumptions!$C$7) ^ INT(((YEAR(AE$2)-YEAR($F33))*12 + MONTH(AE$2)-MONTH($F33)) / 12),
  0)</f>
        <v>0</v>
      </c>
      <c r="AF33" s="294">
        <f>IF(AND($F33&lt;=AF$2, OR($G33="",$G33&gt;=AF$2)),
  $H33 * (1 + Assumptions!$C$7) ^ INT(((YEAR(AF$2)-YEAR($F33))*12 + MONTH(AF$2)-MONTH($F33)) / 12),
  0)</f>
        <v>0</v>
      </c>
      <c r="AG33" s="294">
        <f>IF(AND($F33&lt;=AG$2, OR($G33="",$G33&gt;=AG$2)),
  $H33 * (1 + Assumptions!$C$7) ^ INT(((YEAR(AG$2)-YEAR($F33))*12 + MONTH(AG$2)-MONTH($F33)) / 12),
  0)</f>
        <v>0</v>
      </c>
      <c r="AH33" s="294">
        <f>IF(AND($F33&lt;=AH$2, OR($G33="",$G33&gt;=AH$2)),
  $H33 * (1 + Assumptions!$C$7) ^ INT(((YEAR(AH$2)-YEAR($F33))*12 + MONTH(AH$2)-MONTH($F33)) / 12),
  0)</f>
        <v>0</v>
      </c>
      <c r="AI33" s="294">
        <f>IF(AND($F33&lt;=AI$2, OR($G33="",$G33&gt;=AI$2)),
  $H33 * (1 + Assumptions!$C$7) ^ INT(((YEAR(AI$2)-YEAR($F33))*12 + MONTH(AI$2)-MONTH($F33)) / 12),
  0)</f>
        <v>0</v>
      </c>
      <c r="AJ33" s="294">
        <f>IF(AND($F33&lt;=AJ$2, OR($G33="",$G33&gt;=AJ$2)),
  $H33 * (1 + Assumptions!$C$7) ^ INT(((YEAR(AJ$2)-YEAR($F33))*12 + MONTH(AJ$2)-MONTH($F33)) / 12),
  0)</f>
        <v>0</v>
      </c>
      <c r="AK33" s="294">
        <f>IF(AND($F33&lt;=AK$2, OR($G33="",$G33&gt;=AK$2)),
  $H33 * (1 + Assumptions!$C$7) ^ INT(((YEAR(AK$2)-YEAR($F33))*12 + MONTH(AK$2)-MONTH($F33)) / 12),
  0)</f>
        <v>0</v>
      </c>
      <c r="AL33" s="294">
        <f>IF(AND($F33&lt;=AL$2, OR($G33="",$G33&gt;=AL$2)),
  $H33 * (1 + Assumptions!$C$7) ^ INT(((YEAR(AL$2)-YEAR($F33))*12 + MONTH(AL$2)-MONTH($F33)) / 12),
  0)</f>
        <v>0</v>
      </c>
      <c r="AM33" s="294">
        <f>IF(AND($F33&lt;=AM$2, OR($G33="",$G33&gt;=AM$2)),
  $H33 * (1 + Assumptions!$C$7) ^ INT(((YEAR(AM$2)-YEAR($F33))*12 + MONTH(AM$2)-MONTH($F33)) / 12),
  0)</f>
        <v>0</v>
      </c>
      <c r="AN33" s="294">
        <f>IF(AND($F33&lt;=AN$2, OR($G33="",$G33&gt;=AN$2)),
  $H33 * (1 + Assumptions!$C$7) ^ INT(((YEAR(AN$2)-YEAR($F33))*12 + MONTH(AN$2)-MONTH($F33)) / 12),
  0)</f>
        <v>0</v>
      </c>
      <c r="AO33" s="294">
        <f>IF(AND($F33&lt;=AO$2, OR($G33="",$G33&gt;=AO$2)),
  $H33 * (1 + Assumptions!$C$7) ^ INT(((YEAR(AO$2)-YEAR($F33))*12 + MONTH(AO$2)-MONTH($F33)) / 12),
  0)</f>
        <v>0</v>
      </c>
      <c r="AP33" s="294">
        <f>IF(AND($F33&lt;=AP$2, OR($G33="",$G33&gt;=AP$2)),
  $H33 * (1 + Assumptions!$C$7) ^ INT(((YEAR(AP$2)-YEAR($F33))*12 + MONTH(AP$2)-MONTH($F33)) / 12),
  0)</f>
        <v>0</v>
      </c>
      <c r="AQ33" s="294">
        <f>IF(AND($F33&lt;=AQ$2, OR($G33="",$G33&gt;=AQ$2)),
  $H33 * (1 + Assumptions!$C$7) ^ INT(((YEAR(AQ$2)-YEAR($F33))*12 + MONTH(AQ$2)-MONTH($F33)) / 12),
  0)</f>
        <v>0</v>
      </c>
      <c r="AR33" s="294">
        <f>IF(AND($F33&lt;=AR$2, OR($G33="",$G33&gt;=AR$2)),
  $H33 * (1 + Assumptions!$C$7) ^ INT(((YEAR(AR$2)-YEAR($F33))*12 + MONTH(AR$2)-MONTH($F33)) / 12),
  0)</f>
        <v>0</v>
      </c>
      <c r="AS33" s="294">
        <f>IF(AND($F33&lt;=AS$2, OR($G33="",$G33&gt;=AS$2)),
  $H33 * (1 + Assumptions!$C$7) ^ INT(((YEAR(AS$2)-YEAR($F33))*12 + MONTH(AS$2)-MONTH($F33)) / 12),
  0)</f>
        <v>0</v>
      </c>
      <c r="AT33" s="294">
        <f>IF(AND($F33&lt;=AT$2, OR($G33="",$G33&gt;=AT$2)),
  $H33 * (1 + Assumptions!$C$7) ^ INT(((YEAR(AT$2)-YEAR($F33))*12 + MONTH(AT$2)-MONTH($F33)) / 12),
  0)</f>
        <v>0</v>
      </c>
      <c r="AU33" s="294">
        <f>IF(AND($F33&lt;=AU$2, OR($G33="",$G33&gt;=AU$2)),
  $H33 * (1 + Assumptions!$C$7) ^ INT(((YEAR(AU$2)-YEAR($F33))*12 + MONTH(AU$2)-MONTH($F33)) / 12),
  0)</f>
        <v>0</v>
      </c>
      <c r="AV33" s="294">
        <f>IF(AND($F33&lt;=AV$2, OR($G33="",$G33&gt;=AV$2)),
  $H33 * (1 + Assumptions!$C$7) ^ INT(((YEAR(AV$2)-YEAR($F33))*12 + MONTH(AV$2)-MONTH($F33)) / 12),
  0)</f>
        <v>0</v>
      </c>
      <c r="AW33" s="294">
        <f>IF(AND($F33&lt;=AW$2, OR($G33="",$G33&gt;=AW$2)),
  $H33 * (1 + Assumptions!$C$7) ^ INT(((YEAR(AW$2)-YEAR($F33))*12 + MONTH(AW$2)-MONTH($F33)) / 12),
  0)</f>
        <v>0</v>
      </c>
      <c r="AX33" s="294">
        <f>IF(AND($F33&lt;=AX$2, OR($G33="",$G33&gt;=AX$2)),
  $H33 * (1 + Assumptions!$C$7) ^ INT(((YEAR(AX$2)-YEAR($F33))*12 + MONTH(AX$2)-MONTH($F33)) / 12),
  0)</f>
        <v>0</v>
      </c>
      <c r="AY33" s="294">
        <f>IF(AND($F33&lt;=AY$2, OR($G33="",$G33&gt;=AY$2)),
  $H33 * (1 + Assumptions!$C$7) ^ INT(((YEAR(AY$2)-YEAR($F33))*12 + MONTH(AY$2)-MONTH($F33)) / 12),
  0)</f>
        <v>0</v>
      </c>
      <c r="AZ33" s="294">
        <f>IF(AND($F33&lt;=AZ$2, OR($G33="",$G33&gt;=AZ$2)),
  $H33 * (1 + Assumptions!$C$7) ^ INT(((YEAR(AZ$2)-YEAR($F33))*12 + MONTH(AZ$2)-MONTH($F33)) / 12),
  0)</f>
        <v>0</v>
      </c>
      <c r="BA33" s="294">
        <f>IF(AND($F33&lt;=BA$2, OR($G33="",$G33&gt;=BA$2)),
  $H33 * (1 + Assumptions!$C$7) ^ INT(((YEAR(BA$2)-YEAR($F33))*12 + MONTH(BA$2)-MONTH($F33)) / 12),
  0)</f>
        <v>0</v>
      </c>
      <c r="BB33" s="294">
        <f>IF(AND($F33&lt;=BB$2, OR($G33="",$G33&gt;=BB$2)),
  $H33 * (1 + Assumptions!$C$7) ^ INT(((YEAR(BB$2)-YEAR($F33))*12 + MONTH(BB$2)-MONTH($F33)) / 12),
  0)</f>
        <v>0</v>
      </c>
      <c r="BC33" s="294">
        <f>IF(AND($F33&lt;=BC$2, OR($G33="",$G33&gt;=BC$2)),
  $H33 * (1 + Assumptions!$C$7) ^ INT(((YEAR(BC$2)-YEAR($F33))*12 + MONTH(BC$2)-MONTH($F33)) / 12),
  0)</f>
        <v>0</v>
      </c>
      <c r="BD33" s="294">
        <f>IF(AND($F33&lt;=BD$2, OR($G33="",$G33&gt;=BD$2)),
  $H33 * (1 + Assumptions!$C$7) ^ INT(((YEAR(BD$2)-YEAR($F33))*12 + MONTH(BD$2)-MONTH($F33)) / 12),
  0)</f>
        <v>0</v>
      </c>
      <c r="BE33" s="294">
        <f>IF(AND($F33&lt;=BE$2, OR($G33="",$G33&gt;=BE$2)),
  $H33 * (1 + Assumptions!$C$7) ^ INT(((YEAR(BE$2)-YEAR($F33))*12 + MONTH(BE$2)-MONTH($F33)) / 12),
  0)</f>
        <v>6500</v>
      </c>
      <c r="BF33" s="294">
        <f>IF(AND($F33&lt;=BF$2, OR($G33="",$G33&gt;=BF$2)),
  $H33 * (1 + Assumptions!$C$7) ^ INT(((YEAR(BF$2)-YEAR($F33))*12 + MONTH(BF$2)-MONTH($F33)) / 12),
  0)</f>
        <v>6500</v>
      </c>
      <c r="BG33" s="294">
        <f>IF(AND($F33&lt;=BG$2, OR($G33="",$G33&gt;=BG$2)),
  $H33 * (1 + Assumptions!$C$7) ^ INT(((YEAR(BG$2)-YEAR($F33))*12 + MONTH(BG$2)-MONTH($F33)) / 12),
  0)</f>
        <v>6500</v>
      </c>
      <c r="BH33" s="294">
        <f>IF(AND($F33&lt;=BH$2, OR($G33="",$G33&gt;=BH$2)),
  $H33 * (1 + Assumptions!$C$7) ^ INT(((YEAR(BH$2)-YEAR($F33))*12 + MONTH(BH$2)-MONTH($F33)) / 12),
  0)</f>
        <v>6500</v>
      </c>
      <c r="BI33" s="294">
        <f>IF(AND($F33&lt;=BI$2, OR($G33="",$G33&gt;=BI$2)),
  $H33 * (1 + Assumptions!$C$7) ^ INT(((YEAR(BI$2)-YEAR($F33))*12 + MONTH(BI$2)-MONTH($F33)) / 12),
  0)</f>
        <v>6500</v>
      </c>
      <c r="BJ33" s="294">
        <f>IF(AND($F33&lt;=BJ$2, OR($G33="",$G33&gt;=BJ$2)),
  $H33 * (1 + Assumptions!$C$7) ^ INT(((YEAR(BJ$2)-YEAR($F33))*12 + MONTH(BJ$2)-MONTH($F33)) / 12),
  0)</f>
        <v>6500</v>
      </c>
      <c r="BK33" s="294">
        <f>IF(AND($F33&lt;=BK$2, OR($G33="",$G33&gt;=BK$2)),
  $H33 * (1 + Assumptions!$C$7) ^ INT(((YEAR(BK$2)-YEAR($F33))*12 + MONTH(BK$2)-MONTH($F33)) / 12),
  0)</f>
        <v>6500</v>
      </c>
      <c r="BL33" s="294">
        <f>IF(AND($F33&lt;=BL$2, OR($G33="",$G33&gt;=BL$2)),
  $H33 * (1 + Assumptions!$C$7) ^ INT(((YEAR(BL$2)-YEAR($F33))*12 + MONTH(BL$2)-MONTH($F33)) / 12),
  0)</f>
        <v>6500</v>
      </c>
      <c r="BM33" s="294">
        <f>IF(AND($F33&lt;=BM$2, OR($G33="",$G33&gt;=BM$2)),
  $H33 * (1 + Assumptions!$C$7) ^ INT(((YEAR(BM$2)-YEAR($F33))*12 + MONTH(BM$2)-MONTH($F33)) / 12),
  0)</f>
        <v>6500</v>
      </c>
      <c r="BN33" s="294">
        <f>IF(AND($F33&lt;=BN$2, OR($G33="",$G33&gt;=BN$2)),
  $H33 * (1 + Assumptions!$C$7) ^ INT(((YEAR(BN$2)-YEAR($F33))*12 + MONTH(BN$2)-MONTH($F33)) / 12),
  0)</f>
        <v>6500</v>
      </c>
      <c r="BO33" s="294">
        <f>IF(AND($F33&lt;=BO$2, OR($G33="",$G33&gt;=BO$2)),
  $H33 * (1 + Assumptions!$C$7) ^ INT(((YEAR(BO$2)-YEAR($F33))*12 + MONTH(BO$2)-MONTH($F33)) / 12),
  0)</f>
        <v>6500</v>
      </c>
      <c r="BP33" s="294">
        <f>IF(AND($F33&lt;=BP$2, OR($G33="",$G33&gt;=BP$2)),
  $H33 * (1 + Assumptions!$C$7) ^ INT(((YEAR(BP$2)-YEAR($F33))*12 + MONTH(BP$2)-MONTH($F33)) / 12),
  0)</f>
        <v>6500</v>
      </c>
      <c r="BQ33" s="28"/>
    </row>
    <row r="34" ht="15.75" customHeight="1">
      <c r="A34" s="301">
        <v>30.0</v>
      </c>
      <c r="B34" s="285" t="s">
        <v>342</v>
      </c>
      <c r="C34" s="24" t="s">
        <v>145</v>
      </c>
      <c r="D34" s="301" t="s">
        <v>353</v>
      </c>
      <c r="E34" s="292" t="s">
        <v>344</v>
      </c>
      <c r="F34" s="286">
        <v>47119.0</v>
      </c>
      <c r="G34" s="303"/>
      <c r="H34" s="288">
        <v>8000.0</v>
      </c>
      <c r="I34" s="294">
        <f>IF(AND($F34&lt;=I$2, OR($G34="",$G34&gt;=I$2)),
  $H34 * (1 + Assumptions!$C$7) ^ INT(((YEAR(I$2)-YEAR($F34))*12 + MONTH(I$2)-MONTH($F34)) / 12),
  0)</f>
        <v>0</v>
      </c>
      <c r="J34" s="294">
        <f>IF(AND($F34&lt;=J$2, OR($G34="",$G34&gt;=J$2)),
  $H34 * (1 + Assumptions!$C$7) ^ INT(((YEAR(J$2)-YEAR($F34))*12 + MONTH(J$2)-MONTH($F34)) / 12),
  0)</f>
        <v>0</v>
      </c>
      <c r="K34" s="294">
        <f>IF(AND($F34&lt;=K$2, OR($G34="",$G34&gt;=K$2)),
  $H34 * (1 + Assumptions!$C$7) ^ INT(((YEAR(K$2)-YEAR($F34))*12 + MONTH(K$2)-MONTH($F34)) / 12),
  0)</f>
        <v>0</v>
      </c>
      <c r="L34" s="294">
        <f>IF(AND($F34&lt;=L$2, OR($G34="",$G34&gt;=L$2)),
  $H34 * (1 + Assumptions!$C$7) ^ INT(((YEAR(L$2)-YEAR($F34))*12 + MONTH(L$2)-MONTH($F34)) / 12),
  0)</f>
        <v>0</v>
      </c>
      <c r="M34" s="294">
        <f>IF(AND($F34&lt;=M$2, OR($G34="",$G34&gt;=M$2)),
  $H34 * (1 + Assumptions!$C$7) ^ INT(((YEAR(M$2)-YEAR($F34))*12 + MONTH(M$2)-MONTH($F34)) / 12),
  0)</f>
        <v>0</v>
      </c>
      <c r="N34" s="294">
        <f>IF(AND($F34&lt;=N$2, OR($G34="",$G34&gt;=N$2)),
  $H34 * (1 + Assumptions!$C$7) ^ INT(((YEAR(N$2)-YEAR($F34))*12 + MONTH(N$2)-MONTH($F34)) / 12),
  0)</f>
        <v>0</v>
      </c>
      <c r="O34" s="294">
        <f>IF(AND($F34&lt;=O$2, OR($G34="",$G34&gt;=O$2)),
  $H34 * (1 + Assumptions!$C$7) ^ INT(((YEAR(O$2)-YEAR($F34))*12 + MONTH(O$2)-MONTH($F34)) / 12),
  0)</f>
        <v>0</v>
      </c>
      <c r="P34" s="294">
        <f>IF(AND($F34&lt;=P$2, OR($G34="",$G34&gt;=P$2)),
  $H34 * (1 + Assumptions!$C$7) ^ INT(((YEAR(P$2)-YEAR($F34))*12 + MONTH(P$2)-MONTH($F34)) / 12),
  0)</f>
        <v>0</v>
      </c>
      <c r="Q34" s="294">
        <f>IF(AND($F34&lt;=Q$2, OR($G34="",$G34&gt;=Q$2)),
  $H34 * (1 + Assumptions!$C$7) ^ INT(((YEAR(Q$2)-YEAR($F34))*12 + MONTH(Q$2)-MONTH($F34)) / 12),
  0)</f>
        <v>0</v>
      </c>
      <c r="R34" s="294">
        <f>IF(AND($F34&lt;=R$2, OR($G34="",$G34&gt;=R$2)),
  $H34 * (1 + Assumptions!$C$7) ^ INT(((YEAR(R$2)-YEAR($F34))*12 + MONTH(R$2)-MONTH($F34)) / 12),
  0)</f>
        <v>0</v>
      </c>
      <c r="S34" s="294">
        <f>IF(AND($F34&lt;=S$2, OR($G34="",$G34&gt;=S$2)),
  $H34 * (1 + Assumptions!$C$7) ^ INT(((YEAR(S$2)-YEAR($F34))*12 + MONTH(S$2)-MONTH($F34)) / 12),
  0)</f>
        <v>0</v>
      </c>
      <c r="T34" s="294">
        <f>IF(AND($F34&lt;=T$2, OR($G34="",$G34&gt;=T$2)),
  $H34 * (1 + Assumptions!$C$7) ^ INT(((YEAR(T$2)-YEAR($F34))*12 + MONTH(T$2)-MONTH($F34)) / 12),
  0)</f>
        <v>0</v>
      </c>
      <c r="U34" s="294">
        <f>IF(AND($F34&lt;=U$2, OR($G34="",$G34&gt;=U$2)),
  $H34 * (1 + Assumptions!$C$7) ^ INT(((YEAR(U$2)-YEAR($F34))*12 + MONTH(U$2)-MONTH($F34)) / 12),
  0)</f>
        <v>0</v>
      </c>
      <c r="V34" s="294">
        <f>IF(AND($F34&lt;=V$2, OR($G34="",$G34&gt;=V$2)),
  $H34 * (1 + Assumptions!$C$7) ^ INT(((YEAR(V$2)-YEAR($F34))*12 + MONTH(V$2)-MONTH($F34)) / 12),
  0)</f>
        <v>0</v>
      </c>
      <c r="W34" s="294">
        <f>IF(AND($F34&lt;=W$2, OR($G34="",$G34&gt;=W$2)),
  $H34 * (1 + Assumptions!$C$7) ^ INT(((YEAR(W$2)-YEAR($F34))*12 + MONTH(W$2)-MONTH($F34)) / 12),
  0)</f>
        <v>0</v>
      </c>
      <c r="X34" s="294">
        <f>IF(AND($F34&lt;=X$2, OR($G34="",$G34&gt;=X$2)),
  $H34 * (1 + Assumptions!$C$7) ^ INT(((YEAR(X$2)-YEAR($F34))*12 + MONTH(X$2)-MONTH($F34)) / 12),
  0)</f>
        <v>0</v>
      </c>
      <c r="Y34" s="294">
        <f>IF(AND($F34&lt;=Y$2, OR($G34="",$G34&gt;=Y$2)),
  $H34 * (1 + Assumptions!$C$7) ^ INT(((YEAR(Y$2)-YEAR($F34))*12 + MONTH(Y$2)-MONTH($F34)) / 12),
  0)</f>
        <v>0</v>
      </c>
      <c r="Z34" s="294">
        <f>IF(AND($F34&lt;=Z$2, OR($G34="",$G34&gt;=Z$2)),
  $H34 * (1 + Assumptions!$C$7) ^ INT(((YEAR(Z$2)-YEAR($F34))*12 + MONTH(Z$2)-MONTH($F34)) / 12),
  0)</f>
        <v>0</v>
      </c>
      <c r="AA34" s="294">
        <f>IF(AND($F34&lt;=AA$2, OR($G34="",$G34&gt;=AA$2)),
  $H34 * (1 + Assumptions!$C$7) ^ INT(((YEAR(AA$2)-YEAR($F34))*12 + MONTH(AA$2)-MONTH($F34)) / 12),
  0)</f>
        <v>0</v>
      </c>
      <c r="AB34" s="294">
        <f>IF(AND($F34&lt;=AB$2, OR($G34="",$G34&gt;=AB$2)),
  $H34 * (1 + Assumptions!$C$7) ^ INT(((YEAR(AB$2)-YEAR($F34))*12 + MONTH(AB$2)-MONTH($F34)) / 12),
  0)</f>
        <v>0</v>
      </c>
      <c r="AC34" s="294">
        <f>IF(AND($F34&lt;=AC$2, OR($G34="",$G34&gt;=AC$2)),
  $H34 * (1 + Assumptions!$C$7) ^ INT(((YEAR(AC$2)-YEAR($F34))*12 + MONTH(AC$2)-MONTH($F34)) / 12),
  0)</f>
        <v>0</v>
      </c>
      <c r="AD34" s="294">
        <f>IF(AND($F34&lt;=AD$2, OR($G34="",$G34&gt;=AD$2)),
  $H34 * (1 + Assumptions!$C$7) ^ INT(((YEAR(AD$2)-YEAR($F34))*12 + MONTH(AD$2)-MONTH($F34)) / 12),
  0)</f>
        <v>0</v>
      </c>
      <c r="AE34" s="294">
        <f>IF(AND($F34&lt;=AE$2, OR($G34="",$G34&gt;=AE$2)),
  $H34 * (1 + Assumptions!$C$7) ^ INT(((YEAR(AE$2)-YEAR($F34))*12 + MONTH(AE$2)-MONTH($F34)) / 12),
  0)</f>
        <v>0</v>
      </c>
      <c r="AF34" s="294">
        <f>IF(AND($F34&lt;=AF$2, OR($G34="",$G34&gt;=AF$2)),
  $H34 * (1 + Assumptions!$C$7) ^ INT(((YEAR(AF$2)-YEAR($F34))*12 + MONTH(AF$2)-MONTH($F34)) / 12),
  0)</f>
        <v>0</v>
      </c>
      <c r="AG34" s="294">
        <f>IF(AND($F34&lt;=AG$2, OR($G34="",$G34&gt;=AG$2)),
  $H34 * (1 + Assumptions!$C$7) ^ INT(((YEAR(AG$2)-YEAR($F34))*12 + MONTH(AG$2)-MONTH($F34)) / 12),
  0)</f>
        <v>0</v>
      </c>
      <c r="AH34" s="294">
        <f>IF(AND($F34&lt;=AH$2, OR($G34="",$G34&gt;=AH$2)),
  $H34 * (1 + Assumptions!$C$7) ^ INT(((YEAR(AH$2)-YEAR($F34))*12 + MONTH(AH$2)-MONTH($F34)) / 12),
  0)</f>
        <v>0</v>
      </c>
      <c r="AI34" s="294">
        <f>IF(AND($F34&lt;=AI$2, OR($G34="",$G34&gt;=AI$2)),
  $H34 * (1 + Assumptions!$C$7) ^ INT(((YEAR(AI$2)-YEAR($F34))*12 + MONTH(AI$2)-MONTH($F34)) / 12),
  0)</f>
        <v>0</v>
      </c>
      <c r="AJ34" s="294">
        <f>IF(AND($F34&lt;=AJ$2, OR($G34="",$G34&gt;=AJ$2)),
  $H34 * (1 + Assumptions!$C$7) ^ INT(((YEAR(AJ$2)-YEAR($F34))*12 + MONTH(AJ$2)-MONTH($F34)) / 12),
  0)</f>
        <v>0</v>
      </c>
      <c r="AK34" s="294">
        <f>IF(AND($F34&lt;=AK$2, OR($G34="",$G34&gt;=AK$2)),
  $H34 * (1 + Assumptions!$C$7) ^ INT(((YEAR(AK$2)-YEAR($F34))*12 + MONTH(AK$2)-MONTH($F34)) / 12),
  0)</f>
        <v>0</v>
      </c>
      <c r="AL34" s="294">
        <f>IF(AND($F34&lt;=AL$2, OR($G34="",$G34&gt;=AL$2)),
  $H34 * (1 + Assumptions!$C$7) ^ INT(((YEAR(AL$2)-YEAR($F34))*12 + MONTH(AL$2)-MONTH($F34)) / 12),
  0)</f>
        <v>0</v>
      </c>
      <c r="AM34" s="294">
        <f>IF(AND($F34&lt;=AM$2, OR($G34="",$G34&gt;=AM$2)),
  $H34 * (1 + Assumptions!$C$7) ^ INT(((YEAR(AM$2)-YEAR($F34))*12 + MONTH(AM$2)-MONTH($F34)) / 12),
  0)</f>
        <v>0</v>
      </c>
      <c r="AN34" s="294">
        <f>IF(AND($F34&lt;=AN$2, OR($G34="",$G34&gt;=AN$2)),
  $H34 * (1 + Assumptions!$C$7) ^ INT(((YEAR(AN$2)-YEAR($F34))*12 + MONTH(AN$2)-MONTH($F34)) / 12),
  0)</f>
        <v>0</v>
      </c>
      <c r="AO34" s="294">
        <f>IF(AND($F34&lt;=AO$2, OR($G34="",$G34&gt;=AO$2)),
  $H34 * (1 + Assumptions!$C$7) ^ INT(((YEAR(AO$2)-YEAR($F34))*12 + MONTH(AO$2)-MONTH($F34)) / 12),
  0)</f>
        <v>0</v>
      </c>
      <c r="AP34" s="294">
        <f>IF(AND($F34&lt;=AP$2, OR($G34="",$G34&gt;=AP$2)),
  $H34 * (1 + Assumptions!$C$7) ^ INT(((YEAR(AP$2)-YEAR($F34))*12 + MONTH(AP$2)-MONTH($F34)) / 12),
  0)</f>
        <v>0</v>
      </c>
      <c r="AQ34" s="294">
        <f>IF(AND($F34&lt;=AQ$2, OR($G34="",$G34&gt;=AQ$2)),
  $H34 * (1 + Assumptions!$C$7) ^ INT(((YEAR(AQ$2)-YEAR($F34))*12 + MONTH(AQ$2)-MONTH($F34)) / 12),
  0)</f>
        <v>0</v>
      </c>
      <c r="AR34" s="294">
        <f>IF(AND($F34&lt;=AR$2, OR($G34="",$G34&gt;=AR$2)),
  $H34 * (1 + Assumptions!$C$7) ^ INT(((YEAR(AR$2)-YEAR($F34))*12 + MONTH(AR$2)-MONTH($F34)) / 12),
  0)</f>
        <v>0</v>
      </c>
      <c r="AS34" s="294">
        <f>IF(AND($F34&lt;=AS$2, OR($G34="",$G34&gt;=AS$2)),
  $H34 * (1 + Assumptions!$C$7) ^ INT(((YEAR(AS$2)-YEAR($F34))*12 + MONTH(AS$2)-MONTH($F34)) / 12),
  0)</f>
        <v>0</v>
      </c>
      <c r="AT34" s="294">
        <f>IF(AND($F34&lt;=AT$2, OR($G34="",$G34&gt;=AT$2)),
  $H34 * (1 + Assumptions!$C$7) ^ INT(((YEAR(AT$2)-YEAR($F34))*12 + MONTH(AT$2)-MONTH($F34)) / 12),
  0)</f>
        <v>0</v>
      </c>
      <c r="AU34" s="294">
        <f>IF(AND($F34&lt;=AU$2, OR($G34="",$G34&gt;=AU$2)),
  $H34 * (1 + Assumptions!$C$7) ^ INT(((YEAR(AU$2)-YEAR($F34))*12 + MONTH(AU$2)-MONTH($F34)) / 12),
  0)</f>
        <v>0</v>
      </c>
      <c r="AV34" s="294">
        <f>IF(AND($F34&lt;=AV$2, OR($G34="",$G34&gt;=AV$2)),
  $H34 * (1 + Assumptions!$C$7) ^ INT(((YEAR(AV$2)-YEAR($F34))*12 + MONTH(AV$2)-MONTH($F34)) / 12),
  0)</f>
        <v>0</v>
      </c>
      <c r="AW34" s="294">
        <f>IF(AND($F34&lt;=AW$2, OR($G34="",$G34&gt;=AW$2)),
  $H34 * (1 + Assumptions!$C$7) ^ INT(((YEAR(AW$2)-YEAR($F34))*12 + MONTH(AW$2)-MONTH($F34)) / 12),
  0)</f>
        <v>0</v>
      </c>
      <c r="AX34" s="294">
        <f>IF(AND($F34&lt;=AX$2, OR($G34="",$G34&gt;=AX$2)),
  $H34 * (1 + Assumptions!$C$7) ^ INT(((YEAR(AX$2)-YEAR($F34))*12 + MONTH(AX$2)-MONTH($F34)) / 12),
  0)</f>
        <v>0</v>
      </c>
      <c r="AY34" s="294">
        <f>IF(AND($F34&lt;=AY$2, OR($G34="",$G34&gt;=AY$2)),
  $H34 * (1 + Assumptions!$C$7) ^ INT(((YEAR(AY$2)-YEAR($F34))*12 + MONTH(AY$2)-MONTH($F34)) / 12),
  0)</f>
        <v>0</v>
      </c>
      <c r="AZ34" s="294">
        <f>IF(AND($F34&lt;=AZ$2, OR($G34="",$G34&gt;=AZ$2)),
  $H34 * (1 + Assumptions!$C$7) ^ INT(((YEAR(AZ$2)-YEAR($F34))*12 + MONTH(AZ$2)-MONTH($F34)) / 12),
  0)</f>
        <v>0</v>
      </c>
      <c r="BA34" s="294">
        <f>IF(AND($F34&lt;=BA$2, OR($G34="",$G34&gt;=BA$2)),
  $H34 * (1 + Assumptions!$C$7) ^ INT(((YEAR(BA$2)-YEAR($F34))*12 + MONTH(BA$2)-MONTH($F34)) / 12),
  0)</f>
        <v>0</v>
      </c>
      <c r="BB34" s="294">
        <f>IF(AND($F34&lt;=BB$2, OR($G34="",$G34&gt;=BB$2)),
  $H34 * (1 + Assumptions!$C$7) ^ INT(((YEAR(BB$2)-YEAR($F34))*12 + MONTH(BB$2)-MONTH($F34)) / 12),
  0)</f>
        <v>0</v>
      </c>
      <c r="BC34" s="294">
        <f>IF(AND($F34&lt;=BC$2, OR($G34="",$G34&gt;=BC$2)),
  $H34 * (1 + Assumptions!$C$7) ^ INT(((YEAR(BC$2)-YEAR($F34))*12 + MONTH(BC$2)-MONTH($F34)) / 12),
  0)</f>
        <v>0</v>
      </c>
      <c r="BD34" s="294">
        <f>IF(AND($F34&lt;=BD$2, OR($G34="",$G34&gt;=BD$2)),
  $H34 * (1 + Assumptions!$C$7) ^ INT(((YEAR(BD$2)-YEAR($F34))*12 + MONTH(BD$2)-MONTH($F34)) / 12),
  0)</f>
        <v>0</v>
      </c>
      <c r="BE34" s="294">
        <f>IF(AND($F34&lt;=BE$2, OR($G34="",$G34&gt;=BE$2)),
  $H34 * (1 + Assumptions!$C$7) ^ INT(((YEAR(BE$2)-YEAR($F34))*12 + MONTH(BE$2)-MONTH($F34)) / 12),
  0)</f>
        <v>8000</v>
      </c>
      <c r="BF34" s="294">
        <f>IF(AND($F34&lt;=BF$2, OR($G34="",$G34&gt;=BF$2)),
  $H34 * (1 + Assumptions!$C$7) ^ INT(((YEAR(BF$2)-YEAR($F34))*12 + MONTH(BF$2)-MONTH($F34)) / 12),
  0)</f>
        <v>8000</v>
      </c>
      <c r="BG34" s="294">
        <f>IF(AND($F34&lt;=BG$2, OR($G34="",$G34&gt;=BG$2)),
  $H34 * (1 + Assumptions!$C$7) ^ INT(((YEAR(BG$2)-YEAR($F34))*12 + MONTH(BG$2)-MONTH($F34)) / 12),
  0)</f>
        <v>8000</v>
      </c>
      <c r="BH34" s="294">
        <f>IF(AND($F34&lt;=BH$2, OR($G34="",$G34&gt;=BH$2)),
  $H34 * (1 + Assumptions!$C$7) ^ INT(((YEAR(BH$2)-YEAR($F34))*12 + MONTH(BH$2)-MONTH($F34)) / 12),
  0)</f>
        <v>8000</v>
      </c>
      <c r="BI34" s="294">
        <f>IF(AND($F34&lt;=BI$2, OR($G34="",$G34&gt;=BI$2)),
  $H34 * (1 + Assumptions!$C$7) ^ INT(((YEAR(BI$2)-YEAR($F34))*12 + MONTH(BI$2)-MONTH($F34)) / 12),
  0)</f>
        <v>8000</v>
      </c>
      <c r="BJ34" s="294">
        <f>IF(AND($F34&lt;=BJ$2, OR($G34="",$G34&gt;=BJ$2)),
  $H34 * (1 + Assumptions!$C$7) ^ INT(((YEAR(BJ$2)-YEAR($F34))*12 + MONTH(BJ$2)-MONTH($F34)) / 12),
  0)</f>
        <v>8000</v>
      </c>
      <c r="BK34" s="294">
        <f>IF(AND($F34&lt;=BK$2, OR($G34="",$G34&gt;=BK$2)),
  $H34 * (1 + Assumptions!$C$7) ^ INT(((YEAR(BK$2)-YEAR($F34))*12 + MONTH(BK$2)-MONTH($F34)) / 12),
  0)</f>
        <v>8000</v>
      </c>
      <c r="BL34" s="294">
        <f>IF(AND($F34&lt;=BL$2, OR($G34="",$G34&gt;=BL$2)),
  $H34 * (1 + Assumptions!$C$7) ^ INT(((YEAR(BL$2)-YEAR($F34))*12 + MONTH(BL$2)-MONTH($F34)) / 12),
  0)</f>
        <v>8000</v>
      </c>
      <c r="BM34" s="294">
        <f>IF(AND($F34&lt;=BM$2, OR($G34="",$G34&gt;=BM$2)),
  $H34 * (1 + Assumptions!$C$7) ^ INT(((YEAR(BM$2)-YEAR($F34))*12 + MONTH(BM$2)-MONTH($F34)) / 12),
  0)</f>
        <v>8000</v>
      </c>
      <c r="BN34" s="294">
        <f>IF(AND($F34&lt;=BN$2, OR($G34="",$G34&gt;=BN$2)),
  $H34 * (1 + Assumptions!$C$7) ^ INT(((YEAR(BN$2)-YEAR($F34))*12 + MONTH(BN$2)-MONTH($F34)) / 12),
  0)</f>
        <v>8000</v>
      </c>
      <c r="BO34" s="294">
        <f>IF(AND($F34&lt;=BO$2, OR($G34="",$G34&gt;=BO$2)),
  $H34 * (1 + Assumptions!$C$7) ^ INT(((YEAR(BO$2)-YEAR($F34))*12 + MONTH(BO$2)-MONTH($F34)) / 12),
  0)</f>
        <v>8000</v>
      </c>
      <c r="BP34" s="294">
        <f>IF(AND($F34&lt;=BP$2, OR($G34="",$G34&gt;=BP$2)),
  $H34 * (1 + Assumptions!$C$7) ^ INT(((YEAR(BP$2)-YEAR($F34))*12 + MONTH(BP$2)-MONTH($F34)) / 12),
  0)</f>
        <v>8000</v>
      </c>
      <c r="BQ34" s="28"/>
    </row>
    <row r="35" ht="15.75" customHeight="1">
      <c r="A35" s="301">
        <v>31.0</v>
      </c>
      <c r="B35" s="285" t="s">
        <v>342</v>
      </c>
      <c r="C35" s="24" t="s">
        <v>148</v>
      </c>
      <c r="D35" s="301" t="s">
        <v>329</v>
      </c>
      <c r="E35" s="292" t="s">
        <v>344</v>
      </c>
      <c r="F35" s="286">
        <v>47119.0</v>
      </c>
      <c r="G35" s="303"/>
      <c r="H35" s="288">
        <v>6500.0</v>
      </c>
      <c r="I35" s="294">
        <f>IF(AND($F35&lt;=I$2, OR($G35="",$G35&gt;=I$2)),
  $H35 * (1 + Assumptions!$C$7) ^ INT(((YEAR(I$2)-YEAR($F35))*12 + MONTH(I$2)-MONTH($F35)) / 12),
  0)</f>
        <v>0</v>
      </c>
      <c r="J35" s="294">
        <f>IF(AND($F35&lt;=J$2, OR($G35="",$G35&gt;=J$2)),
  $H35 * (1 + Assumptions!$C$7) ^ INT(((YEAR(J$2)-YEAR($F35))*12 + MONTH(J$2)-MONTH($F35)) / 12),
  0)</f>
        <v>0</v>
      </c>
      <c r="K35" s="294">
        <f>IF(AND($F35&lt;=K$2, OR($G35="",$G35&gt;=K$2)),
  $H35 * (1 + Assumptions!$C$7) ^ INT(((YEAR(K$2)-YEAR($F35))*12 + MONTH(K$2)-MONTH($F35)) / 12),
  0)</f>
        <v>0</v>
      </c>
      <c r="L35" s="294">
        <f>IF(AND($F35&lt;=L$2, OR($G35="",$G35&gt;=L$2)),
  $H35 * (1 + Assumptions!$C$7) ^ INT(((YEAR(L$2)-YEAR($F35))*12 + MONTH(L$2)-MONTH($F35)) / 12),
  0)</f>
        <v>0</v>
      </c>
      <c r="M35" s="294">
        <f>IF(AND($F35&lt;=M$2, OR($G35="",$G35&gt;=M$2)),
  $H35 * (1 + Assumptions!$C$7) ^ INT(((YEAR(M$2)-YEAR($F35))*12 + MONTH(M$2)-MONTH($F35)) / 12),
  0)</f>
        <v>0</v>
      </c>
      <c r="N35" s="294">
        <f>IF(AND($F35&lt;=N$2, OR($G35="",$G35&gt;=N$2)),
  $H35 * (1 + Assumptions!$C$7) ^ INT(((YEAR(N$2)-YEAR($F35))*12 + MONTH(N$2)-MONTH($F35)) / 12),
  0)</f>
        <v>0</v>
      </c>
      <c r="O35" s="294">
        <f>IF(AND($F35&lt;=O$2, OR($G35="",$G35&gt;=O$2)),
  $H35 * (1 + Assumptions!$C$7) ^ INT(((YEAR(O$2)-YEAR($F35))*12 + MONTH(O$2)-MONTH($F35)) / 12),
  0)</f>
        <v>0</v>
      </c>
      <c r="P35" s="294">
        <f>IF(AND($F35&lt;=P$2, OR($G35="",$G35&gt;=P$2)),
  $H35 * (1 + Assumptions!$C$7) ^ INT(((YEAR(P$2)-YEAR($F35))*12 + MONTH(P$2)-MONTH($F35)) / 12),
  0)</f>
        <v>0</v>
      </c>
      <c r="Q35" s="294">
        <f>IF(AND($F35&lt;=Q$2, OR($G35="",$G35&gt;=Q$2)),
  $H35 * (1 + Assumptions!$C$7) ^ INT(((YEAR(Q$2)-YEAR($F35))*12 + MONTH(Q$2)-MONTH($F35)) / 12),
  0)</f>
        <v>0</v>
      </c>
      <c r="R35" s="294">
        <f>IF(AND($F35&lt;=R$2, OR($G35="",$G35&gt;=R$2)),
  $H35 * (1 + Assumptions!$C$7) ^ INT(((YEAR(R$2)-YEAR($F35))*12 + MONTH(R$2)-MONTH($F35)) / 12),
  0)</f>
        <v>0</v>
      </c>
      <c r="S35" s="294">
        <f>IF(AND($F35&lt;=S$2, OR($G35="",$G35&gt;=S$2)),
  $H35 * (1 + Assumptions!$C$7) ^ INT(((YEAR(S$2)-YEAR($F35))*12 + MONTH(S$2)-MONTH($F35)) / 12),
  0)</f>
        <v>0</v>
      </c>
      <c r="T35" s="294">
        <f>IF(AND($F35&lt;=T$2, OR($G35="",$G35&gt;=T$2)),
  $H35 * (1 + Assumptions!$C$7) ^ INT(((YEAR(T$2)-YEAR($F35))*12 + MONTH(T$2)-MONTH($F35)) / 12),
  0)</f>
        <v>0</v>
      </c>
      <c r="U35" s="294">
        <f>IF(AND($F35&lt;=U$2, OR($G35="",$G35&gt;=U$2)),
  $H35 * (1 + Assumptions!$C$7) ^ INT(((YEAR(U$2)-YEAR($F35))*12 + MONTH(U$2)-MONTH($F35)) / 12),
  0)</f>
        <v>0</v>
      </c>
      <c r="V35" s="294">
        <f>IF(AND($F35&lt;=V$2, OR($G35="",$G35&gt;=V$2)),
  $H35 * (1 + Assumptions!$C$7) ^ INT(((YEAR(V$2)-YEAR($F35))*12 + MONTH(V$2)-MONTH($F35)) / 12),
  0)</f>
        <v>0</v>
      </c>
      <c r="W35" s="294">
        <f>IF(AND($F35&lt;=W$2, OR($G35="",$G35&gt;=W$2)),
  $H35 * (1 + Assumptions!$C$7) ^ INT(((YEAR(W$2)-YEAR($F35))*12 + MONTH(W$2)-MONTH($F35)) / 12),
  0)</f>
        <v>0</v>
      </c>
      <c r="X35" s="294">
        <f>IF(AND($F35&lt;=X$2, OR($G35="",$G35&gt;=X$2)),
  $H35 * (1 + Assumptions!$C$7) ^ INT(((YEAR(X$2)-YEAR($F35))*12 + MONTH(X$2)-MONTH($F35)) / 12),
  0)</f>
        <v>0</v>
      </c>
      <c r="Y35" s="294">
        <f>IF(AND($F35&lt;=Y$2, OR($G35="",$G35&gt;=Y$2)),
  $H35 * (1 + Assumptions!$C$7) ^ INT(((YEAR(Y$2)-YEAR($F35))*12 + MONTH(Y$2)-MONTH($F35)) / 12),
  0)</f>
        <v>0</v>
      </c>
      <c r="Z35" s="294">
        <f>IF(AND($F35&lt;=Z$2, OR($G35="",$G35&gt;=Z$2)),
  $H35 * (1 + Assumptions!$C$7) ^ INT(((YEAR(Z$2)-YEAR($F35))*12 + MONTH(Z$2)-MONTH($F35)) / 12),
  0)</f>
        <v>0</v>
      </c>
      <c r="AA35" s="294">
        <f>IF(AND($F35&lt;=AA$2, OR($G35="",$G35&gt;=AA$2)),
  $H35 * (1 + Assumptions!$C$7) ^ INT(((YEAR(AA$2)-YEAR($F35))*12 + MONTH(AA$2)-MONTH($F35)) / 12),
  0)</f>
        <v>0</v>
      </c>
      <c r="AB35" s="294">
        <f>IF(AND($F35&lt;=AB$2, OR($G35="",$G35&gt;=AB$2)),
  $H35 * (1 + Assumptions!$C$7) ^ INT(((YEAR(AB$2)-YEAR($F35))*12 + MONTH(AB$2)-MONTH($F35)) / 12),
  0)</f>
        <v>0</v>
      </c>
      <c r="AC35" s="294">
        <f>IF(AND($F35&lt;=AC$2, OR($G35="",$G35&gt;=AC$2)),
  $H35 * (1 + Assumptions!$C$7) ^ INT(((YEAR(AC$2)-YEAR($F35))*12 + MONTH(AC$2)-MONTH($F35)) / 12),
  0)</f>
        <v>0</v>
      </c>
      <c r="AD35" s="294">
        <f>IF(AND($F35&lt;=AD$2, OR($G35="",$G35&gt;=AD$2)),
  $H35 * (1 + Assumptions!$C$7) ^ INT(((YEAR(AD$2)-YEAR($F35))*12 + MONTH(AD$2)-MONTH($F35)) / 12),
  0)</f>
        <v>0</v>
      </c>
      <c r="AE35" s="294">
        <f>IF(AND($F35&lt;=AE$2, OR($G35="",$G35&gt;=AE$2)),
  $H35 * (1 + Assumptions!$C$7) ^ INT(((YEAR(AE$2)-YEAR($F35))*12 + MONTH(AE$2)-MONTH($F35)) / 12),
  0)</f>
        <v>0</v>
      </c>
      <c r="AF35" s="294">
        <f>IF(AND($F35&lt;=AF$2, OR($G35="",$G35&gt;=AF$2)),
  $H35 * (1 + Assumptions!$C$7) ^ INT(((YEAR(AF$2)-YEAR($F35))*12 + MONTH(AF$2)-MONTH($F35)) / 12),
  0)</f>
        <v>0</v>
      </c>
      <c r="AG35" s="294">
        <f>IF(AND($F35&lt;=AG$2, OR($G35="",$G35&gt;=AG$2)),
  $H35 * (1 + Assumptions!$C$7) ^ INT(((YEAR(AG$2)-YEAR($F35))*12 + MONTH(AG$2)-MONTH($F35)) / 12),
  0)</f>
        <v>0</v>
      </c>
      <c r="AH35" s="294">
        <f>IF(AND($F35&lt;=AH$2, OR($G35="",$G35&gt;=AH$2)),
  $H35 * (1 + Assumptions!$C$7) ^ INT(((YEAR(AH$2)-YEAR($F35))*12 + MONTH(AH$2)-MONTH($F35)) / 12),
  0)</f>
        <v>0</v>
      </c>
      <c r="AI35" s="294">
        <f>IF(AND($F35&lt;=AI$2, OR($G35="",$G35&gt;=AI$2)),
  $H35 * (1 + Assumptions!$C$7) ^ INT(((YEAR(AI$2)-YEAR($F35))*12 + MONTH(AI$2)-MONTH($F35)) / 12),
  0)</f>
        <v>0</v>
      </c>
      <c r="AJ35" s="294">
        <f>IF(AND($F35&lt;=AJ$2, OR($G35="",$G35&gt;=AJ$2)),
  $H35 * (1 + Assumptions!$C$7) ^ INT(((YEAR(AJ$2)-YEAR($F35))*12 + MONTH(AJ$2)-MONTH($F35)) / 12),
  0)</f>
        <v>0</v>
      </c>
      <c r="AK35" s="294">
        <f>IF(AND($F35&lt;=AK$2, OR($G35="",$G35&gt;=AK$2)),
  $H35 * (1 + Assumptions!$C$7) ^ INT(((YEAR(AK$2)-YEAR($F35))*12 + MONTH(AK$2)-MONTH($F35)) / 12),
  0)</f>
        <v>0</v>
      </c>
      <c r="AL35" s="294">
        <f>IF(AND($F35&lt;=AL$2, OR($G35="",$G35&gt;=AL$2)),
  $H35 * (1 + Assumptions!$C$7) ^ INT(((YEAR(AL$2)-YEAR($F35))*12 + MONTH(AL$2)-MONTH($F35)) / 12),
  0)</f>
        <v>0</v>
      </c>
      <c r="AM35" s="294">
        <f>IF(AND($F35&lt;=AM$2, OR($G35="",$G35&gt;=AM$2)),
  $H35 * (1 + Assumptions!$C$7) ^ INT(((YEAR(AM$2)-YEAR($F35))*12 + MONTH(AM$2)-MONTH($F35)) / 12),
  0)</f>
        <v>0</v>
      </c>
      <c r="AN35" s="294">
        <f>IF(AND($F35&lt;=AN$2, OR($G35="",$G35&gt;=AN$2)),
  $H35 * (1 + Assumptions!$C$7) ^ INT(((YEAR(AN$2)-YEAR($F35))*12 + MONTH(AN$2)-MONTH($F35)) / 12),
  0)</f>
        <v>0</v>
      </c>
      <c r="AO35" s="294">
        <f>IF(AND($F35&lt;=AO$2, OR($G35="",$G35&gt;=AO$2)),
  $H35 * (1 + Assumptions!$C$7) ^ INT(((YEAR(AO$2)-YEAR($F35))*12 + MONTH(AO$2)-MONTH($F35)) / 12),
  0)</f>
        <v>0</v>
      </c>
      <c r="AP35" s="294">
        <f>IF(AND($F35&lt;=AP$2, OR($G35="",$G35&gt;=AP$2)),
  $H35 * (1 + Assumptions!$C$7) ^ INT(((YEAR(AP$2)-YEAR($F35))*12 + MONTH(AP$2)-MONTH($F35)) / 12),
  0)</f>
        <v>0</v>
      </c>
      <c r="AQ35" s="294">
        <f>IF(AND($F35&lt;=AQ$2, OR($G35="",$G35&gt;=AQ$2)),
  $H35 * (1 + Assumptions!$C$7) ^ INT(((YEAR(AQ$2)-YEAR($F35))*12 + MONTH(AQ$2)-MONTH($F35)) / 12),
  0)</f>
        <v>0</v>
      </c>
      <c r="AR35" s="294">
        <f>IF(AND($F35&lt;=AR$2, OR($G35="",$G35&gt;=AR$2)),
  $H35 * (1 + Assumptions!$C$7) ^ INT(((YEAR(AR$2)-YEAR($F35))*12 + MONTH(AR$2)-MONTH($F35)) / 12),
  0)</f>
        <v>0</v>
      </c>
      <c r="AS35" s="294">
        <f>IF(AND($F35&lt;=AS$2, OR($G35="",$G35&gt;=AS$2)),
  $H35 * (1 + Assumptions!$C$7) ^ INT(((YEAR(AS$2)-YEAR($F35))*12 + MONTH(AS$2)-MONTH($F35)) / 12),
  0)</f>
        <v>0</v>
      </c>
      <c r="AT35" s="294">
        <f>IF(AND($F35&lt;=AT$2, OR($G35="",$G35&gt;=AT$2)),
  $H35 * (1 + Assumptions!$C$7) ^ INT(((YEAR(AT$2)-YEAR($F35))*12 + MONTH(AT$2)-MONTH($F35)) / 12),
  0)</f>
        <v>0</v>
      </c>
      <c r="AU35" s="294">
        <f>IF(AND($F35&lt;=AU$2, OR($G35="",$G35&gt;=AU$2)),
  $H35 * (1 + Assumptions!$C$7) ^ INT(((YEAR(AU$2)-YEAR($F35))*12 + MONTH(AU$2)-MONTH($F35)) / 12),
  0)</f>
        <v>0</v>
      </c>
      <c r="AV35" s="294">
        <f>IF(AND($F35&lt;=AV$2, OR($G35="",$G35&gt;=AV$2)),
  $H35 * (1 + Assumptions!$C$7) ^ INT(((YEAR(AV$2)-YEAR($F35))*12 + MONTH(AV$2)-MONTH($F35)) / 12),
  0)</f>
        <v>0</v>
      </c>
      <c r="AW35" s="294">
        <f>IF(AND($F35&lt;=AW$2, OR($G35="",$G35&gt;=AW$2)),
  $H35 * (1 + Assumptions!$C$7) ^ INT(((YEAR(AW$2)-YEAR($F35))*12 + MONTH(AW$2)-MONTH($F35)) / 12),
  0)</f>
        <v>0</v>
      </c>
      <c r="AX35" s="294">
        <f>IF(AND($F35&lt;=AX$2, OR($G35="",$G35&gt;=AX$2)),
  $H35 * (1 + Assumptions!$C$7) ^ INT(((YEAR(AX$2)-YEAR($F35))*12 + MONTH(AX$2)-MONTH($F35)) / 12),
  0)</f>
        <v>0</v>
      </c>
      <c r="AY35" s="294">
        <f>IF(AND($F35&lt;=AY$2, OR($G35="",$G35&gt;=AY$2)),
  $H35 * (1 + Assumptions!$C$7) ^ INT(((YEAR(AY$2)-YEAR($F35))*12 + MONTH(AY$2)-MONTH($F35)) / 12),
  0)</f>
        <v>0</v>
      </c>
      <c r="AZ35" s="294">
        <f>IF(AND($F35&lt;=AZ$2, OR($G35="",$G35&gt;=AZ$2)),
  $H35 * (1 + Assumptions!$C$7) ^ INT(((YEAR(AZ$2)-YEAR($F35))*12 + MONTH(AZ$2)-MONTH($F35)) / 12),
  0)</f>
        <v>0</v>
      </c>
      <c r="BA35" s="294">
        <f>IF(AND($F35&lt;=BA$2, OR($G35="",$G35&gt;=BA$2)),
  $H35 * (1 + Assumptions!$C$7) ^ INT(((YEAR(BA$2)-YEAR($F35))*12 + MONTH(BA$2)-MONTH($F35)) / 12),
  0)</f>
        <v>0</v>
      </c>
      <c r="BB35" s="294">
        <f>IF(AND($F35&lt;=BB$2, OR($G35="",$G35&gt;=BB$2)),
  $H35 * (1 + Assumptions!$C$7) ^ INT(((YEAR(BB$2)-YEAR($F35))*12 + MONTH(BB$2)-MONTH($F35)) / 12),
  0)</f>
        <v>0</v>
      </c>
      <c r="BC35" s="294">
        <f>IF(AND($F35&lt;=BC$2, OR($G35="",$G35&gt;=BC$2)),
  $H35 * (1 + Assumptions!$C$7) ^ INT(((YEAR(BC$2)-YEAR($F35))*12 + MONTH(BC$2)-MONTH($F35)) / 12),
  0)</f>
        <v>0</v>
      </c>
      <c r="BD35" s="294">
        <f>IF(AND($F35&lt;=BD$2, OR($G35="",$G35&gt;=BD$2)),
  $H35 * (1 + Assumptions!$C$7) ^ INT(((YEAR(BD$2)-YEAR($F35))*12 + MONTH(BD$2)-MONTH($F35)) / 12),
  0)</f>
        <v>0</v>
      </c>
      <c r="BE35" s="294">
        <f>IF(AND($F35&lt;=BE$2, OR($G35="",$G35&gt;=BE$2)),
  $H35 * (1 + Assumptions!$C$7) ^ INT(((YEAR(BE$2)-YEAR($F35))*12 + MONTH(BE$2)-MONTH($F35)) / 12),
  0)</f>
        <v>6500</v>
      </c>
      <c r="BF35" s="294">
        <f>IF(AND($F35&lt;=BF$2, OR($G35="",$G35&gt;=BF$2)),
  $H35 * (1 + Assumptions!$C$7) ^ INT(((YEAR(BF$2)-YEAR($F35))*12 + MONTH(BF$2)-MONTH($F35)) / 12),
  0)</f>
        <v>6500</v>
      </c>
      <c r="BG35" s="294">
        <f>IF(AND($F35&lt;=BG$2, OR($G35="",$G35&gt;=BG$2)),
  $H35 * (1 + Assumptions!$C$7) ^ INT(((YEAR(BG$2)-YEAR($F35))*12 + MONTH(BG$2)-MONTH($F35)) / 12),
  0)</f>
        <v>6500</v>
      </c>
      <c r="BH35" s="294">
        <f>IF(AND($F35&lt;=BH$2, OR($G35="",$G35&gt;=BH$2)),
  $H35 * (1 + Assumptions!$C$7) ^ INT(((YEAR(BH$2)-YEAR($F35))*12 + MONTH(BH$2)-MONTH($F35)) / 12),
  0)</f>
        <v>6500</v>
      </c>
      <c r="BI35" s="294">
        <f>IF(AND($F35&lt;=BI$2, OR($G35="",$G35&gt;=BI$2)),
  $H35 * (1 + Assumptions!$C$7) ^ INT(((YEAR(BI$2)-YEAR($F35))*12 + MONTH(BI$2)-MONTH($F35)) / 12),
  0)</f>
        <v>6500</v>
      </c>
      <c r="BJ35" s="294">
        <f>IF(AND($F35&lt;=BJ$2, OR($G35="",$G35&gt;=BJ$2)),
  $H35 * (1 + Assumptions!$C$7) ^ INT(((YEAR(BJ$2)-YEAR($F35))*12 + MONTH(BJ$2)-MONTH($F35)) / 12),
  0)</f>
        <v>6500</v>
      </c>
      <c r="BK35" s="294">
        <f>IF(AND($F35&lt;=BK$2, OR($G35="",$G35&gt;=BK$2)),
  $H35 * (1 + Assumptions!$C$7) ^ INT(((YEAR(BK$2)-YEAR($F35))*12 + MONTH(BK$2)-MONTH($F35)) / 12),
  0)</f>
        <v>6500</v>
      </c>
      <c r="BL35" s="294">
        <f>IF(AND($F35&lt;=BL$2, OR($G35="",$G35&gt;=BL$2)),
  $H35 * (1 + Assumptions!$C$7) ^ INT(((YEAR(BL$2)-YEAR($F35))*12 + MONTH(BL$2)-MONTH($F35)) / 12),
  0)</f>
        <v>6500</v>
      </c>
      <c r="BM35" s="294">
        <f>IF(AND($F35&lt;=BM$2, OR($G35="",$G35&gt;=BM$2)),
  $H35 * (1 + Assumptions!$C$7) ^ INT(((YEAR(BM$2)-YEAR($F35))*12 + MONTH(BM$2)-MONTH($F35)) / 12),
  0)</f>
        <v>6500</v>
      </c>
      <c r="BN35" s="294">
        <f>IF(AND($F35&lt;=BN$2, OR($G35="",$G35&gt;=BN$2)),
  $H35 * (1 + Assumptions!$C$7) ^ INT(((YEAR(BN$2)-YEAR($F35))*12 + MONTH(BN$2)-MONTH($F35)) / 12),
  0)</f>
        <v>6500</v>
      </c>
      <c r="BO35" s="294">
        <f>IF(AND($F35&lt;=BO$2, OR($G35="",$G35&gt;=BO$2)),
  $H35 * (1 + Assumptions!$C$7) ^ INT(((YEAR(BO$2)-YEAR($F35))*12 + MONTH(BO$2)-MONTH($F35)) / 12),
  0)</f>
        <v>6500</v>
      </c>
      <c r="BP35" s="294">
        <f>IF(AND($F35&lt;=BP$2, OR($G35="",$G35&gt;=BP$2)),
  $H35 * (1 + Assumptions!$C$7) ^ INT(((YEAR(BP$2)-YEAR($F35))*12 + MONTH(BP$2)-MONTH($F35)) / 12),
  0)</f>
        <v>6500</v>
      </c>
      <c r="BQ35" s="28"/>
    </row>
    <row r="36" ht="15.75" customHeight="1">
      <c r="A36" s="301">
        <v>32.0</v>
      </c>
      <c r="B36" s="285" t="s">
        <v>342</v>
      </c>
      <c r="C36" s="24" t="s">
        <v>145</v>
      </c>
      <c r="D36" s="301" t="s">
        <v>347</v>
      </c>
      <c r="E36" s="292" t="s">
        <v>344</v>
      </c>
      <c r="F36" s="286">
        <v>47270.0</v>
      </c>
      <c r="G36" s="303"/>
      <c r="H36" s="288">
        <v>7500.0</v>
      </c>
      <c r="I36" s="294">
        <f>IF(AND($F36&lt;=I$2, OR($G36="",$G36&gt;=I$2)),
  $H36 * (1 + Assumptions!$C$7) ^ INT(((YEAR(I$2)-YEAR($F36))*12 + MONTH(I$2)-MONTH($F36)) / 12),
  0)</f>
        <v>0</v>
      </c>
      <c r="J36" s="294">
        <f>IF(AND($F36&lt;=J$2, OR($G36="",$G36&gt;=J$2)),
  $H36 * (1 + Assumptions!$C$7) ^ INT(((YEAR(J$2)-YEAR($F36))*12 + MONTH(J$2)-MONTH($F36)) / 12),
  0)</f>
        <v>0</v>
      </c>
      <c r="K36" s="294">
        <f>IF(AND($F36&lt;=K$2, OR($G36="",$G36&gt;=K$2)),
  $H36 * (1 + Assumptions!$C$7) ^ INT(((YEAR(K$2)-YEAR($F36))*12 + MONTH(K$2)-MONTH($F36)) / 12),
  0)</f>
        <v>0</v>
      </c>
      <c r="L36" s="294">
        <f>IF(AND($F36&lt;=L$2, OR($G36="",$G36&gt;=L$2)),
  $H36 * (1 + Assumptions!$C$7) ^ INT(((YEAR(L$2)-YEAR($F36))*12 + MONTH(L$2)-MONTH($F36)) / 12),
  0)</f>
        <v>0</v>
      </c>
      <c r="M36" s="294">
        <f>IF(AND($F36&lt;=M$2, OR($G36="",$G36&gt;=M$2)),
  $H36 * (1 + Assumptions!$C$7) ^ INT(((YEAR(M$2)-YEAR($F36))*12 + MONTH(M$2)-MONTH($F36)) / 12),
  0)</f>
        <v>0</v>
      </c>
      <c r="N36" s="294">
        <f>IF(AND($F36&lt;=N$2, OR($G36="",$G36&gt;=N$2)),
  $H36 * (1 + Assumptions!$C$7) ^ INT(((YEAR(N$2)-YEAR($F36))*12 + MONTH(N$2)-MONTH($F36)) / 12),
  0)</f>
        <v>0</v>
      </c>
      <c r="O36" s="294">
        <f>IF(AND($F36&lt;=O$2, OR($G36="",$G36&gt;=O$2)),
  $H36 * (1 + Assumptions!$C$7) ^ INT(((YEAR(O$2)-YEAR($F36))*12 + MONTH(O$2)-MONTH($F36)) / 12),
  0)</f>
        <v>0</v>
      </c>
      <c r="P36" s="294">
        <f>IF(AND($F36&lt;=P$2, OR($G36="",$G36&gt;=P$2)),
  $H36 * (1 + Assumptions!$C$7) ^ INT(((YEAR(P$2)-YEAR($F36))*12 + MONTH(P$2)-MONTH($F36)) / 12),
  0)</f>
        <v>0</v>
      </c>
      <c r="Q36" s="294">
        <f>IF(AND($F36&lt;=Q$2, OR($G36="",$G36&gt;=Q$2)),
  $H36 * (1 + Assumptions!$C$7) ^ INT(((YEAR(Q$2)-YEAR($F36))*12 + MONTH(Q$2)-MONTH($F36)) / 12),
  0)</f>
        <v>0</v>
      </c>
      <c r="R36" s="294">
        <f>IF(AND($F36&lt;=R$2, OR($G36="",$G36&gt;=R$2)),
  $H36 * (1 + Assumptions!$C$7) ^ INT(((YEAR(R$2)-YEAR($F36))*12 + MONTH(R$2)-MONTH($F36)) / 12),
  0)</f>
        <v>0</v>
      </c>
      <c r="S36" s="294">
        <f>IF(AND($F36&lt;=S$2, OR($G36="",$G36&gt;=S$2)),
  $H36 * (1 + Assumptions!$C$7) ^ INT(((YEAR(S$2)-YEAR($F36))*12 + MONTH(S$2)-MONTH($F36)) / 12),
  0)</f>
        <v>0</v>
      </c>
      <c r="T36" s="294">
        <f>IF(AND($F36&lt;=T$2, OR($G36="",$G36&gt;=T$2)),
  $H36 * (1 + Assumptions!$C$7) ^ INT(((YEAR(T$2)-YEAR($F36))*12 + MONTH(T$2)-MONTH($F36)) / 12),
  0)</f>
        <v>0</v>
      </c>
      <c r="U36" s="294">
        <f>IF(AND($F36&lt;=U$2, OR($G36="",$G36&gt;=U$2)),
  $H36 * (1 + Assumptions!$C$7) ^ INT(((YEAR(U$2)-YEAR($F36))*12 + MONTH(U$2)-MONTH($F36)) / 12),
  0)</f>
        <v>0</v>
      </c>
      <c r="V36" s="294">
        <f>IF(AND($F36&lt;=V$2, OR($G36="",$G36&gt;=V$2)),
  $H36 * (1 + Assumptions!$C$7) ^ INT(((YEAR(V$2)-YEAR($F36))*12 + MONTH(V$2)-MONTH($F36)) / 12),
  0)</f>
        <v>0</v>
      </c>
      <c r="W36" s="294">
        <f>IF(AND($F36&lt;=W$2, OR($G36="",$G36&gt;=W$2)),
  $H36 * (1 + Assumptions!$C$7) ^ INT(((YEAR(W$2)-YEAR($F36))*12 + MONTH(W$2)-MONTH($F36)) / 12),
  0)</f>
        <v>0</v>
      </c>
      <c r="X36" s="294">
        <f>IF(AND($F36&lt;=X$2, OR($G36="",$G36&gt;=X$2)),
  $H36 * (1 + Assumptions!$C$7) ^ INT(((YEAR(X$2)-YEAR($F36))*12 + MONTH(X$2)-MONTH($F36)) / 12),
  0)</f>
        <v>0</v>
      </c>
      <c r="Y36" s="294">
        <f>IF(AND($F36&lt;=Y$2, OR($G36="",$G36&gt;=Y$2)),
  $H36 * (1 + Assumptions!$C$7) ^ INT(((YEAR(Y$2)-YEAR($F36))*12 + MONTH(Y$2)-MONTH($F36)) / 12),
  0)</f>
        <v>0</v>
      </c>
      <c r="Z36" s="294">
        <f>IF(AND($F36&lt;=Z$2, OR($G36="",$G36&gt;=Z$2)),
  $H36 * (1 + Assumptions!$C$7) ^ INT(((YEAR(Z$2)-YEAR($F36))*12 + MONTH(Z$2)-MONTH($F36)) / 12),
  0)</f>
        <v>0</v>
      </c>
      <c r="AA36" s="294">
        <f>IF(AND($F36&lt;=AA$2, OR($G36="",$G36&gt;=AA$2)),
  $H36 * (1 + Assumptions!$C$7) ^ INT(((YEAR(AA$2)-YEAR($F36))*12 + MONTH(AA$2)-MONTH($F36)) / 12),
  0)</f>
        <v>0</v>
      </c>
      <c r="AB36" s="294">
        <f>IF(AND($F36&lt;=AB$2, OR($G36="",$G36&gt;=AB$2)),
  $H36 * (1 + Assumptions!$C$7) ^ INT(((YEAR(AB$2)-YEAR($F36))*12 + MONTH(AB$2)-MONTH($F36)) / 12),
  0)</f>
        <v>0</v>
      </c>
      <c r="AC36" s="294">
        <f>IF(AND($F36&lt;=AC$2, OR($G36="",$G36&gt;=AC$2)),
  $H36 * (1 + Assumptions!$C$7) ^ INT(((YEAR(AC$2)-YEAR($F36))*12 + MONTH(AC$2)-MONTH($F36)) / 12),
  0)</f>
        <v>0</v>
      </c>
      <c r="AD36" s="294">
        <f>IF(AND($F36&lt;=AD$2, OR($G36="",$G36&gt;=AD$2)),
  $H36 * (1 + Assumptions!$C$7) ^ INT(((YEAR(AD$2)-YEAR($F36))*12 + MONTH(AD$2)-MONTH($F36)) / 12),
  0)</f>
        <v>0</v>
      </c>
      <c r="AE36" s="294">
        <f>IF(AND($F36&lt;=AE$2, OR($G36="",$G36&gt;=AE$2)),
  $H36 * (1 + Assumptions!$C$7) ^ INT(((YEAR(AE$2)-YEAR($F36))*12 + MONTH(AE$2)-MONTH($F36)) / 12),
  0)</f>
        <v>0</v>
      </c>
      <c r="AF36" s="294">
        <f>IF(AND($F36&lt;=AF$2, OR($G36="",$G36&gt;=AF$2)),
  $H36 * (1 + Assumptions!$C$7) ^ INT(((YEAR(AF$2)-YEAR($F36))*12 + MONTH(AF$2)-MONTH($F36)) / 12),
  0)</f>
        <v>0</v>
      </c>
      <c r="AG36" s="294">
        <f>IF(AND($F36&lt;=AG$2, OR($G36="",$G36&gt;=AG$2)),
  $H36 * (1 + Assumptions!$C$7) ^ INT(((YEAR(AG$2)-YEAR($F36))*12 + MONTH(AG$2)-MONTH($F36)) / 12),
  0)</f>
        <v>0</v>
      </c>
      <c r="AH36" s="294">
        <f>IF(AND($F36&lt;=AH$2, OR($G36="",$G36&gt;=AH$2)),
  $H36 * (1 + Assumptions!$C$7) ^ INT(((YEAR(AH$2)-YEAR($F36))*12 + MONTH(AH$2)-MONTH($F36)) / 12),
  0)</f>
        <v>0</v>
      </c>
      <c r="AI36" s="294">
        <f>IF(AND($F36&lt;=AI$2, OR($G36="",$G36&gt;=AI$2)),
  $H36 * (1 + Assumptions!$C$7) ^ INT(((YEAR(AI$2)-YEAR($F36))*12 + MONTH(AI$2)-MONTH($F36)) / 12),
  0)</f>
        <v>0</v>
      </c>
      <c r="AJ36" s="294">
        <f>IF(AND($F36&lt;=AJ$2, OR($G36="",$G36&gt;=AJ$2)),
  $H36 * (1 + Assumptions!$C$7) ^ INT(((YEAR(AJ$2)-YEAR($F36))*12 + MONTH(AJ$2)-MONTH($F36)) / 12),
  0)</f>
        <v>0</v>
      </c>
      <c r="AK36" s="294">
        <f>IF(AND($F36&lt;=AK$2, OR($G36="",$G36&gt;=AK$2)),
  $H36 * (1 + Assumptions!$C$7) ^ INT(((YEAR(AK$2)-YEAR($F36))*12 + MONTH(AK$2)-MONTH($F36)) / 12),
  0)</f>
        <v>0</v>
      </c>
      <c r="AL36" s="294">
        <f>IF(AND($F36&lt;=AL$2, OR($G36="",$G36&gt;=AL$2)),
  $H36 * (1 + Assumptions!$C$7) ^ INT(((YEAR(AL$2)-YEAR($F36))*12 + MONTH(AL$2)-MONTH($F36)) / 12),
  0)</f>
        <v>0</v>
      </c>
      <c r="AM36" s="294">
        <f>IF(AND($F36&lt;=AM$2, OR($G36="",$G36&gt;=AM$2)),
  $H36 * (1 + Assumptions!$C$7) ^ INT(((YEAR(AM$2)-YEAR($F36))*12 + MONTH(AM$2)-MONTH($F36)) / 12),
  0)</f>
        <v>0</v>
      </c>
      <c r="AN36" s="294">
        <f>IF(AND($F36&lt;=AN$2, OR($G36="",$G36&gt;=AN$2)),
  $H36 * (1 + Assumptions!$C$7) ^ INT(((YEAR(AN$2)-YEAR($F36))*12 + MONTH(AN$2)-MONTH($F36)) / 12),
  0)</f>
        <v>0</v>
      </c>
      <c r="AO36" s="294">
        <f>IF(AND($F36&lt;=AO$2, OR($G36="",$G36&gt;=AO$2)),
  $H36 * (1 + Assumptions!$C$7) ^ INT(((YEAR(AO$2)-YEAR($F36))*12 + MONTH(AO$2)-MONTH($F36)) / 12),
  0)</f>
        <v>0</v>
      </c>
      <c r="AP36" s="294">
        <f>IF(AND($F36&lt;=AP$2, OR($G36="",$G36&gt;=AP$2)),
  $H36 * (1 + Assumptions!$C$7) ^ INT(((YEAR(AP$2)-YEAR($F36))*12 + MONTH(AP$2)-MONTH($F36)) / 12),
  0)</f>
        <v>0</v>
      </c>
      <c r="AQ36" s="294">
        <f>IF(AND($F36&lt;=AQ$2, OR($G36="",$G36&gt;=AQ$2)),
  $H36 * (1 + Assumptions!$C$7) ^ INT(((YEAR(AQ$2)-YEAR($F36))*12 + MONTH(AQ$2)-MONTH($F36)) / 12),
  0)</f>
        <v>0</v>
      </c>
      <c r="AR36" s="294">
        <f>IF(AND($F36&lt;=AR$2, OR($G36="",$G36&gt;=AR$2)),
  $H36 * (1 + Assumptions!$C$7) ^ INT(((YEAR(AR$2)-YEAR($F36))*12 + MONTH(AR$2)-MONTH($F36)) / 12),
  0)</f>
        <v>0</v>
      </c>
      <c r="AS36" s="294">
        <f>IF(AND($F36&lt;=AS$2, OR($G36="",$G36&gt;=AS$2)),
  $H36 * (1 + Assumptions!$C$7) ^ INT(((YEAR(AS$2)-YEAR($F36))*12 + MONTH(AS$2)-MONTH($F36)) / 12),
  0)</f>
        <v>0</v>
      </c>
      <c r="AT36" s="294">
        <f>IF(AND($F36&lt;=AT$2, OR($G36="",$G36&gt;=AT$2)),
  $H36 * (1 + Assumptions!$C$7) ^ INT(((YEAR(AT$2)-YEAR($F36))*12 + MONTH(AT$2)-MONTH($F36)) / 12),
  0)</f>
        <v>0</v>
      </c>
      <c r="AU36" s="294">
        <f>IF(AND($F36&lt;=AU$2, OR($G36="",$G36&gt;=AU$2)),
  $H36 * (1 + Assumptions!$C$7) ^ INT(((YEAR(AU$2)-YEAR($F36))*12 + MONTH(AU$2)-MONTH($F36)) / 12),
  0)</f>
        <v>0</v>
      </c>
      <c r="AV36" s="294">
        <f>IF(AND($F36&lt;=AV$2, OR($G36="",$G36&gt;=AV$2)),
  $H36 * (1 + Assumptions!$C$7) ^ INT(((YEAR(AV$2)-YEAR($F36))*12 + MONTH(AV$2)-MONTH($F36)) / 12),
  0)</f>
        <v>0</v>
      </c>
      <c r="AW36" s="294">
        <f>IF(AND($F36&lt;=AW$2, OR($G36="",$G36&gt;=AW$2)),
  $H36 * (1 + Assumptions!$C$7) ^ INT(((YEAR(AW$2)-YEAR($F36))*12 + MONTH(AW$2)-MONTH($F36)) / 12),
  0)</f>
        <v>0</v>
      </c>
      <c r="AX36" s="294">
        <f>IF(AND($F36&lt;=AX$2, OR($G36="",$G36&gt;=AX$2)),
  $H36 * (1 + Assumptions!$C$7) ^ INT(((YEAR(AX$2)-YEAR($F36))*12 + MONTH(AX$2)-MONTH($F36)) / 12),
  0)</f>
        <v>0</v>
      </c>
      <c r="AY36" s="294">
        <f>IF(AND($F36&lt;=AY$2, OR($G36="",$G36&gt;=AY$2)),
  $H36 * (1 + Assumptions!$C$7) ^ INT(((YEAR(AY$2)-YEAR($F36))*12 + MONTH(AY$2)-MONTH($F36)) / 12),
  0)</f>
        <v>0</v>
      </c>
      <c r="AZ36" s="294">
        <f>IF(AND($F36&lt;=AZ$2, OR($G36="",$G36&gt;=AZ$2)),
  $H36 * (1 + Assumptions!$C$7) ^ INT(((YEAR(AZ$2)-YEAR($F36))*12 + MONTH(AZ$2)-MONTH($F36)) / 12),
  0)</f>
        <v>0</v>
      </c>
      <c r="BA36" s="294">
        <f>IF(AND($F36&lt;=BA$2, OR($G36="",$G36&gt;=BA$2)),
  $H36 * (1 + Assumptions!$C$7) ^ INT(((YEAR(BA$2)-YEAR($F36))*12 + MONTH(BA$2)-MONTH($F36)) / 12),
  0)</f>
        <v>0</v>
      </c>
      <c r="BB36" s="294">
        <f>IF(AND($F36&lt;=BB$2, OR($G36="",$G36&gt;=BB$2)),
  $H36 * (1 + Assumptions!$C$7) ^ INT(((YEAR(BB$2)-YEAR($F36))*12 + MONTH(BB$2)-MONTH($F36)) / 12),
  0)</f>
        <v>0</v>
      </c>
      <c r="BC36" s="294">
        <f>IF(AND($F36&lt;=BC$2, OR($G36="",$G36&gt;=BC$2)),
  $H36 * (1 + Assumptions!$C$7) ^ INT(((YEAR(BC$2)-YEAR($F36))*12 + MONTH(BC$2)-MONTH($F36)) / 12),
  0)</f>
        <v>0</v>
      </c>
      <c r="BD36" s="294">
        <f>IF(AND($F36&lt;=BD$2, OR($G36="",$G36&gt;=BD$2)),
  $H36 * (1 + Assumptions!$C$7) ^ INT(((YEAR(BD$2)-YEAR($F36))*12 + MONTH(BD$2)-MONTH($F36)) / 12),
  0)</f>
        <v>0</v>
      </c>
      <c r="BE36" s="294">
        <f>IF(AND($F36&lt;=BE$2, OR($G36="",$G36&gt;=BE$2)),
  $H36 * (1 + Assumptions!$C$7) ^ INT(((YEAR(BE$2)-YEAR($F36))*12 + MONTH(BE$2)-MONTH($F36)) / 12),
  0)</f>
        <v>0</v>
      </c>
      <c r="BF36" s="294">
        <f>IF(AND($F36&lt;=BF$2, OR($G36="",$G36&gt;=BF$2)),
  $H36 * (1 + Assumptions!$C$7) ^ INT(((YEAR(BF$2)-YEAR($F36))*12 + MONTH(BF$2)-MONTH($F36)) / 12),
  0)</f>
        <v>0</v>
      </c>
      <c r="BG36" s="294">
        <f>IF(AND($F36&lt;=BG$2, OR($G36="",$G36&gt;=BG$2)),
  $H36 * (1 + Assumptions!$C$7) ^ INT(((YEAR(BG$2)-YEAR($F36))*12 + MONTH(BG$2)-MONTH($F36)) / 12),
  0)</f>
        <v>0</v>
      </c>
      <c r="BH36" s="294">
        <f>IF(AND($F36&lt;=BH$2, OR($G36="",$G36&gt;=BH$2)),
  $H36 * (1 + Assumptions!$C$7) ^ INT(((YEAR(BH$2)-YEAR($F36))*12 + MONTH(BH$2)-MONTH($F36)) / 12),
  0)</f>
        <v>0</v>
      </c>
      <c r="BI36" s="294">
        <f>IF(AND($F36&lt;=BI$2, OR($G36="",$G36&gt;=BI$2)),
  $H36 * (1 + Assumptions!$C$7) ^ INT(((YEAR(BI$2)-YEAR($F36))*12 + MONTH(BI$2)-MONTH($F36)) / 12),
  0)</f>
        <v>0</v>
      </c>
      <c r="BJ36" s="294">
        <f>IF(AND($F36&lt;=BJ$2, OR($G36="",$G36&gt;=BJ$2)),
  $H36 * (1 + Assumptions!$C$7) ^ INT(((YEAR(BJ$2)-YEAR($F36))*12 + MONTH(BJ$2)-MONTH($F36)) / 12),
  0)</f>
        <v>7500</v>
      </c>
      <c r="BK36" s="294">
        <f>IF(AND($F36&lt;=BK$2, OR($G36="",$G36&gt;=BK$2)),
  $H36 * (1 + Assumptions!$C$7) ^ INT(((YEAR(BK$2)-YEAR($F36))*12 + MONTH(BK$2)-MONTH($F36)) / 12),
  0)</f>
        <v>7500</v>
      </c>
      <c r="BL36" s="294">
        <f>IF(AND($F36&lt;=BL$2, OR($G36="",$G36&gt;=BL$2)),
  $H36 * (1 + Assumptions!$C$7) ^ INT(((YEAR(BL$2)-YEAR($F36))*12 + MONTH(BL$2)-MONTH($F36)) / 12),
  0)</f>
        <v>7500</v>
      </c>
      <c r="BM36" s="294">
        <f>IF(AND($F36&lt;=BM$2, OR($G36="",$G36&gt;=BM$2)),
  $H36 * (1 + Assumptions!$C$7) ^ INT(((YEAR(BM$2)-YEAR($F36))*12 + MONTH(BM$2)-MONTH($F36)) / 12),
  0)</f>
        <v>7500</v>
      </c>
      <c r="BN36" s="294">
        <f>IF(AND($F36&lt;=BN$2, OR($G36="",$G36&gt;=BN$2)),
  $H36 * (1 + Assumptions!$C$7) ^ INT(((YEAR(BN$2)-YEAR($F36))*12 + MONTH(BN$2)-MONTH($F36)) / 12),
  0)</f>
        <v>7500</v>
      </c>
      <c r="BO36" s="294">
        <f>IF(AND($F36&lt;=BO$2, OR($G36="",$G36&gt;=BO$2)),
  $H36 * (1 + Assumptions!$C$7) ^ INT(((YEAR(BO$2)-YEAR($F36))*12 + MONTH(BO$2)-MONTH($F36)) / 12),
  0)</f>
        <v>7500</v>
      </c>
      <c r="BP36" s="294">
        <f>IF(AND($F36&lt;=BP$2, OR($G36="",$G36&gt;=BP$2)),
  $H36 * (1 + Assumptions!$C$7) ^ INT(((YEAR(BP$2)-YEAR($F36))*12 + MONTH(BP$2)-MONTH($F36)) / 12),
  0)</f>
        <v>7500</v>
      </c>
      <c r="BQ36" s="28"/>
    </row>
    <row r="37" ht="15.75" customHeight="1">
      <c r="A37" s="301">
        <v>33.0</v>
      </c>
      <c r="B37" s="285" t="s">
        <v>342</v>
      </c>
      <c r="C37" s="24" t="s">
        <v>145</v>
      </c>
      <c r="D37" s="301" t="s">
        <v>348</v>
      </c>
      <c r="E37" s="292" t="s">
        <v>344</v>
      </c>
      <c r="F37" s="286">
        <v>47271.0</v>
      </c>
      <c r="G37" s="303"/>
      <c r="H37" s="288">
        <v>7500.0</v>
      </c>
      <c r="I37" s="294">
        <f>IF(AND($F37&lt;=I$2, OR($G37="",$G37&gt;=I$2)),
  $H37 * (1 + Assumptions!$C$7) ^ INT(((YEAR(I$2)-YEAR($F37))*12 + MONTH(I$2)-MONTH($F37)) / 12),
  0)</f>
        <v>0</v>
      </c>
      <c r="J37" s="294">
        <f>IF(AND($F37&lt;=J$2, OR($G37="",$G37&gt;=J$2)),
  $H37 * (1 + Assumptions!$C$7) ^ INT(((YEAR(J$2)-YEAR($F37))*12 + MONTH(J$2)-MONTH($F37)) / 12),
  0)</f>
        <v>0</v>
      </c>
      <c r="K37" s="294">
        <f>IF(AND($F37&lt;=K$2, OR($G37="",$G37&gt;=K$2)),
  $H37 * (1 + Assumptions!$C$7) ^ INT(((YEAR(K$2)-YEAR($F37))*12 + MONTH(K$2)-MONTH($F37)) / 12),
  0)</f>
        <v>0</v>
      </c>
      <c r="L37" s="294">
        <f>IF(AND($F37&lt;=L$2, OR($G37="",$G37&gt;=L$2)),
  $H37 * (1 + Assumptions!$C$7) ^ INT(((YEAR(L$2)-YEAR($F37))*12 + MONTH(L$2)-MONTH($F37)) / 12),
  0)</f>
        <v>0</v>
      </c>
      <c r="M37" s="294">
        <f>IF(AND($F37&lt;=M$2, OR($G37="",$G37&gt;=M$2)),
  $H37 * (1 + Assumptions!$C$7) ^ INT(((YEAR(M$2)-YEAR($F37))*12 + MONTH(M$2)-MONTH($F37)) / 12),
  0)</f>
        <v>0</v>
      </c>
      <c r="N37" s="294">
        <f>IF(AND($F37&lt;=N$2, OR($G37="",$G37&gt;=N$2)),
  $H37 * (1 + Assumptions!$C$7) ^ INT(((YEAR(N$2)-YEAR($F37))*12 + MONTH(N$2)-MONTH($F37)) / 12),
  0)</f>
        <v>0</v>
      </c>
      <c r="O37" s="294">
        <f>IF(AND($F37&lt;=O$2, OR($G37="",$G37&gt;=O$2)),
  $H37 * (1 + Assumptions!$C$7) ^ INT(((YEAR(O$2)-YEAR($F37))*12 + MONTH(O$2)-MONTH($F37)) / 12),
  0)</f>
        <v>0</v>
      </c>
      <c r="P37" s="294">
        <f>IF(AND($F37&lt;=P$2, OR($G37="",$G37&gt;=P$2)),
  $H37 * (1 + Assumptions!$C$7) ^ INT(((YEAR(P$2)-YEAR($F37))*12 + MONTH(P$2)-MONTH($F37)) / 12),
  0)</f>
        <v>0</v>
      </c>
      <c r="Q37" s="294">
        <f>IF(AND($F37&lt;=Q$2, OR($G37="",$G37&gt;=Q$2)),
  $H37 * (1 + Assumptions!$C$7) ^ INT(((YEAR(Q$2)-YEAR($F37))*12 + MONTH(Q$2)-MONTH($F37)) / 12),
  0)</f>
        <v>0</v>
      </c>
      <c r="R37" s="294">
        <f>IF(AND($F37&lt;=R$2, OR($G37="",$G37&gt;=R$2)),
  $H37 * (1 + Assumptions!$C$7) ^ INT(((YEAR(R$2)-YEAR($F37))*12 + MONTH(R$2)-MONTH($F37)) / 12),
  0)</f>
        <v>0</v>
      </c>
      <c r="S37" s="294">
        <f>IF(AND($F37&lt;=S$2, OR($G37="",$G37&gt;=S$2)),
  $H37 * (1 + Assumptions!$C$7) ^ INT(((YEAR(S$2)-YEAR($F37))*12 + MONTH(S$2)-MONTH($F37)) / 12),
  0)</f>
        <v>0</v>
      </c>
      <c r="T37" s="294">
        <f>IF(AND($F37&lt;=T$2, OR($G37="",$G37&gt;=T$2)),
  $H37 * (1 + Assumptions!$C$7) ^ INT(((YEAR(T$2)-YEAR($F37))*12 + MONTH(T$2)-MONTH($F37)) / 12),
  0)</f>
        <v>0</v>
      </c>
      <c r="U37" s="294">
        <f>IF(AND($F37&lt;=U$2, OR($G37="",$G37&gt;=U$2)),
  $H37 * (1 + Assumptions!$C$7) ^ INT(((YEAR(U$2)-YEAR($F37))*12 + MONTH(U$2)-MONTH($F37)) / 12),
  0)</f>
        <v>0</v>
      </c>
      <c r="V37" s="294">
        <f>IF(AND($F37&lt;=V$2, OR($G37="",$G37&gt;=V$2)),
  $H37 * (1 + Assumptions!$C$7) ^ INT(((YEAR(V$2)-YEAR($F37))*12 + MONTH(V$2)-MONTH($F37)) / 12),
  0)</f>
        <v>0</v>
      </c>
      <c r="W37" s="294">
        <f>IF(AND($F37&lt;=W$2, OR($G37="",$G37&gt;=W$2)),
  $H37 * (1 + Assumptions!$C$7) ^ INT(((YEAR(W$2)-YEAR($F37))*12 + MONTH(W$2)-MONTH($F37)) / 12),
  0)</f>
        <v>0</v>
      </c>
      <c r="X37" s="294">
        <f>IF(AND($F37&lt;=X$2, OR($G37="",$G37&gt;=X$2)),
  $H37 * (1 + Assumptions!$C$7) ^ INT(((YEAR(X$2)-YEAR($F37))*12 + MONTH(X$2)-MONTH($F37)) / 12),
  0)</f>
        <v>0</v>
      </c>
      <c r="Y37" s="294">
        <f>IF(AND($F37&lt;=Y$2, OR($G37="",$G37&gt;=Y$2)),
  $H37 * (1 + Assumptions!$C$7) ^ INT(((YEAR(Y$2)-YEAR($F37))*12 + MONTH(Y$2)-MONTH($F37)) / 12),
  0)</f>
        <v>0</v>
      </c>
      <c r="Z37" s="294">
        <f>IF(AND($F37&lt;=Z$2, OR($G37="",$G37&gt;=Z$2)),
  $H37 * (1 + Assumptions!$C$7) ^ INT(((YEAR(Z$2)-YEAR($F37))*12 + MONTH(Z$2)-MONTH($F37)) / 12),
  0)</f>
        <v>0</v>
      </c>
      <c r="AA37" s="294">
        <f>IF(AND($F37&lt;=AA$2, OR($G37="",$G37&gt;=AA$2)),
  $H37 * (1 + Assumptions!$C$7) ^ INT(((YEAR(AA$2)-YEAR($F37))*12 + MONTH(AA$2)-MONTH($F37)) / 12),
  0)</f>
        <v>0</v>
      </c>
      <c r="AB37" s="294">
        <f>IF(AND($F37&lt;=AB$2, OR($G37="",$G37&gt;=AB$2)),
  $H37 * (1 + Assumptions!$C$7) ^ INT(((YEAR(AB$2)-YEAR($F37))*12 + MONTH(AB$2)-MONTH($F37)) / 12),
  0)</f>
        <v>0</v>
      </c>
      <c r="AC37" s="294">
        <f>IF(AND($F37&lt;=AC$2, OR($G37="",$G37&gt;=AC$2)),
  $H37 * (1 + Assumptions!$C$7) ^ INT(((YEAR(AC$2)-YEAR($F37))*12 + MONTH(AC$2)-MONTH($F37)) / 12),
  0)</f>
        <v>0</v>
      </c>
      <c r="AD37" s="294">
        <f>IF(AND($F37&lt;=AD$2, OR($G37="",$G37&gt;=AD$2)),
  $H37 * (1 + Assumptions!$C$7) ^ INT(((YEAR(AD$2)-YEAR($F37))*12 + MONTH(AD$2)-MONTH($F37)) / 12),
  0)</f>
        <v>0</v>
      </c>
      <c r="AE37" s="294">
        <f>IF(AND($F37&lt;=AE$2, OR($G37="",$G37&gt;=AE$2)),
  $H37 * (1 + Assumptions!$C$7) ^ INT(((YEAR(AE$2)-YEAR($F37))*12 + MONTH(AE$2)-MONTH($F37)) / 12),
  0)</f>
        <v>0</v>
      </c>
      <c r="AF37" s="294">
        <f>IF(AND($F37&lt;=AF$2, OR($G37="",$G37&gt;=AF$2)),
  $H37 * (1 + Assumptions!$C$7) ^ INT(((YEAR(AF$2)-YEAR($F37))*12 + MONTH(AF$2)-MONTH($F37)) / 12),
  0)</f>
        <v>0</v>
      </c>
      <c r="AG37" s="294">
        <f>IF(AND($F37&lt;=AG$2, OR($G37="",$G37&gt;=AG$2)),
  $H37 * (1 + Assumptions!$C$7) ^ INT(((YEAR(AG$2)-YEAR($F37))*12 + MONTH(AG$2)-MONTH($F37)) / 12),
  0)</f>
        <v>0</v>
      </c>
      <c r="AH37" s="294">
        <f>IF(AND($F37&lt;=AH$2, OR($G37="",$G37&gt;=AH$2)),
  $H37 * (1 + Assumptions!$C$7) ^ INT(((YEAR(AH$2)-YEAR($F37))*12 + MONTH(AH$2)-MONTH($F37)) / 12),
  0)</f>
        <v>0</v>
      </c>
      <c r="AI37" s="294">
        <f>IF(AND($F37&lt;=AI$2, OR($G37="",$G37&gt;=AI$2)),
  $H37 * (1 + Assumptions!$C$7) ^ INT(((YEAR(AI$2)-YEAR($F37))*12 + MONTH(AI$2)-MONTH($F37)) / 12),
  0)</f>
        <v>0</v>
      </c>
      <c r="AJ37" s="294">
        <f>IF(AND($F37&lt;=AJ$2, OR($G37="",$G37&gt;=AJ$2)),
  $H37 * (1 + Assumptions!$C$7) ^ INT(((YEAR(AJ$2)-YEAR($F37))*12 + MONTH(AJ$2)-MONTH($F37)) / 12),
  0)</f>
        <v>0</v>
      </c>
      <c r="AK37" s="294">
        <f>IF(AND($F37&lt;=AK$2, OR($G37="",$G37&gt;=AK$2)),
  $H37 * (1 + Assumptions!$C$7) ^ INT(((YEAR(AK$2)-YEAR($F37))*12 + MONTH(AK$2)-MONTH($F37)) / 12),
  0)</f>
        <v>0</v>
      </c>
      <c r="AL37" s="294">
        <f>IF(AND($F37&lt;=AL$2, OR($G37="",$G37&gt;=AL$2)),
  $H37 * (1 + Assumptions!$C$7) ^ INT(((YEAR(AL$2)-YEAR($F37))*12 + MONTH(AL$2)-MONTH($F37)) / 12),
  0)</f>
        <v>0</v>
      </c>
      <c r="AM37" s="294">
        <f>IF(AND($F37&lt;=AM$2, OR($G37="",$G37&gt;=AM$2)),
  $H37 * (1 + Assumptions!$C$7) ^ INT(((YEAR(AM$2)-YEAR($F37))*12 + MONTH(AM$2)-MONTH($F37)) / 12),
  0)</f>
        <v>0</v>
      </c>
      <c r="AN37" s="294">
        <f>IF(AND($F37&lt;=AN$2, OR($G37="",$G37&gt;=AN$2)),
  $H37 * (1 + Assumptions!$C$7) ^ INT(((YEAR(AN$2)-YEAR($F37))*12 + MONTH(AN$2)-MONTH($F37)) / 12),
  0)</f>
        <v>0</v>
      </c>
      <c r="AO37" s="294">
        <f>IF(AND($F37&lt;=AO$2, OR($G37="",$G37&gt;=AO$2)),
  $H37 * (1 + Assumptions!$C$7) ^ INT(((YEAR(AO$2)-YEAR($F37))*12 + MONTH(AO$2)-MONTH($F37)) / 12),
  0)</f>
        <v>0</v>
      </c>
      <c r="AP37" s="294">
        <f>IF(AND($F37&lt;=AP$2, OR($G37="",$G37&gt;=AP$2)),
  $H37 * (1 + Assumptions!$C$7) ^ INT(((YEAR(AP$2)-YEAR($F37))*12 + MONTH(AP$2)-MONTH($F37)) / 12),
  0)</f>
        <v>0</v>
      </c>
      <c r="AQ37" s="294">
        <f>IF(AND($F37&lt;=AQ$2, OR($G37="",$G37&gt;=AQ$2)),
  $H37 * (1 + Assumptions!$C$7) ^ INT(((YEAR(AQ$2)-YEAR($F37))*12 + MONTH(AQ$2)-MONTH($F37)) / 12),
  0)</f>
        <v>0</v>
      </c>
      <c r="AR37" s="294">
        <f>IF(AND($F37&lt;=AR$2, OR($G37="",$G37&gt;=AR$2)),
  $H37 * (1 + Assumptions!$C$7) ^ INT(((YEAR(AR$2)-YEAR($F37))*12 + MONTH(AR$2)-MONTH($F37)) / 12),
  0)</f>
        <v>0</v>
      </c>
      <c r="AS37" s="294">
        <f>IF(AND($F37&lt;=AS$2, OR($G37="",$G37&gt;=AS$2)),
  $H37 * (1 + Assumptions!$C$7) ^ INT(((YEAR(AS$2)-YEAR($F37))*12 + MONTH(AS$2)-MONTH($F37)) / 12),
  0)</f>
        <v>0</v>
      </c>
      <c r="AT37" s="294">
        <f>IF(AND($F37&lt;=AT$2, OR($G37="",$G37&gt;=AT$2)),
  $H37 * (1 + Assumptions!$C$7) ^ INT(((YEAR(AT$2)-YEAR($F37))*12 + MONTH(AT$2)-MONTH($F37)) / 12),
  0)</f>
        <v>0</v>
      </c>
      <c r="AU37" s="294">
        <f>IF(AND($F37&lt;=AU$2, OR($G37="",$G37&gt;=AU$2)),
  $H37 * (1 + Assumptions!$C$7) ^ INT(((YEAR(AU$2)-YEAR($F37))*12 + MONTH(AU$2)-MONTH($F37)) / 12),
  0)</f>
        <v>0</v>
      </c>
      <c r="AV37" s="294">
        <f>IF(AND($F37&lt;=AV$2, OR($G37="",$G37&gt;=AV$2)),
  $H37 * (1 + Assumptions!$C$7) ^ INT(((YEAR(AV$2)-YEAR($F37))*12 + MONTH(AV$2)-MONTH($F37)) / 12),
  0)</f>
        <v>0</v>
      </c>
      <c r="AW37" s="294">
        <f>IF(AND($F37&lt;=AW$2, OR($G37="",$G37&gt;=AW$2)),
  $H37 * (1 + Assumptions!$C$7) ^ INT(((YEAR(AW$2)-YEAR($F37))*12 + MONTH(AW$2)-MONTH($F37)) / 12),
  0)</f>
        <v>0</v>
      </c>
      <c r="AX37" s="294">
        <f>IF(AND($F37&lt;=AX$2, OR($G37="",$G37&gt;=AX$2)),
  $H37 * (1 + Assumptions!$C$7) ^ INT(((YEAR(AX$2)-YEAR($F37))*12 + MONTH(AX$2)-MONTH($F37)) / 12),
  0)</f>
        <v>0</v>
      </c>
      <c r="AY37" s="294">
        <f>IF(AND($F37&lt;=AY$2, OR($G37="",$G37&gt;=AY$2)),
  $H37 * (1 + Assumptions!$C$7) ^ INT(((YEAR(AY$2)-YEAR($F37))*12 + MONTH(AY$2)-MONTH($F37)) / 12),
  0)</f>
        <v>0</v>
      </c>
      <c r="AZ37" s="294">
        <f>IF(AND($F37&lt;=AZ$2, OR($G37="",$G37&gt;=AZ$2)),
  $H37 * (1 + Assumptions!$C$7) ^ INT(((YEAR(AZ$2)-YEAR($F37))*12 + MONTH(AZ$2)-MONTH($F37)) / 12),
  0)</f>
        <v>0</v>
      </c>
      <c r="BA37" s="294">
        <f>IF(AND($F37&lt;=BA$2, OR($G37="",$G37&gt;=BA$2)),
  $H37 * (1 + Assumptions!$C$7) ^ INT(((YEAR(BA$2)-YEAR($F37))*12 + MONTH(BA$2)-MONTH($F37)) / 12),
  0)</f>
        <v>0</v>
      </c>
      <c r="BB37" s="294">
        <f>IF(AND($F37&lt;=BB$2, OR($G37="",$G37&gt;=BB$2)),
  $H37 * (1 + Assumptions!$C$7) ^ INT(((YEAR(BB$2)-YEAR($F37))*12 + MONTH(BB$2)-MONTH($F37)) / 12),
  0)</f>
        <v>0</v>
      </c>
      <c r="BC37" s="294">
        <f>IF(AND($F37&lt;=BC$2, OR($G37="",$G37&gt;=BC$2)),
  $H37 * (1 + Assumptions!$C$7) ^ INT(((YEAR(BC$2)-YEAR($F37))*12 + MONTH(BC$2)-MONTH($F37)) / 12),
  0)</f>
        <v>0</v>
      </c>
      <c r="BD37" s="294">
        <f>IF(AND($F37&lt;=BD$2, OR($G37="",$G37&gt;=BD$2)),
  $H37 * (1 + Assumptions!$C$7) ^ INT(((YEAR(BD$2)-YEAR($F37))*12 + MONTH(BD$2)-MONTH($F37)) / 12),
  0)</f>
        <v>0</v>
      </c>
      <c r="BE37" s="294">
        <f>IF(AND($F37&lt;=BE$2, OR($G37="",$G37&gt;=BE$2)),
  $H37 * (1 + Assumptions!$C$7) ^ INT(((YEAR(BE$2)-YEAR($F37))*12 + MONTH(BE$2)-MONTH($F37)) / 12),
  0)</f>
        <v>0</v>
      </c>
      <c r="BF37" s="294">
        <f>IF(AND($F37&lt;=BF$2, OR($G37="",$G37&gt;=BF$2)),
  $H37 * (1 + Assumptions!$C$7) ^ INT(((YEAR(BF$2)-YEAR($F37))*12 + MONTH(BF$2)-MONTH($F37)) / 12),
  0)</f>
        <v>0</v>
      </c>
      <c r="BG37" s="294">
        <f>IF(AND($F37&lt;=BG$2, OR($G37="",$G37&gt;=BG$2)),
  $H37 * (1 + Assumptions!$C$7) ^ INT(((YEAR(BG$2)-YEAR($F37))*12 + MONTH(BG$2)-MONTH($F37)) / 12),
  0)</f>
        <v>0</v>
      </c>
      <c r="BH37" s="294">
        <f>IF(AND($F37&lt;=BH$2, OR($G37="",$G37&gt;=BH$2)),
  $H37 * (1 + Assumptions!$C$7) ^ INT(((YEAR(BH$2)-YEAR($F37))*12 + MONTH(BH$2)-MONTH($F37)) / 12),
  0)</f>
        <v>0</v>
      </c>
      <c r="BI37" s="294">
        <f>IF(AND($F37&lt;=BI$2, OR($G37="",$G37&gt;=BI$2)),
  $H37 * (1 + Assumptions!$C$7) ^ INT(((YEAR(BI$2)-YEAR($F37))*12 + MONTH(BI$2)-MONTH($F37)) / 12),
  0)</f>
        <v>0</v>
      </c>
      <c r="BJ37" s="294">
        <f>IF(AND($F37&lt;=BJ$2, OR($G37="",$G37&gt;=BJ$2)),
  $H37 * (1 + Assumptions!$C$7) ^ INT(((YEAR(BJ$2)-YEAR($F37))*12 + MONTH(BJ$2)-MONTH($F37)) / 12),
  0)</f>
        <v>0</v>
      </c>
      <c r="BK37" s="294">
        <f>IF(AND($F37&lt;=BK$2, OR($G37="",$G37&gt;=BK$2)),
  $H37 * (1 + Assumptions!$C$7) ^ INT(((YEAR(BK$2)-YEAR($F37))*12 + MONTH(BK$2)-MONTH($F37)) / 12),
  0)</f>
        <v>7500</v>
      </c>
      <c r="BL37" s="294">
        <f>IF(AND($F37&lt;=BL$2, OR($G37="",$G37&gt;=BL$2)),
  $H37 * (1 + Assumptions!$C$7) ^ INT(((YEAR(BL$2)-YEAR($F37))*12 + MONTH(BL$2)-MONTH($F37)) / 12),
  0)</f>
        <v>7500</v>
      </c>
      <c r="BM37" s="294">
        <f>IF(AND($F37&lt;=BM$2, OR($G37="",$G37&gt;=BM$2)),
  $H37 * (1 + Assumptions!$C$7) ^ INT(((YEAR(BM$2)-YEAR($F37))*12 + MONTH(BM$2)-MONTH($F37)) / 12),
  0)</f>
        <v>7500</v>
      </c>
      <c r="BN37" s="294">
        <f>IF(AND($F37&lt;=BN$2, OR($G37="",$G37&gt;=BN$2)),
  $H37 * (1 + Assumptions!$C$7) ^ INT(((YEAR(BN$2)-YEAR($F37))*12 + MONTH(BN$2)-MONTH($F37)) / 12),
  0)</f>
        <v>7500</v>
      </c>
      <c r="BO37" s="294">
        <f>IF(AND($F37&lt;=BO$2, OR($G37="",$G37&gt;=BO$2)),
  $H37 * (1 + Assumptions!$C$7) ^ INT(((YEAR(BO$2)-YEAR($F37))*12 + MONTH(BO$2)-MONTH($F37)) / 12),
  0)</f>
        <v>7500</v>
      </c>
      <c r="BP37" s="294">
        <f>IF(AND($F37&lt;=BP$2, OR($G37="",$G37&gt;=BP$2)),
  $H37 * (1 + Assumptions!$C$7) ^ INT(((YEAR(BP$2)-YEAR($F37))*12 + MONTH(BP$2)-MONTH($F37)) / 12),
  0)</f>
        <v>7500</v>
      </c>
      <c r="BQ37" s="28"/>
    </row>
    <row r="38" ht="15.75" customHeight="1">
      <c r="A38" s="301">
        <v>34.0</v>
      </c>
      <c r="B38" s="285" t="s">
        <v>342</v>
      </c>
      <c r="C38" s="285" t="s">
        <v>148</v>
      </c>
      <c r="D38" s="75" t="s">
        <v>328</v>
      </c>
      <c r="E38" s="292" t="s">
        <v>344</v>
      </c>
      <c r="F38" s="286">
        <v>47272.0</v>
      </c>
      <c r="G38" s="304"/>
      <c r="H38" s="288">
        <v>7500.0</v>
      </c>
      <c r="I38" s="294">
        <f>IF(AND($F38&lt;=I$2, OR($G38="",$G38&gt;=I$2)),
  $H38 * (1 + Assumptions!$C$7) ^ INT(((YEAR(I$2)-YEAR($F38))*12 + MONTH(I$2)-MONTH($F38)) / 12),
  0)</f>
        <v>0</v>
      </c>
      <c r="J38" s="294">
        <f>IF(AND($F38&lt;=J$2, OR($G38="",$G38&gt;=J$2)),
  $H38 * (1 + Assumptions!$C$7) ^ INT(((YEAR(J$2)-YEAR($F38))*12 + MONTH(J$2)-MONTH($F38)) / 12),
  0)</f>
        <v>0</v>
      </c>
      <c r="K38" s="294">
        <f>IF(AND($F38&lt;=K$2, OR($G38="",$G38&gt;=K$2)),
  $H38 * (1 + Assumptions!$C$7) ^ INT(((YEAR(K$2)-YEAR($F38))*12 + MONTH(K$2)-MONTH($F38)) / 12),
  0)</f>
        <v>0</v>
      </c>
      <c r="L38" s="294">
        <f>IF(AND($F38&lt;=L$2, OR($G38="",$G38&gt;=L$2)),
  $H38 * (1 + Assumptions!$C$7) ^ INT(((YEAR(L$2)-YEAR($F38))*12 + MONTH(L$2)-MONTH($F38)) / 12),
  0)</f>
        <v>0</v>
      </c>
      <c r="M38" s="294">
        <f>IF(AND($F38&lt;=M$2, OR($G38="",$G38&gt;=M$2)),
  $H38 * (1 + Assumptions!$C$7) ^ INT(((YEAR(M$2)-YEAR($F38))*12 + MONTH(M$2)-MONTH($F38)) / 12),
  0)</f>
        <v>0</v>
      </c>
      <c r="N38" s="294">
        <f>IF(AND($F38&lt;=N$2, OR($G38="",$G38&gt;=N$2)),
  $H38 * (1 + Assumptions!$C$7) ^ INT(((YEAR(N$2)-YEAR($F38))*12 + MONTH(N$2)-MONTH($F38)) / 12),
  0)</f>
        <v>0</v>
      </c>
      <c r="O38" s="294">
        <f>IF(AND($F38&lt;=O$2, OR($G38="",$G38&gt;=O$2)),
  $H38 * (1 + Assumptions!$C$7) ^ INT(((YEAR(O$2)-YEAR($F38))*12 + MONTH(O$2)-MONTH($F38)) / 12),
  0)</f>
        <v>0</v>
      </c>
      <c r="P38" s="294">
        <f>IF(AND($F38&lt;=P$2, OR($G38="",$G38&gt;=P$2)),
  $H38 * (1 + Assumptions!$C$7) ^ INT(((YEAR(P$2)-YEAR($F38))*12 + MONTH(P$2)-MONTH($F38)) / 12),
  0)</f>
        <v>0</v>
      </c>
      <c r="Q38" s="294">
        <f>IF(AND($F38&lt;=Q$2, OR($G38="",$G38&gt;=Q$2)),
  $H38 * (1 + Assumptions!$C$7) ^ INT(((YEAR(Q$2)-YEAR($F38))*12 + MONTH(Q$2)-MONTH($F38)) / 12),
  0)</f>
        <v>0</v>
      </c>
      <c r="R38" s="294">
        <f>IF(AND($F38&lt;=R$2, OR($G38="",$G38&gt;=R$2)),
  $H38 * (1 + Assumptions!$C$7) ^ INT(((YEAR(R$2)-YEAR($F38))*12 + MONTH(R$2)-MONTH($F38)) / 12),
  0)</f>
        <v>0</v>
      </c>
      <c r="S38" s="294">
        <f>IF(AND($F38&lt;=S$2, OR($G38="",$G38&gt;=S$2)),
  $H38 * (1 + Assumptions!$C$7) ^ INT(((YEAR(S$2)-YEAR($F38))*12 + MONTH(S$2)-MONTH($F38)) / 12),
  0)</f>
        <v>0</v>
      </c>
      <c r="T38" s="294">
        <f>IF(AND($F38&lt;=T$2, OR($G38="",$G38&gt;=T$2)),
  $H38 * (1 + Assumptions!$C$7) ^ INT(((YEAR(T$2)-YEAR($F38))*12 + MONTH(T$2)-MONTH($F38)) / 12),
  0)</f>
        <v>0</v>
      </c>
      <c r="U38" s="294">
        <f>IF(AND($F38&lt;=U$2, OR($G38="",$G38&gt;=U$2)),
  $H38 * (1 + Assumptions!$C$7) ^ INT(((YEAR(U$2)-YEAR($F38))*12 + MONTH(U$2)-MONTH($F38)) / 12),
  0)</f>
        <v>0</v>
      </c>
      <c r="V38" s="294">
        <f>IF(AND($F38&lt;=V$2, OR($G38="",$G38&gt;=V$2)),
  $H38 * (1 + Assumptions!$C$7) ^ INT(((YEAR(V$2)-YEAR($F38))*12 + MONTH(V$2)-MONTH($F38)) / 12),
  0)</f>
        <v>0</v>
      </c>
      <c r="W38" s="294">
        <f>IF(AND($F38&lt;=W$2, OR($G38="",$G38&gt;=W$2)),
  $H38 * (1 + Assumptions!$C$7) ^ INT(((YEAR(W$2)-YEAR($F38))*12 + MONTH(W$2)-MONTH($F38)) / 12),
  0)</f>
        <v>0</v>
      </c>
      <c r="X38" s="294">
        <f>IF(AND($F38&lt;=X$2, OR($G38="",$G38&gt;=X$2)),
  $H38 * (1 + Assumptions!$C$7) ^ INT(((YEAR(X$2)-YEAR($F38))*12 + MONTH(X$2)-MONTH($F38)) / 12),
  0)</f>
        <v>0</v>
      </c>
      <c r="Y38" s="294">
        <f>IF(AND($F38&lt;=Y$2, OR($G38="",$G38&gt;=Y$2)),
  $H38 * (1 + Assumptions!$C$7) ^ INT(((YEAR(Y$2)-YEAR($F38))*12 + MONTH(Y$2)-MONTH($F38)) / 12),
  0)</f>
        <v>0</v>
      </c>
      <c r="Z38" s="294">
        <f>IF(AND($F38&lt;=Z$2, OR($G38="",$G38&gt;=Z$2)),
  $H38 * (1 + Assumptions!$C$7) ^ INT(((YEAR(Z$2)-YEAR($F38))*12 + MONTH(Z$2)-MONTH($F38)) / 12),
  0)</f>
        <v>0</v>
      </c>
      <c r="AA38" s="294">
        <f>IF(AND($F38&lt;=AA$2, OR($G38="",$G38&gt;=AA$2)),
  $H38 * (1 + Assumptions!$C$7) ^ INT(((YEAR(AA$2)-YEAR($F38))*12 + MONTH(AA$2)-MONTH($F38)) / 12),
  0)</f>
        <v>0</v>
      </c>
      <c r="AB38" s="294">
        <f>IF(AND($F38&lt;=AB$2, OR($G38="",$G38&gt;=AB$2)),
  $H38 * (1 + Assumptions!$C$7) ^ INT(((YEAR(AB$2)-YEAR($F38))*12 + MONTH(AB$2)-MONTH($F38)) / 12),
  0)</f>
        <v>0</v>
      </c>
      <c r="AC38" s="294">
        <f>IF(AND($F38&lt;=AC$2, OR($G38="",$G38&gt;=AC$2)),
  $H38 * (1 + Assumptions!$C$7) ^ INT(((YEAR(AC$2)-YEAR($F38))*12 + MONTH(AC$2)-MONTH($F38)) / 12),
  0)</f>
        <v>0</v>
      </c>
      <c r="AD38" s="294">
        <f>IF(AND($F38&lt;=AD$2, OR($G38="",$G38&gt;=AD$2)),
  $H38 * (1 + Assumptions!$C$7) ^ INT(((YEAR(AD$2)-YEAR($F38))*12 + MONTH(AD$2)-MONTH($F38)) / 12),
  0)</f>
        <v>0</v>
      </c>
      <c r="AE38" s="294">
        <f>IF(AND($F38&lt;=AE$2, OR($G38="",$G38&gt;=AE$2)),
  $H38 * (1 + Assumptions!$C$7) ^ INT(((YEAR(AE$2)-YEAR($F38))*12 + MONTH(AE$2)-MONTH($F38)) / 12),
  0)</f>
        <v>0</v>
      </c>
      <c r="AF38" s="294">
        <f>IF(AND($F38&lt;=AF$2, OR($G38="",$G38&gt;=AF$2)),
  $H38 * (1 + Assumptions!$C$7) ^ INT(((YEAR(AF$2)-YEAR($F38))*12 + MONTH(AF$2)-MONTH($F38)) / 12),
  0)</f>
        <v>0</v>
      </c>
      <c r="AG38" s="294">
        <f>IF(AND($F38&lt;=AG$2, OR($G38="",$G38&gt;=AG$2)),
  $H38 * (1 + Assumptions!$C$7) ^ INT(((YEAR(AG$2)-YEAR($F38))*12 + MONTH(AG$2)-MONTH($F38)) / 12),
  0)</f>
        <v>0</v>
      </c>
      <c r="AH38" s="294">
        <f>IF(AND($F38&lt;=AH$2, OR($G38="",$G38&gt;=AH$2)),
  $H38 * (1 + Assumptions!$C$7) ^ INT(((YEAR(AH$2)-YEAR($F38))*12 + MONTH(AH$2)-MONTH($F38)) / 12),
  0)</f>
        <v>0</v>
      </c>
      <c r="AI38" s="294">
        <f>IF(AND($F38&lt;=AI$2, OR($G38="",$G38&gt;=AI$2)),
  $H38 * (1 + Assumptions!$C$7) ^ INT(((YEAR(AI$2)-YEAR($F38))*12 + MONTH(AI$2)-MONTH($F38)) / 12),
  0)</f>
        <v>0</v>
      </c>
      <c r="AJ38" s="294">
        <f>IF(AND($F38&lt;=AJ$2, OR($G38="",$G38&gt;=AJ$2)),
  $H38 * (1 + Assumptions!$C$7) ^ INT(((YEAR(AJ$2)-YEAR($F38))*12 + MONTH(AJ$2)-MONTH($F38)) / 12),
  0)</f>
        <v>0</v>
      </c>
      <c r="AK38" s="294">
        <f>IF(AND($F38&lt;=AK$2, OR($G38="",$G38&gt;=AK$2)),
  $H38 * (1 + Assumptions!$C$7) ^ INT(((YEAR(AK$2)-YEAR($F38))*12 + MONTH(AK$2)-MONTH($F38)) / 12),
  0)</f>
        <v>0</v>
      </c>
      <c r="AL38" s="294">
        <f>IF(AND($F38&lt;=AL$2, OR($G38="",$G38&gt;=AL$2)),
  $H38 * (1 + Assumptions!$C$7) ^ INT(((YEAR(AL$2)-YEAR($F38))*12 + MONTH(AL$2)-MONTH($F38)) / 12),
  0)</f>
        <v>0</v>
      </c>
      <c r="AM38" s="294">
        <f>IF(AND($F38&lt;=AM$2, OR($G38="",$G38&gt;=AM$2)),
  $H38 * (1 + Assumptions!$C$7) ^ INT(((YEAR(AM$2)-YEAR($F38))*12 + MONTH(AM$2)-MONTH($F38)) / 12),
  0)</f>
        <v>0</v>
      </c>
      <c r="AN38" s="294">
        <f>IF(AND($F38&lt;=AN$2, OR($G38="",$G38&gt;=AN$2)),
  $H38 * (1 + Assumptions!$C$7) ^ INT(((YEAR(AN$2)-YEAR($F38))*12 + MONTH(AN$2)-MONTH($F38)) / 12),
  0)</f>
        <v>0</v>
      </c>
      <c r="AO38" s="294">
        <f>IF(AND($F38&lt;=AO$2, OR($G38="",$G38&gt;=AO$2)),
  $H38 * (1 + Assumptions!$C$7) ^ INT(((YEAR(AO$2)-YEAR($F38))*12 + MONTH(AO$2)-MONTH($F38)) / 12),
  0)</f>
        <v>0</v>
      </c>
      <c r="AP38" s="294">
        <f>IF(AND($F38&lt;=AP$2, OR($G38="",$G38&gt;=AP$2)),
  $H38 * (1 + Assumptions!$C$7) ^ INT(((YEAR(AP$2)-YEAR($F38))*12 + MONTH(AP$2)-MONTH($F38)) / 12),
  0)</f>
        <v>0</v>
      </c>
      <c r="AQ38" s="294">
        <f>IF(AND($F38&lt;=AQ$2, OR($G38="",$G38&gt;=AQ$2)),
  $H38 * (1 + Assumptions!$C$7) ^ INT(((YEAR(AQ$2)-YEAR($F38))*12 + MONTH(AQ$2)-MONTH($F38)) / 12),
  0)</f>
        <v>0</v>
      </c>
      <c r="AR38" s="294">
        <f>IF(AND($F38&lt;=AR$2, OR($G38="",$G38&gt;=AR$2)),
  $H38 * (1 + Assumptions!$C$7) ^ INT(((YEAR(AR$2)-YEAR($F38))*12 + MONTH(AR$2)-MONTH($F38)) / 12),
  0)</f>
        <v>0</v>
      </c>
      <c r="AS38" s="294">
        <f>IF(AND($F38&lt;=AS$2, OR($G38="",$G38&gt;=AS$2)),
  $H38 * (1 + Assumptions!$C$7) ^ INT(((YEAR(AS$2)-YEAR($F38))*12 + MONTH(AS$2)-MONTH($F38)) / 12),
  0)</f>
        <v>0</v>
      </c>
      <c r="AT38" s="294">
        <f>IF(AND($F38&lt;=AT$2, OR($G38="",$G38&gt;=AT$2)),
  $H38 * (1 + Assumptions!$C$7) ^ INT(((YEAR(AT$2)-YEAR($F38))*12 + MONTH(AT$2)-MONTH($F38)) / 12),
  0)</f>
        <v>0</v>
      </c>
      <c r="AU38" s="294">
        <f>IF(AND($F38&lt;=AU$2, OR($G38="",$G38&gt;=AU$2)),
  $H38 * (1 + Assumptions!$C$7) ^ INT(((YEAR(AU$2)-YEAR($F38))*12 + MONTH(AU$2)-MONTH($F38)) / 12),
  0)</f>
        <v>0</v>
      </c>
      <c r="AV38" s="294">
        <f>IF(AND($F38&lt;=AV$2, OR($G38="",$G38&gt;=AV$2)),
  $H38 * (1 + Assumptions!$C$7) ^ INT(((YEAR(AV$2)-YEAR($F38))*12 + MONTH(AV$2)-MONTH($F38)) / 12),
  0)</f>
        <v>0</v>
      </c>
      <c r="AW38" s="294">
        <f>IF(AND($F38&lt;=AW$2, OR($G38="",$G38&gt;=AW$2)),
  $H38 * (1 + Assumptions!$C$7) ^ INT(((YEAR(AW$2)-YEAR($F38))*12 + MONTH(AW$2)-MONTH($F38)) / 12),
  0)</f>
        <v>0</v>
      </c>
      <c r="AX38" s="294">
        <f>IF(AND($F38&lt;=AX$2, OR($G38="",$G38&gt;=AX$2)),
  $H38 * (1 + Assumptions!$C$7) ^ INT(((YEAR(AX$2)-YEAR($F38))*12 + MONTH(AX$2)-MONTH($F38)) / 12),
  0)</f>
        <v>0</v>
      </c>
      <c r="AY38" s="294">
        <f>IF(AND($F38&lt;=AY$2, OR($G38="",$G38&gt;=AY$2)),
  $H38 * (1 + Assumptions!$C$7) ^ INT(((YEAR(AY$2)-YEAR($F38))*12 + MONTH(AY$2)-MONTH($F38)) / 12),
  0)</f>
        <v>0</v>
      </c>
      <c r="AZ38" s="294">
        <f>IF(AND($F38&lt;=AZ$2, OR($G38="",$G38&gt;=AZ$2)),
  $H38 * (1 + Assumptions!$C$7) ^ INT(((YEAR(AZ$2)-YEAR($F38))*12 + MONTH(AZ$2)-MONTH($F38)) / 12),
  0)</f>
        <v>0</v>
      </c>
      <c r="BA38" s="294">
        <f>IF(AND($F38&lt;=BA$2, OR($G38="",$G38&gt;=BA$2)),
  $H38 * (1 + Assumptions!$C$7) ^ INT(((YEAR(BA$2)-YEAR($F38))*12 + MONTH(BA$2)-MONTH($F38)) / 12),
  0)</f>
        <v>0</v>
      </c>
      <c r="BB38" s="294">
        <f>IF(AND($F38&lt;=BB$2, OR($G38="",$G38&gt;=BB$2)),
  $H38 * (1 + Assumptions!$C$7) ^ INT(((YEAR(BB$2)-YEAR($F38))*12 + MONTH(BB$2)-MONTH($F38)) / 12),
  0)</f>
        <v>0</v>
      </c>
      <c r="BC38" s="294">
        <f>IF(AND($F38&lt;=BC$2, OR($G38="",$G38&gt;=BC$2)),
  $H38 * (1 + Assumptions!$C$7) ^ INT(((YEAR(BC$2)-YEAR($F38))*12 + MONTH(BC$2)-MONTH($F38)) / 12),
  0)</f>
        <v>0</v>
      </c>
      <c r="BD38" s="294">
        <f>IF(AND($F38&lt;=BD$2, OR($G38="",$G38&gt;=BD$2)),
  $H38 * (1 + Assumptions!$C$7) ^ INT(((YEAR(BD$2)-YEAR($F38))*12 + MONTH(BD$2)-MONTH($F38)) / 12),
  0)</f>
        <v>0</v>
      </c>
      <c r="BE38" s="294">
        <f>IF(AND($F38&lt;=BE$2, OR($G38="",$G38&gt;=BE$2)),
  $H38 * (1 + Assumptions!$C$7) ^ INT(((YEAR(BE$2)-YEAR($F38))*12 + MONTH(BE$2)-MONTH($F38)) / 12),
  0)</f>
        <v>0</v>
      </c>
      <c r="BF38" s="294">
        <f>IF(AND($F38&lt;=BF$2, OR($G38="",$G38&gt;=BF$2)),
  $H38 * (1 + Assumptions!$C$7) ^ INT(((YEAR(BF$2)-YEAR($F38))*12 + MONTH(BF$2)-MONTH($F38)) / 12),
  0)</f>
        <v>0</v>
      </c>
      <c r="BG38" s="294">
        <f>IF(AND($F38&lt;=BG$2, OR($G38="",$G38&gt;=BG$2)),
  $H38 * (1 + Assumptions!$C$7) ^ INT(((YEAR(BG$2)-YEAR($F38))*12 + MONTH(BG$2)-MONTH($F38)) / 12),
  0)</f>
        <v>0</v>
      </c>
      <c r="BH38" s="294">
        <f>IF(AND($F38&lt;=BH$2, OR($G38="",$G38&gt;=BH$2)),
  $H38 * (1 + Assumptions!$C$7) ^ INT(((YEAR(BH$2)-YEAR($F38))*12 + MONTH(BH$2)-MONTH($F38)) / 12),
  0)</f>
        <v>0</v>
      </c>
      <c r="BI38" s="294">
        <f>IF(AND($F38&lt;=BI$2, OR($G38="",$G38&gt;=BI$2)),
  $H38 * (1 + Assumptions!$C$7) ^ INT(((YEAR(BI$2)-YEAR($F38))*12 + MONTH(BI$2)-MONTH($F38)) / 12),
  0)</f>
        <v>0</v>
      </c>
      <c r="BJ38" s="294">
        <f>IF(AND($F38&lt;=BJ$2, OR($G38="",$G38&gt;=BJ$2)),
  $H38 * (1 + Assumptions!$C$7) ^ INT(((YEAR(BJ$2)-YEAR($F38))*12 + MONTH(BJ$2)-MONTH($F38)) / 12),
  0)</f>
        <v>0</v>
      </c>
      <c r="BK38" s="294">
        <f>IF(AND($F38&lt;=BK$2, OR($G38="",$G38&gt;=BK$2)),
  $H38 * (1 + Assumptions!$C$7) ^ INT(((YEAR(BK$2)-YEAR($F38))*12 + MONTH(BK$2)-MONTH($F38)) / 12),
  0)</f>
        <v>7500</v>
      </c>
      <c r="BL38" s="294">
        <f>IF(AND($F38&lt;=BL$2, OR($G38="",$G38&gt;=BL$2)),
  $H38 * (1 + Assumptions!$C$7) ^ INT(((YEAR(BL$2)-YEAR($F38))*12 + MONTH(BL$2)-MONTH($F38)) / 12),
  0)</f>
        <v>7500</v>
      </c>
      <c r="BM38" s="294">
        <f>IF(AND($F38&lt;=BM$2, OR($G38="",$G38&gt;=BM$2)),
  $H38 * (1 + Assumptions!$C$7) ^ INT(((YEAR(BM$2)-YEAR($F38))*12 + MONTH(BM$2)-MONTH($F38)) / 12),
  0)</f>
        <v>7500</v>
      </c>
      <c r="BN38" s="294">
        <f>IF(AND($F38&lt;=BN$2, OR($G38="",$G38&gt;=BN$2)),
  $H38 * (1 + Assumptions!$C$7) ^ INT(((YEAR(BN$2)-YEAR($F38))*12 + MONTH(BN$2)-MONTH($F38)) / 12),
  0)</f>
        <v>7500</v>
      </c>
      <c r="BO38" s="294">
        <f>IF(AND($F38&lt;=BO$2, OR($G38="",$G38&gt;=BO$2)),
  $H38 * (1 + Assumptions!$C$7) ^ INT(((YEAR(BO$2)-YEAR($F38))*12 + MONTH(BO$2)-MONTH($F38)) / 12),
  0)</f>
        <v>7500</v>
      </c>
      <c r="BP38" s="294">
        <f>IF(AND($F38&lt;=BP$2, OR($G38="",$G38&gt;=BP$2)),
  $H38 * (1 + Assumptions!$C$7) ^ INT(((YEAR(BP$2)-YEAR($F38))*12 + MONTH(BP$2)-MONTH($F38)) / 12),
  0)</f>
        <v>7500</v>
      </c>
      <c r="BQ38" s="28"/>
    </row>
    <row r="39" ht="15.75" customHeight="1">
      <c r="A39" s="301">
        <v>35.0</v>
      </c>
      <c r="B39" s="285" t="s">
        <v>342</v>
      </c>
      <c r="C39" s="285" t="s">
        <v>148</v>
      </c>
      <c r="D39" s="285" t="s">
        <v>329</v>
      </c>
      <c r="E39" s="292" t="s">
        <v>344</v>
      </c>
      <c r="F39" s="286">
        <v>47273.0</v>
      </c>
      <c r="G39" s="293"/>
      <c r="H39" s="288">
        <v>6500.0</v>
      </c>
      <c r="I39" s="294">
        <f>IF(AND($F39&lt;=I$2, OR($G39="",$G39&gt;=I$2)),
  $H39 * (1 + Assumptions!$C$7) ^ INT(((YEAR(I$2)-YEAR($F39))*12 + MONTH(I$2)-MONTH($F39)) / 12),
  0)</f>
        <v>0</v>
      </c>
      <c r="J39" s="294">
        <f>IF(AND($F39&lt;=J$2, OR($G39="",$G39&gt;=J$2)),
  $H39 * (1 + Assumptions!$C$7) ^ INT(((YEAR(J$2)-YEAR($F39))*12 + MONTH(J$2)-MONTH($F39)) / 12),
  0)</f>
        <v>0</v>
      </c>
      <c r="K39" s="294">
        <f>IF(AND($F39&lt;=K$2, OR($G39="",$G39&gt;=K$2)),
  $H39 * (1 + Assumptions!$C$7) ^ INT(((YEAR(K$2)-YEAR($F39))*12 + MONTH(K$2)-MONTH($F39)) / 12),
  0)</f>
        <v>0</v>
      </c>
      <c r="L39" s="294">
        <f>IF(AND($F39&lt;=L$2, OR($G39="",$G39&gt;=L$2)),
  $H39 * (1 + Assumptions!$C$7) ^ INT(((YEAR(L$2)-YEAR($F39))*12 + MONTH(L$2)-MONTH($F39)) / 12),
  0)</f>
        <v>0</v>
      </c>
      <c r="M39" s="294">
        <f>IF(AND($F39&lt;=M$2, OR($G39="",$G39&gt;=M$2)),
  $H39 * (1 + Assumptions!$C$7) ^ INT(((YEAR(M$2)-YEAR($F39))*12 + MONTH(M$2)-MONTH($F39)) / 12),
  0)</f>
        <v>0</v>
      </c>
      <c r="N39" s="294">
        <f>IF(AND($F39&lt;=N$2, OR($G39="",$G39&gt;=N$2)),
  $H39 * (1 + Assumptions!$C$7) ^ INT(((YEAR(N$2)-YEAR($F39))*12 + MONTH(N$2)-MONTH($F39)) / 12),
  0)</f>
        <v>0</v>
      </c>
      <c r="O39" s="294">
        <f>IF(AND($F39&lt;=O$2, OR($G39="",$G39&gt;=O$2)),
  $H39 * (1 + Assumptions!$C$7) ^ INT(((YEAR(O$2)-YEAR($F39))*12 + MONTH(O$2)-MONTH($F39)) / 12),
  0)</f>
        <v>0</v>
      </c>
      <c r="P39" s="294">
        <f>IF(AND($F39&lt;=P$2, OR($G39="",$G39&gt;=P$2)),
  $H39 * (1 + Assumptions!$C$7) ^ INT(((YEAR(P$2)-YEAR($F39))*12 + MONTH(P$2)-MONTH($F39)) / 12),
  0)</f>
        <v>0</v>
      </c>
      <c r="Q39" s="294">
        <f>IF(AND($F39&lt;=Q$2, OR($G39="",$G39&gt;=Q$2)),
  $H39 * (1 + Assumptions!$C$7) ^ INT(((YEAR(Q$2)-YEAR($F39))*12 + MONTH(Q$2)-MONTH($F39)) / 12),
  0)</f>
        <v>0</v>
      </c>
      <c r="R39" s="294">
        <f>IF(AND($F39&lt;=R$2, OR($G39="",$G39&gt;=R$2)),
  $H39 * (1 + Assumptions!$C$7) ^ INT(((YEAR(R$2)-YEAR($F39))*12 + MONTH(R$2)-MONTH($F39)) / 12),
  0)</f>
        <v>0</v>
      </c>
      <c r="S39" s="294">
        <f>IF(AND($F39&lt;=S$2, OR($G39="",$G39&gt;=S$2)),
  $H39 * (1 + Assumptions!$C$7) ^ INT(((YEAR(S$2)-YEAR($F39))*12 + MONTH(S$2)-MONTH($F39)) / 12),
  0)</f>
        <v>0</v>
      </c>
      <c r="T39" s="294">
        <f>IF(AND($F39&lt;=T$2, OR($G39="",$G39&gt;=T$2)),
  $H39 * (1 + Assumptions!$C$7) ^ INT(((YEAR(T$2)-YEAR($F39))*12 + MONTH(T$2)-MONTH($F39)) / 12),
  0)</f>
        <v>0</v>
      </c>
      <c r="U39" s="294">
        <f>IF(AND($F39&lt;=U$2, OR($G39="",$G39&gt;=U$2)),
  $H39 * (1 + Assumptions!$C$7) ^ INT(((YEAR(U$2)-YEAR($F39))*12 + MONTH(U$2)-MONTH($F39)) / 12),
  0)</f>
        <v>0</v>
      </c>
      <c r="V39" s="294">
        <f>IF(AND($F39&lt;=V$2, OR($G39="",$G39&gt;=V$2)),
  $H39 * (1 + Assumptions!$C$7) ^ INT(((YEAR(V$2)-YEAR($F39))*12 + MONTH(V$2)-MONTH($F39)) / 12),
  0)</f>
        <v>0</v>
      </c>
      <c r="W39" s="294">
        <f>IF(AND($F39&lt;=W$2, OR($G39="",$G39&gt;=W$2)),
  $H39 * (1 + Assumptions!$C$7) ^ INT(((YEAR(W$2)-YEAR($F39))*12 + MONTH(W$2)-MONTH($F39)) / 12),
  0)</f>
        <v>0</v>
      </c>
      <c r="X39" s="294">
        <f>IF(AND($F39&lt;=X$2, OR($G39="",$G39&gt;=X$2)),
  $H39 * (1 + Assumptions!$C$7) ^ INT(((YEAR(X$2)-YEAR($F39))*12 + MONTH(X$2)-MONTH($F39)) / 12),
  0)</f>
        <v>0</v>
      </c>
      <c r="Y39" s="294">
        <f>IF(AND($F39&lt;=Y$2, OR($G39="",$G39&gt;=Y$2)),
  $H39 * (1 + Assumptions!$C$7) ^ INT(((YEAR(Y$2)-YEAR($F39))*12 + MONTH(Y$2)-MONTH($F39)) / 12),
  0)</f>
        <v>0</v>
      </c>
      <c r="Z39" s="294">
        <f>IF(AND($F39&lt;=Z$2, OR($G39="",$G39&gt;=Z$2)),
  $H39 * (1 + Assumptions!$C$7) ^ INT(((YEAR(Z$2)-YEAR($F39))*12 + MONTH(Z$2)-MONTH($F39)) / 12),
  0)</f>
        <v>0</v>
      </c>
      <c r="AA39" s="294">
        <f>IF(AND($F39&lt;=AA$2, OR($G39="",$G39&gt;=AA$2)),
  $H39 * (1 + Assumptions!$C$7) ^ INT(((YEAR(AA$2)-YEAR($F39))*12 + MONTH(AA$2)-MONTH($F39)) / 12),
  0)</f>
        <v>0</v>
      </c>
      <c r="AB39" s="294">
        <f>IF(AND($F39&lt;=AB$2, OR($G39="",$G39&gt;=AB$2)),
  $H39 * (1 + Assumptions!$C$7) ^ INT(((YEAR(AB$2)-YEAR($F39))*12 + MONTH(AB$2)-MONTH($F39)) / 12),
  0)</f>
        <v>0</v>
      </c>
      <c r="AC39" s="294">
        <f>IF(AND($F39&lt;=AC$2, OR($G39="",$G39&gt;=AC$2)),
  $H39 * (1 + Assumptions!$C$7) ^ INT(((YEAR(AC$2)-YEAR($F39))*12 + MONTH(AC$2)-MONTH($F39)) / 12),
  0)</f>
        <v>0</v>
      </c>
      <c r="AD39" s="294">
        <f>IF(AND($F39&lt;=AD$2, OR($G39="",$G39&gt;=AD$2)),
  $H39 * (1 + Assumptions!$C$7) ^ INT(((YEAR(AD$2)-YEAR($F39))*12 + MONTH(AD$2)-MONTH($F39)) / 12),
  0)</f>
        <v>0</v>
      </c>
      <c r="AE39" s="294">
        <f>IF(AND($F39&lt;=AE$2, OR($G39="",$G39&gt;=AE$2)),
  $H39 * (1 + Assumptions!$C$7) ^ INT(((YEAR(AE$2)-YEAR($F39))*12 + MONTH(AE$2)-MONTH($F39)) / 12),
  0)</f>
        <v>0</v>
      </c>
      <c r="AF39" s="294">
        <f>IF(AND($F39&lt;=AF$2, OR($G39="",$G39&gt;=AF$2)),
  $H39 * (1 + Assumptions!$C$7) ^ INT(((YEAR(AF$2)-YEAR($F39))*12 + MONTH(AF$2)-MONTH($F39)) / 12),
  0)</f>
        <v>0</v>
      </c>
      <c r="AG39" s="294">
        <f>IF(AND($F39&lt;=AG$2, OR($G39="",$G39&gt;=AG$2)),
  $H39 * (1 + Assumptions!$C$7) ^ INT(((YEAR(AG$2)-YEAR($F39))*12 + MONTH(AG$2)-MONTH($F39)) / 12),
  0)</f>
        <v>0</v>
      </c>
      <c r="AH39" s="294">
        <f>IF(AND($F39&lt;=AH$2, OR($G39="",$G39&gt;=AH$2)),
  $H39 * (1 + Assumptions!$C$7) ^ INT(((YEAR(AH$2)-YEAR($F39))*12 + MONTH(AH$2)-MONTH($F39)) / 12),
  0)</f>
        <v>0</v>
      </c>
      <c r="AI39" s="294">
        <f>IF(AND($F39&lt;=AI$2, OR($G39="",$G39&gt;=AI$2)),
  $H39 * (1 + Assumptions!$C$7) ^ INT(((YEAR(AI$2)-YEAR($F39))*12 + MONTH(AI$2)-MONTH($F39)) / 12),
  0)</f>
        <v>0</v>
      </c>
      <c r="AJ39" s="294">
        <f>IF(AND($F39&lt;=AJ$2, OR($G39="",$G39&gt;=AJ$2)),
  $H39 * (1 + Assumptions!$C$7) ^ INT(((YEAR(AJ$2)-YEAR($F39))*12 + MONTH(AJ$2)-MONTH($F39)) / 12),
  0)</f>
        <v>0</v>
      </c>
      <c r="AK39" s="294">
        <f>IF(AND($F39&lt;=AK$2, OR($G39="",$G39&gt;=AK$2)),
  $H39 * (1 + Assumptions!$C$7) ^ INT(((YEAR(AK$2)-YEAR($F39))*12 + MONTH(AK$2)-MONTH($F39)) / 12),
  0)</f>
        <v>0</v>
      </c>
      <c r="AL39" s="294">
        <f>IF(AND($F39&lt;=AL$2, OR($G39="",$G39&gt;=AL$2)),
  $H39 * (1 + Assumptions!$C$7) ^ INT(((YEAR(AL$2)-YEAR($F39))*12 + MONTH(AL$2)-MONTH($F39)) / 12),
  0)</f>
        <v>0</v>
      </c>
      <c r="AM39" s="294">
        <f>IF(AND($F39&lt;=AM$2, OR($G39="",$G39&gt;=AM$2)),
  $H39 * (1 + Assumptions!$C$7) ^ INT(((YEAR(AM$2)-YEAR($F39))*12 + MONTH(AM$2)-MONTH($F39)) / 12),
  0)</f>
        <v>0</v>
      </c>
      <c r="AN39" s="294">
        <f>IF(AND($F39&lt;=AN$2, OR($G39="",$G39&gt;=AN$2)),
  $H39 * (1 + Assumptions!$C$7) ^ INT(((YEAR(AN$2)-YEAR($F39))*12 + MONTH(AN$2)-MONTH($F39)) / 12),
  0)</f>
        <v>0</v>
      </c>
      <c r="AO39" s="294">
        <f>IF(AND($F39&lt;=AO$2, OR($G39="",$G39&gt;=AO$2)),
  $H39 * (1 + Assumptions!$C$7) ^ INT(((YEAR(AO$2)-YEAR($F39))*12 + MONTH(AO$2)-MONTH($F39)) / 12),
  0)</f>
        <v>0</v>
      </c>
      <c r="AP39" s="294">
        <f>IF(AND($F39&lt;=AP$2, OR($G39="",$G39&gt;=AP$2)),
  $H39 * (1 + Assumptions!$C$7) ^ INT(((YEAR(AP$2)-YEAR($F39))*12 + MONTH(AP$2)-MONTH($F39)) / 12),
  0)</f>
        <v>0</v>
      </c>
      <c r="AQ39" s="294">
        <f>IF(AND($F39&lt;=AQ$2, OR($G39="",$G39&gt;=AQ$2)),
  $H39 * (1 + Assumptions!$C$7) ^ INT(((YEAR(AQ$2)-YEAR($F39))*12 + MONTH(AQ$2)-MONTH($F39)) / 12),
  0)</f>
        <v>0</v>
      </c>
      <c r="AR39" s="294">
        <f>IF(AND($F39&lt;=AR$2, OR($G39="",$G39&gt;=AR$2)),
  $H39 * (1 + Assumptions!$C$7) ^ INT(((YEAR(AR$2)-YEAR($F39))*12 + MONTH(AR$2)-MONTH($F39)) / 12),
  0)</f>
        <v>0</v>
      </c>
      <c r="AS39" s="294">
        <f>IF(AND($F39&lt;=AS$2, OR($G39="",$G39&gt;=AS$2)),
  $H39 * (1 + Assumptions!$C$7) ^ INT(((YEAR(AS$2)-YEAR($F39))*12 + MONTH(AS$2)-MONTH($F39)) / 12),
  0)</f>
        <v>0</v>
      </c>
      <c r="AT39" s="294">
        <f>IF(AND($F39&lt;=AT$2, OR($G39="",$G39&gt;=AT$2)),
  $H39 * (1 + Assumptions!$C$7) ^ INT(((YEAR(AT$2)-YEAR($F39))*12 + MONTH(AT$2)-MONTH($F39)) / 12),
  0)</f>
        <v>0</v>
      </c>
      <c r="AU39" s="294">
        <f>IF(AND($F39&lt;=AU$2, OR($G39="",$G39&gt;=AU$2)),
  $H39 * (1 + Assumptions!$C$7) ^ INT(((YEAR(AU$2)-YEAR($F39))*12 + MONTH(AU$2)-MONTH($F39)) / 12),
  0)</f>
        <v>0</v>
      </c>
      <c r="AV39" s="294">
        <f>IF(AND($F39&lt;=AV$2, OR($G39="",$G39&gt;=AV$2)),
  $H39 * (1 + Assumptions!$C$7) ^ INT(((YEAR(AV$2)-YEAR($F39))*12 + MONTH(AV$2)-MONTH($F39)) / 12),
  0)</f>
        <v>0</v>
      </c>
      <c r="AW39" s="294">
        <f>IF(AND($F39&lt;=AW$2, OR($G39="",$G39&gt;=AW$2)),
  $H39 * (1 + Assumptions!$C$7) ^ INT(((YEAR(AW$2)-YEAR($F39))*12 + MONTH(AW$2)-MONTH($F39)) / 12),
  0)</f>
        <v>0</v>
      </c>
      <c r="AX39" s="294">
        <f>IF(AND($F39&lt;=AX$2, OR($G39="",$G39&gt;=AX$2)),
  $H39 * (1 + Assumptions!$C$7) ^ INT(((YEAR(AX$2)-YEAR($F39))*12 + MONTH(AX$2)-MONTH($F39)) / 12),
  0)</f>
        <v>0</v>
      </c>
      <c r="AY39" s="294">
        <f>IF(AND($F39&lt;=AY$2, OR($G39="",$G39&gt;=AY$2)),
  $H39 * (1 + Assumptions!$C$7) ^ INT(((YEAR(AY$2)-YEAR($F39))*12 + MONTH(AY$2)-MONTH($F39)) / 12),
  0)</f>
        <v>0</v>
      </c>
      <c r="AZ39" s="294">
        <f>IF(AND($F39&lt;=AZ$2, OR($G39="",$G39&gt;=AZ$2)),
  $H39 * (1 + Assumptions!$C$7) ^ INT(((YEAR(AZ$2)-YEAR($F39))*12 + MONTH(AZ$2)-MONTH($F39)) / 12),
  0)</f>
        <v>0</v>
      </c>
      <c r="BA39" s="294">
        <f>IF(AND($F39&lt;=BA$2, OR($G39="",$G39&gt;=BA$2)),
  $H39 * (1 + Assumptions!$C$7) ^ INT(((YEAR(BA$2)-YEAR($F39))*12 + MONTH(BA$2)-MONTH($F39)) / 12),
  0)</f>
        <v>0</v>
      </c>
      <c r="BB39" s="294">
        <f>IF(AND($F39&lt;=BB$2, OR($G39="",$G39&gt;=BB$2)),
  $H39 * (1 + Assumptions!$C$7) ^ INT(((YEAR(BB$2)-YEAR($F39))*12 + MONTH(BB$2)-MONTH($F39)) / 12),
  0)</f>
        <v>0</v>
      </c>
      <c r="BC39" s="294">
        <f>IF(AND($F39&lt;=BC$2, OR($G39="",$G39&gt;=BC$2)),
  $H39 * (1 + Assumptions!$C$7) ^ INT(((YEAR(BC$2)-YEAR($F39))*12 + MONTH(BC$2)-MONTH($F39)) / 12),
  0)</f>
        <v>0</v>
      </c>
      <c r="BD39" s="294">
        <f>IF(AND($F39&lt;=BD$2, OR($G39="",$G39&gt;=BD$2)),
  $H39 * (1 + Assumptions!$C$7) ^ INT(((YEAR(BD$2)-YEAR($F39))*12 + MONTH(BD$2)-MONTH($F39)) / 12),
  0)</f>
        <v>0</v>
      </c>
      <c r="BE39" s="294">
        <f>IF(AND($F39&lt;=BE$2, OR($G39="",$G39&gt;=BE$2)),
  $H39 * (1 + Assumptions!$C$7) ^ INT(((YEAR(BE$2)-YEAR($F39))*12 + MONTH(BE$2)-MONTH($F39)) / 12),
  0)</f>
        <v>0</v>
      </c>
      <c r="BF39" s="294">
        <f>IF(AND($F39&lt;=BF$2, OR($G39="",$G39&gt;=BF$2)),
  $H39 * (1 + Assumptions!$C$7) ^ INT(((YEAR(BF$2)-YEAR($F39))*12 + MONTH(BF$2)-MONTH($F39)) / 12),
  0)</f>
        <v>0</v>
      </c>
      <c r="BG39" s="294">
        <f>IF(AND($F39&lt;=BG$2, OR($G39="",$G39&gt;=BG$2)),
  $H39 * (1 + Assumptions!$C$7) ^ INT(((YEAR(BG$2)-YEAR($F39))*12 + MONTH(BG$2)-MONTH($F39)) / 12),
  0)</f>
        <v>0</v>
      </c>
      <c r="BH39" s="294">
        <f>IF(AND($F39&lt;=BH$2, OR($G39="",$G39&gt;=BH$2)),
  $H39 * (1 + Assumptions!$C$7) ^ INT(((YEAR(BH$2)-YEAR($F39))*12 + MONTH(BH$2)-MONTH($F39)) / 12),
  0)</f>
        <v>0</v>
      </c>
      <c r="BI39" s="294">
        <f>IF(AND($F39&lt;=BI$2, OR($G39="",$G39&gt;=BI$2)),
  $H39 * (1 + Assumptions!$C$7) ^ INT(((YEAR(BI$2)-YEAR($F39))*12 + MONTH(BI$2)-MONTH($F39)) / 12),
  0)</f>
        <v>0</v>
      </c>
      <c r="BJ39" s="294">
        <f>IF(AND($F39&lt;=BJ$2, OR($G39="",$G39&gt;=BJ$2)),
  $H39 * (1 + Assumptions!$C$7) ^ INT(((YEAR(BJ$2)-YEAR($F39))*12 + MONTH(BJ$2)-MONTH($F39)) / 12),
  0)</f>
        <v>0</v>
      </c>
      <c r="BK39" s="294">
        <f>IF(AND($F39&lt;=BK$2, OR($G39="",$G39&gt;=BK$2)),
  $H39 * (1 + Assumptions!$C$7) ^ INT(((YEAR(BK$2)-YEAR($F39))*12 + MONTH(BK$2)-MONTH($F39)) / 12),
  0)</f>
        <v>6500</v>
      </c>
      <c r="BL39" s="294">
        <f>IF(AND($F39&lt;=BL$2, OR($G39="",$G39&gt;=BL$2)),
  $H39 * (1 + Assumptions!$C$7) ^ INT(((YEAR(BL$2)-YEAR($F39))*12 + MONTH(BL$2)-MONTH($F39)) / 12),
  0)</f>
        <v>6500</v>
      </c>
      <c r="BM39" s="294">
        <f>IF(AND($F39&lt;=BM$2, OR($G39="",$G39&gt;=BM$2)),
  $H39 * (1 + Assumptions!$C$7) ^ INT(((YEAR(BM$2)-YEAR($F39))*12 + MONTH(BM$2)-MONTH($F39)) / 12),
  0)</f>
        <v>6500</v>
      </c>
      <c r="BN39" s="294">
        <f>IF(AND($F39&lt;=BN$2, OR($G39="",$G39&gt;=BN$2)),
  $H39 * (1 + Assumptions!$C$7) ^ INT(((YEAR(BN$2)-YEAR($F39))*12 + MONTH(BN$2)-MONTH($F39)) / 12),
  0)</f>
        <v>6500</v>
      </c>
      <c r="BO39" s="294">
        <f>IF(AND($F39&lt;=BO$2, OR($G39="",$G39&gt;=BO$2)),
  $H39 * (1 + Assumptions!$C$7) ^ INT(((YEAR(BO$2)-YEAR($F39))*12 + MONTH(BO$2)-MONTH($F39)) / 12),
  0)</f>
        <v>6500</v>
      </c>
      <c r="BP39" s="294">
        <f>IF(AND($F39&lt;=BP$2, OR($G39="",$G39&gt;=BP$2)),
  $H39 * (1 + Assumptions!$C$7) ^ INT(((YEAR(BP$2)-YEAR($F39))*12 + MONTH(BP$2)-MONTH($F39)) / 12),
  0)</f>
        <v>6500</v>
      </c>
      <c r="BQ39" s="28"/>
    </row>
    <row r="40" ht="15.75" customHeight="1">
      <c r="A40" s="301">
        <v>36.0</v>
      </c>
      <c r="B40" s="285" t="s">
        <v>342</v>
      </c>
      <c r="C40" s="24" t="s">
        <v>145</v>
      </c>
      <c r="D40" s="301" t="s">
        <v>348</v>
      </c>
      <c r="E40" s="292" t="s">
        <v>344</v>
      </c>
      <c r="F40" s="286">
        <v>47274.0</v>
      </c>
      <c r="G40" s="303"/>
      <c r="H40" s="288">
        <v>6500.0</v>
      </c>
      <c r="I40" s="294">
        <f>IF(AND($F40&lt;=I$2, OR($G40="",$G40&gt;=I$2)),
  $H40 * (1 + Assumptions!$C$7) ^ INT(((YEAR(I$2)-YEAR($F40))*12 + MONTH(I$2)-MONTH($F40)) / 12),
  0)</f>
        <v>0</v>
      </c>
      <c r="J40" s="294">
        <f>IF(AND($F40&lt;=J$2, OR($G40="",$G40&gt;=J$2)),
  $H40 * (1 + Assumptions!$C$7) ^ INT(((YEAR(J$2)-YEAR($F40))*12 + MONTH(J$2)-MONTH($F40)) / 12),
  0)</f>
        <v>0</v>
      </c>
      <c r="K40" s="294">
        <f>IF(AND($F40&lt;=K$2, OR($G40="",$G40&gt;=K$2)),
  $H40 * (1 + Assumptions!$C$7) ^ INT(((YEAR(K$2)-YEAR($F40))*12 + MONTH(K$2)-MONTH($F40)) / 12),
  0)</f>
        <v>0</v>
      </c>
      <c r="L40" s="294">
        <f>IF(AND($F40&lt;=L$2, OR($G40="",$G40&gt;=L$2)),
  $H40 * (1 + Assumptions!$C$7) ^ INT(((YEAR(L$2)-YEAR($F40))*12 + MONTH(L$2)-MONTH($F40)) / 12),
  0)</f>
        <v>0</v>
      </c>
      <c r="M40" s="294">
        <f>IF(AND($F40&lt;=M$2, OR($G40="",$G40&gt;=M$2)),
  $H40 * (1 + Assumptions!$C$7) ^ INT(((YEAR(M$2)-YEAR($F40))*12 + MONTH(M$2)-MONTH($F40)) / 12),
  0)</f>
        <v>0</v>
      </c>
      <c r="N40" s="294">
        <f>IF(AND($F40&lt;=N$2, OR($G40="",$G40&gt;=N$2)),
  $H40 * (1 + Assumptions!$C$7) ^ INT(((YEAR(N$2)-YEAR($F40))*12 + MONTH(N$2)-MONTH($F40)) / 12),
  0)</f>
        <v>0</v>
      </c>
      <c r="O40" s="294">
        <f>IF(AND($F40&lt;=O$2, OR($G40="",$G40&gt;=O$2)),
  $H40 * (1 + Assumptions!$C$7) ^ INT(((YEAR(O$2)-YEAR($F40))*12 + MONTH(O$2)-MONTH($F40)) / 12),
  0)</f>
        <v>0</v>
      </c>
      <c r="P40" s="294">
        <f>IF(AND($F40&lt;=P$2, OR($G40="",$G40&gt;=P$2)),
  $H40 * (1 + Assumptions!$C$7) ^ INT(((YEAR(P$2)-YEAR($F40))*12 + MONTH(P$2)-MONTH($F40)) / 12),
  0)</f>
        <v>0</v>
      </c>
      <c r="Q40" s="294">
        <f>IF(AND($F40&lt;=Q$2, OR($G40="",$G40&gt;=Q$2)),
  $H40 * (1 + Assumptions!$C$7) ^ INT(((YEAR(Q$2)-YEAR($F40))*12 + MONTH(Q$2)-MONTH($F40)) / 12),
  0)</f>
        <v>0</v>
      </c>
      <c r="R40" s="294">
        <f>IF(AND($F40&lt;=R$2, OR($G40="",$G40&gt;=R$2)),
  $H40 * (1 + Assumptions!$C$7) ^ INT(((YEAR(R$2)-YEAR($F40))*12 + MONTH(R$2)-MONTH($F40)) / 12),
  0)</f>
        <v>0</v>
      </c>
      <c r="S40" s="294">
        <f>IF(AND($F40&lt;=S$2, OR($G40="",$G40&gt;=S$2)),
  $H40 * (1 + Assumptions!$C$7) ^ INT(((YEAR(S$2)-YEAR($F40))*12 + MONTH(S$2)-MONTH($F40)) / 12),
  0)</f>
        <v>0</v>
      </c>
      <c r="T40" s="294">
        <f>IF(AND($F40&lt;=T$2, OR($G40="",$G40&gt;=T$2)),
  $H40 * (1 + Assumptions!$C$7) ^ INT(((YEAR(T$2)-YEAR($F40))*12 + MONTH(T$2)-MONTH($F40)) / 12),
  0)</f>
        <v>0</v>
      </c>
      <c r="U40" s="294">
        <f>IF(AND($F40&lt;=U$2, OR($G40="",$G40&gt;=U$2)),
  $H40 * (1 + Assumptions!$C$7) ^ INT(((YEAR(U$2)-YEAR($F40))*12 + MONTH(U$2)-MONTH($F40)) / 12),
  0)</f>
        <v>0</v>
      </c>
      <c r="V40" s="294">
        <f>IF(AND($F40&lt;=V$2, OR($G40="",$G40&gt;=V$2)),
  $H40 * (1 + Assumptions!$C$7) ^ INT(((YEAR(V$2)-YEAR($F40))*12 + MONTH(V$2)-MONTH($F40)) / 12),
  0)</f>
        <v>0</v>
      </c>
      <c r="W40" s="294">
        <f>IF(AND($F40&lt;=W$2, OR($G40="",$G40&gt;=W$2)),
  $H40 * (1 + Assumptions!$C$7) ^ INT(((YEAR(W$2)-YEAR($F40))*12 + MONTH(W$2)-MONTH($F40)) / 12),
  0)</f>
        <v>0</v>
      </c>
      <c r="X40" s="294">
        <f>IF(AND($F40&lt;=X$2, OR($G40="",$G40&gt;=X$2)),
  $H40 * (1 + Assumptions!$C$7) ^ INT(((YEAR(X$2)-YEAR($F40))*12 + MONTH(X$2)-MONTH($F40)) / 12),
  0)</f>
        <v>0</v>
      </c>
      <c r="Y40" s="294">
        <f>IF(AND($F40&lt;=Y$2, OR($G40="",$G40&gt;=Y$2)),
  $H40 * (1 + Assumptions!$C$7) ^ INT(((YEAR(Y$2)-YEAR($F40))*12 + MONTH(Y$2)-MONTH($F40)) / 12),
  0)</f>
        <v>0</v>
      </c>
      <c r="Z40" s="294">
        <f>IF(AND($F40&lt;=Z$2, OR($G40="",$G40&gt;=Z$2)),
  $H40 * (1 + Assumptions!$C$7) ^ INT(((YEAR(Z$2)-YEAR($F40))*12 + MONTH(Z$2)-MONTH($F40)) / 12),
  0)</f>
        <v>0</v>
      </c>
      <c r="AA40" s="294">
        <f>IF(AND($F40&lt;=AA$2, OR($G40="",$G40&gt;=AA$2)),
  $H40 * (1 + Assumptions!$C$7) ^ INT(((YEAR(AA$2)-YEAR($F40))*12 + MONTH(AA$2)-MONTH($F40)) / 12),
  0)</f>
        <v>0</v>
      </c>
      <c r="AB40" s="294">
        <f>IF(AND($F40&lt;=AB$2, OR($G40="",$G40&gt;=AB$2)),
  $H40 * (1 + Assumptions!$C$7) ^ INT(((YEAR(AB$2)-YEAR($F40))*12 + MONTH(AB$2)-MONTH($F40)) / 12),
  0)</f>
        <v>0</v>
      </c>
      <c r="AC40" s="294">
        <f>IF(AND($F40&lt;=AC$2, OR($G40="",$G40&gt;=AC$2)),
  $H40 * (1 + Assumptions!$C$7) ^ INT(((YEAR(AC$2)-YEAR($F40))*12 + MONTH(AC$2)-MONTH($F40)) / 12),
  0)</f>
        <v>0</v>
      </c>
      <c r="AD40" s="294">
        <f>IF(AND($F40&lt;=AD$2, OR($G40="",$G40&gt;=AD$2)),
  $H40 * (1 + Assumptions!$C$7) ^ INT(((YEAR(AD$2)-YEAR($F40))*12 + MONTH(AD$2)-MONTH($F40)) / 12),
  0)</f>
        <v>0</v>
      </c>
      <c r="AE40" s="294">
        <f>IF(AND($F40&lt;=AE$2, OR($G40="",$G40&gt;=AE$2)),
  $H40 * (1 + Assumptions!$C$7) ^ INT(((YEAR(AE$2)-YEAR($F40))*12 + MONTH(AE$2)-MONTH($F40)) / 12),
  0)</f>
        <v>0</v>
      </c>
      <c r="AF40" s="294">
        <f>IF(AND($F40&lt;=AF$2, OR($G40="",$G40&gt;=AF$2)),
  $H40 * (1 + Assumptions!$C$7) ^ INT(((YEAR(AF$2)-YEAR($F40))*12 + MONTH(AF$2)-MONTH($F40)) / 12),
  0)</f>
        <v>0</v>
      </c>
      <c r="AG40" s="294">
        <f>IF(AND($F40&lt;=AG$2, OR($G40="",$G40&gt;=AG$2)),
  $H40 * (1 + Assumptions!$C$7) ^ INT(((YEAR(AG$2)-YEAR($F40))*12 + MONTH(AG$2)-MONTH($F40)) / 12),
  0)</f>
        <v>0</v>
      </c>
      <c r="AH40" s="294">
        <f>IF(AND($F40&lt;=AH$2, OR($G40="",$G40&gt;=AH$2)),
  $H40 * (1 + Assumptions!$C$7) ^ INT(((YEAR(AH$2)-YEAR($F40))*12 + MONTH(AH$2)-MONTH($F40)) / 12),
  0)</f>
        <v>0</v>
      </c>
      <c r="AI40" s="294">
        <f>IF(AND($F40&lt;=AI$2, OR($G40="",$G40&gt;=AI$2)),
  $H40 * (1 + Assumptions!$C$7) ^ INT(((YEAR(AI$2)-YEAR($F40))*12 + MONTH(AI$2)-MONTH($F40)) / 12),
  0)</f>
        <v>0</v>
      </c>
      <c r="AJ40" s="294">
        <f>IF(AND($F40&lt;=AJ$2, OR($G40="",$G40&gt;=AJ$2)),
  $H40 * (1 + Assumptions!$C$7) ^ INT(((YEAR(AJ$2)-YEAR($F40))*12 + MONTH(AJ$2)-MONTH($F40)) / 12),
  0)</f>
        <v>0</v>
      </c>
      <c r="AK40" s="294">
        <f>IF(AND($F40&lt;=AK$2, OR($G40="",$G40&gt;=AK$2)),
  $H40 * (1 + Assumptions!$C$7) ^ INT(((YEAR(AK$2)-YEAR($F40))*12 + MONTH(AK$2)-MONTH($F40)) / 12),
  0)</f>
        <v>0</v>
      </c>
      <c r="AL40" s="294">
        <f>IF(AND($F40&lt;=AL$2, OR($G40="",$G40&gt;=AL$2)),
  $H40 * (1 + Assumptions!$C$7) ^ INT(((YEAR(AL$2)-YEAR($F40))*12 + MONTH(AL$2)-MONTH($F40)) / 12),
  0)</f>
        <v>0</v>
      </c>
      <c r="AM40" s="294">
        <f>IF(AND($F40&lt;=AM$2, OR($G40="",$G40&gt;=AM$2)),
  $H40 * (1 + Assumptions!$C$7) ^ INT(((YEAR(AM$2)-YEAR($F40))*12 + MONTH(AM$2)-MONTH($F40)) / 12),
  0)</f>
        <v>0</v>
      </c>
      <c r="AN40" s="294">
        <f>IF(AND($F40&lt;=AN$2, OR($G40="",$G40&gt;=AN$2)),
  $H40 * (1 + Assumptions!$C$7) ^ INT(((YEAR(AN$2)-YEAR($F40))*12 + MONTH(AN$2)-MONTH($F40)) / 12),
  0)</f>
        <v>0</v>
      </c>
      <c r="AO40" s="294">
        <f>IF(AND($F40&lt;=AO$2, OR($G40="",$G40&gt;=AO$2)),
  $H40 * (1 + Assumptions!$C$7) ^ INT(((YEAR(AO$2)-YEAR($F40))*12 + MONTH(AO$2)-MONTH($F40)) / 12),
  0)</f>
        <v>0</v>
      </c>
      <c r="AP40" s="294">
        <f>IF(AND($F40&lt;=AP$2, OR($G40="",$G40&gt;=AP$2)),
  $H40 * (1 + Assumptions!$C$7) ^ INT(((YEAR(AP$2)-YEAR($F40))*12 + MONTH(AP$2)-MONTH($F40)) / 12),
  0)</f>
        <v>0</v>
      </c>
      <c r="AQ40" s="294">
        <f>IF(AND($F40&lt;=AQ$2, OR($G40="",$G40&gt;=AQ$2)),
  $H40 * (1 + Assumptions!$C$7) ^ INT(((YEAR(AQ$2)-YEAR($F40))*12 + MONTH(AQ$2)-MONTH($F40)) / 12),
  0)</f>
        <v>0</v>
      </c>
      <c r="AR40" s="294">
        <f>IF(AND($F40&lt;=AR$2, OR($G40="",$G40&gt;=AR$2)),
  $H40 * (1 + Assumptions!$C$7) ^ INT(((YEAR(AR$2)-YEAR($F40))*12 + MONTH(AR$2)-MONTH($F40)) / 12),
  0)</f>
        <v>0</v>
      </c>
      <c r="AS40" s="294">
        <f>IF(AND($F40&lt;=AS$2, OR($G40="",$G40&gt;=AS$2)),
  $H40 * (1 + Assumptions!$C$7) ^ INT(((YEAR(AS$2)-YEAR($F40))*12 + MONTH(AS$2)-MONTH($F40)) / 12),
  0)</f>
        <v>0</v>
      </c>
      <c r="AT40" s="294">
        <f>IF(AND($F40&lt;=AT$2, OR($G40="",$G40&gt;=AT$2)),
  $H40 * (1 + Assumptions!$C$7) ^ INT(((YEAR(AT$2)-YEAR($F40))*12 + MONTH(AT$2)-MONTH($F40)) / 12),
  0)</f>
        <v>0</v>
      </c>
      <c r="AU40" s="294">
        <f>IF(AND($F40&lt;=AU$2, OR($G40="",$G40&gt;=AU$2)),
  $H40 * (1 + Assumptions!$C$7) ^ INT(((YEAR(AU$2)-YEAR($F40))*12 + MONTH(AU$2)-MONTH($F40)) / 12),
  0)</f>
        <v>0</v>
      </c>
      <c r="AV40" s="294">
        <f>IF(AND($F40&lt;=AV$2, OR($G40="",$G40&gt;=AV$2)),
  $H40 * (1 + Assumptions!$C$7) ^ INT(((YEAR(AV$2)-YEAR($F40))*12 + MONTH(AV$2)-MONTH($F40)) / 12),
  0)</f>
        <v>0</v>
      </c>
      <c r="AW40" s="294">
        <f>IF(AND($F40&lt;=AW$2, OR($G40="",$G40&gt;=AW$2)),
  $H40 * (1 + Assumptions!$C$7) ^ INT(((YEAR(AW$2)-YEAR($F40))*12 + MONTH(AW$2)-MONTH($F40)) / 12),
  0)</f>
        <v>0</v>
      </c>
      <c r="AX40" s="294">
        <f>IF(AND($F40&lt;=AX$2, OR($G40="",$G40&gt;=AX$2)),
  $H40 * (1 + Assumptions!$C$7) ^ INT(((YEAR(AX$2)-YEAR($F40))*12 + MONTH(AX$2)-MONTH($F40)) / 12),
  0)</f>
        <v>0</v>
      </c>
      <c r="AY40" s="294">
        <f>IF(AND($F40&lt;=AY$2, OR($G40="",$G40&gt;=AY$2)),
  $H40 * (1 + Assumptions!$C$7) ^ INT(((YEAR(AY$2)-YEAR($F40))*12 + MONTH(AY$2)-MONTH($F40)) / 12),
  0)</f>
        <v>0</v>
      </c>
      <c r="AZ40" s="294">
        <f>IF(AND($F40&lt;=AZ$2, OR($G40="",$G40&gt;=AZ$2)),
  $H40 * (1 + Assumptions!$C$7) ^ INT(((YEAR(AZ$2)-YEAR($F40))*12 + MONTH(AZ$2)-MONTH($F40)) / 12),
  0)</f>
        <v>0</v>
      </c>
      <c r="BA40" s="294">
        <f>IF(AND($F40&lt;=BA$2, OR($G40="",$G40&gt;=BA$2)),
  $H40 * (1 + Assumptions!$C$7) ^ INT(((YEAR(BA$2)-YEAR($F40))*12 + MONTH(BA$2)-MONTH($F40)) / 12),
  0)</f>
        <v>0</v>
      </c>
      <c r="BB40" s="294">
        <f>IF(AND($F40&lt;=BB$2, OR($G40="",$G40&gt;=BB$2)),
  $H40 * (1 + Assumptions!$C$7) ^ INT(((YEAR(BB$2)-YEAR($F40))*12 + MONTH(BB$2)-MONTH($F40)) / 12),
  0)</f>
        <v>0</v>
      </c>
      <c r="BC40" s="294">
        <f>IF(AND($F40&lt;=BC$2, OR($G40="",$G40&gt;=BC$2)),
  $H40 * (1 + Assumptions!$C$7) ^ INT(((YEAR(BC$2)-YEAR($F40))*12 + MONTH(BC$2)-MONTH($F40)) / 12),
  0)</f>
        <v>0</v>
      </c>
      <c r="BD40" s="294">
        <f>IF(AND($F40&lt;=BD$2, OR($G40="",$G40&gt;=BD$2)),
  $H40 * (1 + Assumptions!$C$7) ^ INT(((YEAR(BD$2)-YEAR($F40))*12 + MONTH(BD$2)-MONTH($F40)) / 12),
  0)</f>
        <v>0</v>
      </c>
      <c r="BE40" s="294">
        <f>IF(AND($F40&lt;=BE$2, OR($G40="",$G40&gt;=BE$2)),
  $H40 * (1 + Assumptions!$C$7) ^ INT(((YEAR(BE$2)-YEAR($F40))*12 + MONTH(BE$2)-MONTH($F40)) / 12),
  0)</f>
        <v>0</v>
      </c>
      <c r="BF40" s="294">
        <f>IF(AND($F40&lt;=BF$2, OR($G40="",$G40&gt;=BF$2)),
  $H40 * (1 + Assumptions!$C$7) ^ INT(((YEAR(BF$2)-YEAR($F40))*12 + MONTH(BF$2)-MONTH($F40)) / 12),
  0)</f>
        <v>0</v>
      </c>
      <c r="BG40" s="294">
        <f>IF(AND($F40&lt;=BG$2, OR($G40="",$G40&gt;=BG$2)),
  $H40 * (1 + Assumptions!$C$7) ^ INT(((YEAR(BG$2)-YEAR($F40))*12 + MONTH(BG$2)-MONTH($F40)) / 12),
  0)</f>
        <v>0</v>
      </c>
      <c r="BH40" s="294">
        <f>IF(AND($F40&lt;=BH$2, OR($G40="",$G40&gt;=BH$2)),
  $H40 * (1 + Assumptions!$C$7) ^ INT(((YEAR(BH$2)-YEAR($F40))*12 + MONTH(BH$2)-MONTH($F40)) / 12),
  0)</f>
        <v>0</v>
      </c>
      <c r="BI40" s="294">
        <f>IF(AND($F40&lt;=BI$2, OR($G40="",$G40&gt;=BI$2)),
  $H40 * (1 + Assumptions!$C$7) ^ INT(((YEAR(BI$2)-YEAR($F40))*12 + MONTH(BI$2)-MONTH($F40)) / 12),
  0)</f>
        <v>0</v>
      </c>
      <c r="BJ40" s="294">
        <f>IF(AND($F40&lt;=BJ$2, OR($G40="",$G40&gt;=BJ$2)),
  $H40 * (1 + Assumptions!$C$7) ^ INT(((YEAR(BJ$2)-YEAR($F40))*12 + MONTH(BJ$2)-MONTH($F40)) / 12),
  0)</f>
        <v>0</v>
      </c>
      <c r="BK40" s="294">
        <f>IF(AND($F40&lt;=BK$2, OR($G40="",$G40&gt;=BK$2)),
  $H40 * (1 + Assumptions!$C$7) ^ INT(((YEAR(BK$2)-YEAR($F40))*12 + MONTH(BK$2)-MONTH($F40)) / 12),
  0)</f>
        <v>6500</v>
      </c>
      <c r="BL40" s="294">
        <f>IF(AND($F40&lt;=BL$2, OR($G40="",$G40&gt;=BL$2)),
  $H40 * (1 + Assumptions!$C$7) ^ INT(((YEAR(BL$2)-YEAR($F40))*12 + MONTH(BL$2)-MONTH($F40)) / 12),
  0)</f>
        <v>6500</v>
      </c>
      <c r="BM40" s="294">
        <f>IF(AND($F40&lt;=BM$2, OR($G40="",$G40&gt;=BM$2)),
  $H40 * (1 + Assumptions!$C$7) ^ INT(((YEAR(BM$2)-YEAR($F40))*12 + MONTH(BM$2)-MONTH($F40)) / 12),
  0)</f>
        <v>6500</v>
      </c>
      <c r="BN40" s="294">
        <f>IF(AND($F40&lt;=BN$2, OR($G40="",$G40&gt;=BN$2)),
  $H40 * (1 + Assumptions!$C$7) ^ INT(((YEAR(BN$2)-YEAR($F40))*12 + MONTH(BN$2)-MONTH($F40)) / 12),
  0)</f>
        <v>6500</v>
      </c>
      <c r="BO40" s="294">
        <f>IF(AND($F40&lt;=BO$2, OR($G40="",$G40&gt;=BO$2)),
  $H40 * (1 + Assumptions!$C$7) ^ INT(((YEAR(BO$2)-YEAR($F40))*12 + MONTH(BO$2)-MONTH($F40)) / 12),
  0)</f>
        <v>6500</v>
      </c>
      <c r="BP40" s="294">
        <f>IF(AND($F40&lt;=BP$2, OR($G40="",$G40&gt;=BP$2)),
  $H40 * (1 + Assumptions!$C$7) ^ INT(((YEAR(BP$2)-YEAR($F40))*12 + MONTH(BP$2)-MONTH($F40)) / 12),
  0)</f>
        <v>6500</v>
      </c>
      <c r="BQ40" s="28"/>
    </row>
    <row r="41" ht="15.75" customHeight="1">
      <c r="A41" s="301">
        <v>37.0</v>
      </c>
      <c r="B41" s="285" t="s">
        <v>342</v>
      </c>
      <c r="C41" s="24" t="s">
        <v>145</v>
      </c>
      <c r="D41" s="301" t="s">
        <v>353</v>
      </c>
      <c r="E41" s="292" t="s">
        <v>344</v>
      </c>
      <c r="F41" s="286">
        <v>47392.0</v>
      </c>
      <c r="G41" s="303"/>
      <c r="H41" s="288">
        <v>8000.0</v>
      </c>
      <c r="I41" s="294">
        <f>IF(AND($F41&lt;=I$2, OR($G41="",$G41&gt;=I$2)),
  $H41 * (1 + Assumptions!$C$7) ^ INT(((YEAR(I$2)-YEAR($F41))*12 + MONTH(I$2)-MONTH($F41)) / 12),
  0)</f>
        <v>0</v>
      </c>
      <c r="J41" s="294">
        <f>IF(AND($F41&lt;=J$2, OR($G41="",$G41&gt;=J$2)),
  $H41 * (1 + Assumptions!$C$7) ^ INT(((YEAR(J$2)-YEAR($F41))*12 + MONTH(J$2)-MONTH($F41)) / 12),
  0)</f>
        <v>0</v>
      </c>
      <c r="K41" s="294">
        <f>IF(AND($F41&lt;=K$2, OR($G41="",$G41&gt;=K$2)),
  $H41 * (1 + Assumptions!$C$7) ^ INT(((YEAR(K$2)-YEAR($F41))*12 + MONTH(K$2)-MONTH($F41)) / 12),
  0)</f>
        <v>0</v>
      </c>
      <c r="L41" s="294">
        <f>IF(AND($F41&lt;=L$2, OR($G41="",$G41&gt;=L$2)),
  $H41 * (1 + Assumptions!$C$7) ^ INT(((YEAR(L$2)-YEAR($F41))*12 + MONTH(L$2)-MONTH($F41)) / 12),
  0)</f>
        <v>0</v>
      </c>
      <c r="M41" s="294">
        <f>IF(AND($F41&lt;=M$2, OR($G41="",$G41&gt;=M$2)),
  $H41 * (1 + Assumptions!$C$7) ^ INT(((YEAR(M$2)-YEAR($F41))*12 + MONTH(M$2)-MONTH($F41)) / 12),
  0)</f>
        <v>0</v>
      </c>
      <c r="N41" s="294">
        <f>IF(AND($F41&lt;=N$2, OR($G41="",$G41&gt;=N$2)),
  $H41 * (1 + Assumptions!$C$7) ^ INT(((YEAR(N$2)-YEAR($F41))*12 + MONTH(N$2)-MONTH($F41)) / 12),
  0)</f>
        <v>0</v>
      </c>
      <c r="O41" s="294">
        <f>IF(AND($F41&lt;=O$2, OR($G41="",$G41&gt;=O$2)),
  $H41 * (1 + Assumptions!$C$7) ^ INT(((YEAR(O$2)-YEAR($F41))*12 + MONTH(O$2)-MONTH($F41)) / 12),
  0)</f>
        <v>0</v>
      </c>
      <c r="P41" s="294">
        <f>IF(AND($F41&lt;=P$2, OR($G41="",$G41&gt;=P$2)),
  $H41 * (1 + Assumptions!$C$7) ^ INT(((YEAR(P$2)-YEAR($F41))*12 + MONTH(P$2)-MONTH($F41)) / 12),
  0)</f>
        <v>0</v>
      </c>
      <c r="Q41" s="294">
        <f>IF(AND($F41&lt;=Q$2, OR($G41="",$G41&gt;=Q$2)),
  $H41 * (1 + Assumptions!$C$7) ^ INT(((YEAR(Q$2)-YEAR($F41))*12 + MONTH(Q$2)-MONTH($F41)) / 12),
  0)</f>
        <v>0</v>
      </c>
      <c r="R41" s="294">
        <f>IF(AND($F41&lt;=R$2, OR($G41="",$G41&gt;=R$2)),
  $H41 * (1 + Assumptions!$C$7) ^ INT(((YEAR(R$2)-YEAR($F41))*12 + MONTH(R$2)-MONTH($F41)) / 12),
  0)</f>
        <v>0</v>
      </c>
      <c r="S41" s="294">
        <f>IF(AND($F41&lt;=S$2, OR($G41="",$G41&gt;=S$2)),
  $H41 * (1 + Assumptions!$C$7) ^ INT(((YEAR(S$2)-YEAR($F41))*12 + MONTH(S$2)-MONTH($F41)) / 12),
  0)</f>
        <v>0</v>
      </c>
      <c r="T41" s="294">
        <f>IF(AND($F41&lt;=T$2, OR($G41="",$G41&gt;=T$2)),
  $H41 * (1 + Assumptions!$C$7) ^ INT(((YEAR(T$2)-YEAR($F41))*12 + MONTH(T$2)-MONTH($F41)) / 12),
  0)</f>
        <v>0</v>
      </c>
      <c r="U41" s="294">
        <f>IF(AND($F41&lt;=U$2, OR($G41="",$G41&gt;=U$2)),
  $H41 * (1 + Assumptions!$C$7) ^ INT(((YEAR(U$2)-YEAR($F41))*12 + MONTH(U$2)-MONTH($F41)) / 12),
  0)</f>
        <v>0</v>
      </c>
      <c r="V41" s="294">
        <f>IF(AND($F41&lt;=V$2, OR($G41="",$G41&gt;=V$2)),
  $H41 * (1 + Assumptions!$C$7) ^ INT(((YEAR(V$2)-YEAR($F41))*12 + MONTH(V$2)-MONTH($F41)) / 12),
  0)</f>
        <v>0</v>
      </c>
      <c r="W41" s="294">
        <f>IF(AND($F41&lt;=W$2, OR($G41="",$G41&gt;=W$2)),
  $H41 * (1 + Assumptions!$C$7) ^ INT(((YEAR(W$2)-YEAR($F41))*12 + MONTH(W$2)-MONTH($F41)) / 12),
  0)</f>
        <v>0</v>
      </c>
      <c r="X41" s="294">
        <f>IF(AND($F41&lt;=X$2, OR($G41="",$G41&gt;=X$2)),
  $H41 * (1 + Assumptions!$C$7) ^ INT(((YEAR(X$2)-YEAR($F41))*12 + MONTH(X$2)-MONTH($F41)) / 12),
  0)</f>
        <v>0</v>
      </c>
      <c r="Y41" s="294">
        <f>IF(AND($F41&lt;=Y$2, OR($G41="",$G41&gt;=Y$2)),
  $H41 * (1 + Assumptions!$C$7) ^ INT(((YEAR(Y$2)-YEAR($F41))*12 + MONTH(Y$2)-MONTH($F41)) / 12),
  0)</f>
        <v>0</v>
      </c>
      <c r="Z41" s="294">
        <f>IF(AND($F41&lt;=Z$2, OR($G41="",$G41&gt;=Z$2)),
  $H41 * (1 + Assumptions!$C$7) ^ INT(((YEAR(Z$2)-YEAR($F41))*12 + MONTH(Z$2)-MONTH($F41)) / 12),
  0)</f>
        <v>0</v>
      </c>
      <c r="AA41" s="294">
        <f>IF(AND($F41&lt;=AA$2, OR($G41="",$G41&gt;=AA$2)),
  $H41 * (1 + Assumptions!$C$7) ^ INT(((YEAR(AA$2)-YEAR($F41))*12 + MONTH(AA$2)-MONTH($F41)) / 12),
  0)</f>
        <v>0</v>
      </c>
      <c r="AB41" s="294">
        <f>IF(AND($F41&lt;=AB$2, OR($G41="",$G41&gt;=AB$2)),
  $H41 * (1 + Assumptions!$C$7) ^ INT(((YEAR(AB$2)-YEAR($F41))*12 + MONTH(AB$2)-MONTH($F41)) / 12),
  0)</f>
        <v>0</v>
      </c>
      <c r="AC41" s="294">
        <f>IF(AND($F41&lt;=AC$2, OR($G41="",$G41&gt;=AC$2)),
  $H41 * (1 + Assumptions!$C$7) ^ INT(((YEAR(AC$2)-YEAR($F41))*12 + MONTH(AC$2)-MONTH($F41)) / 12),
  0)</f>
        <v>0</v>
      </c>
      <c r="AD41" s="294">
        <f>IF(AND($F41&lt;=AD$2, OR($G41="",$G41&gt;=AD$2)),
  $H41 * (1 + Assumptions!$C$7) ^ INT(((YEAR(AD$2)-YEAR($F41))*12 + MONTH(AD$2)-MONTH($F41)) / 12),
  0)</f>
        <v>0</v>
      </c>
      <c r="AE41" s="294">
        <f>IF(AND($F41&lt;=AE$2, OR($G41="",$G41&gt;=AE$2)),
  $H41 * (1 + Assumptions!$C$7) ^ INT(((YEAR(AE$2)-YEAR($F41))*12 + MONTH(AE$2)-MONTH($F41)) / 12),
  0)</f>
        <v>0</v>
      </c>
      <c r="AF41" s="294">
        <f>IF(AND($F41&lt;=AF$2, OR($G41="",$G41&gt;=AF$2)),
  $H41 * (1 + Assumptions!$C$7) ^ INT(((YEAR(AF$2)-YEAR($F41))*12 + MONTH(AF$2)-MONTH($F41)) / 12),
  0)</f>
        <v>0</v>
      </c>
      <c r="AG41" s="294">
        <f>IF(AND($F41&lt;=AG$2, OR($G41="",$G41&gt;=AG$2)),
  $H41 * (1 + Assumptions!$C$7) ^ INT(((YEAR(AG$2)-YEAR($F41))*12 + MONTH(AG$2)-MONTH($F41)) / 12),
  0)</f>
        <v>0</v>
      </c>
      <c r="AH41" s="294">
        <f>IF(AND($F41&lt;=AH$2, OR($G41="",$G41&gt;=AH$2)),
  $H41 * (1 + Assumptions!$C$7) ^ INT(((YEAR(AH$2)-YEAR($F41))*12 + MONTH(AH$2)-MONTH($F41)) / 12),
  0)</f>
        <v>0</v>
      </c>
      <c r="AI41" s="294">
        <f>IF(AND($F41&lt;=AI$2, OR($G41="",$G41&gt;=AI$2)),
  $H41 * (1 + Assumptions!$C$7) ^ INT(((YEAR(AI$2)-YEAR($F41))*12 + MONTH(AI$2)-MONTH($F41)) / 12),
  0)</f>
        <v>0</v>
      </c>
      <c r="AJ41" s="294">
        <f>IF(AND($F41&lt;=AJ$2, OR($G41="",$G41&gt;=AJ$2)),
  $H41 * (1 + Assumptions!$C$7) ^ INT(((YEAR(AJ$2)-YEAR($F41))*12 + MONTH(AJ$2)-MONTH($F41)) / 12),
  0)</f>
        <v>0</v>
      </c>
      <c r="AK41" s="294">
        <f>IF(AND($F41&lt;=AK$2, OR($G41="",$G41&gt;=AK$2)),
  $H41 * (1 + Assumptions!$C$7) ^ INT(((YEAR(AK$2)-YEAR($F41))*12 + MONTH(AK$2)-MONTH($F41)) / 12),
  0)</f>
        <v>0</v>
      </c>
      <c r="AL41" s="294">
        <f>IF(AND($F41&lt;=AL$2, OR($G41="",$G41&gt;=AL$2)),
  $H41 * (1 + Assumptions!$C$7) ^ INT(((YEAR(AL$2)-YEAR($F41))*12 + MONTH(AL$2)-MONTH($F41)) / 12),
  0)</f>
        <v>0</v>
      </c>
      <c r="AM41" s="294">
        <f>IF(AND($F41&lt;=AM$2, OR($G41="",$G41&gt;=AM$2)),
  $H41 * (1 + Assumptions!$C$7) ^ INT(((YEAR(AM$2)-YEAR($F41))*12 + MONTH(AM$2)-MONTH($F41)) / 12),
  0)</f>
        <v>0</v>
      </c>
      <c r="AN41" s="294">
        <f>IF(AND($F41&lt;=AN$2, OR($G41="",$G41&gt;=AN$2)),
  $H41 * (1 + Assumptions!$C$7) ^ INT(((YEAR(AN$2)-YEAR($F41))*12 + MONTH(AN$2)-MONTH($F41)) / 12),
  0)</f>
        <v>0</v>
      </c>
      <c r="AO41" s="294">
        <f>IF(AND($F41&lt;=AO$2, OR($G41="",$G41&gt;=AO$2)),
  $H41 * (1 + Assumptions!$C$7) ^ INT(((YEAR(AO$2)-YEAR($F41))*12 + MONTH(AO$2)-MONTH($F41)) / 12),
  0)</f>
        <v>0</v>
      </c>
      <c r="AP41" s="294">
        <f>IF(AND($F41&lt;=AP$2, OR($G41="",$G41&gt;=AP$2)),
  $H41 * (1 + Assumptions!$C$7) ^ INT(((YEAR(AP$2)-YEAR($F41))*12 + MONTH(AP$2)-MONTH($F41)) / 12),
  0)</f>
        <v>0</v>
      </c>
      <c r="AQ41" s="294">
        <f>IF(AND($F41&lt;=AQ$2, OR($G41="",$G41&gt;=AQ$2)),
  $H41 * (1 + Assumptions!$C$7) ^ INT(((YEAR(AQ$2)-YEAR($F41))*12 + MONTH(AQ$2)-MONTH($F41)) / 12),
  0)</f>
        <v>0</v>
      </c>
      <c r="AR41" s="294">
        <f>IF(AND($F41&lt;=AR$2, OR($G41="",$G41&gt;=AR$2)),
  $H41 * (1 + Assumptions!$C$7) ^ INT(((YEAR(AR$2)-YEAR($F41))*12 + MONTH(AR$2)-MONTH($F41)) / 12),
  0)</f>
        <v>0</v>
      </c>
      <c r="AS41" s="294">
        <f>IF(AND($F41&lt;=AS$2, OR($G41="",$G41&gt;=AS$2)),
  $H41 * (1 + Assumptions!$C$7) ^ INT(((YEAR(AS$2)-YEAR($F41))*12 + MONTH(AS$2)-MONTH($F41)) / 12),
  0)</f>
        <v>0</v>
      </c>
      <c r="AT41" s="294">
        <f>IF(AND($F41&lt;=AT$2, OR($G41="",$G41&gt;=AT$2)),
  $H41 * (1 + Assumptions!$C$7) ^ INT(((YEAR(AT$2)-YEAR($F41))*12 + MONTH(AT$2)-MONTH($F41)) / 12),
  0)</f>
        <v>0</v>
      </c>
      <c r="AU41" s="294">
        <f>IF(AND($F41&lt;=AU$2, OR($G41="",$G41&gt;=AU$2)),
  $H41 * (1 + Assumptions!$C$7) ^ INT(((YEAR(AU$2)-YEAR($F41))*12 + MONTH(AU$2)-MONTH($F41)) / 12),
  0)</f>
        <v>0</v>
      </c>
      <c r="AV41" s="294">
        <f>IF(AND($F41&lt;=AV$2, OR($G41="",$G41&gt;=AV$2)),
  $H41 * (1 + Assumptions!$C$7) ^ INT(((YEAR(AV$2)-YEAR($F41))*12 + MONTH(AV$2)-MONTH($F41)) / 12),
  0)</f>
        <v>0</v>
      </c>
      <c r="AW41" s="294">
        <f>IF(AND($F41&lt;=AW$2, OR($G41="",$G41&gt;=AW$2)),
  $H41 * (1 + Assumptions!$C$7) ^ INT(((YEAR(AW$2)-YEAR($F41))*12 + MONTH(AW$2)-MONTH($F41)) / 12),
  0)</f>
        <v>0</v>
      </c>
      <c r="AX41" s="294">
        <f>IF(AND($F41&lt;=AX$2, OR($G41="",$G41&gt;=AX$2)),
  $H41 * (1 + Assumptions!$C$7) ^ INT(((YEAR(AX$2)-YEAR($F41))*12 + MONTH(AX$2)-MONTH($F41)) / 12),
  0)</f>
        <v>0</v>
      </c>
      <c r="AY41" s="294">
        <f>IF(AND($F41&lt;=AY$2, OR($G41="",$G41&gt;=AY$2)),
  $H41 * (1 + Assumptions!$C$7) ^ INT(((YEAR(AY$2)-YEAR($F41))*12 + MONTH(AY$2)-MONTH($F41)) / 12),
  0)</f>
        <v>0</v>
      </c>
      <c r="AZ41" s="294">
        <f>IF(AND($F41&lt;=AZ$2, OR($G41="",$G41&gt;=AZ$2)),
  $H41 * (1 + Assumptions!$C$7) ^ INT(((YEAR(AZ$2)-YEAR($F41))*12 + MONTH(AZ$2)-MONTH($F41)) / 12),
  0)</f>
        <v>0</v>
      </c>
      <c r="BA41" s="294">
        <f>IF(AND($F41&lt;=BA$2, OR($G41="",$G41&gt;=BA$2)),
  $H41 * (1 + Assumptions!$C$7) ^ INT(((YEAR(BA$2)-YEAR($F41))*12 + MONTH(BA$2)-MONTH($F41)) / 12),
  0)</f>
        <v>0</v>
      </c>
      <c r="BB41" s="294">
        <f>IF(AND($F41&lt;=BB$2, OR($G41="",$G41&gt;=BB$2)),
  $H41 * (1 + Assumptions!$C$7) ^ INT(((YEAR(BB$2)-YEAR($F41))*12 + MONTH(BB$2)-MONTH($F41)) / 12),
  0)</f>
        <v>0</v>
      </c>
      <c r="BC41" s="294">
        <f>IF(AND($F41&lt;=BC$2, OR($G41="",$G41&gt;=BC$2)),
  $H41 * (1 + Assumptions!$C$7) ^ INT(((YEAR(BC$2)-YEAR($F41))*12 + MONTH(BC$2)-MONTH($F41)) / 12),
  0)</f>
        <v>0</v>
      </c>
      <c r="BD41" s="294">
        <f>IF(AND($F41&lt;=BD$2, OR($G41="",$G41&gt;=BD$2)),
  $H41 * (1 + Assumptions!$C$7) ^ INT(((YEAR(BD$2)-YEAR($F41))*12 + MONTH(BD$2)-MONTH($F41)) / 12),
  0)</f>
        <v>0</v>
      </c>
      <c r="BE41" s="294">
        <f>IF(AND($F41&lt;=BE$2, OR($G41="",$G41&gt;=BE$2)),
  $H41 * (1 + Assumptions!$C$7) ^ INT(((YEAR(BE$2)-YEAR($F41))*12 + MONTH(BE$2)-MONTH($F41)) / 12),
  0)</f>
        <v>0</v>
      </c>
      <c r="BF41" s="294">
        <f>IF(AND($F41&lt;=BF$2, OR($G41="",$G41&gt;=BF$2)),
  $H41 * (1 + Assumptions!$C$7) ^ INT(((YEAR(BF$2)-YEAR($F41))*12 + MONTH(BF$2)-MONTH($F41)) / 12),
  0)</f>
        <v>0</v>
      </c>
      <c r="BG41" s="294">
        <f>IF(AND($F41&lt;=BG$2, OR($G41="",$G41&gt;=BG$2)),
  $H41 * (1 + Assumptions!$C$7) ^ INT(((YEAR(BG$2)-YEAR($F41))*12 + MONTH(BG$2)-MONTH($F41)) / 12),
  0)</f>
        <v>0</v>
      </c>
      <c r="BH41" s="294">
        <f>IF(AND($F41&lt;=BH$2, OR($G41="",$G41&gt;=BH$2)),
  $H41 * (1 + Assumptions!$C$7) ^ INT(((YEAR(BH$2)-YEAR($F41))*12 + MONTH(BH$2)-MONTH($F41)) / 12),
  0)</f>
        <v>0</v>
      </c>
      <c r="BI41" s="294">
        <f>IF(AND($F41&lt;=BI$2, OR($G41="",$G41&gt;=BI$2)),
  $H41 * (1 + Assumptions!$C$7) ^ INT(((YEAR(BI$2)-YEAR($F41))*12 + MONTH(BI$2)-MONTH($F41)) / 12),
  0)</f>
        <v>0</v>
      </c>
      <c r="BJ41" s="294">
        <f>IF(AND($F41&lt;=BJ$2, OR($G41="",$G41&gt;=BJ$2)),
  $H41 * (1 + Assumptions!$C$7) ^ INT(((YEAR(BJ$2)-YEAR($F41))*12 + MONTH(BJ$2)-MONTH($F41)) / 12),
  0)</f>
        <v>0</v>
      </c>
      <c r="BK41" s="294">
        <f>IF(AND($F41&lt;=BK$2, OR($G41="",$G41&gt;=BK$2)),
  $H41 * (1 + Assumptions!$C$7) ^ INT(((YEAR(BK$2)-YEAR($F41))*12 + MONTH(BK$2)-MONTH($F41)) / 12),
  0)</f>
        <v>0</v>
      </c>
      <c r="BL41" s="294">
        <f>IF(AND($F41&lt;=BL$2, OR($G41="",$G41&gt;=BL$2)),
  $H41 * (1 + Assumptions!$C$7) ^ INT(((YEAR(BL$2)-YEAR($F41))*12 + MONTH(BL$2)-MONTH($F41)) / 12),
  0)</f>
        <v>0</v>
      </c>
      <c r="BM41" s="294">
        <f>IF(AND($F41&lt;=BM$2, OR($G41="",$G41&gt;=BM$2)),
  $H41 * (1 + Assumptions!$C$7) ^ INT(((YEAR(BM$2)-YEAR($F41))*12 + MONTH(BM$2)-MONTH($F41)) / 12),
  0)</f>
        <v>0</v>
      </c>
      <c r="BN41" s="294">
        <f>IF(AND($F41&lt;=BN$2, OR($G41="",$G41&gt;=BN$2)),
  $H41 * (1 + Assumptions!$C$7) ^ INT(((YEAR(BN$2)-YEAR($F41))*12 + MONTH(BN$2)-MONTH($F41)) / 12),
  0)</f>
        <v>8000</v>
      </c>
      <c r="BO41" s="294">
        <f>IF(AND($F41&lt;=BO$2, OR($G41="",$G41&gt;=BO$2)),
  $H41 * (1 + Assumptions!$C$7) ^ INT(((YEAR(BO$2)-YEAR($F41))*12 + MONTH(BO$2)-MONTH($F41)) / 12),
  0)</f>
        <v>8000</v>
      </c>
      <c r="BP41" s="294">
        <f>IF(AND($F41&lt;=BP$2, OR($G41="",$G41&gt;=BP$2)),
  $H41 * (1 + Assumptions!$C$7) ^ INT(((YEAR(BP$2)-YEAR($F41))*12 + MONTH(BP$2)-MONTH($F41)) / 12),
  0)</f>
        <v>8000</v>
      </c>
      <c r="BQ41" s="28"/>
    </row>
    <row r="42" ht="15.75" customHeight="1">
      <c r="A42" s="301">
        <v>38.0</v>
      </c>
      <c r="B42" s="285" t="s">
        <v>342</v>
      </c>
      <c r="C42" s="24" t="s">
        <v>141</v>
      </c>
      <c r="D42" s="301" t="s">
        <v>354</v>
      </c>
      <c r="E42" s="292" t="s">
        <v>344</v>
      </c>
      <c r="F42" s="286">
        <v>47393.0</v>
      </c>
      <c r="G42" s="303"/>
      <c r="H42" s="288">
        <v>6500.0</v>
      </c>
      <c r="I42" s="294">
        <f>IF(AND($F42&lt;=I$2, OR($G42="",$G42&gt;=I$2)),
  $H42 * (1 + Assumptions!$C$7) ^ INT(((YEAR(I$2)-YEAR($F42))*12 + MONTH(I$2)-MONTH($F42)) / 12),
  0)</f>
        <v>0</v>
      </c>
      <c r="J42" s="294">
        <f>IF(AND($F42&lt;=J$2, OR($G42="",$G42&gt;=J$2)),
  $H42 * (1 + Assumptions!$C$7) ^ INT(((YEAR(J$2)-YEAR($F42))*12 + MONTH(J$2)-MONTH($F42)) / 12),
  0)</f>
        <v>0</v>
      </c>
      <c r="K42" s="294">
        <f>IF(AND($F42&lt;=K$2, OR($G42="",$G42&gt;=K$2)),
  $H42 * (1 + Assumptions!$C$7) ^ INT(((YEAR(K$2)-YEAR($F42))*12 + MONTH(K$2)-MONTH($F42)) / 12),
  0)</f>
        <v>0</v>
      </c>
      <c r="L42" s="294">
        <f>IF(AND($F42&lt;=L$2, OR($G42="",$G42&gt;=L$2)),
  $H42 * (1 + Assumptions!$C$7) ^ INT(((YEAR(L$2)-YEAR($F42))*12 + MONTH(L$2)-MONTH($F42)) / 12),
  0)</f>
        <v>0</v>
      </c>
      <c r="M42" s="294">
        <f>IF(AND($F42&lt;=M$2, OR($G42="",$G42&gt;=M$2)),
  $H42 * (1 + Assumptions!$C$7) ^ INT(((YEAR(M$2)-YEAR($F42))*12 + MONTH(M$2)-MONTH($F42)) / 12),
  0)</f>
        <v>0</v>
      </c>
      <c r="N42" s="294">
        <f>IF(AND($F42&lt;=N$2, OR($G42="",$G42&gt;=N$2)),
  $H42 * (1 + Assumptions!$C$7) ^ INT(((YEAR(N$2)-YEAR($F42))*12 + MONTH(N$2)-MONTH($F42)) / 12),
  0)</f>
        <v>0</v>
      </c>
      <c r="O42" s="294">
        <f>IF(AND($F42&lt;=O$2, OR($G42="",$G42&gt;=O$2)),
  $H42 * (1 + Assumptions!$C$7) ^ INT(((YEAR(O$2)-YEAR($F42))*12 + MONTH(O$2)-MONTH($F42)) / 12),
  0)</f>
        <v>0</v>
      </c>
      <c r="P42" s="294">
        <f>IF(AND($F42&lt;=P$2, OR($G42="",$G42&gt;=P$2)),
  $H42 * (1 + Assumptions!$C$7) ^ INT(((YEAR(P$2)-YEAR($F42))*12 + MONTH(P$2)-MONTH($F42)) / 12),
  0)</f>
        <v>0</v>
      </c>
      <c r="Q42" s="294">
        <f>IF(AND($F42&lt;=Q$2, OR($G42="",$G42&gt;=Q$2)),
  $H42 * (1 + Assumptions!$C$7) ^ INT(((YEAR(Q$2)-YEAR($F42))*12 + MONTH(Q$2)-MONTH($F42)) / 12),
  0)</f>
        <v>0</v>
      </c>
      <c r="R42" s="294">
        <f>IF(AND($F42&lt;=R$2, OR($G42="",$G42&gt;=R$2)),
  $H42 * (1 + Assumptions!$C$7) ^ INT(((YEAR(R$2)-YEAR($F42))*12 + MONTH(R$2)-MONTH($F42)) / 12),
  0)</f>
        <v>0</v>
      </c>
      <c r="S42" s="294">
        <f>IF(AND($F42&lt;=S$2, OR($G42="",$G42&gt;=S$2)),
  $H42 * (1 + Assumptions!$C$7) ^ INT(((YEAR(S$2)-YEAR($F42))*12 + MONTH(S$2)-MONTH($F42)) / 12),
  0)</f>
        <v>0</v>
      </c>
      <c r="T42" s="294">
        <f>IF(AND($F42&lt;=T$2, OR($G42="",$G42&gt;=T$2)),
  $H42 * (1 + Assumptions!$C$7) ^ INT(((YEAR(T$2)-YEAR($F42))*12 + MONTH(T$2)-MONTH($F42)) / 12),
  0)</f>
        <v>0</v>
      </c>
      <c r="U42" s="294">
        <f>IF(AND($F42&lt;=U$2, OR($G42="",$G42&gt;=U$2)),
  $H42 * (1 + Assumptions!$C$7) ^ INT(((YEAR(U$2)-YEAR($F42))*12 + MONTH(U$2)-MONTH($F42)) / 12),
  0)</f>
        <v>0</v>
      </c>
      <c r="V42" s="294">
        <f>IF(AND($F42&lt;=V$2, OR($G42="",$G42&gt;=V$2)),
  $H42 * (1 + Assumptions!$C$7) ^ INT(((YEAR(V$2)-YEAR($F42))*12 + MONTH(V$2)-MONTH($F42)) / 12),
  0)</f>
        <v>0</v>
      </c>
      <c r="W42" s="294">
        <f>IF(AND($F42&lt;=W$2, OR($G42="",$G42&gt;=W$2)),
  $H42 * (1 + Assumptions!$C$7) ^ INT(((YEAR(W$2)-YEAR($F42))*12 + MONTH(W$2)-MONTH($F42)) / 12),
  0)</f>
        <v>0</v>
      </c>
      <c r="X42" s="294">
        <f>IF(AND($F42&lt;=X$2, OR($G42="",$G42&gt;=X$2)),
  $H42 * (1 + Assumptions!$C$7) ^ INT(((YEAR(X$2)-YEAR($F42))*12 + MONTH(X$2)-MONTH($F42)) / 12),
  0)</f>
        <v>0</v>
      </c>
      <c r="Y42" s="294">
        <f>IF(AND($F42&lt;=Y$2, OR($G42="",$G42&gt;=Y$2)),
  $H42 * (1 + Assumptions!$C$7) ^ INT(((YEAR(Y$2)-YEAR($F42))*12 + MONTH(Y$2)-MONTH($F42)) / 12),
  0)</f>
        <v>0</v>
      </c>
      <c r="Z42" s="294">
        <f>IF(AND($F42&lt;=Z$2, OR($G42="",$G42&gt;=Z$2)),
  $H42 * (1 + Assumptions!$C$7) ^ INT(((YEAR(Z$2)-YEAR($F42))*12 + MONTH(Z$2)-MONTH($F42)) / 12),
  0)</f>
        <v>0</v>
      </c>
      <c r="AA42" s="294">
        <f>IF(AND($F42&lt;=AA$2, OR($G42="",$G42&gt;=AA$2)),
  $H42 * (1 + Assumptions!$C$7) ^ INT(((YEAR(AA$2)-YEAR($F42))*12 + MONTH(AA$2)-MONTH($F42)) / 12),
  0)</f>
        <v>0</v>
      </c>
      <c r="AB42" s="294">
        <f>IF(AND($F42&lt;=AB$2, OR($G42="",$G42&gt;=AB$2)),
  $H42 * (1 + Assumptions!$C$7) ^ INT(((YEAR(AB$2)-YEAR($F42))*12 + MONTH(AB$2)-MONTH($F42)) / 12),
  0)</f>
        <v>0</v>
      </c>
      <c r="AC42" s="294">
        <f>IF(AND($F42&lt;=AC$2, OR($G42="",$G42&gt;=AC$2)),
  $H42 * (1 + Assumptions!$C$7) ^ INT(((YEAR(AC$2)-YEAR($F42))*12 + MONTH(AC$2)-MONTH($F42)) / 12),
  0)</f>
        <v>0</v>
      </c>
      <c r="AD42" s="294">
        <f>IF(AND($F42&lt;=AD$2, OR($G42="",$G42&gt;=AD$2)),
  $H42 * (1 + Assumptions!$C$7) ^ INT(((YEAR(AD$2)-YEAR($F42))*12 + MONTH(AD$2)-MONTH($F42)) / 12),
  0)</f>
        <v>0</v>
      </c>
      <c r="AE42" s="294">
        <f>IF(AND($F42&lt;=AE$2, OR($G42="",$G42&gt;=AE$2)),
  $H42 * (1 + Assumptions!$C$7) ^ INT(((YEAR(AE$2)-YEAR($F42))*12 + MONTH(AE$2)-MONTH($F42)) / 12),
  0)</f>
        <v>0</v>
      </c>
      <c r="AF42" s="294">
        <f>IF(AND($F42&lt;=AF$2, OR($G42="",$G42&gt;=AF$2)),
  $H42 * (1 + Assumptions!$C$7) ^ INT(((YEAR(AF$2)-YEAR($F42))*12 + MONTH(AF$2)-MONTH($F42)) / 12),
  0)</f>
        <v>0</v>
      </c>
      <c r="AG42" s="294">
        <f>IF(AND($F42&lt;=AG$2, OR($G42="",$G42&gt;=AG$2)),
  $H42 * (1 + Assumptions!$C$7) ^ INT(((YEAR(AG$2)-YEAR($F42))*12 + MONTH(AG$2)-MONTH($F42)) / 12),
  0)</f>
        <v>0</v>
      </c>
      <c r="AH42" s="294">
        <f>IF(AND($F42&lt;=AH$2, OR($G42="",$G42&gt;=AH$2)),
  $H42 * (1 + Assumptions!$C$7) ^ INT(((YEAR(AH$2)-YEAR($F42))*12 + MONTH(AH$2)-MONTH($F42)) / 12),
  0)</f>
        <v>0</v>
      </c>
      <c r="AI42" s="294">
        <f>IF(AND($F42&lt;=AI$2, OR($G42="",$G42&gt;=AI$2)),
  $H42 * (1 + Assumptions!$C$7) ^ INT(((YEAR(AI$2)-YEAR($F42))*12 + MONTH(AI$2)-MONTH($F42)) / 12),
  0)</f>
        <v>0</v>
      </c>
      <c r="AJ42" s="294">
        <f>IF(AND($F42&lt;=AJ$2, OR($G42="",$G42&gt;=AJ$2)),
  $H42 * (1 + Assumptions!$C$7) ^ INT(((YEAR(AJ$2)-YEAR($F42))*12 + MONTH(AJ$2)-MONTH($F42)) / 12),
  0)</f>
        <v>0</v>
      </c>
      <c r="AK42" s="294">
        <f>IF(AND($F42&lt;=AK$2, OR($G42="",$G42&gt;=AK$2)),
  $H42 * (1 + Assumptions!$C$7) ^ INT(((YEAR(AK$2)-YEAR($F42))*12 + MONTH(AK$2)-MONTH($F42)) / 12),
  0)</f>
        <v>0</v>
      </c>
      <c r="AL42" s="294">
        <f>IF(AND($F42&lt;=AL$2, OR($G42="",$G42&gt;=AL$2)),
  $H42 * (1 + Assumptions!$C$7) ^ INT(((YEAR(AL$2)-YEAR($F42))*12 + MONTH(AL$2)-MONTH($F42)) / 12),
  0)</f>
        <v>0</v>
      </c>
      <c r="AM42" s="294">
        <f>IF(AND($F42&lt;=AM$2, OR($G42="",$G42&gt;=AM$2)),
  $H42 * (1 + Assumptions!$C$7) ^ INT(((YEAR(AM$2)-YEAR($F42))*12 + MONTH(AM$2)-MONTH($F42)) / 12),
  0)</f>
        <v>0</v>
      </c>
      <c r="AN42" s="294">
        <f>IF(AND($F42&lt;=AN$2, OR($G42="",$G42&gt;=AN$2)),
  $H42 * (1 + Assumptions!$C$7) ^ INT(((YEAR(AN$2)-YEAR($F42))*12 + MONTH(AN$2)-MONTH($F42)) / 12),
  0)</f>
        <v>0</v>
      </c>
      <c r="AO42" s="294">
        <f>IF(AND($F42&lt;=AO$2, OR($G42="",$G42&gt;=AO$2)),
  $H42 * (1 + Assumptions!$C$7) ^ INT(((YEAR(AO$2)-YEAR($F42))*12 + MONTH(AO$2)-MONTH($F42)) / 12),
  0)</f>
        <v>0</v>
      </c>
      <c r="AP42" s="294">
        <f>IF(AND($F42&lt;=AP$2, OR($G42="",$G42&gt;=AP$2)),
  $H42 * (1 + Assumptions!$C$7) ^ INT(((YEAR(AP$2)-YEAR($F42))*12 + MONTH(AP$2)-MONTH($F42)) / 12),
  0)</f>
        <v>0</v>
      </c>
      <c r="AQ42" s="294">
        <f>IF(AND($F42&lt;=AQ$2, OR($G42="",$G42&gt;=AQ$2)),
  $H42 * (1 + Assumptions!$C$7) ^ INT(((YEAR(AQ$2)-YEAR($F42))*12 + MONTH(AQ$2)-MONTH($F42)) / 12),
  0)</f>
        <v>0</v>
      </c>
      <c r="AR42" s="294">
        <f>IF(AND($F42&lt;=AR$2, OR($G42="",$G42&gt;=AR$2)),
  $H42 * (1 + Assumptions!$C$7) ^ INT(((YEAR(AR$2)-YEAR($F42))*12 + MONTH(AR$2)-MONTH($F42)) / 12),
  0)</f>
        <v>0</v>
      </c>
      <c r="AS42" s="294">
        <f>IF(AND($F42&lt;=AS$2, OR($G42="",$G42&gt;=AS$2)),
  $H42 * (1 + Assumptions!$C$7) ^ INT(((YEAR(AS$2)-YEAR($F42))*12 + MONTH(AS$2)-MONTH($F42)) / 12),
  0)</f>
        <v>0</v>
      </c>
      <c r="AT42" s="294">
        <f>IF(AND($F42&lt;=AT$2, OR($G42="",$G42&gt;=AT$2)),
  $H42 * (1 + Assumptions!$C$7) ^ INT(((YEAR(AT$2)-YEAR($F42))*12 + MONTH(AT$2)-MONTH($F42)) / 12),
  0)</f>
        <v>0</v>
      </c>
      <c r="AU42" s="294">
        <f>IF(AND($F42&lt;=AU$2, OR($G42="",$G42&gt;=AU$2)),
  $H42 * (1 + Assumptions!$C$7) ^ INT(((YEAR(AU$2)-YEAR($F42))*12 + MONTH(AU$2)-MONTH($F42)) / 12),
  0)</f>
        <v>0</v>
      </c>
      <c r="AV42" s="294">
        <f>IF(AND($F42&lt;=AV$2, OR($G42="",$G42&gt;=AV$2)),
  $H42 * (1 + Assumptions!$C$7) ^ INT(((YEAR(AV$2)-YEAR($F42))*12 + MONTH(AV$2)-MONTH($F42)) / 12),
  0)</f>
        <v>0</v>
      </c>
      <c r="AW42" s="294">
        <f>IF(AND($F42&lt;=AW$2, OR($G42="",$G42&gt;=AW$2)),
  $H42 * (1 + Assumptions!$C$7) ^ INT(((YEAR(AW$2)-YEAR($F42))*12 + MONTH(AW$2)-MONTH($F42)) / 12),
  0)</f>
        <v>0</v>
      </c>
      <c r="AX42" s="294">
        <f>IF(AND($F42&lt;=AX$2, OR($G42="",$G42&gt;=AX$2)),
  $H42 * (1 + Assumptions!$C$7) ^ INT(((YEAR(AX$2)-YEAR($F42))*12 + MONTH(AX$2)-MONTH($F42)) / 12),
  0)</f>
        <v>0</v>
      </c>
      <c r="AY42" s="294">
        <f>IF(AND($F42&lt;=AY$2, OR($G42="",$G42&gt;=AY$2)),
  $H42 * (1 + Assumptions!$C$7) ^ INT(((YEAR(AY$2)-YEAR($F42))*12 + MONTH(AY$2)-MONTH($F42)) / 12),
  0)</f>
        <v>0</v>
      </c>
      <c r="AZ42" s="294">
        <f>IF(AND($F42&lt;=AZ$2, OR($G42="",$G42&gt;=AZ$2)),
  $H42 * (1 + Assumptions!$C$7) ^ INT(((YEAR(AZ$2)-YEAR($F42))*12 + MONTH(AZ$2)-MONTH($F42)) / 12),
  0)</f>
        <v>0</v>
      </c>
      <c r="BA42" s="294">
        <f>IF(AND($F42&lt;=BA$2, OR($G42="",$G42&gt;=BA$2)),
  $H42 * (1 + Assumptions!$C$7) ^ INT(((YEAR(BA$2)-YEAR($F42))*12 + MONTH(BA$2)-MONTH($F42)) / 12),
  0)</f>
        <v>0</v>
      </c>
      <c r="BB42" s="294">
        <f>IF(AND($F42&lt;=BB$2, OR($G42="",$G42&gt;=BB$2)),
  $H42 * (1 + Assumptions!$C$7) ^ INT(((YEAR(BB$2)-YEAR($F42))*12 + MONTH(BB$2)-MONTH($F42)) / 12),
  0)</f>
        <v>0</v>
      </c>
      <c r="BC42" s="294">
        <f>IF(AND($F42&lt;=BC$2, OR($G42="",$G42&gt;=BC$2)),
  $H42 * (1 + Assumptions!$C$7) ^ INT(((YEAR(BC$2)-YEAR($F42))*12 + MONTH(BC$2)-MONTH($F42)) / 12),
  0)</f>
        <v>0</v>
      </c>
      <c r="BD42" s="294">
        <f>IF(AND($F42&lt;=BD$2, OR($G42="",$G42&gt;=BD$2)),
  $H42 * (1 + Assumptions!$C$7) ^ INT(((YEAR(BD$2)-YEAR($F42))*12 + MONTH(BD$2)-MONTH($F42)) / 12),
  0)</f>
        <v>0</v>
      </c>
      <c r="BE42" s="294">
        <f>IF(AND($F42&lt;=BE$2, OR($G42="",$G42&gt;=BE$2)),
  $H42 * (1 + Assumptions!$C$7) ^ INT(((YEAR(BE$2)-YEAR($F42))*12 + MONTH(BE$2)-MONTH($F42)) / 12),
  0)</f>
        <v>0</v>
      </c>
      <c r="BF42" s="294">
        <f>IF(AND($F42&lt;=BF$2, OR($G42="",$G42&gt;=BF$2)),
  $H42 * (1 + Assumptions!$C$7) ^ INT(((YEAR(BF$2)-YEAR($F42))*12 + MONTH(BF$2)-MONTH($F42)) / 12),
  0)</f>
        <v>0</v>
      </c>
      <c r="BG42" s="294">
        <f>IF(AND($F42&lt;=BG$2, OR($G42="",$G42&gt;=BG$2)),
  $H42 * (1 + Assumptions!$C$7) ^ INT(((YEAR(BG$2)-YEAR($F42))*12 + MONTH(BG$2)-MONTH($F42)) / 12),
  0)</f>
        <v>0</v>
      </c>
      <c r="BH42" s="294">
        <f>IF(AND($F42&lt;=BH$2, OR($G42="",$G42&gt;=BH$2)),
  $H42 * (1 + Assumptions!$C$7) ^ INT(((YEAR(BH$2)-YEAR($F42))*12 + MONTH(BH$2)-MONTH($F42)) / 12),
  0)</f>
        <v>0</v>
      </c>
      <c r="BI42" s="294">
        <f>IF(AND($F42&lt;=BI$2, OR($G42="",$G42&gt;=BI$2)),
  $H42 * (1 + Assumptions!$C$7) ^ INT(((YEAR(BI$2)-YEAR($F42))*12 + MONTH(BI$2)-MONTH($F42)) / 12),
  0)</f>
        <v>0</v>
      </c>
      <c r="BJ42" s="294">
        <f>IF(AND($F42&lt;=BJ$2, OR($G42="",$G42&gt;=BJ$2)),
  $H42 * (1 + Assumptions!$C$7) ^ INT(((YEAR(BJ$2)-YEAR($F42))*12 + MONTH(BJ$2)-MONTH($F42)) / 12),
  0)</f>
        <v>0</v>
      </c>
      <c r="BK42" s="294">
        <f>IF(AND($F42&lt;=BK$2, OR($G42="",$G42&gt;=BK$2)),
  $H42 * (1 + Assumptions!$C$7) ^ INT(((YEAR(BK$2)-YEAR($F42))*12 + MONTH(BK$2)-MONTH($F42)) / 12),
  0)</f>
        <v>0</v>
      </c>
      <c r="BL42" s="294">
        <f>IF(AND($F42&lt;=BL$2, OR($G42="",$G42&gt;=BL$2)),
  $H42 * (1 + Assumptions!$C$7) ^ INT(((YEAR(BL$2)-YEAR($F42))*12 + MONTH(BL$2)-MONTH($F42)) / 12),
  0)</f>
        <v>0</v>
      </c>
      <c r="BM42" s="294">
        <f>IF(AND($F42&lt;=BM$2, OR($G42="",$G42&gt;=BM$2)),
  $H42 * (1 + Assumptions!$C$7) ^ INT(((YEAR(BM$2)-YEAR($F42))*12 + MONTH(BM$2)-MONTH($F42)) / 12),
  0)</f>
        <v>0</v>
      </c>
      <c r="BN42" s="294">
        <f>IF(AND($F42&lt;=BN$2, OR($G42="",$G42&gt;=BN$2)),
  $H42 * (1 + Assumptions!$C$7) ^ INT(((YEAR(BN$2)-YEAR($F42))*12 + MONTH(BN$2)-MONTH($F42)) / 12),
  0)</f>
        <v>0</v>
      </c>
      <c r="BO42" s="294">
        <f>IF(AND($F42&lt;=BO$2, OR($G42="",$G42&gt;=BO$2)),
  $H42 * (1 + Assumptions!$C$7) ^ INT(((YEAR(BO$2)-YEAR($F42))*12 + MONTH(BO$2)-MONTH($F42)) / 12),
  0)</f>
        <v>6500</v>
      </c>
      <c r="BP42" s="294">
        <f>IF(AND($F42&lt;=BP$2, OR($G42="",$G42&gt;=BP$2)),
  $H42 * (1 + Assumptions!$C$7) ^ INT(((YEAR(BP$2)-YEAR($F42))*12 + MONTH(BP$2)-MONTH($F42)) / 12),
  0)</f>
        <v>6500</v>
      </c>
      <c r="BQ42" s="28"/>
    </row>
    <row r="43" ht="15.75" customHeight="1">
      <c r="A43" s="301">
        <v>39.0</v>
      </c>
      <c r="B43" s="285" t="s">
        <v>342</v>
      </c>
      <c r="C43" s="24" t="s">
        <v>141</v>
      </c>
      <c r="D43" s="301" t="s">
        <v>352</v>
      </c>
      <c r="E43" s="292" t="s">
        <v>344</v>
      </c>
      <c r="F43" s="286">
        <v>47394.0</v>
      </c>
      <c r="G43" s="303"/>
      <c r="H43" s="288">
        <v>7500.0</v>
      </c>
      <c r="I43" s="294">
        <f>IF(AND($F43&lt;=I$2, OR($G43="",$G43&gt;=I$2)),
  $H43 * (1 + Assumptions!$C$7) ^ INT(((YEAR(I$2)-YEAR($F43))*12 + MONTH(I$2)-MONTH($F43)) / 12),
  0)</f>
        <v>0</v>
      </c>
      <c r="J43" s="294">
        <f>IF(AND($F43&lt;=J$2, OR($G43="",$G43&gt;=J$2)),
  $H43 * (1 + Assumptions!$C$7) ^ INT(((YEAR(J$2)-YEAR($F43))*12 + MONTH(J$2)-MONTH($F43)) / 12),
  0)</f>
        <v>0</v>
      </c>
      <c r="K43" s="294">
        <f>IF(AND($F43&lt;=K$2, OR($G43="",$G43&gt;=K$2)),
  $H43 * (1 + Assumptions!$C$7) ^ INT(((YEAR(K$2)-YEAR($F43))*12 + MONTH(K$2)-MONTH($F43)) / 12),
  0)</f>
        <v>0</v>
      </c>
      <c r="L43" s="294">
        <f>IF(AND($F43&lt;=L$2, OR($G43="",$G43&gt;=L$2)),
  $H43 * (1 + Assumptions!$C$7) ^ INT(((YEAR(L$2)-YEAR($F43))*12 + MONTH(L$2)-MONTH($F43)) / 12),
  0)</f>
        <v>0</v>
      </c>
      <c r="M43" s="294">
        <f>IF(AND($F43&lt;=M$2, OR($G43="",$G43&gt;=M$2)),
  $H43 * (1 + Assumptions!$C$7) ^ INT(((YEAR(M$2)-YEAR($F43))*12 + MONTH(M$2)-MONTH($F43)) / 12),
  0)</f>
        <v>0</v>
      </c>
      <c r="N43" s="294">
        <f>IF(AND($F43&lt;=N$2, OR($G43="",$G43&gt;=N$2)),
  $H43 * (1 + Assumptions!$C$7) ^ INT(((YEAR(N$2)-YEAR($F43))*12 + MONTH(N$2)-MONTH($F43)) / 12),
  0)</f>
        <v>0</v>
      </c>
      <c r="O43" s="294">
        <f>IF(AND($F43&lt;=O$2, OR($G43="",$G43&gt;=O$2)),
  $H43 * (1 + Assumptions!$C$7) ^ INT(((YEAR(O$2)-YEAR($F43))*12 + MONTH(O$2)-MONTH($F43)) / 12),
  0)</f>
        <v>0</v>
      </c>
      <c r="P43" s="294">
        <f>IF(AND($F43&lt;=P$2, OR($G43="",$G43&gt;=P$2)),
  $H43 * (1 + Assumptions!$C$7) ^ INT(((YEAR(P$2)-YEAR($F43))*12 + MONTH(P$2)-MONTH($F43)) / 12),
  0)</f>
        <v>0</v>
      </c>
      <c r="Q43" s="294">
        <f>IF(AND($F43&lt;=Q$2, OR($G43="",$G43&gt;=Q$2)),
  $H43 * (1 + Assumptions!$C$7) ^ INT(((YEAR(Q$2)-YEAR($F43))*12 + MONTH(Q$2)-MONTH($F43)) / 12),
  0)</f>
        <v>0</v>
      </c>
      <c r="R43" s="294">
        <f>IF(AND($F43&lt;=R$2, OR($G43="",$G43&gt;=R$2)),
  $H43 * (1 + Assumptions!$C$7) ^ INT(((YEAR(R$2)-YEAR($F43))*12 + MONTH(R$2)-MONTH($F43)) / 12),
  0)</f>
        <v>0</v>
      </c>
      <c r="S43" s="294">
        <f>IF(AND($F43&lt;=S$2, OR($G43="",$G43&gt;=S$2)),
  $H43 * (1 + Assumptions!$C$7) ^ INT(((YEAR(S$2)-YEAR($F43))*12 + MONTH(S$2)-MONTH($F43)) / 12),
  0)</f>
        <v>0</v>
      </c>
      <c r="T43" s="294">
        <f>IF(AND($F43&lt;=T$2, OR($G43="",$G43&gt;=T$2)),
  $H43 * (1 + Assumptions!$C$7) ^ INT(((YEAR(T$2)-YEAR($F43))*12 + MONTH(T$2)-MONTH($F43)) / 12),
  0)</f>
        <v>0</v>
      </c>
      <c r="U43" s="294">
        <f>IF(AND($F43&lt;=U$2, OR($G43="",$G43&gt;=U$2)),
  $H43 * (1 + Assumptions!$C$7) ^ INT(((YEAR(U$2)-YEAR($F43))*12 + MONTH(U$2)-MONTH($F43)) / 12),
  0)</f>
        <v>0</v>
      </c>
      <c r="V43" s="294">
        <f>IF(AND($F43&lt;=V$2, OR($G43="",$G43&gt;=V$2)),
  $H43 * (1 + Assumptions!$C$7) ^ INT(((YEAR(V$2)-YEAR($F43))*12 + MONTH(V$2)-MONTH($F43)) / 12),
  0)</f>
        <v>0</v>
      </c>
      <c r="W43" s="294">
        <f>IF(AND($F43&lt;=W$2, OR($G43="",$G43&gt;=W$2)),
  $H43 * (1 + Assumptions!$C$7) ^ INT(((YEAR(W$2)-YEAR($F43))*12 + MONTH(W$2)-MONTH($F43)) / 12),
  0)</f>
        <v>0</v>
      </c>
      <c r="X43" s="294">
        <f>IF(AND($F43&lt;=X$2, OR($G43="",$G43&gt;=X$2)),
  $H43 * (1 + Assumptions!$C$7) ^ INT(((YEAR(X$2)-YEAR($F43))*12 + MONTH(X$2)-MONTH($F43)) / 12),
  0)</f>
        <v>0</v>
      </c>
      <c r="Y43" s="294">
        <f>IF(AND($F43&lt;=Y$2, OR($G43="",$G43&gt;=Y$2)),
  $H43 * (1 + Assumptions!$C$7) ^ INT(((YEAR(Y$2)-YEAR($F43))*12 + MONTH(Y$2)-MONTH($F43)) / 12),
  0)</f>
        <v>0</v>
      </c>
      <c r="Z43" s="294">
        <f>IF(AND($F43&lt;=Z$2, OR($G43="",$G43&gt;=Z$2)),
  $H43 * (1 + Assumptions!$C$7) ^ INT(((YEAR(Z$2)-YEAR($F43))*12 + MONTH(Z$2)-MONTH($F43)) / 12),
  0)</f>
        <v>0</v>
      </c>
      <c r="AA43" s="294">
        <f>IF(AND($F43&lt;=AA$2, OR($G43="",$G43&gt;=AA$2)),
  $H43 * (1 + Assumptions!$C$7) ^ INT(((YEAR(AA$2)-YEAR($F43))*12 + MONTH(AA$2)-MONTH($F43)) / 12),
  0)</f>
        <v>0</v>
      </c>
      <c r="AB43" s="294">
        <f>IF(AND($F43&lt;=AB$2, OR($G43="",$G43&gt;=AB$2)),
  $H43 * (1 + Assumptions!$C$7) ^ INT(((YEAR(AB$2)-YEAR($F43))*12 + MONTH(AB$2)-MONTH($F43)) / 12),
  0)</f>
        <v>0</v>
      </c>
      <c r="AC43" s="294">
        <f>IF(AND($F43&lt;=AC$2, OR($G43="",$G43&gt;=AC$2)),
  $H43 * (1 + Assumptions!$C$7) ^ INT(((YEAR(AC$2)-YEAR($F43))*12 + MONTH(AC$2)-MONTH($F43)) / 12),
  0)</f>
        <v>0</v>
      </c>
      <c r="AD43" s="294">
        <f>IF(AND($F43&lt;=AD$2, OR($G43="",$G43&gt;=AD$2)),
  $H43 * (1 + Assumptions!$C$7) ^ INT(((YEAR(AD$2)-YEAR($F43))*12 + MONTH(AD$2)-MONTH($F43)) / 12),
  0)</f>
        <v>0</v>
      </c>
      <c r="AE43" s="294">
        <f>IF(AND($F43&lt;=AE$2, OR($G43="",$G43&gt;=AE$2)),
  $H43 * (1 + Assumptions!$C$7) ^ INT(((YEAR(AE$2)-YEAR($F43))*12 + MONTH(AE$2)-MONTH($F43)) / 12),
  0)</f>
        <v>0</v>
      </c>
      <c r="AF43" s="294">
        <f>IF(AND($F43&lt;=AF$2, OR($G43="",$G43&gt;=AF$2)),
  $H43 * (1 + Assumptions!$C$7) ^ INT(((YEAR(AF$2)-YEAR($F43))*12 + MONTH(AF$2)-MONTH($F43)) / 12),
  0)</f>
        <v>0</v>
      </c>
      <c r="AG43" s="294">
        <f>IF(AND($F43&lt;=AG$2, OR($G43="",$G43&gt;=AG$2)),
  $H43 * (1 + Assumptions!$C$7) ^ INT(((YEAR(AG$2)-YEAR($F43))*12 + MONTH(AG$2)-MONTH($F43)) / 12),
  0)</f>
        <v>0</v>
      </c>
      <c r="AH43" s="294">
        <f>IF(AND($F43&lt;=AH$2, OR($G43="",$G43&gt;=AH$2)),
  $H43 * (1 + Assumptions!$C$7) ^ INT(((YEAR(AH$2)-YEAR($F43))*12 + MONTH(AH$2)-MONTH($F43)) / 12),
  0)</f>
        <v>0</v>
      </c>
      <c r="AI43" s="294">
        <f>IF(AND($F43&lt;=AI$2, OR($G43="",$G43&gt;=AI$2)),
  $H43 * (1 + Assumptions!$C$7) ^ INT(((YEAR(AI$2)-YEAR($F43))*12 + MONTH(AI$2)-MONTH($F43)) / 12),
  0)</f>
        <v>0</v>
      </c>
      <c r="AJ43" s="294">
        <f>IF(AND($F43&lt;=AJ$2, OR($G43="",$G43&gt;=AJ$2)),
  $H43 * (1 + Assumptions!$C$7) ^ INT(((YEAR(AJ$2)-YEAR($F43))*12 + MONTH(AJ$2)-MONTH($F43)) / 12),
  0)</f>
        <v>0</v>
      </c>
      <c r="AK43" s="294">
        <f>IF(AND($F43&lt;=AK$2, OR($G43="",$G43&gt;=AK$2)),
  $H43 * (1 + Assumptions!$C$7) ^ INT(((YEAR(AK$2)-YEAR($F43))*12 + MONTH(AK$2)-MONTH($F43)) / 12),
  0)</f>
        <v>0</v>
      </c>
      <c r="AL43" s="294">
        <f>IF(AND($F43&lt;=AL$2, OR($G43="",$G43&gt;=AL$2)),
  $H43 * (1 + Assumptions!$C$7) ^ INT(((YEAR(AL$2)-YEAR($F43))*12 + MONTH(AL$2)-MONTH($F43)) / 12),
  0)</f>
        <v>0</v>
      </c>
      <c r="AM43" s="294">
        <f>IF(AND($F43&lt;=AM$2, OR($G43="",$G43&gt;=AM$2)),
  $H43 * (1 + Assumptions!$C$7) ^ INT(((YEAR(AM$2)-YEAR($F43))*12 + MONTH(AM$2)-MONTH($F43)) / 12),
  0)</f>
        <v>0</v>
      </c>
      <c r="AN43" s="294">
        <f>IF(AND($F43&lt;=AN$2, OR($G43="",$G43&gt;=AN$2)),
  $H43 * (1 + Assumptions!$C$7) ^ INT(((YEAR(AN$2)-YEAR($F43))*12 + MONTH(AN$2)-MONTH($F43)) / 12),
  0)</f>
        <v>0</v>
      </c>
      <c r="AO43" s="294">
        <f>IF(AND($F43&lt;=AO$2, OR($G43="",$G43&gt;=AO$2)),
  $H43 * (1 + Assumptions!$C$7) ^ INT(((YEAR(AO$2)-YEAR($F43))*12 + MONTH(AO$2)-MONTH($F43)) / 12),
  0)</f>
        <v>0</v>
      </c>
      <c r="AP43" s="294">
        <f>IF(AND($F43&lt;=AP$2, OR($G43="",$G43&gt;=AP$2)),
  $H43 * (1 + Assumptions!$C$7) ^ INT(((YEAR(AP$2)-YEAR($F43))*12 + MONTH(AP$2)-MONTH($F43)) / 12),
  0)</f>
        <v>0</v>
      </c>
      <c r="AQ43" s="294">
        <f>IF(AND($F43&lt;=AQ$2, OR($G43="",$G43&gt;=AQ$2)),
  $H43 * (1 + Assumptions!$C$7) ^ INT(((YEAR(AQ$2)-YEAR($F43))*12 + MONTH(AQ$2)-MONTH($F43)) / 12),
  0)</f>
        <v>0</v>
      </c>
      <c r="AR43" s="294">
        <f>IF(AND($F43&lt;=AR$2, OR($G43="",$G43&gt;=AR$2)),
  $H43 * (1 + Assumptions!$C$7) ^ INT(((YEAR(AR$2)-YEAR($F43))*12 + MONTH(AR$2)-MONTH($F43)) / 12),
  0)</f>
        <v>0</v>
      </c>
      <c r="AS43" s="294">
        <f>IF(AND($F43&lt;=AS$2, OR($G43="",$G43&gt;=AS$2)),
  $H43 * (1 + Assumptions!$C$7) ^ INT(((YEAR(AS$2)-YEAR($F43))*12 + MONTH(AS$2)-MONTH($F43)) / 12),
  0)</f>
        <v>0</v>
      </c>
      <c r="AT43" s="294">
        <f>IF(AND($F43&lt;=AT$2, OR($G43="",$G43&gt;=AT$2)),
  $H43 * (1 + Assumptions!$C$7) ^ INT(((YEAR(AT$2)-YEAR($F43))*12 + MONTH(AT$2)-MONTH($F43)) / 12),
  0)</f>
        <v>0</v>
      </c>
      <c r="AU43" s="294">
        <f>IF(AND($F43&lt;=AU$2, OR($G43="",$G43&gt;=AU$2)),
  $H43 * (1 + Assumptions!$C$7) ^ INT(((YEAR(AU$2)-YEAR($F43))*12 + MONTH(AU$2)-MONTH($F43)) / 12),
  0)</f>
        <v>0</v>
      </c>
      <c r="AV43" s="294">
        <f>IF(AND($F43&lt;=AV$2, OR($G43="",$G43&gt;=AV$2)),
  $H43 * (1 + Assumptions!$C$7) ^ INT(((YEAR(AV$2)-YEAR($F43))*12 + MONTH(AV$2)-MONTH($F43)) / 12),
  0)</f>
        <v>0</v>
      </c>
      <c r="AW43" s="294">
        <f>IF(AND($F43&lt;=AW$2, OR($G43="",$G43&gt;=AW$2)),
  $H43 * (1 + Assumptions!$C$7) ^ INT(((YEAR(AW$2)-YEAR($F43))*12 + MONTH(AW$2)-MONTH($F43)) / 12),
  0)</f>
        <v>0</v>
      </c>
      <c r="AX43" s="294">
        <f>IF(AND($F43&lt;=AX$2, OR($G43="",$G43&gt;=AX$2)),
  $H43 * (1 + Assumptions!$C$7) ^ INT(((YEAR(AX$2)-YEAR($F43))*12 + MONTH(AX$2)-MONTH($F43)) / 12),
  0)</f>
        <v>0</v>
      </c>
      <c r="AY43" s="294">
        <f>IF(AND($F43&lt;=AY$2, OR($G43="",$G43&gt;=AY$2)),
  $H43 * (1 + Assumptions!$C$7) ^ INT(((YEAR(AY$2)-YEAR($F43))*12 + MONTH(AY$2)-MONTH($F43)) / 12),
  0)</f>
        <v>0</v>
      </c>
      <c r="AZ43" s="294">
        <f>IF(AND($F43&lt;=AZ$2, OR($G43="",$G43&gt;=AZ$2)),
  $H43 * (1 + Assumptions!$C$7) ^ INT(((YEAR(AZ$2)-YEAR($F43))*12 + MONTH(AZ$2)-MONTH($F43)) / 12),
  0)</f>
        <v>0</v>
      </c>
      <c r="BA43" s="294">
        <f>IF(AND($F43&lt;=BA$2, OR($G43="",$G43&gt;=BA$2)),
  $H43 * (1 + Assumptions!$C$7) ^ INT(((YEAR(BA$2)-YEAR($F43))*12 + MONTH(BA$2)-MONTH($F43)) / 12),
  0)</f>
        <v>0</v>
      </c>
      <c r="BB43" s="294">
        <f>IF(AND($F43&lt;=BB$2, OR($G43="",$G43&gt;=BB$2)),
  $H43 * (1 + Assumptions!$C$7) ^ INT(((YEAR(BB$2)-YEAR($F43))*12 + MONTH(BB$2)-MONTH($F43)) / 12),
  0)</f>
        <v>0</v>
      </c>
      <c r="BC43" s="294">
        <f>IF(AND($F43&lt;=BC$2, OR($G43="",$G43&gt;=BC$2)),
  $H43 * (1 + Assumptions!$C$7) ^ INT(((YEAR(BC$2)-YEAR($F43))*12 + MONTH(BC$2)-MONTH($F43)) / 12),
  0)</f>
        <v>0</v>
      </c>
      <c r="BD43" s="294">
        <f>IF(AND($F43&lt;=BD$2, OR($G43="",$G43&gt;=BD$2)),
  $H43 * (1 + Assumptions!$C$7) ^ INT(((YEAR(BD$2)-YEAR($F43))*12 + MONTH(BD$2)-MONTH($F43)) / 12),
  0)</f>
        <v>0</v>
      </c>
      <c r="BE43" s="294">
        <f>IF(AND($F43&lt;=BE$2, OR($G43="",$G43&gt;=BE$2)),
  $H43 * (1 + Assumptions!$C$7) ^ INT(((YEAR(BE$2)-YEAR($F43))*12 + MONTH(BE$2)-MONTH($F43)) / 12),
  0)</f>
        <v>0</v>
      </c>
      <c r="BF43" s="294">
        <f>IF(AND($F43&lt;=BF$2, OR($G43="",$G43&gt;=BF$2)),
  $H43 * (1 + Assumptions!$C$7) ^ INT(((YEAR(BF$2)-YEAR($F43))*12 + MONTH(BF$2)-MONTH($F43)) / 12),
  0)</f>
        <v>0</v>
      </c>
      <c r="BG43" s="294">
        <f>IF(AND($F43&lt;=BG$2, OR($G43="",$G43&gt;=BG$2)),
  $H43 * (1 + Assumptions!$C$7) ^ INT(((YEAR(BG$2)-YEAR($F43))*12 + MONTH(BG$2)-MONTH($F43)) / 12),
  0)</f>
        <v>0</v>
      </c>
      <c r="BH43" s="294">
        <f>IF(AND($F43&lt;=BH$2, OR($G43="",$G43&gt;=BH$2)),
  $H43 * (1 + Assumptions!$C$7) ^ INT(((YEAR(BH$2)-YEAR($F43))*12 + MONTH(BH$2)-MONTH($F43)) / 12),
  0)</f>
        <v>0</v>
      </c>
      <c r="BI43" s="294">
        <f>IF(AND($F43&lt;=BI$2, OR($G43="",$G43&gt;=BI$2)),
  $H43 * (1 + Assumptions!$C$7) ^ INT(((YEAR(BI$2)-YEAR($F43))*12 + MONTH(BI$2)-MONTH($F43)) / 12),
  0)</f>
        <v>0</v>
      </c>
      <c r="BJ43" s="294">
        <f>IF(AND($F43&lt;=BJ$2, OR($G43="",$G43&gt;=BJ$2)),
  $H43 * (1 + Assumptions!$C$7) ^ INT(((YEAR(BJ$2)-YEAR($F43))*12 + MONTH(BJ$2)-MONTH($F43)) / 12),
  0)</f>
        <v>0</v>
      </c>
      <c r="BK43" s="294">
        <f>IF(AND($F43&lt;=BK$2, OR($G43="",$G43&gt;=BK$2)),
  $H43 * (1 + Assumptions!$C$7) ^ INT(((YEAR(BK$2)-YEAR($F43))*12 + MONTH(BK$2)-MONTH($F43)) / 12),
  0)</f>
        <v>0</v>
      </c>
      <c r="BL43" s="294">
        <f>IF(AND($F43&lt;=BL$2, OR($G43="",$G43&gt;=BL$2)),
  $H43 * (1 + Assumptions!$C$7) ^ INT(((YEAR(BL$2)-YEAR($F43))*12 + MONTH(BL$2)-MONTH($F43)) / 12),
  0)</f>
        <v>0</v>
      </c>
      <c r="BM43" s="294">
        <f>IF(AND($F43&lt;=BM$2, OR($G43="",$G43&gt;=BM$2)),
  $H43 * (1 + Assumptions!$C$7) ^ INT(((YEAR(BM$2)-YEAR($F43))*12 + MONTH(BM$2)-MONTH($F43)) / 12),
  0)</f>
        <v>0</v>
      </c>
      <c r="BN43" s="294">
        <f>IF(AND($F43&lt;=BN$2, OR($G43="",$G43&gt;=BN$2)),
  $H43 * (1 + Assumptions!$C$7) ^ INT(((YEAR(BN$2)-YEAR($F43))*12 + MONTH(BN$2)-MONTH($F43)) / 12),
  0)</f>
        <v>0</v>
      </c>
      <c r="BO43" s="294">
        <f>IF(AND($F43&lt;=BO$2, OR($G43="",$G43&gt;=BO$2)),
  $H43 * (1 + Assumptions!$C$7) ^ INT(((YEAR(BO$2)-YEAR($F43))*12 + MONTH(BO$2)-MONTH($F43)) / 12),
  0)</f>
        <v>7500</v>
      </c>
      <c r="BP43" s="294">
        <f>IF(AND($F43&lt;=BP$2, OR($G43="",$G43&gt;=BP$2)),
  $H43 * (1 + Assumptions!$C$7) ^ INT(((YEAR(BP$2)-YEAR($F43))*12 + MONTH(BP$2)-MONTH($F43)) / 12),
  0)</f>
        <v>7500</v>
      </c>
      <c r="BQ43" s="28"/>
    </row>
    <row r="44" ht="15.75" customHeight="1">
      <c r="A44" s="24"/>
      <c r="B44" s="24"/>
      <c r="C44" s="24"/>
      <c r="D44" s="24"/>
      <c r="E44" s="305"/>
      <c r="F44" s="306"/>
      <c r="G44" s="307"/>
      <c r="H44" s="308"/>
      <c r="I44" s="294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35"/>
    </row>
    <row r="45" ht="15.75" customHeight="1">
      <c r="A45" s="309"/>
      <c r="B45" s="310" t="s">
        <v>355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35"/>
    </row>
    <row r="46" ht="15.75" customHeight="1">
      <c r="A46" s="23"/>
      <c r="B46" s="311" t="s">
        <v>356</v>
      </c>
      <c r="C46" s="312"/>
      <c r="D46" s="312"/>
      <c r="E46" s="312"/>
      <c r="F46" s="312"/>
      <c r="G46" s="312"/>
      <c r="H46" s="31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314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35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314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35"/>
    </row>
    <row r="48" ht="15.75" customHeight="1">
      <c r="A48" s="20"/>
      <c r="B48" s="25" t="s">
        <v>357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315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42"/>
    </row>
    <row r="49" ht="15.75" customHeight="1">
      <c r="A49" s="316"/>
      <c r="B49" s="317" t="s">
        <v>148</v>
      </c>
      <c r="C49" s="316"/>
      <c r="D49" s="316"/>
      <c r="E49" s="316"/>
      <c r="F49" s="316"/>
      <c r="G49" s="316"/>
      <c r="H49" s="316"/>
      <c r="I49" s="318">
        <f t="shared" ref="I49:BD49" si="1">SUMIF($C$2:$C$37,"R&amp;D",I2:I37)</f>
        <v>0</v>
      </c>
      <c r="J49" s="318">
        <f t="shared" si="1"/>
        <v>0</v>
      </c>
      <c r="K49" s="318">
        <f t="shared" si="1"/>
        <v>0</v>
      </c>
      <c r="L49" s="318">
        <f t="shared" si="1"/>
        <v>0</v>
      </c>
      <c r="M49" s="318">
        <f t="shared" si="1"/>
        <v>0</v>
      </c>
      <c r="N49" s="318">
        <f t="shared" si="1"/>
        <v>0</v>
      </c>
      <c r="O49" s="318">
        <f t="shared" si="1"/>
        <v>0</v>
      </c>
      <c r="P49" s="318">
        <f t="shared" si="1"/>
        <v>0</v>
      </c>
      <c r="Q49" s="318">
        <f t="shared" si="1"/>
        <v>47500</v>
      </c>
      <c r="R49" s="318">
        <f t="shared" si="1"/>
        <v>47500</v>
      </c>
      <c r="S49" s="318">
        <f t="shared" si="1"/>
        <v>47500</v>
      </c>
      <c r="T49" s="318">
        <f t="shared" si="1"/>
        <v>47500</v>
      </c>
      <c r="U49" s="318">
        <f t="shared" si="1"/>
        <v>50700</v>
      </c>
      <c r="V49" s="318">
        <f t="shared" si="1"/>
        <v>50700</v>
      </c>
      <c r="W49" s="318">
        <f t="shared" si="1"/>
        <v>50700</v>
      </c>
      <c r="X49" s="318">
        <f t="shared" si="1"/>
        <v>50700</v>
      </c>
      <c r="Y49" s="318">
        <f t="shared" si="1"/>
        <v>50700</v>
      </c>
      <c r="Z49" s="318">
        <f t="shared" si="1"/>
        <v>50700</v>
      </c>
      <c r="AA49" s="318">
        <f t="shared" si="1"/>
        <v>58700</v>
      </c>
      <c r="AB49" s="318">
        <f t="shared" si="1"/>
        <v>64700</v>
      </c>
      <c r="AC49" s="318">
        <f t="shared" si="1"/>
        <v>68700</v>
      </c>
      <c r="AD49" s="318">
        <f t="shared" si="1"/>
        <v>69620</v>
      </c>
      <c r="AE49" s="318">
        <f t="shared" si="1"/>
        <v>69620</v>
      </c>
      <c r="AF49" s="318">
        <f t="shared" si="1"/>
        <v>69620</v>
      </c>
      <c r="AG49" s="318">
        <f t="shared" si="1"/>
        <v>94569.6</v>
      </c>
      <c r="AH49" s="318">
        <f t="shared" si="1"/>
        <v>94569.6</v>
      </c>
      <c r="AI49" s="318">
        <f t="shared" si="1"/>
        <v>94569.6</v>
      </c>
      <c r="AJ49" s="318">
        <f t="shared" si="1"/>
        <v>94569.6</v>
      </c>
      <c r="AK49" s="318">
        <f t="shared" si="1"/>
        <v>94569.6</v>
      </c>
      <c r="AL49" s="318">
        <f t="shared" si="1"/>
        <v>101069.6</v>
      </c>
      <c r="AM49" s="318">
        <f t="shared" si="1"/>
        <v>101709.6</v>
      </c>
      <c r="AN49" s="318">
        <f t="shared" si="1"/>
        <v>102189.6</v>
      </c>
      <c r="AO49" s="318">
        <f t="shared" si="1"/>
        <v>102189.6</v>
      </c>
      <c r="AP49" s="318">
        <f t="shared" si="1"/>
        <v>102189.6</v>
      </c>
      <c r="AQ49" s="318">
        <f t="shared" si="1"/>
        <v>102189.6</v>
      </c>
      <c r="AR49" s="318">
        <f t="shared" si="1"/>
        <v>102189.6</v>
      </c>
      <c r="AS49" s="318">
        <f t="shared" si="1"/>
        <v>108635.168</v>
      </c>
      <c r="AT49" s="318">
        <f t="shared" si="1"/>
        <v>108635.168</v>
      </c>
      <c r="AU49" s="318">
        <f t="shared" si="1"/>
        <v>108635.168</v>
      </c>
      <c r="AV49" s="318">
        <f t="shared" si="1"/>
        <v>108635.168</v>
      </c>
      <c r="AW49" s="318">
        <f t="shared" si="1"/>
        <v>108635.168</v>
      </c>
      <c r="AX49" s="318">
        <f t="shared" si="1"/>
        <v>109155.168</v>
      </c>
      <c r="AY49" s="318">
        <f t="shared" si="1"/>
        <v>109846.368</v>
      </c>
      <c r="AZ49" s="318">
        <f t="shared" si="1"/>
        <v>110364.768</v>
      </c>
      <c r="BA49" s="318">
        <f t="shared" si="1"/>
        <v>110364.768</v>
      </c>
      <c r="BB49" s="318">
        <f t="shared" si="1"/>
        <v>110364.768</v>
      </c>
      <c r="BC49" s="318">
        <f t="shared" si="1"/>
        <v>110364.768</v>
      </c>
      <c r="BD49" s="318">
        <f t="shared" si="1"/>
        <v>110364.768</v>
      </c>
      <c r="BE49" s="319"/>
      <c r="BF49" s="320"/>
      <c r="BG49" s="320"/>
      <c r="BH49" s="320"/>
      <c r="BI49" s="320"/>
      <c r="BJ49" s="320"/>
      <c r="BK49" s="320"/>
      <c r="BL49" s="320"/>
      <c r="BM49" s="320"/>
      <c r="BN49" s="320"/>
      <c r="BO49" s="320"/>
      <c r="BP49" s="320"/>
      <c r="BQ49" s="321"/>
    </row>
    <row r="50" ht="15.75" customHeight="1">
      <c r="A50" s="316"/>
      <c r="B50" s="317" t="s">
        <v>145</v>
      </c>
      <c r="C50" s="316"/>
      <c r="D50" s="316"/>
      <c r="E50" s="316"/>
      <c r="F50" s="316"/>
      <c r="G50" s="316"/>
      <c r="H50" s="316"/>
      <c r="I50" s="318">
        <f t="shared" ref="I50:BD50" si="2">SUMIF($C$3:$C$37,"S&amp;M",I3:I37)</f>
        <v>0</v>
      </c>
      <c r="J50" s="318">
        <f t="shared" si="2"/>
        <v>0</v>
      </c>
      <c r="K50" s="318">
        <f t="shared" si="2"/>
        <v>0</v>
      </c>
      <c r="L50" s="318">
        <f t="shared" si="2"/>
        <v>0</v>
      </c>
      <c r="M50" s="318">
        <f t="shared" si="2"/>
        <v>0</v>
      </c>
      <c r="N50" s="318">
        <f t="shared" si="2"/>
        <v>0</v>
      </c>
      <c r="O50" s="318">
        <f t="shared" si="2"/>
        <v>0</v>
      </c>
      <c r="P50" s="318">
        <f t="shared" si="2"/>
        <v>0</v>
      </c>
      <c r="Q50" s="318">
        <f t="shared" si="2"/>
        <v>0</v>
      </c>
      <c r="R50" s="318">
        <f t="shared" si="2"/>
        <v>0</v>
      </c>
      <c r="S50" s="318">
        <f t="shared" si="2"/>
        <v>0</v>
      </c>
      <c r="T50" s="318">
        <f t="shared" si="2"/>
        <v>0</v>
      </c>
      <c r="U50" s="318">
        <f t="shared" si="2"/>
        <v>0</v>
      </c>
      <c r="V50" s="318">
        <f t="shared" si="2"/>
        <v>10800</v>
      </c>
      <c r="W50" s="318">
        <f t="shared" si="2"/>
        <v>10800</v>
      </c>
      <c r="X50" s="318">
        <f t="shared" si="2"/>
        <v>10800</v>
      </c>
      <c r="Y50" s="318">
        <f t="shared" si="2"/>
        <v>10800</v>
      </c>
      <c r="Z50" s="318">
        <f t="shared" si="2"/>
        <v>10800</v>
      </c>
      <c r="AA50" s="318">
        <f t="shared" si="2"/>
        <v>10800</v>
      </c>
      <c r="AB50" s="318">
        <f t="shared" si="2"/>
        <v>19800</v>
      </c>
      <c r="AC50" s="318">
        <f t="shared" si="2"/>
        <v>19800</v>
      </c>
      <c r="AD50" s="318">
        <f t="shared" si="2"/>
        <v>26300</v>
      </c>
      <c r="AE50" s="318">
        <f t="shared" si="2"/>
        <v>26300</v>
      </c>
      <c r="AF50" s="318">
        <f t="shared" si="2"/>
        <v>26300</v>
      </c>
      <c r="AG50" s="318">
        <f t="shared" si="2"/>
        <v>27164</v>
      </c>
      <c r="AH50" s="318">
        <f t="shared" si="2"/>
        <v>27164</v>
      </c>
      <c r="AI50" s="318">
        <f t="shared" si="2"/>
        <v>27164</v>
      </c>
      <c r="AJ50" s="318">
        <f t="shared" si="2"/>
        <v>27164</v>
      </c>
      <c r="AK50" s="318">
        <f t="shared" si="2"/>
        <v>27164</v>
      </c>
      <c r="AL50" s="318">
        <f t="shared" si="2"/>
        <v>27164</v>
      </c>
      <c r="AM50" s="318">
        <f t="shared" si="2"/>
        <v>27164</v>
      </c>
      <c r="AN50" s="318">
        <f t="shared" si="2"/>
        <v>27884</v>
      </c>
      <c r="AO50" s="318">
        <f t="shared" si="2"/>
        <v>27884</v>
      </c>
      <c r="AP50" s="318">
        <f t="shared" si="2"/>
        <v>28404</v>
      </c>
      <c r="AQ50" s="318">
        <f t="shared" si="2"/>
        <v>28404</v>
      </c>
      <c r="AR50" s="318">
        <f t="shared" si="2"/>
        <v>28404</v>
      </c>
      <c r="AS50" s="318">
        <f t="shared" si="2"/>
        <v>44337.12</v>
      </c>
      <c r="AT50" s="318">
        <f t="shared" si="2"/>
        <v>51837.12</v>
      </c>
      <c r="AU50" s="318">
        <f t="shared" si="2"/>
        <v>51837.12</v>
      </c>
      <c r="AV50" s="318">
        <f t="shared" si="2"/>
        <v>51837.12</v>
      </c>
      <c r="AW50" s="318">
        <f t="shared" si="2"/>
        <v>51837.12</v>
      </c>
      <c r="AX50" s="318">
        <f t="shared" si="2"/>
        <v>51837.12</v>
      </c>
      <c r="AY50" s="318">
        <f t="shared" si="2"/>
        <v>51837.12</v>
      </c>
      <c r="AZ50" s="318">
        <f t="shared" si="2"/>
        <v>52614.72</v>
      </c>
      <c r="BA50" s="318">
        <f t="shared" si="2"/>
        <v>52614.72</v>
      </c>
      <c r="BB50" s="318">
        <f t="shared" si="2"/>
        <v>53176.32</v>
      </c>
      <c r="BC50" s="318">
        <f t="shared" si="2"/>
        <v>53176.32</v>
      </c>
      <c r="BD50" s="318">
        <f t="shared" si="2"/>
        <v>53176.32</v>
      </c>
      <c r="BE50" s="319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1"/>
    </row>
    <row r="51" ht="15.75" customHeight="1">
      <c r="A51" s="316"/>
      <c r="B51" s="322" t="s">
        <v>141</v>
      </c>
      <c r="C51" s="316"/>
      <c r="D51" s="316"/>
      <c r="E51" s="316"/>
      <c r="F51" s="316"/>
      <c r="G51" s="316"/>
      <c r="H51" s="316"/>
      <c r="I51" s="323">
        <f t="shared" ref="I51:BD51" si="3">SUMIF($C$3:$C$37,"G&amp;A",I3:I37)</f>
        <v>0</v>
      </c>
      <c r="J51" s="323">
        <f t="shared" si="3"/>
        <v>0</v>
      </c>
      <c r="K51" s="323">
        <f t="shared" si="3"/>
        <v>0</v>
      </c>
      <c r="L51" s="323">
        <f t="shared" si="3"/>
        <v>0</v>
      </c>
      <c r="M51" s="323">
        <f t="shared" si="3"/>
        <v>0</v>
      </c>
      <c r="N51" s="323">
        <f t="shared" si="3"/>
        <v>0</v>
      </c>
      <c r="O51" s="323">
        <f t="shared" si="3"/>
        <v>0</v>
      </c>
      <c r="P51" s="323">
        <f t="shared" si="3"/>
        <v>0</v>
      </c>
      <c r="Q51" s="323">
        <f t="shared" si="3"/>
        <v>11500</v>
      </c>
      <c r="R51" s="323">
        <f t="shared" si="3"/>
        <v>11500</v>
      </c>
      <c r="S51" s="323">
        <f t="shared" si="3"/>
        <v>11500</v>
      </c>
      <c r="T51" s="323">
        <f t="shared" si="3"/>
        <v>11500</v>
      </c>
      <c r="U51" s="323">
        <f t="shared" si="3"/>
        <v>11820</v>
      </c>
      <c r="V51" s="323">
        <f t="shared" si="3"/>
        <v>11820</v>
      </c>
      <c r="W51" s="323">
        <f t="shared" si="3"/>
        <v>11820</v>
      </c>
      <c r="X51" s="323">
        <f t="shared" si="3"/>
        <v>11820</v>
      </c>
      <c r="Y51" s="323">
        <f t="shared" si="3"/>
        <v>11820</v>
      </c>
      <c r="Z51" s="323">
        <f t="shared" si="3"/>
        <v>11820</v>
      </c>
      <c r="AA51" s="323">
        <f t="shared" si="3"/>
        <v>11820</v>
      </c>
      <c r="AB51" s="323">
        <f t="shared" si="3"/>
        <v>20820</v>
      </c>
      <c r="AC51" s="323">
        <f t="shared" si="3"/>
        <v>25740</v>
      </c>
      <c r="AD51" s="323">
        <f t="shared" si="3"/>
        <v>30920</v>
      </c>
      <c r="AE51" s="323">
        <f t="shared" si="3"/>
        <v>30920</v>
      </c>
      <c r="AF51" s="323">
        <f t="shared" si="3"/>
        <v>30920</v>
      </c>
      <c r="AG51" s="323">
        <f t="shared" si="3"/>
        <v>42913.6</v>
      </c>
      <c r="AH51" s="323">
        <f t="shared" si="3"/>
        <v>42913.6</v>
      </c>
      <c r="AI51" s="323">
        <f t="shared" si="3"/>
        <v>42913.6</v>
      </c>
      <c r="AJ51" s="323">
        <f t="shared" si="3"/>
        <v>42913.6</v>
      </c>
      <c r="AK51" s="323">
        <f t="shared" si="3"/>
        <v>42913.6</v>
      </c>
      <c r="AL51" s="323">
        <f t="shared" si="3"/>
        <v>42913.6</v>
      </c>
      <c r="AM51" s="323">
        <f t="shared" si="3"/>
        <v>42913.6</v>
      </c>
      <c r="AN51" s="323">
        <f t="shared" si="3"/>
        <v>43633.6</v>
      </c>
      <c r="AO51" s="323">
        <f t="shared" si="3"/>
        <v>43633.6</v>
      </c>
      <c r="AP51" s="323">
        <f t="shared" si="3"/>
        <v>44393.6</v>
      </c>
      <c r="AQ51" s="323">
        <f t="shared" si="3"/>
        <v>44393.6</v>
      </c>
      <c r="AR51" s="323">
        <f t="shared" si="3"/>
        <v>44393.6</v>
      </c>
      <c r="AS51" s="323">
        <f t="shared" si="3"/>
        <v>46346.688</v>
      </c>
      <c r="AT51" s="323">
        <f t="shared" si="3"/>
        <v>53846.688</v>
      </c>
      <c r="AU51" s="323">
        <f t="shared" si="3"/>
        <v>53846.688</v>
      </c>
      <c r="AV51" s="323">
        <f t="shared" si="3"/>
        <v>53846.688</v>
      </c>
      <c r="AW51" s="323">
        <f t="shared" si="3"/>
        <v>53846.688</v>
      </c>
      <c r="AX51" s="323">
        <f t="shared" si="3"/>
        <v>53846.688</v>
      </c>
      <c r="AY51" s="323">
        <f t="shared" si="3"/>
        <v>53846.688</v>
      </c>
      <c r="AZ51" s="323">
        <f t="shared" si="3"/>
        <v>54624.288</v>
      </c>
      <c r="BA51" s="323">
        <f t="shared" si="3"/>
        <v>54624.288</v>
      </c>
      <c r="BB51" s="323">
        <f t="shared" si="3"/>
        <v>55445.088</v>
      </c>
      <c r="BC51" s="323">
        <f t="shared" si="3"/>
        <v>55445.088</v>
      </c>
      <c r="BD51" s="323">
        <f t="shared" si="3"/>
        <v>55445.088</v>
      </c>
      <c r="BE51" s="319"/>
      <c r="BF51" s="320"/>
      <c r="BG51" s="320"/>
      <c r="BH51" s="320"/>
      <c r="BI51" s="320"/>
      <c r="BJ51" s="320"/>
      <c r="BK51" s="320"/>
      <c r="BL51" s="320"/>
      <c r="BM51" s="320"/>
      <c r="BN51" s="320"/>
      <c r="BO51" s="320"/>
      <c r="BP51" s="320"/>
      <c r="BQ51" s="321"/>
    </row>
    <row r="52" ht="15.75" customHeight="1">
      <c r="A52" s="324"/>
      <c r="B52" s="325" t="s">
        <v>358</v>
      </c>
      <c r="C52" s="325"/>
      <c r="D52" s="325"/>
      <c r="E52" s="325"/>
      <c r="F52" s="325"/>
      <c r="G52" s="325"/>
      <c r="H52" s="325"/>
      <c r="I52" s="326">
        <f t="shared" ref="I52:BD52" si="4">SUM(I49:I51)</f>
        <v>0</v>
      </c>
      <c r="J52" s="326">
        <f t="shared" si="4"/>
        <v>0</v>
      </c>
      <c r="K52" s="326">
        <f t="shared" si="4"/>
        <v>0</v>
      </c>
      <c r="L52" s="326">
        <f t="shared" si="4"/>
        <v>0</v>
      </c>
      <c r="M52" s="326">
        <f t="shared" si="4"/>
        <v>0</v>
      </c>
      <c r="N52" s="326">
        <f t="shared" si="4"/>
        <v>0</v>
      </c>
      <c r="O52" s="326">
        <f t="shared" si="4"/>
        <v>0</v>
      </c>
      <c r="P52" s="326">
        <f t="shared" si="4"/>
        <v>0</v>
      </c>
      <c r="Q52" s="326">
        <f t="shared" si="4"/>
        <v>59000</v>
      </c>
      <c r="R52" s="326">
        <f t="shared" si="4"/>
        <v>59000</v>
      </c>
      <c r="S52" s="326">
        <f t="shared" si="4"/>
        <v>59000</v>
      </c>
      <c r="T52" s="326">
        <f t="shared" si="4"/>
        <v>59000</v>
      </c>
      <c r="U52" s="326">
        <f t="shared" si="4"/>
        <v>62520</v>
      </c>
      <c r="V52" s="326">
        <f t="shared" si="4"/>
        <v>73320</v>
      </c>
      <c r="W52" s="326">
        <f t="shared" si="4"/>
        <v>73320</v>
      </c>
      <c r="X52" s="326">
        <f t="shared" si="4"/>
        <v>73320</v>
      </c>
      <c r="Y52" s="326">
        <f t="shared" si="4"/>
        <v>73320</v>
      </c>
      <c r="Z52" s="326">
        <f t="shared" si="4"/>
        <v>73320</v>
      </c>
      <c r="AA52" s="326">
        <f t="shared" si="4"/>
        <v>81320</v>
      </c>
      <c r="AB52" s="326">
        <f t="shared" si="4"/>
        <v>105320</v>
      </c>
      <c r="AC52" s="326">
        <f t="shared" si="4"/>
        <v>114240</v>
      </c>
      <c r="AD52" s="326">
        <f t="shared" si="4"/>
        <v>126840</v>
      </c>
      <c r="AE52" s="326">
        <f t="shared" si="4"/>
        <v>126840</v>
      </c>
      <c r="AF52" s="326">
        <f t="shared" si="4"/>
        <v>126840</v>
      </c>
      <c r="AG52" s="326">
        <f t="shared" si="4"/>
        <v>164647.2</v>
      </c>
      <c r="AH52" s="326">
        <f t="shared" si="4"/>
        <v>164647.2</v>
      </c>
      <c r="AI52" s="326">
        <f t="shared" si="4"/>
        <v>164647.2</v>
      </c>
      <c r="AJ52" s="326">
        <f t="shared" si="4"/>
        <v>164647.2</v>
      </c>
      <c r="AK52" s="326">
        <f t="shared" si="4"/>
        <v>164647.2</v>
      </c>
      <c r="AL52" s="326">
        <f t="shared" si="4"/>
        <v>171147.2</v>
      </c>
      <c r="AM52" s="326">
        <f t="shared" si="4"/>
        <v>171787.2</v>
      </c>
      <c r="AN52" s="326">
        <f t="shared" si="4"/>
        <v>173707.2</v>
      </c>
      <c r="AO52" s="326">
        <f t="shared" si="4"/>
        <v>173707.2</v>
      </c>
      <c r="AP52" s="326">
        <f t="shared" si="4"/>
        <v>174987.2</v>
      </c>
      <c r="AQ52" s="326">
        <f t="shared" si="4"/>
        <v>174987.2</v>
      </c>
      <c r="AR52" s="326">
        <f t="shared" si="4"/>
        <v>174987.2</v>
      </c>
      <c r="AS52" s="326">
        <f t="shared" si="4"/>
        <v>199318.976</v>
      </c>
      <c r="AT52" s="326">
        <f t="shared" si="4"/>
        <v>214318.976</v>
      </c>
      <c r="AU52" s="326">
        <f t="shared" si="4"/>
        <v>214318.976</v>
      </c>
      <c r="AV52" s="326">
        <f t="shared" si="4"/>
        <v>214318.976</v>
      </c>
      <c r="AW52" s="326">
        <f t="shared" si="4"/>
        <v>214318.976</v>
      </c>
      <c r="AX52" s="326">
        <f t="shared" si="4"/>
        <v>214838.976</v>
      </c>
      <c r="AY52" s="326">
        <f t="shared" si="4"/>
        <v>215530.176</v>
      </c>
      <c r="AZ52" s="326">
        <f t="shared" si="4"/>
        <v>217603.776</v>
      </c>
      <c r="BA52" s="326">
        <f t="shared" si="4"/>
        <v>217603.776</v>
      </c>
      <c r="BB52" s="326">
        <f t="shared" si="4"/>
        <v>218986.176</v>
      </c>
      <c r="BC52" s="326">
        <f t="shared" si="4"/>
        <v>218986.176</v>
      </c>
      <c r="BD52" s="326">
        <f t="shared" si="4"/>
        <v>218986.176</v>
      </c>
      <c r="BE52" s="327"/>
      <c r="BF52" s="326"/>
      <c r="BG52" s="326"/>
      <c r="BH52" s="326"/>
      <c r="BI52" s="326"/>
      <c r="BJ52" s="326"/>
      <c r="BK52" s="326"/>
      <c r="BL52" s="326"/>
      <c r="BM52" s="326"/>
      <c r="BN52" s="326"/>
      <c r="BO52" s="326"/>
      <c r="BP52" s="326"/>
      <c r="BQ52" s="328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314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35"/>
    </row>
    <row r="54" ht="15.75" customHeight="1">
      <c r="A54" s="20"/>
      <c r="B54" s="25" t="s">
        <v>359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315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42"/>
    </row>
    <row r="55" ht="15.75" customHeight="1">
      <c r="A55" s="329"/>
      <c r="B55" s="330" t="s">
        <v>148</v>
      </c>
      <c r="C55" s="329"/>
      <c r="D55" s="329"/>
      <c r="E55" s="329"/>
      <c r="F55" s="329"/>
      <c r="G55" s="329"/>
      <c r="H55" s="329"/>
      <c r="I55" s="331">
        <f t="shared" ref="I55:BD55" si="5">COUNTIFS($C$3:$C$37,"R&amp;D",I3:I37,"&gt;0")</f>
        <v>0</v>
      </c>
      <c r="J55" s="331">
        <f t="shared" si="5"/>
        <v>0</v>
      </c>
      <c r="K55" s="331">
        <f t="shared" si="5"/>
        <v>0</v>
      </c>
      <c r="L55" s="331">
        <f t="shared" si="5"/>
        <v>0</v>
      </c>
      <c r="M55" s="331">
        <f t="shared" si="5"/>
        <v>0</v>
      </c>
      <c r="N55" s="331">
        <f t="shared" si="5"/>
        <v>0</v>
      </c>
      <c r="O55" s="331">
        <f t="shared" si="5"/>
        <v>0</v>
      </c>
      <c r="P55" s="331">
        <f t="shared" si="5"/>
        <v>0</v>
      </c>
      <c r="Q55" s="331">
        <f t="shared" si="5"/>
        <v>8</v>
      </c>
      <c r="R55" s="331">
        <f t="shared" si="5"/>
        <v>8</v>
      </c>
      <c r="S55" s="331">
        <f t="shared" si="5"/>
        <v>8</v>
      </c>
      <c r="T55" s="331">
        <f t="shared" si="5"/>
        <v>8</v>
      </c>
      <c r="U55" s="331">
        <f t="shared" si="5"/>
        <v>8</v>
      </c>
      <c r="V55" s="331">
        <f t="shared" si="5"/>
        <v>8</v>
      </c>
      <c r="W55" s="331">
        <f t="shared" si="5"/>
        <v>8</v>
      </c>
      <c r="X55" s="331">
        <f t="shared" si="5"/>
        <v>8</v>
      </c>
      <c r="Y55" s="331">
        <f t="shared" si="5"/>
        <v>8</v>
      </c>
      <c r="Z55" s="331">
        <f t="shared" si="5"/>
        <v>8</v>
      </c>
      <c r="AA55" s="331">
        <f t="shared" si="5"/>
        <v>9</v>
      </c>
      <c r="AB55" s="331">
        <f t="shared" si="5"/>
        <v>10</v>
      </c>
      <c r="AC55" s="331">
        <f t="shared" si="5"/>
        <v>10</v>
      </c>
      <c r="AD55" s="331">
        <f t="shared" si="5"/>
        <v>10</v>
      </c>
      <c r="AE55" s="331">
        <f t="shared" si="5"/>
        <v>10</v>
      </c>
      <c r="AF55" s="331">
        <f t="shared" si="5"/>
        <v>10</v>
      </c>
      <c r="AG55" s="331">
        <f t="shared" si="5"/>
        <v>13</v>
      </c>
      <c r="AH55" s="331">
        <f t="shared" si="5"/>
        <v>13</v>
      </c>
      <c r="AI55" s="331">
        <f t="shared" si="5"/>
        <v>13</v>
      </c>
      <c r="AJ55" s="331">
        <f t="shared" si="5"/>
        <v>13</v>
      </c>
      <c r="AK55" s="331">
        <f t="shared" si="5"/>
        <v>13</v>
      </c>
      <c r="AL55" s="331">
        <f t="shared" si="5"/>
        <v>14</v>
      </c>
      <c r="AM55" s="331">
        <f t="shared" si="5"/>
        <v>14</v>
      </c>
      <c r="AN55" s="331">
        <f t="shared" si="5"/>
        <v>14</v>
      </c>
      <c r="AO55" s="331">
        <f t="shared" si="5"/>
        <v>14</v>
      </c>
      <c r="AP55" s="331">
        <f t="shared" si="5"/>
        <v>14</v>
      </c>
      <c r="AQ55" s="331">
        <f t="shared" si="5"/>
        <v>14</v>
      </c>
      <c r="AR55" s="331">
        <f t="shared" si="5"/>
        <v>14</v>
      </c>
      <c r="AS55" s="331">
        <f t="shared" si="5"/>
        <v>14</v>
      </c>
      <c r="AT55" s="331">
        <f t="shared" si="5"/>
        <v>14</v>
      </c>
      <c r="AU55" s="331">
        <f t="shared" si="5"/>
        <v>14</v>
      </c>
      <c r="AV55" s="331">
        <f t="shared" si="5"/>
        <v>14</v>
      </c>
      <c r="AW55" s="331">
        <f t="shared" si="5"/>
        <v>14</v>
      </c>
      <c r="AX55" s="331">
        <f t="shared" si="5"/>
        <v>14</v>
      </c>
      <c r="AY55" s="331">
        <f t="shared" si="5"/>
        <v>14</v>
      </c>
      <c r="AZ55" s="331">
        <f t="shared" si="5"/>
        <v>14</v>
      </c>
      <c r="BA55" s="331">
        <f t="shared" si="5"/>
        <v>14</v>
      </c>
      <c r="BB55" s="331">
        <f t="shared" si="5"/>
        <v>14</v>
      </c>
      <c r="BC55" s="331">
        <f t="shared" si="5"/>
        <v>14</v>
      </c>
      <c r="BD55" s="331">
        <f t="shared" si="5"/>
        <v>14</v>
      </c>
      <c r="BE55" s="332"/>
      <c r="BF55" s="333"/>
      <c r="BG55" s="333"/>
      <c r="BH55" s="333"/>
      <c r="BI55" s="333"/>
      <c r="BJ55" s="333"/>
      <c r="BK55" s="333"/>
      <c r="BL55" s="333"/>
      <c r="BM55" s="333"/>
      <c r="BN55" s="333"/>
      <c r="BO55" s="333"/>
      <c r="BP55" s="333"/>
      <c r="BQ55" s="334"/>
    </row>
    <row r="56" ht="15.75" customHeight="1">
      <c r="A56" s="329"/>
      <c r="B56" s="330" t="s">
        <v>145</v>
      </c>
      <c r="C56" s="329"/>
      <c r="D56" s="329"/>
      <c r="E56" s="329"/>
      <c r="F56" s="329"/>
      <c r="G56" s="329"/>
      <c r="H56" s="329"/>
      <c r="I56" s="331">
        <f t="shared" ref="I56:BD56" si="6">COUNTIFS($C$3:$C$37,"S&amp;M",I3:I37,"&gt;0")</f>
        <v>0</v>
      </c>
      <c r="J56" s="331">
        <f t="shared" si="6"/>
        <v>0</v>
      </c>
      <c r="K56" s="331">
        <f t="shared" si="6"/>
        <v>0</v>
      </c>
      <c r="L56" s="331">
        <f t="shared" si="6"/>
        <v>0</v>
      </c>
      <c r="M56" s="331">
        <f t="shared" si="6"/>
        <v>0</v>
      </c>
      <c r="N56" s="331">
        <f t="shared" si="6"/>
        <v>0</v>
      </c>
      <c r="O56" s="331">
        <f t="shared" si="6"/>
        <v>0</v>
      </c>
      <c r="P56" s="331">
        <f t="shared" si="6"/>
        <v>0</v>
      </c>
      <c r="Q56" s="331">
        <f t="shared" si="6"/>
        <v>0</v>
      </c>
      <c r="R56" s="331">
        <f t="shared" si="6"/>
        <v>0</v>
      </c>
      <c r="S56" s="331">
        <f t="shared" si="6"/>
        <v>0</v>
      </c>
      <c r="T56" s="331">
        <f t="shared" si="6"/>
        <v>0</v>
      </c>
      <c r="U56" s="331">
        <f t="shared" si="6"/>
        <v>0</v>
      </c>
      <c r="V56" s="331">
        <f t="shared" si="6"/>
        <v>1</v>
      </c>
      <c r="W56" s="331">
        <f t="shared" si="6"/>
        <v>1</v>
      </c>
      <c r="X56" s="331">
        <f t="shared" si="6"/>
        <v>1</v>
      </c>
      <c r="Y56" s="331">
        <f t="shared" si="6"/>
        <v>1</v>
      </c>
      <c r="Z56" s="331">
        <f t="shared" si="6"/>
        <v>1</v>
      </c>
      <c r="AA56" s="331">
        <f t="shared" si="6"/>
        <v>1</v>
      </c>
      <c r="AB56" s="331">
        <f t="shared" si="6"/>
        <v>2</v>
      </c>
      <c r="AC56" s="331">
        <f t="shared" si="6"/>
        <v>2</v>
      </c>
      <c r="AD56" s="331">
        <f t="shared" si="6"/>
        <v>3</v>
      </c>
      <c r="AE56" s="331">
        <f t="shared" si="6"/>
        <v>3</v>
      </c>
      <c r="AF56" s="331">
        <f t="shared" si="6"/>
        <v>3</v>
      </c>
      <c r="AG56" s="331">
        <f t="shared" si="6"/>
        <v>3</v>
      </c>
      <c r="AH56" s="331">
        <f t="shared" si="6"/>
        <v>3</v>
      </c>
      <c r="AI56" s="331">
        <f t="shared" si="6"/>
        <v>3</v>
      </c>
      <c r="AJ56" s="331">
        <f t="shared" si="6"/>
        <v>3</v>
      </c>
      <c r="AK56" s="331">
        <f t="shared" si="6"/>
        <v>3</v>
      </c>
      <c r="AL56" s="331">
        <f t="shared" si="6"/>
        <v>3</v>
      </c>
      <c r="AM56" s="331">
        <f t="shared" si="6"/>
        <v>3</v>
      </c>
      <c r="AN56" s="331">
        <f t="shared" si="6"/>
        <v>3</v>
      </c>
      <c r="AO56" s="331">
        <f t="shared" si="6"/>
        <v>3</v>
      </c>
      <c r="AP56" s="331">
        <f t="shared" si="6"/>
        <v>3</v>
      </c>
      <c r="AQ56" s="331">
        <f t="shared" si="6"/>
        <v>3</v>
      </c>
      <c r="AR56" s="331">
        <f t="shared" si="6"/>
        <v>3</v>
      </c>
      <c r="AS56" s="331">
        <f t="shared" si="6"/>
        <v>5</v>
      </c>
      <c r="AT56" s="331">
        <f t="shared" si="6"/>
        <v>6</v>
      </c>
      <c r="AU56" s="331">
        <f t="shared" si="6"/>
        <v>6</v>
      </c>
      <c r="AV56" s="331">
        <f t="shared" si="6"/>
        <v>6</v>
      </c>
      <c r="AW56" s="331">
        <f t="shared" si="6"/>
        <v>6</v>
      </c>
      <c r="AX56" s="331">
        <f t="shared" si="6"/>
        <v>6</v>
      </c>
      <c r="AY56" s="331">
        <f t="shared" si="6"/>
        <v>6</v>
      </c>
      <c r="AZ56" s="331">
        <f t="shared" si="6"/>
        <v>6</v>
      </c>
      <c r="BA56" s="331">
        <f t="shared" si="6"/>
        <v>6</v>
      </c>
      <c r="BB56" s="331">
        <f t="shared" si="6"/>
        <v>6</v>
      </c>
      <c r="BC56" s="331">
        <f t="shared" si="6"/>
        <v>6</v>
      </c>
      <c r="BD56" s="331">
        <f t="shared" si="6"/>
        <v>6</v>
      </c>
      <c r="BE56" s="332"/>
      <c r="BF56" s="333"/>
      <c r="BG56" s="333"/>
      <c r="BH56" s="333"/>
      <c r="BI56" s="333"/>
      <c r="BJ56" s="333"/>
      <c r="BK56" s="333"/>
      <c r="BL56" s="333"/>
      <c r="BM56" s="333"/>
      <c r="BN56" s="333"/>
      <c r="BO56" s="333"/>
      <c r="BP56" s="333"/>
      <c r="BQ56" s="334"/>
    </row>
    <row r="57" ht="15.75" customHeight="1">
      <c r="A57" s="329"/>
      <c r="B57" s="330" t="s">
        <v>141</v>
      </c>
      <c r="C57" s="329"/>
      <c r="D57" s="329"/>
      <c r="E57" s="329"/>
      <c r="F57" s="329"/>
      <c r="G57" s="329"/>
      <c r="H57" s="329"/>
      <c r="I57" s="331">
        <f t="shared" ref="I57:BD57" si="7">COUNTIFS($C$3:$C$37,"G&amp;A",I3:I37,"&gt;0")</f>
        <v>0</v>
      </c>
      <c r="J57" s="331">
        <f t="shared" si="7"/>
        <v>0</v>
      </c>
      <c r="K57" s="331">
        <f t="shared" si="7"/>
        <v>0</v>
      </c>
      <c r="L57" s="331">
        <f t="shared" si="7"/>
        <v>0</v>
      </c>
      <c r="M57" s="331">
        <f t="shared" si="7"/>
        <v>0</v>
      </c>
      <c r="N57" s="331">
        <f t="shared" si="7"/>
        <v>0</v>
      </c>
      <c r="O57" s="331">
        <f t="shared" si="7"/>
        <v>0</v>
      </c>
      <c r="P57" s="331">
        <f t="shared" si="7"/>
        <v>0</v>
      </c>
      <c r="Q57" s="331">
        <f t="shared" si="7"/>
        <v>2</v>
      </c>
      <c r="R57" s="331">
        <f t="shared" si="7"/>
        <v>2</v>
      </c>
      <c r="S57" s="331">
        <f t="shared" si="7"/>
        <v>2</v>
      </c>
      <c r="T57" s="331">
        <f t="shared" si="7"/>
        <v>2</v>
      </c>
      <c r="U57" s="331">
        <f t="shared" si="7"/>
        <v>2</v>
      </c>
      <c r="V57" s="331">
        <f t="shared" si="7"/>
        <v>2</v>
      </c>
      <c r="W57" s="331">
        <f t="shared" si="7"/>
        <v>2</v>
      </c>
      <c r="X57" s="331">
        <f t="shared" si="7"/>
        <v>2</v>
      </c>
      <c r="Y57" s="331">
        <f t="shared" si="7"/>
        <v>2</v>
      </c>
      <c r="Z57" s="331">
        <f t="shared" si="7"/>
        <v>2</v>
      </c>
      <c r="AA57" s="331">
        <f t="shared" si="7"/>
        <v>2</v>
      </c>
      <c r="AB57" s="331">
        <f t="shared" si="7"/>
        <v>3</v>
      </c>
      <c r="AC57" s="331">
        <f t="shared" si="7"/>
        <v>3</v>
      </c>
      <c r="AD57" s="331">
        <f t="shared" si="7"/>
        <v>3</v>
      </c>
      <c r="AE57" s="331">
        <f t="shared" si="7"/>
        <v>3</v>
      </c>
      <c r="AF57" s="331">
        <f t="shared" si="7"/>
        <v>3</v>
      </c>
      <c r="AG57" s="331">
        <f t="shared" si="7"/>
        <v>5</v>
      </c>
      <c r="AH57" s="331">
        <f t="shared" si="7"/>
        <v>5</v>
      </c>
      <c r="AI57" s="331">
        <f t="shared" si="7"/>
        <v>5</v>
      </c>
      <c r="AJ57" s="331">
        <f t="shared" si="7"/>
        <v>5</v>
      </c>
      <c r="AK57" s="331">
        <f t="shared" si="7"/>
        <v>5</v>
      </c>
      <c r="AL57" s="331">
        <f t="shared" si="7"/>
        <v>5</v>
      </c>
      <c r="AM57" s="331">
        <f t="shared" si="7"/>
        <v>5</v>
      </c>
      <c r="AN57" s="331">
        <f t="shared" si="7"/>
        <v>5</v>
      </c>
      <c r="AO57" s="331">
        <f t="shared" si="7"/>
        <v>5</v>
      </c>
      <c r="AP57" s="331">
        <f t="shared" si="7"/>
        <v>5</v>
      </c>
      <c r="AQ57" s="331">
        <f t="shared" si="7"/>
        <v>5</v>
      </c>
      <c r="AR57" s="331">
        <f t="shared" si="7"/>
        <v>5</v>
      </c>
      <c r="AS57" s="331">
        <f t="shared" si="7"/>
        <v>5</v>
      </c>
      <c r="AT57" s="331">
        <f t="shared" si="7"/>
        <v>6</v>
      </c>
      <c r="AU57" s="331">
        <f t="shared" si="7"/>
        <v>6</v>
      </c>
      <c r="AV57" s="331">
        <f t="shared" si="7"/>
        <v>6</v>
      </c>
      <c r="AW57" s="331">
        <f t="shared" si="7"/>
        <v>6</v>
      </c>
      <c r="AX57" s="331">
        <f t="shared" si="7"/>
        <v>6</v>
      </c>
      <c r="AY57" s="331">
        <f t="shared" si="7"/>
        <v>6</v>
      </c>
      <c r="AZ57" s="331">
        <f t="shared" si="7"/>
        <v>6</v>
      </c>
      <c r="BA57" s="331">
        <f t="shared" si="7"/>
        <v>6</v>
      </c>
      <c r="BB57" s="331">
        <f t="shared" si="7"/>
        <v>6</v>
      </c>
      <c r="BC57" s="331">
        <f t="shared" si="7"/>
        <v>6</v>
      </c>
      <c r="BD57" s="331">
        <f t="shared" si="7"/>
        <v>6</v>
      </c>
      <c r="BE57" s="332"/>
      <c r="BF57" s="333"/>
      <c r="BG57" s="333"/>
      <c r="BH57" s="333"/>
      <c r="BI57" s="333"/>
      <c r="BJ57" s="333"/>
      <c r="BK57" s="333"/>
      <c r="BL57" s="333"/>
      <c r="BM57" s="333"/>
      <c r="BN57" s="333"/>
      <c r="BO57" s="333"/>
      <c r="BP57" s="333"/>
      <c r="BQ57" s="334"/>
    </row>
    <row r="58" ht="15.75" customHeight="1">
      <c r="A58" s="324"/>
      <c r="B58" s="335" t="s">
        <v>360</v>
      </c>
      <c r="C58" s="335"/>
      <c r="D58" s="335"/>
      <c r="E58" s="335"/>
      <c r="F58" s="335"/>
      <c r="G58" s="335"/>
      <c r="H58" s="335"/>
      <c r="I58" s="336">
        <f t="shared" ref="I58:BD58" si="8">SUM(I55:I57)</f>
        <v>0</v>
      </c>
      <c r="J58" s="336">
        <f t="shared" si="8"/>
        <v>0</v>
      </c>
      <c r="K58" s="336">
        <f t="shared" si="8"/>
        <v>0</v>
      </c>
      <c r="L58" s="336">
        <f t="shared" si="8"/>
        <v>0</v>
      </c>
      <c r="M58" s="336">
        <f t="shared" si="8"/>
        <v>0</v>
      </c>
      <c r="N58" s="336">
        <f t="shared" si="8"/>
        <v>0</v>
      </c>
      <c r="O58" s="336">
        <f t="shared" si="8"/>
        <v>0</v>
      </c>
      <c r="P58" s="336">
        <f t="shared" si="8"/>
        <v>0</v>
      </c>
      <c r="Q58" s="336">
        <f t="shared" si="8"/>
        <v>10</v>
      </c>
      <c r="R58" s="336">
        <f t="shared" si="8"/>
        <v>10</v>
      </c>
      <c r="S58" s="336">
        <f t="shared" si="8"/>
        <v>10</v>
      </c>
      <c r="T58" s="336">
        <f t="shared" si="8"/>
        <v>10</v>
      </c>
      <c r="U58" s="336">
        <f t="shared" si="8"/>
        <v>10</v>
      </c>
      <c r="V58" s="336">
        <f t="shared" si="8"/>
        <v>11</v>
      </c>
      <c r="W58" s="336">
        <f t="shared" si="8"/>
        <v>11</v>
      </c>
      <c r="X58" s="336">
        <f t="shared" si="8"/>
        <v>11</v>
      </c>
      <c r="Y58" s="336">
        <f t="shared" si="8"/>
        <v>11</v>
      </c>
      <c r="Z58" s="336">
        <f t="shared" si="8"/>
        <v>11</v>
      </c>
      <c r="AA58" s="336">
        <f t="shared" si="8"/>
        <v>12</v>
      </c>
      <c r="AB58" s="336">
        <f t="shared" si="8"/>
        <v>15</v>
      </c>
      <c r="AC58" s="336">
        <f t="shared" si="8"/>
        <v>15</v>
      </c>
      <c r="AD58" s="336">
        <f t="shared" si="8"/>
        <v>16</v>
      </c>
      <c r="AE58" s="336">
        <f t="shared" si="8"/>
        <v>16</v>
      </c>
      <c r="AF58" s="336">
        <f t="shared" si="8"/>
        <v>16</v>
      </c>
      <c r="AG58" s="336">
        <f t="shared" si="8"/>
        <v>21</v>
      </c>
      <c r="AH58" s="336">
        <f t="shared" si="8"/>
        <v>21</v>
      </c>
      <c r="AI58" s="336">
        <f t="shared" si="8"/>
        <v>21</v>
      </c>
      <c r="AJ58" s="336">
        <f t="shared" si="8"/>
        <v>21</v>
      </c>
      <c r="AK58" s="336">
        <f t="shared" si="8"/>
        <v>21</v>
      </c>
      <c r="AL58" s="336">
        <f t="shared" si="8"/>
        <v>22</v>
      </c>
      <c r="AM58" s="336">
        <f t="shared" si="8"/>
        <v>22</v>
      </c>
      <c r="AN58" s="336">
        <f t="shared" si="8"/>
        <v>22</v>
      </c>
      <c r="AO58" s="336">
        <f t="shared" si="8"/>
        <v>22</v>
      </c>
      <c r="AP58" s="336">
        <f t="shared" si="8"/>
        <v>22</v>
      </c>
      <c r="AQ58" s="336">
        <f t="shared" si="8"/>
        <v>22</v>
      </c>
      <c r="AR58" s="336">
        <f t="shared" si="8"/>
        <v>22</v>
      </c>
      <c r="AS58" s="336">
        <f t="shared" si="8"/>
        <v>24</v>
      </c>
      <c r="AT58" s="336">
        <f t="shared" si="8"/>
        <v>26</v>
      </c>
      <c r="AU58" s="336">
        <f t="shared" si="8"/>
        <v>26</v>
      </c>
      <c r="AV58" s="336">
        <f t="shared" si="8"/>
        <v>26</v>
      </c>
      <c r="AW58" s="336">
        <f t="shared" si="8"/>
        <v>26</v>
      </c>
      <c r="AX58" s="336">
        <f t="shared" si="8"/>
        <v>26</v>
      </c>
      <c r="AY58" s="336">
        <f t="shared" si="8"/>
        <v>26</v>
      </c>
      <c r="AZ58" s="336">
        <f t="shared" si="8"/>
        <v>26</v>
      </c>
      <c r="BA58" s="336">
        <f t="shared" si="8"/>
        <v>26</v>
      </c>
      <c r="BB58" s="336">
        <f t="shared" si="8"/>
        <v>26</v>
      </c>
      <c r="BC58" s="336">
        <f t="shared" si="8"/>
        <v>26</v>
      </c>
      <c r="BD58" s="336">
        <f t="shared" si="8"/>
        <v>26</v>
      </c>
      <c r="BE58" s="337"/>
      <c r="BF58" s="338"/>
      <c r="BG58" s="338"/>
      <c r="BH58" s="338"/>
      <c r="BI58" s="338"/>
      <c r="BJ58" s="338"/>
      <c r="BK58" s="338"/>
      <c r="BL58" s="338"/>
      <c r="BM58" s="338"/>
      <c r="BN58" s="338"/>
      <c r="BO58" s="338"/>
      <c r="BP58" s="338"/>
      <c r="BQ58" s="328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314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35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314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35"/>
    </row>
    <row r="61" ht="15.75" customHeight="1">
      <c r="A61" s="23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35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35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35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35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35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35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35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35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35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35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35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35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35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35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35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35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35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35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35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35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35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35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35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35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35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35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35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35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35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35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35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35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35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35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35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35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35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35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35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35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35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35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35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35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35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35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35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35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35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35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35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35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35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35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35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35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35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35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35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35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35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35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35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35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35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35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35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35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35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35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35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35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35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35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35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35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35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35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35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35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35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35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35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35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35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35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35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35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35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35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35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35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35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35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35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35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35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35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35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35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35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35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35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35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35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35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35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35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35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35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35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35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35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35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35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35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35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35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35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35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35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35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35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35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35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35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35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35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35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35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35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35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35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35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35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35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35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35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35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35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35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35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35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35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35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35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35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35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35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35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35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35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35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35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35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35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35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35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35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35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35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35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35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35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35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35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35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35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35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35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35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35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35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35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35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35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35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35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35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35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35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35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35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35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35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35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35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35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35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35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35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35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35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35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35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35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35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3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BD1"/>
    <mergeCell ref="B46:H46"/>
    <mergeCell ref="B48:BD48"/>
    <mergeCell ref="B54:BD5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4" width="8.0"/>
    <col customWidth="1" min="5" max="5" width="9.57"/>
    <col customWidth="1" min="6" max="8" width="10.71"/>
    <col customWidth="1" min="9" max="12" width="9.0"/>
    <col customWidth="1" min="13" max="13" width="15.71"/>
    <col customWidth="1" min="14" max="16" width="12.86"/>
    <col customWidth="1" min="17" max="18" width="9.0"/>
    <col customWidth="1" min="19" max="19" width="13.29"/>
    <col customWidth="1" min="20" max="20" width="14.14"/>
    <col customWidth="1" min="21" max="22" width="10.71"/>
    <col customWidth="1" min="23" max="23" width="12.14"/>
    <col customWidth="1" min="24" max="24" width="16.57"/>
    <col customWidth="1" min="25" max="31" width="9.0"/>
    <col customWidth="1" min="32" max="40" width="8.0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</row>
    <row r="2" ht="13.5" customHeight="1">
      <c r="A2" s="339"/>
      <c r="B2" s="340" t="s">
        <v>361</v>
      </c>
      <c r="C2" s="341">
        <v>2025.0</v>
      </c>
      <c r="D2" s="341">
        <v>2026.0</v>
      </c>
      <c r="E2" s="341">
        <v>2027.0</v>
      </c>
      <c r="F2" s="341">
        <v>2028.0</v>
      </c>
      <c r="G2" s="341">
        <v>2029.0</v>
      </c>
      <c r="H2" s="341">
        <v>2030.0</v>
      </c>
      <c r="I2" s="341"/>
      <c r="J2" s="341"/>
      <c r="K2" s="341"/>
      <c r="L2" s="341"/>
      <c r="M2" s="340" t="s">
        <v>362</v>
      </c>
      <c r="N2" s="341">
        <v>2027.0</v>
      </c>
      <c r="O2" s="341">
        <v>2028.0</v>
      </c>
      <c r="P2" s="341">
        <v>2029.0</v>
      </c>
      <c r="Q2" s="341"/>
      <c r="R2" s="341"/>
      <c r="S2" s="341"/>
      <c r="T2" s="341">
        <v>2027.0</v>
      </c>
      <c r="U2" s="341">
        <v>2028.0</v>
      </c>
      <c r="V2" s="341">
        <v>2029.0</v>
      </c>
      <c r="W2" s="341"/>
      <c r="X2" s="341"/>
      <c r="Y2" s="341"/>
      <c r="Z2" s="341"/>
      <c r="AA2" s="341"/>
      <c r="AB2" s="341"/>
      <c r="AC2" s="342"/>
      <c r="AD2" s="342"/>
      <c r="AE2" s="342"/>
      <c r="AF2" s="342"/>
      <c r="AG2" s="342"/>
      <c r="AH2" s="342"/>
      <c r="AI2" s="342"/>
      <c r="AJ2" s="342"/>
      <c r="AK2" s="342"/>
      <c r="AL2" s="342"/>
      <c r="AM2" s="342"/>
      <c r="AN2" s="342"/>
      <c r="AO2" s="342"/>
      <c r="AP2" s="342"/>
      <c r="AQ2" s="343"/>
      <c r="AR2" s="339"/>
    </row>
    <row r="3" ht="15.75" customHeight="1">
      <c r="A3" s="28"/>
      <c r="B3" s="28" t="s">
        <v>363</v>
      </c>
      <c r="C3" s="174">
        <f>'Financial Statements'!BB12</f>
        <v>97480</v>
      </c>
      <c r="D3" s="174">
        <f>'Financial Statements'!BC12</f>
        <v>106782</v>
      </c>
      <c r="E3" s="174">
        <f>'Financial Statements'!BD12</f>
        <v>20475120.41</v>
      </c>
      <c r="F3" s="174">
        <f>'Financial Statements'!BE12</f>
        <v>74302034.74</v>
      </c>
      <c r="G3" s="174">
        <f>'Financial Statements'!BF12</f>
        <v>149052293.5</v>
      </c>
      <c r="H3" s="28" t="str">
        <f>#REF!</f>
        <v>#REF!</v>
      </c>
      <c r="I3" s="28"/>
      <c r="J3" s="28"/>
      <c r="K3" s="28"/>
      <c r="L3" s="28"/>
      <c r="M3" s="28" t="s">
        <v>264</v>
      </c>
      <c r="N3" s="174">
        <f>'Revenue Forecast'!BD6</f>
        <v>652</v>
      </c>
      <c r="O3" s="174">
        <f>'Revenue Forecast'!BE6</f>
        <v>1948</v>
      </c>
      <c r="P3" s="174">
        <f>'Revenue Forecast'!BF6</f>
        <v>3896</v>
      </c>
      <c r="Q3" s="28"/>
      <c r="R3" s="28"/>
      <c r="S3" s="28" t="s">
        <v>364</v>
      </c>
      <c r="T3" s="174">
        <v>3035867.7685950417</v>
      </c>
      <c r="U3" s="174">
        <v>1.1993553719008267E7</v>
      </c>
      <c r="V3" s="174">
        <v>2.3987107438016534E7</v>
      </c>
      <c r="W3" s="174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</row>
    <row r="4" ht="15.75" customHeight="1">
      <c r="A4" s="28"/>
      <c r="B4" s="28" t="s">
        <v>365</v>
      </c>
      <c r="C4" s="28"/>
      <c r="D4" s="28"/>
      <c r="E4" s="174">
        <f>COGS!BD7</f>
        <v>4615797.488</v>
      </c>
      <c r="F4" s="174">
        <f>COGS!BE7</f>
        <v>13790756.91</v>
      </c>
      <c r="G4" s="28"/>
      <c r="H4" s="28"/>
      <c r="I4" s="28"/>
      <c r="J4" s="28"/>
      <c r="K4" s="28"/>
      <c r="L4" s="28"/>
      <c r="M4" s="45" t="s">
        <v>269</v>
      </c>
      <c r="N4" s="174">
        <f>'Revenue Forecast'!BD12</f>
        <v>389</v>
      </c>
      <c r="O4" s="174">
        <f>'Revenue Forecast'!BE12</f>
        <v>1559</v>
      </c>
      <c r="P4" s="174">
        <f>'Revenue Forecast'!BF12</f>
        <v>3118</v>
      </c>
      <c r="Q4" s="28"/>
      <c r="R4" s="28"/>
      <c r="S4" s="45" t="s">
        <v>366</v>
      </c>
      <c r="T4" s="174">
        <v>332231.4049586777</v>
      </c>
      <c r="U4" s="174">
        <v>2751983.4710743804</v>
      </c>
      <c r="V4" s="174">
        <v>5503966.942148761</v>
      </c>
      <c r="W4" s="174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ht="15.75" customHeight="1">
      <c r="A5" s="28"/>
      <c r="B5" s="28" t="s">
        <v>367</v>
      </c>
      <c r="C5" s="28"/>
      <c r="D5" s="174">
        <f>OPEX!BE36</f>
        <v>2076520</v>
      </c>
      <c r="E5" s="174">
        <f>OPEX!BF36</f>
        <v>3524506.4</v>
      </c>
      <c r="F5" s="174">
        <f>OPEX!BG36</f>
        <v>4917942.592</v>
      </c>
      <c r="G5" s="28"/>
      <c r="H5" s="28"/>
      <c r="I5" s="28"/>
      <c r="J5" s="28"/>
      <c r="K5" s="28"/>
      <c r="L5" s="28"/>
      <c r="M5" s="28" t="s">
        <v>368</v>
      </c>
      <c r="N5" s="174">
        <f>'Revenue Forecast'!BD9</f>
        <v>6147390.083</v>
      </c>
      <c r="O5" s="174">
        <f>'Revenue Forecast'!BE9</f>
        <v>18366742.15</v>
      </c>
      <c r="P5" s="174">
        <f>'Revenue Forecast'!BF9</f>
        <v>36733484.3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45" t="s">
        <v>369</v>
      </c>
      <c r="N6" s="174">
        <f>'Revenue Forecast'!BD15</f>
        <v>4543745.041</v>
      </c>
      <c r="O6" s="174">
        <f>'Revenue Forecast'!BE15</f>
        <v>18210021.9</v>
      </c>
      <c r="P6" s="174">
        <f>'Revenue Forecast'!BF15</f>
        <v>36420043.8</v>
      </c>
      <c r="Q6" s="28"/>
      <c r="R6" s="28"/>
      <c r="S6" s="28" t="s">
        <v>370</v>
      </c>
      <c r="T6" s="28"/>
      <c r="U6" s="28"/>
      <c r="V6" s="28" t="s">
        <v>371</v>
      </c>
      <c r="W6" s="28" t="s">
        <v>372</v>
      </c>
      <c r="X6" s="28" t="s">
        <v>373</v>
      </c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45" t="s">
        <v>274</v>
      </c>
      <c r="N7" s="174">
        <f>'Revenue Forecast'!BD18</f>
        <v>389</v>
      </c>
      <c r="O7" s="174">
        <f>'Revenue Forecast'!BE18</f>
        <v>1559</v>
      </c>
      <c r="P7" s="174">
        <f>'Revenue Forecast'!BF18</f>
        <v>3118</v>
      </c>
      <c r="Q7" s="28"/>
      <c r="R7" s="28"/>
      <c r="S7" s="28"/>
      <c r="T7" s="28"/>
      <c r="U7" s="28"/>
      <c r="V7" s="197">
        <v>0.6</v>
      </c>
      <c r="W7" s="197">
        <v>0.15</v>
      </c>
      <c r="X7" s="197">
        <v>0.25</v>
      </c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45" t="s">
        <v>374</v>
      </c>
      <c r="N8" s="174">
        <f>'Revenue Forecast'!BD21</f>
        <v>5733249.174</v>
      </c>
      <c r="O8" s="174">
        <f>'Revenue Forecast'!BE21</f>
        <v>22977211.98</v>
      </c>
      <c r="P8" s="174">
        <f>'Revenue Forecast'!BF21</f>
        <v>45954423.97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7.0"/>
    <col customWidth="1" min="4" max="4" width="10.0"/>
    <col customWidth="1" min="5" max="5" width="10.43"/>
    <col customWidth="1" min="6" max="6" width="11.29"/>
    <col customWidth="1" min="7" max="7" width="12.14"/>
    <col customWidth="1" min="8" max="8" width="10.71"/>
    <col customWidth="1" min="9" max="9" width="9.0"/>
    <col customWidth="1" min="10" max="10" width="15.71"/>
    <col customWidth="1" min="11" max="12" width="5.0"/>
    <col customWidth="1" min="13" max="13" width="9.57"/>
    <col customWidth="1" min="14" max="16" width="10.71"/>
    <col customWidth="1" min="17" max="18" width="9.0"/>
    <col customWidth="1" min="19" max="19" width="13.29"/>
    <col customWidth="1" min="20" max="22" width="9.57"/>
    <col customWidth="1" min="23" max="23" width="10.71"/>
    <col customWidth="1" min="24" max="24" width="19.57"/>
    <col customWidth="1" min="25" max="25" width="19.71"/>
    <col customWidth="1" min="26" max="26" width="16.57"/>
    <col customWidth="1" min="27" max="33" width="9.0"/>
    <col customWidth="1" min="34" max="42" width="8.0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</row>
    <row r="2" ht="13.5" customHeight="1">
      <c r="A2" s="339"/>
      <c r="B2" s="340" t="s">
        <v>361</v>
      </c>
      <c r="C2" s="341">
        <v>2025.0</v>
      </c>
      <c r="D2" s="341">
        <v>2026.0</v>
      </c>
      <c r="E2" s="341">
        <v>2027.0</v>
      </c>
      <c r="F2" s="341">
        <v>2028.0</v>
      </c>
      <c r="G2" s="341">
        <v>2029.0</v>
      </c>
      <c r="H2" s="341"/>
      <c r="I2" s="341"/>
      <c r="J2" s="340" t="s">
        <v>362</v>
      </c>
      <c r="K2" s="341"/>
      <c r="L2" s="341">
        <v>2026.0</v>
      </c>
      <c r="M2" s="341">
        <v>2027.0</v>
      </c>
      <c r="N2" s="341">
        <v>2028.0</v>
      </c>
      <c r="O2" s="341">
        <v>2029.0</v>
      </c>
      <c r="P2" s="341"/>
      <c r="Q2" s="341"/>
      <c r="R2" s="341"/>
      <c r="S2" s="341"/>
      <c r="T2" s="341"/>
      <c r="U2" s="341">
        <v>2026.0</v>
      </c>
      <c r="V2" s="341">
        <v>2027.0</v>
      </c>
      <c r="W2" s="341">
        <v>2028.0</v>
      </c>
      <c r="X2" s="341">
        <v>2029.0</v>
      </c>
      <c r="Y2" s="341"/>
      <c r="Z2" s="341"/>
      <c r="AA2" s="341"/>
      <c r="AB2" s="341"/>
      <c r="AC2" s="341"/>
      <c r="AD2" s="341"/>
      <c r="AE2" s="342"/>
      <c r="AF2" s="342"/>
      <c r="AG2" s="342"/>
      <c r="AH2" s="342"/>
      <c r="AI2" s="342"/>
      <c r="AJ2" s="342"/>
      <c r="AK2" s="342"/>
      <c r="AL2" s="342"/>
      <c r="AM2" s="342"/>
      <c r="AN2" s="342"/>
      <c r="AO2" s="342"/>
      <c r="AP2" s="342"/>
      <c r="AQ2" s="342"/>
      <c r="AR2" s="342"/>
      <c r="AS2" s="343"/>
      <c r="AT2" s="339"/>
    </row>
    <row r="3" ht="15.75" customHeight="1">
      <c r="A3" s="28"/>
      <c r="B3" s="28" t="s">
        <v>375</v>
      </c>
      <c r="C3" s="174">
        <f>'Financial Statements'!BB12</f>
        <v>97480</v>
      </c>
      <c r="D3" s="174">
        <f>'Financial Statements'!BC12</f>
        <v>106782</v>
      </c>
      <c r="E3" s="174">
        <f>'Financial Statements'!BD12</f>
        <v>20475120.41</v>
      </c>
      <c r="F3" s="174">
        <f>'Financial Statements'!BE12</f>
        <v>74302034.74</v>
      </c>
      <c r="G3" s="174">
        <f>'Financial Statements'!BF12</f>
        <v>149052293.5</v>
      </c>
      <c r="H3" s="28"/>
      <c r="I3" s="28"/>
      <c r="J3" s="28" t="s">
        <v>264</v>
      </c>
      <c r="K3" s="174"/>
      <c r="L3" s="174">
        <f>'Revenue Forecast'!BC6</f>
        <v>0</v>
      </c>
      <c r="M3" s="174">
        <f>'Revenue Forecast'!BD6</f>
        <v>652</v>
      </c>
      <c r="N3" s="174">
        <f>'Revenue Forecast'!BE6</f>
        <v>1948</v>
      </c>
      <c r="O3" s="174">
        <f>'Revenue Forecast'!BF6</f>
        <v>3896</v>
      </c>
      <c r="P3" s="28"/>
      <c r="Q3" s="28"/>
      <c r="R3" s="28"/>
      <c r="S3" s="28" t="s">
        <v>376</v>
      </c>
      <c r="T3" s="174"/>
      <c r="U3" s="174">
        <f>count(Personnel!F3:F21)</f>
        <v>17</v>
      </c>
      <c r="V3" s="174">
        <f>count(Personnel!F3:F27)</f>
        <v>23</v>
      </c>
      <c r="W3" s="174">
        <f>COUNT(Personnel!F3:F31)</f>
        <v>27</v>
      </c>
      <c r="X3" s="174">
        <f>COUNT(Personnel!F3:F33)</f>
        <v>29</v>
      </c>
      <c r="Y3" s="174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</row>
    <row r="4" ht="15.75" customHeight="1">
      <c r="A4" s="28"/>
      <c r="B4" s="28" t="s">
        <v>365</v>
      </c>
      <c r="C4" s="28"/>
      <c r="D4" s="174">
        <f>'Financial Statements'!BC19</f>
        <v>0</v>
      </c>
      <c r="E4" s="174">
        <f>'Financial Statements'!BD19</f>
        <v>15514392.48</v>
      </c>
      <c r="F4" s="174">
        <f>'Financial Statements'!BE19</f>
        <v>55809762.25</v>
      </c>
      <c r="G4" s="174">
        <f>'Financial Statements'!BF19</f>
        <v>88608416.28</v>
      </c>
      <c r="H4" s="28"/>
      <c r="I4" s="28"/>
      <c r="J4" s="45" t="s">
        <v>269</v>
      </c>
      <c r="K4" s="174"/>
      <c r="L4" s="174">
        <f>'Revenue Forecast'!BC12</f>
        <v>0</v>
      </c>
      <c r="M4" s="174">
        <f>'Revenue Forecast'!BD12</f>
        <v>389</v>
      </c>
      <c r="N4" s="174">
        <f>'Revenue Forecast'!BE12</f>
        <v>1559</v>
      </c>
      <c r="O4" s="174">
        <f>'Revenue Forecast'!BF12</f>
        <v>3118</v>
      </c>
      <c r="P4" s="28"/>
      <c r="Q4" s="28"/>
      <c r="R4" s="28"/>
      <c r="S4" s="28" t="s">
        <v>377</v>
      </c>
      <c r="T4" s="174"/>
      <c r="U4" s="174">
        <f t="shared" ref="U4:X4" si="1">D3/U3</f>
        <v>6281.294118</v>
      </c>
      <c r="V4" s="174">
        <f t="shared" si="1"/>
        <v>890222.6267</v>
      </c>
      <c r="W4" s="174">
        <f t="shared" si="1"/>
        <v>2751927.213</v>
      </c>
      <c r="X4" s="174">
        <f t="shared" si="1"/>
        <v>5139734.258</v>
      </c>
      <c r="Y4" s="174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ht="15.75" customHeight="1">
      <c r="A5" s="28"/>
      <c r="B5" s="28" t="s">
        <v>367</v>
      </c>
      <c r="C5" s="28"/>
      <c r="D5" s="174">
        <f>'Financial Statements'!BC28</f>
        <v>2076520</v>
      </c>
      <c r="E5" s="174">
        <f>'Financial Statements'!BD28</f>
        <v>3524506.4</v>
      </c>
      <c r="F5" s="174">
        <f>'Financial Statements'!BE28</f>
        <v>4917942.592</v>
      </c>
      <c r="G5" s="174">
        <f>'Financial Statements'!BF28</f>
        <v>7650856.084</v>
      </c>
      <c r="H5" s="28"/>
      <c r="I5" s="28"/>
      <c r="J5" s="28" t="s">
        <v>364</v>
      </c>
      <c r="K5" s="174"/>
      <c r="L5" s="174">
        <f>'Revenue Forecast'!BC9</f>
        <v>0</v>
      </c>
      <c r="M5" s="174">
        <f>'Revenue Forecast'!BD9</f>
        <v>6147390.083</v>
      </c>
      <c r="N5" s="174">
        <f>'Revenue Forecast'!BE9</f>
        <v>18366742.15</v>
      </c>
      <c r="O5" s="174">
        <f>'Revenue Forecast'!BF9</f>
        <v>36733484.3</v>
      </c>
      <c r="P5" s="28"/>
      <c r="Q5" s="28"/>
      <c r="R5" s="28"/>
      <c r="S5" s="28" t="s">
        <v>378</v>
      </c>
      <c r="T5" s="28"/>
      <c r="U5" s="174">
        <f t="shared" ref="U5:X5" si="2">D6/U3</f>
        <v>-115866.9412</v>
      </c>
      <c r="V5" s="174">
        <f t="shared" si="2"/>
        <v>62444.41467</v>
      </c>
      <c r="W5" s="174">
        <f t="shared" si="2"/>
        <v>502752.9592</v>
      </c>
      <c r="X5" s="174">
        <f t="shared" si="2"/>
        <v>1820449.004</v>
      </c>
      <c r="Y5" s="174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</row>
    <row r="6" ht="15.75" customHeight="1">
      <c r="A6" s="28"/>
      <c r="B6" s="28" t="s">
        <v>379</v>
      </c>
      <c r="C6" s="28"/>
      <c r="D6" s="174">
        <f>'Financial Statements'!BC30</f>
        <v>-1969738</v>
      </c>
      <c r="E6" s="174">
        <f>'Financial Statements'!BD30</f>
        <v>1436221.538</v>
      </c>
      <c r="F6" s="174">
        <f>'Financial Statements'!BE30</f>
        <v>13574329.9</v>
      </c>
      <c r="G6" s="174">
        <f>'Financial Statements'!BF30</f>
        <v>52793021.12</v>
      </c>
      <c r="H6" s="28"/>
      <c r="I6" s="28"/>
      <c r="J6" s="45" t="s">
        <v>366</v>
      </c>
      <c r="K6" s="174"/>
      <c r="L6" s="174">
        <f>'Revenue Forecast'!BC15</f>
        <v>0</v>
      </c>
      <c r="M6" s="174">
        <f>'Revenue Forecast'!BD15</f>
        <v>4543745.041</v>
      </c>
      <c r="N6" s="174">
        <f>'Revenue Forecast'!BE15</f>
        <v>18210021.9</v>
      </c>
      <c r="O6" s="174">
        <f>'Revenue Forecast'!BF15</f>
        <v>36420043.8</v>
      </c>
      <c r="P6" s="28"/>
      <c r="Q6" s="28"/>
      <c r="R6" s="28"/>
      <c r="S6" s="28" t="s">
        <v>380</v>
      </c>
      <c r="T6" s="28"/>
      <c r="U6" s="28"/>
      <c r="V6" s="28"/>
      <c r="W6" s="28"/>
      <c r="X6" s="28" t="s">
        <v>371</v>
      </c>
      <c r="Y6" s="28" t="s">
        <v>372</v>
      </c>
      <c r="Z6" s="28" t="s">
        <v>373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ht="15.75" customHeight="1">
      <c r="A7" s="28"/>
      <c r="B7" s="28" t="s">
        <v>381</v>
      </c>
      <c r="C7" s="28"/>
      <c r="D7" s="174">
        <f>'Financial Statements'!BC35</f>
        <v>-1969738</v>
      </c>
      <c r="E7" s="174">
        <f>'Financial Statements'!BD35</f>
        <v>1418838.613</v>
      </c>
      <c r="F7" s="174">
        <f>'Financial Statements'!BE35</f>
        <v>13538629.9</v>
      </c>
      <c r="G7" s="174">
        <f>'Financial Statements'!BF35</f>
        <v>52790046.12</v>
      </c>
      <c r="H7" s="28"/>
      <c r="I7" s="28"/>
      <c r="J7" s="45" t="s">
        <v>274</v>
      </c>
      <c r="K7" s="28"/>
      <c r="L7" s="174">
        <f>'Revenue Forecast'!BC18</f>
        <v>0</v>
      </c>
      <c r="M7" s="174">
        <f>'Revenue Forecast'!BD18</f>
        <v>389</v>
      </c>
      <c r="N7" s="174">
        <f>'Revenue Forecast'!BE18</f>
        <v>1559</v>
      </c>
      <c r="O7" s="174">
        <f>'Revenue Forecast'!BF18</f>
        <v>3118</v>
      </c>
      <c r="P7" s="28"/>
      <c r="Q7" s="28"/>
      <c r="R7" s="28"/>
      <c r="S7" s="28"/>
      <c r="T7" s="28"/>
      <c r="U7" s="28"/>
      <c r="V7" s="28"/>
      <c r="W7" s="28"/>
      <c r="X7" s="197">
        <v>0.6</v>
      </c>
      <c r="Y7" s="197">
        <v>0.15</v>
      </c>
      <c r="Z7" s="197">
        <v>0.25</v>
      </c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</row>
    <row r="8" ht="15.75" customHeight="1">
      <c r="A8" s="28"/>
      <c r="B8" s="28" t="s">
        <v>382</v>
      </c>
      <c r="C8" s="28"/>
      <c r="D8" s="174">
        <f>'Financial Statements'!BC39</f>
        <v>-1969738</v>
      </c>
      <c r="E8" s="174">
        <f>'Financial Statements'!BD39</f>
        <v>1418838.613</v>
      </c>
      <c r="F8" s="174">
        <f>'Financial Statements'!BE39</f>
        <v>13538629.9</v>
      </c>
      <c r="G8" s="174">
        <f>'Financial Statements'!BF39</f>
        <v>38351493.9</v>
      </c>
      <c r="H8" s="28"/>
      <c r="I8" s="28"/>
      <c r="J8" s="45" t="s">
        <v>383</v>
      </c>
      <c r="K8" s="28"/>
      <c r="L8" s="174">
        <f>'Revenue Forecast'!BC21</f>
        <v>0</v>
      </c>
      <c r="M8" s="174">
        <f>'Revenue Forecast'!BD21</f>
        <v>5733249.174</v>
      </c>
      <c r="N8" s="174">
        <f>'Revenue Forecast'!BE21</f>
        <v>22977211.98</v>
      </c>
      <c r="O8" s="174">
        <f>'Revenue Forecast'!BF21</f>
        <v>45954423.97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</row>
    <row r="16" ht="15.75" customHeight="1">
      <c r="A16" s="28"/>
      <c r="B16" s="174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174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4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61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