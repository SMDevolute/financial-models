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Revenue forecast" sheetId="4" r:id="rId8"/>
    <sheet state="visible" name="Personnel" sheetId="5" r:id="rId9"/>
    <sheet state="visible" name="OPEX" sheetId="6" r:id="rId10"/>
    <sheet state="visible" name="Financial Statements" sheetId="7" r:id="rId11"/>
    <sheet state="visible" name="Capital need" sheetId="8" r:id="rId12"/>
    <sheet state="visible" name="Dashboard" sheetId="9" r:id="rId13"/>
  </sheets>
  <definedNames/>
  <calcPr/>
</workbook>
</file>

<file path=xl/sharedStrings.xml><?xml version="1.0" encoding="utf-8"?>
<sst xmlns="http://schemas.openxmlformats.org/spreadsheetml/2006/main" count="359" uniqueCount="212">
  <si>
    <t>EVOLUTE</t>
  </si>
  <si>
    <t>Financial Model — 2027–2030</t>
  </si>
  <si>
    <t>Currency: EUR (€)</t>
  </si>
  <si>
    <t>Basis: monthly, aggregated to annual</t>
  </si>
  <si>
    <t>STRICTLY CONFIDENTIAL</t>
  </si>
  <si>
    <t>Contents</t>
  </si>
  <si>
    <t>Assumptions — all inputs &amp; business drivers (edit here only)</t>
  </si>
  <si>
    <t>Revenue forecast — Growth Capital &amp; M&amp;A deal engine</t>
  </si>
  <si>
    <t>Personnel — headcount &amp; salaries</t>
  </si>
  <si>
    <t>OPEX — operating costs</t>
  </si>
  <si>
    <t>Financial Statements — income statement</t>
  </si>
  <si>
    <t>Dashboard — annual summary</t>
  </si>
  <si>
    <t>How to read this model</t>
  </si>
  <si>
    <t>STRUCTURE</t>
  </si>
  <si>
    <t>Assumptions → Revenue forecast → Personnel → OPEX → Financial Statements → Dashboard.</t>
  </si>
  <si>
    <t>Every tab is monthly (Jan 2027 – Dec 2030) with annual roll-up columns at the far right.</t>
  </si>
  <si>
    <t>HOW TO USE</t>
  </si>
  <si>
    <t>Change numbers ONLY on the Assumptions tab. All other tabs recalculate automatically.</t>
  </si>
  <si>
    <t>REVENUE LOGIC</t>
  </si>
  <si>
    <t>Two business lines: Growth Capital (retainer + success fee on ticket) and M&amp;A (retainer + success fee on EV).</t>
  </si>
  <si>
    <t>Deals get bigger (M&amp;A EV) and convert better over time; mix drifts 90/10 → 50/50.</t>
  </si>
  <si>
    <t>Industry partners source 25% of deals and take 25% of their retainer + fee.</t>
  </si>
  <si>
    <t>STAFFING</t>
  </si>
  <si>
    <t>1 analyst per 3 live projects; associate at 10 live, 2nd at 15. Simon = delivery lead, Rob = partner + sales hire.</t>
  </si>
  <si>
    <t>Assumptions</t>
  </si>
  <si>
    <t>GROWTH CAPITAL</t>
  </si>
  <si>
    <t>Retainer / month</t>
  </si>
  <si>
    <t>€/mo</t>
  </si>
  <si>
    <t>Avg engagement length</t>
  </si>
  <si>
    <t>months</t>
  </si>
  <si>
    <t>Success fee %</t>
  </si>
  <si>
    <t>%</t>
  </si>
  <si>
    <t>Ticket size</t>
  </si>
  <si>
    <t>€</t>
  </si>
  <si>
    <t>Close rate %</t>
  </si>
  <si>
    <t>M&amp;A</t>
  </si>
  <si>
    <t>Enterprise value</t>
  </si>
  <si>
    <t>SOFTWARE</t>
  </si>
  <si>
    <t>Software price / month</t>
  </si>
  <si>
    <t>Post-engagement churn / yr</t>
  </si>
  <si>
    <t>%/yr</t>
  </si>
  <si>
    <t>Monthly churn (computed)</t>
  </si>
  <si>
    <t>%/mo</t>
  </si>
  <si>
    <t>Software wins / rep / month</t>
  </si>
  <si>
    <t>#</t>
  </si>
  <si>
    <t>Direct churn / yr</t>
  </si>
  <si>
    <t>Direct monthly churn (computed)</t>
  </si>
  <si>
    <t>Hosting / subscriber / month</t>
  </si>
  <si>
    <t>Hosting fixed / month</t>
  </si>
  <si>
    <t>DEAL FLOW</t>
  </si>
  <si>
    <t>New deals started / yr</t>
  </si>
  <si>
    <t>Growth Capital mix %</t>
  </si>
  <si>
    <t>Explanation: The percentage of all new deals that are Growth Capital projects</t>
  </si>
  <si>
    <t>SOURCING &amp; COMPENSATION</t>
  </si>
  <si>
    <t>Industry-partner: share of deals they source %</t>
  </si>
  <si>
    <t>Explanation: The fraction of deals that are sourced by industry partners</t>
  </si>
  <si>
    <t>Sales-hire source share %</t>
  </si>
  <si>
    <t>Explanation: The fraction of deals sourced by internal sales team</t>
  </si>
  <si>
    <t>Industry-partner: cut of those deals' revenue %</t>
  </si>
  <si>
    <t>Explanation: When an industry partner refers a deal, they take 25% of the revenue on that deal (retainer + success fee)</t>
  </si>
  <si>
    <t>Success-fee bonus pool %</t>
  </si>
  <si>
    <t>Explanation: 40% of success fees (after the partner cut when applicable) goes into the internal bonus pool for the team. The other 60% drops to the firm's bottom line</t>
  </si>
  <si>
    <t>PERSONNEL</t>
  </si>
  <si>
    <t>Rob salary / month</t>
  </si>
  <si>
    <t>Simon salary / month</t>
  </si>
  <si>
    <t>Associate salary / month</t>
  </si>
  <si>
    <t>Analyst salary / month</t>
  </si>
  <si>
    <t>Intern salary / month</t>
  </si>
  <si>
    <t>Marketing salary/ month</t>
  </si>
  <si>
    <t>Sales hire cost / month</t>
  </si>
  <si>
    <t>Software sales salary / month</t>
  </si>
  <si>
    <t>Developer salary / month</t>
  </si>
  <si>
    <t>Holiday pay %</t>
  </si>
  <si>
    <t>Employer tax %</t>
  </si>
  <si>
    <t>Live projects per analyst</t>
  </si>
  <si>
    <t>Hiring Triggers</t>
  </si>
  <si>
    <t>Associate trigger 1 (live proj)</t>
  </si>
  <si>
    <t>Associate trigger 2 (live proj)</t>
  </si>
  <si>
    <t>Interns (minimum)</t>
  </si>
  <si>
    <t>OPEX (monthly)</t>
  </si>
  <si>
    <t>Rent / FTE</t>
  </si>
  <si>
    <t>€/FTE</t>
  </si>
  <si>
    <t>Software / FTE</t>
  </si>
  <si>
    <t>Database €/yr (FTE ≤6 / 7–9 / 10–15 / 16+)</t>
  </si>
  <si>
    <t>€/yr</t>
  </si>
  <si>
    <t>Hardware / FTE</t>
  </si>
  <si>
    <t>F&amp;B / FTE</t>
  </si>
  <si>
    <t>Marketing &amp; Sales (annual, spread monthly)</t>
  </si>
  <si>
    <t>Travel (annual, spread monthly)</t>
  </si>
  <si>
    <t>RX allocation (fixed)</t>
  </si>
  <si>
    <t>Other (fixed)</t>
  </si>
  <si>
    <t>Revenue forecast — Monthly 2027–2030 (€)</t>
  </si>
  <si>
    <t>Unit</t>
  </si>
  <si>
    <t>New deals started</t>
  </si>
  <si>
    <t>Live projects</t>
  </si>
  <si>
    <t>Retainer revenue</t>
  </si>
  <si>
    <t>Deals closed</t>
  </si>
  <si>
    <t>Success fees</t>
  </si>
  <si>
    <t>Total Growth revenue</t>
  </si>
  <si>
    <t>Total M&amp;A revenue</t>
  </si>
  <si>
    <t>Payers — in engagement</t>
  </si>
  <si>
    <t>Graduates (engagements ending)</t>
  </si>
  <si>
    <t>Subscribers — post-engagement</t>
  </si>
  <si>
    <t>New direct customers</t>
  </si>
  <si>
    <t>Direct subscribers</t>
  </si>
  <si>
    <t>Total software payers</t>
  </si>
  <si>
    <t>Software revenue</t>
  </si>
  <si>
    <t>TOTAL REVENUE</t>
  </si>
  <si>
    <t>Total live projects (monthly only)</t>
  </si>
  <si>
    <t>Total new deals started (annual only)</t>
  </si>
  <si>
    <t>Total retainer</t>
  </si>
  <si>
    <t>Total success fees</t>
  </si>
  <si>
    <t>Total software revenue</t>
  </si>
  <si>
    <t>Total revenue (gross)</t>
  </si>
  <si>
    <t>Less: industry-partner share</t>
  </si>
  <si>
    <t>Net revenue</t>
  </si>
  <si>
    <t>2027 STARTING PROJECTS — Growth Capital opening pipeline</t>
  </si>
  <si>
    <t>Live projects (count)</t>
  </si>
  <si>
    <t>Success fee on close (memo)</t>
  </si>
  <si>
    <t>Note: 1 of 3 deals is industry-partner-sourced — IP cut flows through the "Less: industry-partner share" line.</t>
  </si>
  <si>
    <t>Personnel — Monthly 2027–2030 (€)</t>
  </si>
  <si>
    <t>HEADCOUNT</t>
  </si>
  <si>
    <t>Live projects (total)</t>
  </si>
  <si>
    <t>Analysts</t>
  </si>
  <si>
    <t>Associates</t>
  </si>
  <si>
    <t>Interns</t>
  </si>
  <si>
    <t>Sales hire</t>
  </si>
  <si>
    <t>Marketing</t>
  </si>
  <si>
    <t>Software sales</t>
  </si>
  <si>
    <t>Developers</t>
  </si>
  <si>
    <t>Rob</t>
  </si>
  <si>
    <t xml:space="preserve">Simon </t>
  </si>
  <si>
    <t>Total FTE</t>
  </si>
  <si>
    <t>Consultancy FTE (ex-software team)</t>
  </si>
  <si>
    <t>PERSONNEL COSTS</t>
  </si>
  <si>
    <t>Gross salary</t>
  </si>
  <si>
    <t>Holiday pay</t>
  </si>
  <si>
    <t>Employer taxes</t>
  </si>
  <si>
    <t>Success-fee bonus</t>
  </si>
  <si>
    <t>Contractors / accountant</t>
  </si>
  <si>
    <t>Other people costs</t>
  </si>
  <si>
    <t>Total personnel</t>
  </si>
  <si>
    <t>OPEX — Monthly 2027–2030 (€)</t>
  </si>
  <si>
    <t>OTHER OPEX</t>
  </si>
  <si>
    <t>Rent</t>
  </si>
  <si>
    <t>Software</t>
  </si>
  <si>
    <t>Office &amp; hardware</t>
  </si>
  <si>
    <t>Marketing &amp; Sales</t>
  </si>
  <si>
    <t>Travel</t>
  </si>
  <si>
    <t>SG&amp;A (F&amp;B)</t>
  </si>
  <si>
    <t>Hosting &amp; product</t>
  </si>
  <si>
    <t>Other</t>
  </si>
  <si>
    <t>RX allocation</t>
  </si>
  <si>
    <t>Total other OPEX</t>
  </si>
  <si>
    <t>Income Statement, 2027–2030 (€)</t>
  </si>
  <si>
    <t>Revenues</t>
  </si>
  <si>
    <t>Retainer</t>
  </si>
  <si>
    <t>Closing fees</t>
  </si>
  <si>
    <t>Total revenues</t>
  </si>
  <si>
    <t>Personnel</t>
  </si>
  <si>
    <t>Bonus</t>
  </si>
  <si>
    <t>Contractors</t>
  </si>
  <si>
    <t>Strategic Advisory costs</t>
  </si>
  <si>
    <t>Gross profit</t>
  </si>
  <si>
    <t>Other OPEX</t>
  </si>
  <si>
    <t>Office</t>
  </si>
  <si>
    <t>SG&amp;A</t>
  </si>
  <si>
    <t>Total costs</t>
  </si>
  <si>
    <t>EBITDA (total)</t>
  </si>
  <si>
    <t>EBITDA margin (total)</t>
  </si>
  <si>
    <t>EBITDA (without success fee)</t>
  </si>
  <si>
    <t>EBITDA margin (without success fee)</t>
  </si>
  <si>
    <t>Capital need — Evolute (€)</t>
  </si>
  <si>
    <t>Funding requirement · EBITDA-as-cash proxy · € · pre-model 2026 + FY2027–2030</t>
  </si>
  <si>
    <t>A · PRE-MODEL OUTLAYS (2026)</t>
  </si>
  <si>
    <t>Contract developer — rate / hour</t>
  </si>
  <si>
    <t>€/hr</t>
  </si>
  <si>
    <t xml:space="preserve">   days / week</t>
  </si>
  <si>
    <t>days</t>
  </si>
  <si>
    <t xml:space="preserve">   hours / day</t>
  </si>
  <si>
    <t>hours</t>
  </si>
  <si>
    <t xml:space="preserve">   weeks (job length)</t>
  </si>
  <si>
    <t>weeks</t>
  </si>
  <si>
    <t>Contract developer cost</t>
  </si>
  <si>
    <t>Other pre-launch costs</t>
  </si>
  <si>
    <t>Total pre-model outlays</t>
  </si>
  <si>
    <t>B · OPERATING CASH NEED (2027+)</t>
  </si>
  <si>
    <t>EBITDA used as a cash proxy — no working capital or capex modelled; retainers bill monthly so WC drag is minimal.</t>
  </si>
  <si>
    <t>Monthly EBITDA</t>
  </si>
  <si>
    <t>Cumulative EBITDA</t>
  </si>
  <si>
    <t>Cumulative trough (min)</t>
  </si>
  <si>
    <t>Trough month</t>
  </si>
  <si>
    <t>C · CAPITAL NEED &amp; RECOMMENDED RAISE</t>
  </si>
  <si>
    <t>Pre-model outlays</t>
  </si>
  <si>
    <t>Operating trough (absolute)</t>
  </si>
  <si>
    <t>Total capital need</t>
  </si>
  <si>
    <t>Safety buffer %</t>
  </si>
  <si>
    <t>Recommended raise</t>
  </si>
  <si>
    <t>Dashboard — Annual Summary 2027–2030</t>
  </si>
  <si>
    <t>Revenue (gross)</t>
  </si>
  <si>
    <t>EBITDA</t>
  </si>
  <si>
    <t>EBITDA margin %</t>
  </si>
  <si>
    <t>New deals</t>
  </si>
  <si>
    <t>Live projects (avg)</t>
  </si>
  <si>
    <t>Revenue per FTE (net)</t>
  </si>
  <si>
    <t>Software subscribers — total (year-end)</t>
  </si>
  <si>
    <t>Software ARR — total (exit)</t>
  </si>
  <si>
    <t>Software LTV — advisory</t>
  </si>
  <si>
    <t>Software ARR — advisory (exit)</t>
  </si>
  <si>
    <t>Software ARR — direct (exit)</t>
  </si>
  <si>
    <t>Direct subscribers (year-end)</t>
  </si>
  <si>
    <t>Software LTV — 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</si>
</sst>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€#,##0;(€#,##0)"/>
    <numFmt numFmtId="165" formatCode="0.0%"/>
    <numFmt numFmtId="166" formatCode="General"/>
    <numFmt numFmtId="167" formatCode="€#,##0"/>
    <numFmt numFmtId="168" formatCode="mmm yy"/>
    <numFmt numFmtId="169" formatCode="mmm-yy"/>
    <numFmt numFmtId="170" formatCode="mmm yyyy"/>
  </numFmts>
  <fonts count="18">
    <font>
      <sz val="10.0"/>
      <color rgb="FF000000"/>
      <name val="Arial"/>
      <scheme val="minor"/>
    </font>
    <font>
      <sz val="10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i/>
      <sz val="10.0"/>
      <color theme="1"/>
      <name val="Arial"/>
    </font>
    <font>
      <b/>
      <color rgb="FFFFFFFF"/>
      <name val="Arial"/>
    </font>
    <font>
      <b/>
      <i/>
      <color rgb="FFFFFFFF"/>
      <name val="Arial"/>
    </font>
    <font>
      <sz val="10.0"/>
      <color rgb="FF6B7686"/>
      <name val="Arial"/>
    </font>
    <font>
      <b/>
      <sz val="10.0"/>
      <color rgb="FFFFFFFF"/>
      <name val="Arial"/>
    </font>
    <font>
      <b/>
      <i/>
      <sz val="10.0"/>
      <color rgb="FFFFFFFF"/>
      <name val="Arial"/>
    </font>
    <font>
      <sz val="10.0"/>
      <color rgb="FF000000"/>
      <name val="Arial"/>
    </font>
    <font>
      <i/>
      <sz val="10.0"/>
      <color rgb="FF000000"/>
      <name val="Arial"/>
    </font>
    <font>
      <i/>
      <color theme="1"/>
      <name val="Arial"/>
      <scheme val="minor"/>
    </font>
    <font>
      <b/>
      <sz val="10.0"/>
      <color theme="1"/>
      <name val="Arial"/>
    </font>
    <font>
      <i/>
      <sz val="9.0"/>
      <color rgb="FF6B7686"/>
      <name val="Arial"/>
    </font>
    <font>
      <b/>
      <sz val="16.0"/>
      <color rgb="FF18222F"/>
      <name val="Arial"/>
    </font>
    <font>
      <sz val="10.0"/>
      <color rgb="FF2F6FB0"/>
      <name val="Arial"/>
    </font>
    <font>
      <b/>
      <sz val="9.0"/>
      <color rgb="FF6B768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0172C"/>
        <bgColor rgb="FF10172C"/>
      </patternFill>
    </fill>
    <fill>
      <patternFill patternType="solid">
        <fgColor rgb="FFFFFFFF"/>
        <bgColor rgb="FFFFFFFF"/>
      </patternFill>
    </fill>
    <fill>
      <patternFill patternType="solid">
        <fgColor rgb="FFEDEFF4"/>
        <bgColor rgb="FFEDEFF4"/>
      </patternFill>
    </fill>
  </fills>
  <borders count="1">
    <border/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" xfId="0" applyAlignment="1" applyFont="1" applyNumberFormat="1">
      <alignment horizontal="right" readingOrder="0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Font="1"/>
    <xf borderId="0" fillId="2" fontId="6" numFmtId="0" xfId="0" applyFont="1"/>
    <xf borderId="0" fillId="0" fontId="1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65" xfId="0" applyFont="1" applyNumberFormat="1"/>
    <xf borderId="0" fillId="0" fontId="4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4" numFmtId="165" xfId="0" applyFont="1" applyNumberFormat="1"/>
    <xf borderId="0" fillId="0" fontId="1" numFmtId="9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7" numFmtId="10" xfId="0" applyAlignment="1" applyFont="1" applyNumberFormat="1">
      <alignment horizontal="right" readingOrder="0"/>
    </xf>
    <xf borderId="0" fillId="2" fontId="5" numFmtId="165" xfId="0" applyAlignment="1" applyFont="1" applyNumberFormat="1">
      <alignment readingOrder="0"/>
    </xf>
    <xf borderId="0" fillId="2" fontId="5" numFmtId="165" xfId="0" applyFont="1" applyNumberFormat="1"/>
    <xf borderId="0" fillId="2" fontId="6" numFmtId="165" xfId="0" applyFont="1" applyNumberFormat="1"/>
    <xf borderId="0" fillId="0" fontId="1" numFmtId="9" xfId="0" applyAlignment="1" applyFont="1" applyNumberFormat="1">
      <alignment readingOrder="0"/>
    </xf>
    <xf borderId="0" fillId="0" fontId="1" numFmtId="164" xfId="0" applyFont="1" applyNumberFormat="1"/>
    <xf borderId="0" fillId="0" fontId="4" numFmtId="164" xfId="0" applyFont="1" applyNumberFormat="1"/>
    <xf borderId="0" fillId="2" fontId="5" numFmtId="164" xfId="0" applyAlignment="1" applyFont="1" applyNumberFormat="1">
      <alignment readingOrder="0"/>
    </xf>
    <xf borderId="0" fillId="2" fontId="5" numFmtId="164" xfId="0" applyFont="1" applyNumberFormat="1"/>
    <xf borderId="0" fillId="2" fontId="6" numFmtId="164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2" fontId="8" numFmtId="3" xfId="0" applyAlignment="1" applyFont="1" applyNumberFormat="1">
      <alignment readingOrder="0"/>
    </xf>
    <xf borderId="0" fillId="2" fontId="8" numFmtId="3" xfId="0" applyFont="1" applyNumberFormat="1"/>
    <xf borderId="0" fillId="2" fontId="9" numFmtId="0" xfId="0" applyAlignment="1" applyFont="1">
      <alignment readingOrder="0"/>
    </xf>
    <xf borderId="0" fillId="0" fontId="1" numFmtId="3" xfId="0" applyFont="1" applyNumberFormat="1"/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10" numFmtId="166" xfId="0" applyAlignment="1" applyFill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4" numFmtId="0" xfId="0" applyFont="1"/>
    <xf borderId="0" fillId="3" fontId="10" numFmtId="0" xfId="0" applyAlignment="1" applyFont="1">
      <alignment readingOrder="0"/>
    </xf>
    <xf borderId="0" fillId="3" fontId="10" numFmtId="0" xfId="0" applyFont="1"/>
    <xf borderId="0" fillId="3" fontId="11" numFmtId="0" xfId="0" applyFont="1"/>
    <xf borderId="0" fillId="3" fontId="10" numFmtId="0" xfId="0" applyAlignment="1" applyFont="1">
      <alignment readingOrder="0"/>
    </xf>
    <xf borderId="0" fillId="3" fontId="10" numFmtId="164" xfId="0" applyAlignment="1" applyFont="1" applyNumberFormat="1">
      <alignment readingOrder="0"/>
    </xf>
    <xf borderId="0" fillId="0" fontId="12" numFmtId="0" xfId="0" applyFont="1"/>
    <xf borderId="0" fillId="0" fontId="3" numFmtId="168" xfId="0" applyAlignment="1" applyFont="1" applyNumberFormat="1">
      <alignment horizontal="right"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164" xfId="0" applyFont="1" applyNumberFormat="1"/>
    <xf borderId="0" fillId="2" fontId="8" numFmtId="0" xfId="0" applyFont="1"/>
    <xf borderId="0" fillId="4" fontId="13" numFmtId="0" xfId="0" applyAlignment="1" applyFont="1">
      <alignment readingOrder="0"/>
    </xf>
    <xf borderId="0" fillId="4" fontId="13" numFmtId="0" xfId="0" applyFont="1"/>
    <xf borderId="0" fillId="4" fontId="13" numFmtId="164" xfId="0" applyFont="1" applyNumberFormat="1"/>
    <xf borderId="0" fillId="3" fontId="11" numFmtId="0" xfId="0" applyAlignment="1" applyFont="1">
      <alignment readingOrder="0"/>
    </xf>
    <xf borderId="0" fillId="3" fontId="11" numFmtId="0" xfId="0" applyFont="1"/>
    <xf borderId="0" fillId="3" fontId="11" numFmtId="3" xfId="0" applyFont="1" applyNumberFormat="1"/>
    <xf borderId="0" fillId="0" fontId="1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4" numFmtId="0" xfId="0" applyFont="1"/>
    <xf borderId="0" fillId="4" fontId="3" numFmtId="3" xfId="0" applyFont="1" applyNumberFormat="1"/>
    <xf borderId="0" fillId="0" fontId="1" numFmtId="164" xfId="0" applyFont="1" applyNumberFormat="1"/>
    <xf borderId="0" fillId="0" fontId="1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164" xfId="0" applyFont="1" applyNumberFormat="1"/>
    <xf borderId="0" fillId="0" fontId="17" numFmtId="169" xfId="0" applyFont="1" applyNumberFormat="1"/>
    <xf borderId="0" fillId="0" fontId="1" numFmtId="170" xfId="0" applyFont="1" applyNumberFormat="1"/>
    <xf borderId="0" fillId="0" fontId="16" numFmtId="165" xfId="0" applyAlignment="1" applyFont="1" applyNumberFormat="1">
      <alignment readingOrder="0"/>
    </xf>
    <xf borderId="0" fillId="0" fontId="1" numFmtId="167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per FTE (net, €)</a:t>
            </a:r>
          </a:p>
        </c:rich>
      </c:tx>
      <c:overlay val="0"/>
    </c:title>
    <c:plotArea>
      <c:layout>
        <c:manualLayout>
          <c:xMode val="edge"/>
          <c:yMode val="edge"/>
          <c:x val="0.13896121054114993"/>
          <c:y val="0.13112745098039214"/>
          <c:w val="0.8007231186583991"/>
          <c:h val="0.7857843137254901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Dashboard!$C$12:$F$12</c:f>
              <c:numCache/>
            </c:numRef>
          </c:val>
          <c:smooth val="0"/>
        </c:ser>
        <c:axId val="1874565951"/>
        <c:axId val="1226057036"/>
      </c:lineChart>
      <c:catAx>
        <c:axId val="1874565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26057036"/>
      </c:catAx>
      <c:valAx>
        <c:axId val="1226057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 per FTE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7456595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— Gross vs Net (€)</a:t>
            </a:r>
          </a:p>
        </c:rich>
      </c:tx>
      <c:overlay val="0"/>
    </c:title>
    <c:plotArea>
      <c:layout>
        <c:manualLayout>
          <c:xMode val="edge"/>
          <c:yMode val="edge"/>
          <c:x val="0.14267439681025085"/>
          <c:y val="0.12959667852906293"/>
          <c:w val="0.74772909282988"/>
          <c:h val="0.7336892052194542"/>
        </c:manualLayout>
      </c:layout>
      <c:lineChart>
        <c:ser>
          <c:idx val="0"/>
          <c:order val="0"/>
          <c:tx>
            <c:strRef>
              <c:f>Dashboard!$B$5</c:f>
            </c:strRef>
          </c:tx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Dashboard!$C$5:$F$5</c:f>
              <c:numCache/>
            </c:numRef>
          </c:val>
          <c:smooth val="0"/>
        </c:ser>
        <c:ser>
          <c:idx val="1"/>
          <c:order val="1"/>
          <c:tx>
            <c:strRef>
              <c:f>Dashboard!$B$6</c:f>
            </c:strRef>
          </c:tx>
          <c:spPr>
            <a:ln cmpd="sng">
              <a:solidFill>
                <a:srgbClr val="00998C"/>
              </a:solidFill>
            </a:ln>
          </c:spPr>
          <c:marker>
            <c:symbol val="circle"/>
            <c:size val="7"/>
            <c:spPr>
              <a:solidFill>
                <a:srgbClr val="00998C"/>
              </a:solidFill>
              <a:ln cmpd="sng">
                <a:solidFill>
                  <a:srgbClr val="00998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Dashboard!$C$6:$F$6</c:f>
              <c:numCache/>
            </c:numRef>
          </c:val>
          <c:smooth val="0"/>
        </c:ser>
        <c:axId val="952756101"/>
        <c:axId val="405934160"/>
      </c:lineChart>
      <c:catAx>
        <c:axId val="952756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05934160"/>
      </c:catAx>
      <c:valAx>
        <c:axId val="405934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95275610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638175</xdr:colOff>
      <xdr:row>22</xdr:row>
      <xdr:rowOff>123825</xdr:rowOff>
    </xdr:from>
    <xdr:ext cx="8448675" cy="5181600"/>
    <xdr:graphicFrame>
      <xdr:nvGraphicFramePr>
        <xdr:cNvPr id="1" name="Chart 1" title="Revenue per FTE (net, 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22</xdr:row>
      <xdr:rowOff>123825</xdr:rowOff>
    </xdr:from>
    <xdr:ext cx="8734425" cy="5353050"/>
    <xdr:graphicFrame>
      <xdr:nvGraphicFramePr>
        <xdr:cNvPr id="2" name="Chart 2" title="Revenue — Gross vs Net (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13"/>
  </cols>
  <sheetData>
    <row r="1">
      <c r="A1" s="1"/>
      <c r="B1" s="2" t="s">
        <v>24</v>
      </c>
      <c r="C1" s="4">
        <v>2027.0</v>
      </c>
      <c r="D1" s="4">
        <v>2028.0</v>
      </c>
      <c r="E1" s="4">
        <v>2029.0</v>
      </c>
      <c r="F1" s="4">
        <v>2030.0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25</v>
      </c>
      <c r="C2" s="7"/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3" t="s">
        <v>26</v>
      </c>
      <c r="C3" s="9">
        <v>7000.0</v>
      </c>
      <c r="D3" s="9">
        <v>7500.0</v>
      </c>
      <c r="E3" s="9">
        <v>8000.0</v>
      </c>
      <c r="F3" s="9">
        <v>8500.0</v>
      </c>
      <c r="G3" s="10" t="s">
        <v>27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28</v>
      </c>
      <c r="C4" s="11">
        <v>6.0</v>
      </c>
      <c r="D4" s="11">
        <v>6.0</v>
      </c>
      <c r="E4" s="11">
        <v>6.0</v>
      </c>
      <c r="F4" s="11">
        <v>6.0</v>
      </c>
      <c r="G4" s="5" t="s">
        <v>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30</v>
      </c>
      <c r="C5" s="12">
        <v>0.02</v>
      </c>
      <c r="D5" s="12">
        <v>0.02</v>
      </c>
      <c r="E5" s="12">
        <v>0.02</v>
      </c>
      <c r="F5" s="12">
        <v>0.02</v>
      </c>
      <c r="G5" s="10" t="s">
        <v>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32</v>
      </c>
      <c r="C6" s="9">
        <v>5000000.0</v>
      </c>
      <c r="D6" s="9">
        <v>7000000.0</v>
      </c>
      <c r="E6" s="9">
        <v>1.0E7</v>
      </c>
      <c r="F6" s="9">
        <v>1.5E7</v>
      </c>
      <c r="G6" s="13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34</v>
      </c>
      <c r="C7" s="12">
        <v>0.2</v>
      </c>
      <c r="D7" s="12">
        <v>0.25</v>
      </c>
      <c r="E7" s="12">
        <v>0.28</v>
      </c>
      <c r="F7" s="12">
        <v>0.32</v>
      </c>
      <c r="G7" s="5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/>
      <c r="C8" s="12"/>
      <c r="D8" s="14"/>
      <c r="E8" s="14"/>
      <c r="F8" s="14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6" t="s">
        <v>35</v>
      </c>
      <c r="C9" s="7"/>
      <c r="D9" s="7"/>
      <c r="E9" s="7"/>
      <c r="F9" s="7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26</v>
      </c>
      <c r="C10" s="16">
        <v>8000.0</v>
      </c>
      <c r="D10" s="9">
        <v>8500.0</v>
      </c>
      <c r="E10" s="9">
        <v>8500.0</v>
      </c>
      <c r="F10" s="9">
        <v>9000.0</v>
      </c>
      <c r="G10" s="13" t="s">
        <v>27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28</v>
      </c>
      <c r="C11" s="11">
        <v>7.0</v>
      </c>
      <c r="D11" s="11">
        <v>7.0</v>
      </c>
      <c r="E11" s="11">
        <v>7.0</v>
      </c>
      <c r="F11" s="11">
        <v>7.0</v>
      </c>
      <c r="G11" s="10" t="s">
        <v>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30</v>
      </c>
      <c r="C12" s="12">
        <v>0.02</v>
      </c>
      <c r="D12" s="12">
        <v>0.02</v>
      </c>
      <c r="E12" s="12">
        <v>0.02</v>
      </c>
      <c r="F12" s="12">
        <v>0.02</v>
      </c>
      <c r="G12" s="13" t="s">
        <v>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36</v>
      </c>
      <c r="C13" s="9">
        <v>1.2E7</v>
      </c>
      <c r="D13" s="9">
        <v>1.8E7</v>
      </c>
      <c r="E13" s="9">
        <v>2.4E7</v>
      </c>
      <c r="F13" s="9">
        <v>3.0E7</v>
      </c>
      <c r="G13" s="5" t="s">
        <v>33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34</v>
      </c>
      <c r="C14" s="12">
        <v>0.5</v>
      </c>
      <c r="D14" s="12">
        <v>0.56</v>
      </c>
      <c r="E14" s="12">
        <v>0.63</v>
      </c>
      <c r="F14" s="12">
        <v>0.7</v>
      </c>
      <c r="G14" s="13" t="s">
        <v>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/>
      <c r="C15" s="12"/>
      <c r="D15" s="12"/>
      <c r="E15" s="12"/>
      <c r="F15" s="12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6" t="s">
        <v>37</v>
      </c>
      <c r="C16" s="7"/>
      <c r="D16" s="7"/>
      <c r="E16" s="7"/>
      <c r="F16" s="7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38</v>
      </c>
      <c r="C17" s="16">
        <v>500.0</v>
      </c>
      <c r="D17" s="9">
        <v>500.0</v>
      </c>
      <c r="E17" s="9">
        <v>500.0</v>
      </c>
      <c r="F17" s="9">
        <v>500.0</v>
      </c>
      <c r="G17" s="13" t="s">
        <v>27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39</v>
      </c>
      <c r="C18" s="18">
        <v>0.2</v>
      </c>
      <c r="D18" s="9"/>
      <c r="E18" s="9"/>
      <c r="F18" s="9"/>
      <c r="G18" s="13" t="s">
        <v>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41</v>
      </c>
      <c r="C19" s="18">
        <f>1-(1-$C$18)^(1/12)</f>
        <v>0.01842347013</v>
      </c>
      <c r="D19" s="9"/>
      <c r="E19" s="9"/>
      <c r="F19" s="9"/>
      <c r="G19" s="13" t="s">
        <v>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43</v>
      </c>
      <c r="C20" s="19">
        <v>0.0</v>
      </c>
      <c r="D20" s="11">
        <v>0.0</v>
      </c>
      <c r="E20" s="11">
        <v>3.0</v>
      </c>
      <c r="F20" s="11">
        <v>4.0</v>
      </c>
      <c r="G20" s="13" t="s">
        <v>44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45</v>
      </c>
      <c r="C21" s="20">
        <v>0.3</v>
      </c>
      <c r="D21" s="9"/>
      <c r="E21" s="9"/>
      <c r="F21" s="9"/>
      <c r="G21" s="13" t="s">
        <v>40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" t="s">
        <v>46</v>
      </c>
      <c r="C22" s="21">
        <f>1-(1-$C$21)^(1/12)</f>
        <v>0.02928553038</v>
      </c>
      <c r="D22" s="9"/>
      <c r="E22" s="9"/>
      <c r="F22" s="9"/>
      <c r="G22" s="13" t="s">
        <v>42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3" t="s">
        <v>47</v>
      </c>
      <c r="C23" s="16">
        <v>20.0</v>
      </c>
      <c r="D23" s="9"/>
      <c r="E23" s="9"/>
      <c r="F23" s="9"/>
      <c r="G23" s="13" t="s">
        <v>27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3" t="s">
        <v>48</v>
      </c>
      <c r="C24" s="16">
        <v>500.0</v>
      </c>
      <c r="D24" s="9"/>
      <c r="E24" s="9"/>
      <c r="F24" s="9"/>
      <c r="G24" s="13" t="s">
        <v>27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3"/>
      <c r="C25" s="16"/>
      <c r="D25" s="9"/>
      <c r="E25" s="9"/>
      <c r="F25" s="9"/>
      <c r="G25" s="1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6" t="s">
        <v>49</v>
      </c>
      <c r="C26" s="7"/>
      <c r="D26" s="7"/>
      <c r="E26" s="7"/>
      <c r="F26" s="7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3" t="s">
        <v>50</v>
      </c>
      <c r="C27" s="11">
        <v>15.0</v>
      </c>
      <c r="D27" s="11">
        <v>20.0</v>
      </c>
      <c r="E27" s="11">
        <v>25.0</v>
      </c>
      <c r="F27" s="11">
        <v>30.0</v>
      </c>
      <c r="G27" s="13" t="s">
        <v>44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3" t="s">
        <v>51</v>
      </c>
      <c r="C28" s="12">
        <v>0.7</v>
      </c>
      <c r="D28" s="12">
        <v>0.6</v>
      </c>
      <c r="E28" s="12">
        <v>0.65</v>
      </c>
      <c r="F28" s="12">
        <v>0.5</v>
      </c>
      <c r="G28" s="13" t="s">
        <v>31</v>
      </c>
      <c r="H28" s="3" t="s">
        <v>52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3"/>
      <c r="C29" s="12"/>
      <c r="D29" s="14"/>
      <c r="E29" s="14"/>
      <c r="F29" s="14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6" t="s">
        <v>53</v>
      </c>
      <c r="C30" s="22"/>
      <c r="D30" s="23"/>
      <c r="E30" s="23"/>
      <c r="F30" s="23"/>
      <c r="G30" s="24"/>
      <c r="H30" s="1"/>
      <c r="I30" s="1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3" t="s">
        <v>54</v>
      </c>
      <c r="C31" s="12">
        <v>0.3</v>
      </c>
      <c r="D31" s="12">
        <v>0.35</v>
      </c>
      <c r="E31" s="12">
        <v>0.4</v>
      </c>
      <c r="F31" s="12">
        <v>0.45</v>
      </c>
      <c r="G31" s="13" t="s">
        <v>31</v>
      </c>
      <c r="H31" s="3" t="s">
        <v>55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 t="s">
        <v>56</v>
      </c>
      <c r="C32" s="12">
        <v>0.375</v>
      </c>
      <c r="D32" s="25">
        <v>0.4</v>
      </c>
      <c r="E32" s="12">
        <v>0.42</v>
      </c>
      <c r="F32" s="12">
        <v>0.44</v>
      </c>
      <c r="G32" s="13" t="s">
        <v>31</v>
      </c>
      <c r="H32" s="3" t="s">
        <v>57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58</v>
      </c>
      <c r="C33" s="20">
        <v>0.25</v>
      </c>
      <c r="D33" s="20">
        <v>0.25</v>
      </c>
      <c r="E33" s="20">
        <v>0.25</v>
      </c>
      <c r="F33" s="20">
        <v>0.25</v>
      </c>
      <c r="G33" s="13" t="s">
        <v>31</v>
      </c>
      <c r="H33" s="3" t="s">
        <v>59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3" t="s">
        <v>60</v>
      </c>
      <c r="C34" s="12">
        <v>0.4</v>
      </c>
      <c r="D34" s="12">
        <v>0.4</v>
      </c>
      <c r="E34" s="12">
        <v>0.4</v>
      </c>
      <c r="F34" s="12">
        <v>0.4</v>
      </c>
      <c r="G34" s="5" t="s">
        <v>31</v>
      </c>
      <c r="H34" s="3" t="s">
        <v>61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"/>
      <c r="C35" s="26"/>
      <c r="D35" s="26"/>
      <c r="E35" s="26"/>
      <c r="F35" s="26"/>
      <c r="G35" s="2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6" t="s">
        <v>62</v>
      </c>
      <c r="C36" s="28"/>
      <c r="D36" s="29"/>
      <c r="E36" s="29"/>
      <c r="F36" s="29"/>
      <c r="G36" s="3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3" t="s">
        <v>63</v>
      </c>
      <c r="C37" s="9">
        <f>10000*(C$1-2026)</f>
        <v>10000</v>
      </c>
      <c r="D37" s="26">
        <f t="shared" ref="D37:F37" si="1">C37+2000</f>
        <v>12000</v>
      </c>
      <c r="E37" s="26">
        <f t="shared" si="1"/>
        <v>14000</v>
      </c>
      <c r="F37" s="26">
        <f t="shared" si="1"/>
        <v>16000</v>
      </c>
      <c r="G37" s="13" t="s">
        <v>27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3" t="s">
        <v>64</v>
      </c>
      <c r="C38" s="9">
        <v>7500.0</v>
      </c>
      <c r="D38" s="26">
        <f t="shared" ref="D38:F38" si="2">C38+2000</f>
        <v>9500</v>
      </c>
      <c r="E38" s="26">
        <f t="shared" si="2"/>
        <v>11500</v>
      </c>
      <c r="F38" s="26">
        <f t="shared" si="2"/>
        <v>13500</v>
      </c>
      <c r="G38" s="5" t="s">
        <v>27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3" t="s">
        <v>65</v>
      </c>
      <c r="C39" s="9">
        <v>4500.0</v>
      </c>
      <c r="D39" s="9">
        <f t="shared" ref="D39:F39" si="3">C39+250</f>
        <v>4750</v>
      </c>
      <c r="E39" s="9">
        <f t="shared" si="3"/>
        <v>5000</v>
      </c>
      <c r="F39" s="9">
        <f t="shared" si="3"/>
        <v>5250</v>
      </c>
      <c r="G39" s="13" t="s">
        <v>27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66</v>
      </c>
      <c r="C40" s="9">
        <v>3000.0</v>
      </c>
      <c r="D40" s="9">
        <f t="shared" ref="D40:F40" si="4">C40+250</f>
        <v>3250</v>
      </c>
      <c r="E40" s="9">
        <f t="shared" si="4"/>
        <v>3500</v>
      </c>
      <c r="F40" s="9">
        <f t="shared" si="4"/>
        <v>3750</v>
      </c>
      <c r="G40" s="13" t="s">
        <v>27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3" t="s">
        <v>67</v>
      </c>
      <c r="C41" s="9">
        <v>500.0</v>
      </c>
      <c r="D41" s="9">
        <v>600.0</v>
      </c>
      <c r="E41" s="9">
        <v>700.0</v>
      </c>
      <c r="F41" s="9">
        <v>800.0</v>
      </c>
      <c r="G41" s="10" t="s">
        <v>27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3" t="s">
        <v>68</v>
      </c>
      <c r="C42" s="9">
        <v>5000.0</v>
      </c>
      <c r="D42" s="9">
        <f t="shared" ref="D42:F42" si="5">C42+500</f>
        <v>5500</v>
      </c>
      <c r="E42" s="9">
        <f t="shared" si="5"/>
        <v>6000</v>
      </c>
      <c r="F42" s="9">
        <f t="shared" si="5"/>
        <v>6500</v>
      </c>
      <c r="G42" s="10" t="s">
        <v>27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69</v>
      </c>
      <c r="C43" s="9">
        <v>6500.0</v>
      </c>
      <c r="D43" s="9">
        <v>7000.0</v>
      </c>
      <c r="E43" s="9">
        <v>7500.0</v>
      </c>
      <c r="F43" s="9">
        <v>8000.0</v>
      </c>
      <c r="G43" s="10" t="s">
        <v>27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3" t="s">
        <v>70</v>
      </c>
      <c r="C44" s="9">
        <v>5000.0</v>
      </c>
      <c r="D44" s="9">
        <v>5500.0</v>
      </c>
      <c r="E44" s="9">
        <v>6000.0</v>
      </c>
      <c r="F44" s="9">
        <v>6500.0</v>
      </c>
      <c r="G44" s="10" t="s">
        <v>27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71</v>
      </c>
      <c r="C45" s="9">
        <v>5500.0</v>
      </c>
      <c r="D45" s="9">
        <v>6000.0</v>
      </c>
      <c r="E45" s="9">
        <v>6500.0</v>
      </c>
      <c r="F45" s="9">
        <v>7000.0</v>
      </c>
      <c r="G45" s="10" t="s">
        <v>27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3" t="s">
        <v>72</v>
      </c>
      <c r="C46" s="12">
        <v>0.08</v>
      </c>
      <c r="D46" s="12">
        <v>0.08</v>
      </c>
      <c r="E46" s="12">
        <v>0.08</v>
      </c>
      <c r="F46" s="12">
        <v>0.08</v>
      </c>
      <c r="G46" s="10" t="s">
        <v>31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3" t="s">
        <v>73</v>
      </c>
      <c r="C47" s="12">
        <v>0.19</v>
      </c>
      <c r="D47" s="12">
        <v>0.19</v>
      </c>
      <c r="E47" s="12">
        <v>0.19</v>
      </c>
      <c r="F47" s="12">
        <v>0.19</v>
      </c>
      <c r="G47" s="10" t="s">
        <v>31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3" t="s">
        <v>74</v>
      </c>
      <c r="C48" s="11">
        <v>3.0</v>
      </c>
      <c r="D48" s="11">
        <v>3.0</v>
      </c>
      <c r="E48" s="11">
        <v>3.0</v>
      </c>
      <c r="F48" s="11">
        <v>3.0</v>
      </c>
      <c r="G48" s="13" t="s">
        <v>44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3"/>
      <c r="C49" s="11"/>
      <c r="D49" s="11"/>
      <c r="E49" s="11"/>
      <c r="F49" s="11"/>
      <c r="G49" s="1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31" t="s">
        <v>75</v>
      </c>
      <c r="C50" s="32"/>
      <c r="D50" s="33"/>
      <c r="E50" s="33"/>
      <c r="F50" s="33"/>
      <c r="G50" s="3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3" t="s">
        <v>76</v>
      </c>
      <c r="C51" s="11">
        <v>10.0</v>
      </c>
      <c r="D51" s="35"/>
      <c r="E51" s="35"/>
      <c r="F51" s="35"/>
      <c r="G51" s="13" t="s">
        <v>44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3" t="s">
        <v>77</v>
      </c>
      <c r="C52" s="11">
        <v>15.0</v>
      </c>
      <c r="D52" s="35"/>
      <c r="E52" s="35"/>
      <c r="F52" s="35"/>
      <c r="G52" s="13" t="s">
        <v>44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3" t="s">
        <v>78</v>
      </c>
      <c r="C53" s="11">
        <v>2.0</v>
      </c>
      <c r="D53" s="35"/>
      <c r="E53" s="35"/>
      <c r="F53" s="35"/>
      <c r="G53" s="13" t="s">
        <v>44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3"/>
      <c r="C54" s="26"/>
      <c r="D54" s="26"/>
      <c r="E54" s="26"/>
      <c r="F54" s="26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6" t="s">
        <v>79</v>
      </c>
      <c r="C55" s="36"/>
      <c r="D55" s="7"/>
      <c r="E55" s="7"/>
      <c r="F55" s="7"/>
      <c r="G55" s="3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3" t="s">
        <v>80</v>
      </c>
      <c r="C56" s="9">
        <v>600.0</v>
      </c>
      <c r="D56" s="26"/>
      <c r="E56" s="26"/>
      <c r="F56" s="26"/>
      <c r="G56" s="13" t="s">
        <v>81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3" t="s">
        <v>82</v>
      </c>
      <c r="C57" s="9">
        <v>120.0</v>
      </c>
      <c r="D57" s="26"/>
      <c r="E57" s="26"/>
      <c r="F57" s="26"/>
      <c r="G57" s="5" t="s">
        <v>81</v>
      </c>
      <c r="H57" s="38"/>
      <c r="I57" s="38"/>
      <c r="J57" s="38"/>
      <c r="K57" s="38"/>
      <c r="L57" s="38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3" t="s">
        <v>83</v>
      </c>
      <c r="C58" s="39">
        <v>35000.0</v>
      </c>
      <c r="D58" s="39">
        <v>40000.0</v>
      </c>
      <c r="E58" s="39">
        <v>60000.0</v>
      </c>
      <c r="F58" s="39">
        <v>70000.0</v>
      </c>
      <c r="G58" s="5" t="s">
        <v>84</v>
      </c>
      <c r="H58" s="38"/>
      <c r="I58" s="38"/>
      <c r="J58" s="38"/>
      <c r="K58" s="38"/>
      <c r="L58" s="3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3" t="s">
        <v>85</v>
      </c>
      <c r="C59" s="9">
        <v>40.0</v>
      </c>
      <c r="D59" s="26"/>
      <c r="E59" s="26"/>
      <c r="F59" s="26"/>
      <c r="G59" s="5" t="s">
        <v>81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3" t="s">
        <v>86</v>
      </c>
      <c r="C60" s="9">
        <v>100.0</v>
      </c>
      <c r="D60" s="26"/>
      <c r="E60" s="26"/>
      <c r="F60" s="26"/>
      <c r="G60" s="5" t="s">
        <v>81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3" t="s">
        <v>87</v>
      </c>
      <c r="C61" s="9">
        <v>3000.0</v>
      </c>
      <c r="D61" s="9">
        <v>4000.0</v>
      </c>
      <c r="E61" s="9">
        <v>5000.0</v>
      </c>
      <c r="F61" s="9">
        <v>6000.0</v>
      </c>
      <c r="G61" s="13" t="s">
        <v>84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3" t="s">
        <v>88</v>
      </c>
      <c r="C62" s="9">
        <v>6000.0</v>
      </c>
      <c r="D62" s="9">
        <v>6500.0</v>
      </c>
      <c r="E62" s="9">
        <v>7000.0</v>
      </c>
      <c r="F62" s="9">
        <v>7500.0</v>
      </c>
      <c r="G62" s="13" t="s">
        <v>84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3" t="s">
        <v>89</v>
      </c>
      <c r="C63" s="9">
        <v>1307.0</v>
      </c>
      <c r="D63" s="26"/>
      <c r="E63" s="26"/>
      <c r="F63" s="26"/>
      <c r="G63" s="13" t="s">
        <v>27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3" t="s">
        <v>90</v>
      </c>
      <c r="C64" s="9">
        <v>140.0</v>
      </c>
      <c r="D64" s="26"/>
      <c r="E64" s="26"/>
      <c r="F64" s="26"/>
      <c r="G64" s="13" t="s">
        <v>27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4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41"/>
      <c r="C66" s="42"/>
      <c r="D66" s="42"/>
      <c r="E66" s="42"/>
      <c r="F66" s="42"/>
      <c r="G66" s="43"/>
      <c r="H66" s="42"/>
      <c r="I66" s="42"/>
      <c r="J66" s="42"/>
      <c r="K66" s="42"/>
      <c r="L66" s="4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42"/>
      <c r="C67" s="41"/>
      <c r="D67" s="41"/>
      <c r="E67" s="42"/>
      <c r="F67" s="42"/>
      <c r="G67" s="43"/>
      <c r="H67" s="42"/>
      <c r="I67" s="42"/>
      <c r="J67" s="42"/>
      <c r="K67" s="42"/>
      <c r="L67" s="4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41"/>
      <c r="C68" s="44"/>
      <c r="D68" s="45"/>
      <c r="E68" s="42"/>
      <c r="F68" s="42"/>
      <c r="G68" s="43"/>
      <c r="H68" s="42"/>
      <c r="I68" s="42"/>
      <c r="J68" s="42"/>
      <c r="K68" s="42"/>
      <c r="L68" s="4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41"/>
      <c r="C69" s="44"/>
      <c r="D69" s="45"/>
      <c r="E69" s="42"/>
      <c r="F69" s="42"/>
      <c r="G69" s="43"/>
      <c r="H69" s="42"/>
      <c r="I69" s="42"/>
      <c r="J69" s="42"/>
      <c r="K69" s="42"/>
      <c r="L69" s="4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41"/>
      <c r="C70" s="44"/>
      <c r="D70" s="45"/>
      <c r="E70" s="42"/>
      <c r="F70" s="42"/>
      <c r="G70" s="43"/>
      <c r="H70" s="42"/>
      <c r="I70" s="42"/>
      <c r="J70" s="42"/>
      <c r="K70" s="42"/>
      <c r="L70" s="4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41"/>
      <c r="C71" s="44"/>
      <c r="D71" s="45"/>
      <c r="E71" s="42"/>
      <c r="F71" s="42"/>
      <c r="G71" s="43"/>
      <c r="H71" s="42"/>
      <c r="I71" s="42"/>
      <c r="J71" s="42"/>
      <c r="K71" s="42"/>
      <c r="L71" s="4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4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4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4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4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4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4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4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4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4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G81" s="46"/>
    </row>
    <row r="82">
      <c r="G82" s="46"/>
    </row>
    <row r="83">
      <c r="G83" s="46"/>
    </row>
    <row r="84">
      <c r="G84" s="46"/>
    </row>
    <row r="85">
      <c r="G85" s="46"/>
    </row>
    <row r="86">
      <c r="G86" s="46"/>
    </row>
    <row r="87">
      <c r="G87" s="46"/>
    </row>
    <row r="88">
      <c r="G88" s="46"/>
    </row>
    <row r="89">
      <c r="G89" s="46"/>
    </row>
    <row r="90">
      <c r="G90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/>
  <cols>
    <col min="6" max="53" width="12.63" outlineLevel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91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92</v>
      </c>
      <c r="F3" s="47">
        <v>46388.0</v>
      </c>
      <c r="G3" s="47">
        <v>46419.0</v>
      </c>
      <c r="H3" s="47">
        <v>46447.0</v>
      </c>
      <c r="I3" s="47">
        <v>46478.0</v>
      </c>
      <c r="J3" s="47">
        <v>46508.0</v>
      </c>
      <c r="K3" s="47">
        <v>46539.0</v>
      </c>
      <c r="L3" s="47">
        <v>46569.0</v>
      </c>
      <c r="M3" s="47">
        <v>46600.0</v>
      </c>
      <c r="N3" s="47">
        <v>46631.0</v>
      </c>
      <c r="O3" s="47">
        <v>46661.0</v>
      </c>
      <c r="P3" s="47">
        <v>46692.0</v>
      </c>
      <c r="Q3" s="47">
        <v>46722.0</v>
      </c>
      <c r="R3" s="47">
        <v>46753.0</v>
      </c>
      <c r="S3" s="47">
        <v>46784.0</v>
      </c>
      <c r="T3" s="47">
        <v>46813.0</v>
      </c>
      <c r="U3" s="47">
        <v>46844.0</v>
      </c>
      <c r="V3" s="47">
        <v>46874.0</v>
      </c>
      <c r="W3" s="47">
        <v>46905.0</v>
      </c>
      <c r="X3" s="47">
        <v>46935.0</v>
      </c>
      <c r="Y3" s="47">
        <v>46966.0</v>
      </c>
      <c r="Z3" s="47">
        <v>46997.0</v>
      </c>
      <c r="AA3" s="47">
        <v>47027.0</v>
      </c>
      <c r="AB3" s="47">
        <v>47058.0</v>
      </c>
      <c r="AC3" s="47">
        <v>47088.0</v>
      </c>
      <c r="AD3" s="47">
        <v>47119.0</v>
      </c>
      <c r="AE3" s="47">
        <v>47150.0</v>
      </c>
      <c r="AF3" s="47">
        <v>47178.0</v>
      </c>
      <c r="AG3" s="47">
        <v>47209.0</v>
      </c>
      <c r="AH3" s="47">
        <v>47239.0</v>
      </c>
      <c r="AI3" s="47">
        <v>47270.0</v>
      </c>
      <c r="AJ3" s="47">
        <v>47300.0</v>
      </c>
      <c r="AK3" s="47">
        <v>47331.0</v>
      </c>
      <c r="AL3" s="47">
        <v>47362.0</v>
      </c>
      <c r="AM3" s="47">
        <v>47392.0</v>
      </c>
      <c r="AN3" s="47">
        <v>47423.0</v>
      </c>
      <c r="AO3" s="47">
        <v>47453.0</v>
      </c>
      <c r="AP3" s="47">
        <v>47484.0</v>
      </c>
      <c r="AQ3" s="47">
        <v>47515.0</v>
      </c>
      <c r="AR3" s="47">
        <v>47543.0</v>
      </c>
      <c r="AS3" s="47">
        <v>47574.0</v>
      </c>
      <c r="AT3" s="47">
        <v>47604.0</v>
      </c>
      <c r="AU3" s="47">
        <v>47635.0</v>
      </c>
      <c r="AV3" s="47">
        <v>47665.0</v>
      </c>
      <c r="AW3" s="47">
        <v>47696.0</v>
      </c>
      <c r="AX3" s="47">
        <v>47727.0</v>
      </c>
      <c r="AY3" s="47">
        <v>47757.0</v>
      </c>
      <c r="AZ3" s="47">
        <v>47788.0</v>
      </c>
      <c r="BA3" s="47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25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1"/>
      <c r="BC6" s="7"/>
      <c r="BD6" s="7"/>
      <c r="BE6" s="7"/>
      <c r="BF6" s="7"/>
    </row>
    <row r="7">
      <c r="A7" s="1"/>
      <c r="B7" s="3" t="s">
        <v>93</v>
      </c>
      <c r="C7" s="1"/>
      <c r="D7" s="1"/>
      <c r="E7" s="3" t="s">
        <v>44</v>
      </c>
      <c r="F7" s="35">
        <f t="array" ref="F7">ROUND((INDEX(Assumptions!$C$27:$F$27,MATCH(YEAR(F$3),Assumptions!$C$1:$F$1,0))*INDEX(Assumptions!$C$28:$F$28,MATCH(YEAR(F$3),Assumptions!$C$1:$F$1,0)))*MONTH(F$3)/12,0)-ROUND((INDEX(Assumptions!$C$27:$F$27,MATCH(YEAR(F$3),Assumptions!$C$1:$F$1,0))*INDEX(Assumptions!$C$28:$F$28,MATCH(YEAR(F$3),Assumptions!$C$1:$F$1,0)))*(MONTH(F$3)-1)/12,0)</f>
        <v>1</v>
      </c>
      <c r="G7" s="35">
        <f t="array" ref="G7">ROUND((INDEX(Assumptions!$C$27:$F$27,MATCH(YEAR(G$3),Assumptions!$C$1:$F$1,0))*INDEX(Assumptions!$C$28:$F$28,MATCH(YEAR(G$3),Assumptions!$C$1:$F$1,0)))*MONTH(G$3)/12,0)-ROUND((INDEX(Assumptions!$C$27:$F$27,MATCH(YEAR(G$3),Assumptions!$C$1:$F$1,0))*INDEX(Assumptions!$C$28:$F$28,MATCH(YEAR(G$3),Assumptions!$C$1:$F$1,0)))*(MONTH(G$3)-1)/12,0)</f>
        <v>1</v>
      </c>
      <c r="H7" s="35">
        <f t="array" ref="H7">ROUND((INDEX(Assumptions!$C$27:$F$27,MATCH(YEAR(H$3),Assumptions!$C$1:$F$1,0))*INDEX(Assumptions!$C$28:$F$28,MATCH(YEAR(H$3),Assumptions!$C$1:$F$1,0)))*MONTH(H$3)/12,0)-ROUND((INDEX(Assumptions!$C$27:$F$27,MATCH(YEAR(H$3),Assumptions!$C$1:$F$1,0))*INDEX(Assumptions!$C$28:$F$28,MATCH(YEAR(H$3),Assumptions!$C$1:$F$1,0)))*(MONTH(H$3)-1)/12,0)</f>
        <v>1</v>
      </c>
      <c r="I7" s="35">
        <f t="array" ref="I7">ROUND((INDEX(Assumptions!$C$27:$F$27,MATCH(YEAR(I$3),Assumptions!$C$1:$F$1,0))*INDEX(Assumptions!$C$28:$F$28,MATCH(YEAR(I$3),Assumptions!$C$1:$F$1,0)))*MONTH(I$3)/12,0)-ROUND((INDEX(Assumptions!$C$27:$F$27,MATCH(YEAR(I$3),Assumptions!$C$1:$F$1,0))*INDEX(Assumptions!$C$28:$F$28,MATCH(YEAR(I$3),Assumptions!$C$1:$F$1,0)))*(MONTH(I$3)-1)/12,0)</f>
        <v>1</v>
      </c>
      <c r="J7" s="35">
        <f t="array" ref="J7">ROUND((INDEX(Assumptions!$C$27:$F$27,MATCH(YEAR(J$3),Assumptions!$C$1:$F$1,0))*INDEX(Assumptions!$C$28:$F$28,MATCH(YEAR(J$3),Assumptions!$C$1:$F$1,0)))*MONTH(J$3)/12,0)-ROUND((INDEX(Assumptions!$C$27:$F$27,MATCH(YEAR(J$3),Assumptions!$C$1:$F$1,0))*INDEX(Assumptions!$C$28:$F$28,MATCH(YEAR(J$3),Assumptions!$C$1:$F$1,0)))*(MONTH(J$3)-1)/12,0)</f>
        <v>0</v>
      </c>
      <c r="K7" s="35">
        <f t="array" ref="K7">ROUND((INDEX(Assumptions!$C$27:$F$27,MATCH(YEAR(K$3),Assumptions!$C$1:$F$1,0))*INDEX(Assumptions!$C$28:$F$28,MATCH(YEAR(K$3),Assumptions!$C$1:$F$1,0)))*MONTH(K$3)/12,0)-ROUND((INDEX(Assumptions!$C$27:$F$27,MATCH(YEAR(K$3),Assumptions!$C$1:$F$1,0))*INDEX(Assumptions!$C$28:$F$28,MATCH(YEAR(K$3),Assumptions!$C$1:$F$1,0)))*(MONTH(K$3)-1)/12,0)</f>
        <v>1</v>
      </c>
      <c r="L7" s="35">
        <f t="array" ref="L7">ROUND((INDEX(Assumptions!$C$27:$F$27,MATCH(YEAR(L$3),Assumptions!$C$1:$F$1,0))*INDEX(Assumptions!$C$28:$F$28,MATCH(YEAR(L$3),Assumptions!$C$1:$F$1,0)))*MONTH(L$3)/12,0)-ROUND((INDEX(Assumptions!$C$27:$F$27,MATCH(YEAR(L$3),Assumptions!$C$1:$F$1,0))*INDEX(Assumptions!$C$28:$F$28,MATCH(YEAR(L$3),Assumptions!$C$1:$F$1,0)))*(MONTH(L$3)-1)/12,0)</f>
        <v>1</v>
      </c>
      <c r="M7" s="35">
        <f t="array" ref="M7">ROUND((INDEX(Assumptions!$C$27:$F$27,MATCH(YEAR(M$3),Assumptions!$C$1:$F$1,0))*INDEX(Assumptions!$C$28:$F$28,MATCH(YEAR(M$3),Assumptions!$C$1:$F$1,0)))*MONTH(M$3)/12,0)-ROUND((INDEX(Assumptions!$C$27:$F$27,MATCH(YEAR(M$3),Assumptions!$C$1:$F$1,0))*INDEX(Assumptions!$C$28:$F$28,MATCH(YEAR(M$3),Assumptions!$C$1:$F$1,0)))*(MONTH(M$3)-1)/12,0)</f>
        <v>1</v>
      </c>
      <c r="N7" s="35">
        <f t="array" ref="N7">ROUND((INDEX(Assumptions!$C$27:$F$27,MATCH(YEAR(N$3),Assumptions!$C$1:$F$1,0))*INDEX(Assumptions!$C$28:$F$28,MATCH(YEAR(N$3),Assumptions!$C$1:$F$1,0)))*MONTH(N$3)/12,0)-ROUND((INDEX(Assumptions!$C$27:$F$27,MATCH(YEAR(N$3),Assumptions!$C$1:$F$1,0))*INDEX(Assumptions!$C$28:$F$28,MATCH(YEAR(N$3),Assumptions!$C$1:$F$1,0)))*(MONTH(N$3)-1)/12,0)</f>
        <v>1</v>
      </c>
      <c r="O7" s="35">
        <f t="array" ref="O7">ROUND((INDEX(Assumptions!$C$27:$F$27,MATCH(YEAR(O$3),Assumptions!$C$1:$F$1,0))*INDEX(Assumptions!$C$28:$F$28,MATCH(YEAR(O$3),Assumptions!$C$1:$F$1,0)))*MONTH(O$3)/12,0)-ROUND((INDEX(Assumptions!$C$27:$F$27,MATCH(YEAR(O$3),Assumptions!$C$1:$F$1,0))*INDEX(Assumptions!$C$28:$F$28,MATCH(YEAR(O$3),Assumptions!$C$1:$F$1,0)))*(MONTH(O$3)-1)/12,0)</f>
        <v>1</v>
      </c>
      <c r="P7" s="35">
        <f t="array" ref="P7">ROUND((INDEX(Assumptions!$C$27:$F$27,MATCH(YEAR(P$3),Assumptions!$C$1:$F$1,0))*INDEX(Assumptions!$C$28:$F$28,MATCH(YEAR(P$3),Assumptions!$C$1:$F$1,0)))*MONTH(P$3)/12,0)-ROUND((INDEX(Assumptions!$C$27:$F$27,MATCH(YEAR(P$3),Assumptions!$C$1:$F$1,0))*INDEX(Assumptions!$C$28:$F$28,MATCH(YEAR(P$3),Assumptions!$C$1:$F$1,0)))*(MONTH(P$3)-1)/12,0)</f>
        <v>1</v>
      </c>
      <c r="Q7" s="35">
        <f t="array" ref="Q7">ROUND((INDEX(Assumptions!$C$27:$F$27,MATCH(YEAR(Q$3),Assumptions!$C$1:$F$1,0))*INDEX(Assumptions!$C$28:$F$28,MATCH(YEAR(Q$3),Assumptions!$C$1:$F$1,0)))*MONTH(Q$3)/12,0)-ROUND((INDEX(Assumptions!$C$27:$F$27,MATCH(YEAR(Q$3),Assumptions!$C$1:$F$1,0))*INDEX(Assumptions!$C$28:$F$28,MATCH(YEAR(Q$3),Assumptions!$C$1:$F$1,0)))*(MONTH(Q$3)-1)/12,0)</f>
        <v>1</v>
      </c>
      <c r="R7" s="35">
        <f t="array" ref="R7">ROUND((INDEX(Assumptions!$C$27:$F$27,MATCH(YEAR(R$3),Assumptions!$C$1:$F$1,0))*INDEX(Assumptions!$C$28:$F$28,MATCH(YEAR(R$3),Assumptions!$C$1:$F$1,0)))*MONTH(R$3)/12,0)-ROUND((INDEX(Assumptions!$C$27:$F$27,MATCH(YEAR(R$3),Assumptions!$C$1:$F$1,0))*INDEX(Assumptions!$C$28:$F$28,MATCH(YEAR(R$3),Assumptions!$C$1:$F$1,0)))*(MONTH(R$3)-1)/12,0)</f>
        <v>1</v>
      </c>
      <c r="S7" s="35">
        <f t="array" ref="S7">ROUND((INDEX(Assumptions!$C$27:$F$27,MATCH(YEAR(S$3),Assumptions!$C$1:$F$1,0))*INDEX(Assumptions!$C$28:$F$28,MATCH(YEAR(S$3),Assumptions!$C$1:$F$1,0)))*MONTH(S$3)/12,0)-ROUND((INDEX(Assumptions!$C$27:$F$27,MATCH(YEAR(S$3),Assumptions!$C$1:$F$1,0))*INDEX(Assumptions!$C$28:$F$28,MATCH(YEAR(S$3),Assumptions!$C$1:$F$1,0)))*(MONTH(S$3)-1)/12,0)</f>
        <v>1</v>
      </c>
      <c r="T7" s="35">
        <f t="array" ref="T7">ROUND((INDEX(Assumptions!$C$27:$F$27,MATCH(YEAR(T$3),Assumptions!$C$1:$F$1,0))*INDEX(Assumptions!$C$28:$F$28,MATCH(YEAR(T$3),Assumptions!$C$1:$F$1,0)))*MONTH(T$3)/12,0)-ROUND((INDEX(Assumptions!$C$27:$F$27,MATCH(YEAR(T$3),Assumptions!$C$1:$F$1,0))*INDEX(Assumptions!$C$28:$F$28,MATCH(YEAR(T$3),Assumptions!$C$1:$F$1,0)))*(MONTH(T$3)-1)/12,0)</f>
        <v>1</v>
      </c>
      <c r="U7" s="35">
        <f t="array" ref="U7">ROUND((INDEX(Assumptions!$C$27:$F$27,MATCH(YEAR(U$3),Assumptions!$C$1:$F$1,0))*INDEX(Assumptions!$C$28:$F$28,MATCH(YEAR(U$3),Assumptions!$C$1:$F$1,0)))*MONTH(U$3)/12,0)-ROUND((INDEX(Assumptions!$C$27:$F$27,MATCH(YEAR(U$3),Assumptions!$C$1:$F$1,0))*INDEX(Assumptions!$C$28:$F$28,MATCH(YEAR(U$3),Assumptions!$C$1:$F$1,0)))*(MONTH(U$3)-1)/12,0)</f>
        <v>1</v>
      </c>
      <c r="V7" s="35">
        <f t="array" ref="V7">ROUND((INDEX(Assumptions!$C$27:$F$27,MATCH(YEAR(V$3),Assumptions!$C$1:$F$1,0))*INDEX(Assumptions!$C$28:$F$28,MATCH(YEAR(V$3),Assumptions!$C$1:$F$1,0)))*MONTH(V$3)/12,0)-ROUND((INDEX(Assumptions!$C$27:$F$27,MATCH(YEAR(V$3),Assumptions!$C$1:$F$1,0))*INDEX(Assumptions!$C$28:$F$28,MATCH(YEAR(V$3),Assumptions!$C$1:$F$1,0)))*(MONTH(V$3)-1)/12,0)</f>
        <v>1</v>
      </c>
      <c r="W7" s="35">
        <f t="array" ref="W7">ROUND((INDEX(Assumptions!$C$27:$F$27,MATCH(YEAR(W$3),Assumptions!$C$1:$F$1,0))*INDEX(Assumptions!$C$28:$F$28,MATCH(YEAR(W$3),Assumptions!$C$1:$F$1,0)))*MONTH(W$3)/12,0)-ROUND((INDEX(Assumptions!$C$27:$F$27,MATCH(YEAR(W$3),Assumptions!$C$1:$F$1,0))*INDEX(Assumptions!$C$28:$F$28,MATCH(YEAR(W$3),Assumptions!$C$1:$F$1,0)))*(MONTH(W$3)-1)/12,0)</f>
        <v>1</v>
      </c>
      <c r="X7" s="35">
        <f t="array" ref="X7">ROUND((INDEX(Assumptions!$C$27:$F$27,MATCH(YEAR(X$3),Assumptions!$C$1:$F$1,0))*INDEX(Assumptions!$C$28:$F$28,MATCH(YEAR(X$3),Assumptions!$C$1:$F$1,0)))*MONTH(X$3)/12,0)-ROUND((INDEX(Assumptions!$C$27:$F$27,MATCH(YEAR(X$3),Assumptions!$C$1:$F$1,0))*INDEX(Assumptions!$C$28:$F$28,MATCH(YEAR(X$3),Assumptions!$C$1:$F$1,0)))*(MONTH(X$3)-1)/12,0)</f>
        <v>1</v>
      </c>
      <c r="Y7" s="35">
        <f t="array" ref="Y7">ROUND((INDEX(Assumptions!$C$27:$F$27,MATCH(YEAR(Y$3),Assumptions!$C$1:$F$1,0))*INDEX(Assumptions!$C$28:$F$28,MATCH(YEAR(Y$3),Assumptions!$C$1:$F$1,0)))*MONTH(Y$3)/12,0)-ROUND((INDEX(Assumptions!$C$27:$F$27,MATCH(YEAR(Y$3),Assumptions!$C$1:$F$1,0))*INDEX(Assumptions!$C$28:$F$28,MATCH(YEAR(Y$3),Assumptions!$C$1:$F$1,0)))*(MONTH(Y$3)-1)/12,0)</f>
        <v>1</v>
      </c>
      <c r="Z7" s="35">
        <f t="array" ref="Z7">ROUND((INDEX(Assumptions!$C$27:$F$27,MATCH(YEAR(Z$3),Assumptions!$C$1:$F$1,0))*INDEX(Assumptions!$C$28:$F$28,MATCH(YEAR(Z$3),Assumptions!$C$1:$F$1,0)))*MONTH(Z$3)/12,0)-ROUND((INDEX(Assumptions!$C$27:$F$27,MATCH(YEAR(Z$3),Assumptions!$C$1:$F$1,0))*INDEX(Assumptions!$C$28:$F$28,MATCH(YEAR(Z$3),Assumptions!$C$1:$F$1,0)))*(MONTH(Z$3)-1)/12,0)</f>
        <v>1</v>
      </c>
      <c r="AA7" s="35">
        <f t="array" ref="AA7">ROUND((INDEX(Assumptions!$C$27:$F$27,MATCH(YEAR(AA$3),Assumptions!$C$1:$F$1,0))*INDEX(Assumptions!$C$28:$F$28,MATCH(YEAR(AA$3),Assumptions!$C$1:$F$1,0)))*MONTH(AA$3)/12,0)-ROUND((INDEX(Assumptions!$C$27:$F$27,MATCH(YEAR(AA$3),Assumptions!$C$1:$F$1,0))*INDEX(Assumptions!$C$28:$F$28,MATCH(YEAR(AA$3),Assumptions!$C$1:$F$1,0)))*(MONTH(AA$3)-1)/12,0)</f>
        <v>1</v>
      </c>
      <c r="AB7" s="35">
        <f t="array" ref="AB7">ROUND((INDEX(Assumptions!$C$27:$F$27,MATCH(YEAR(AB$3),Assumptions!$C$1:$F$1,0))*INDEX(Assumptions!$C$28:$F$28,MATCH(YEAR(AB$3),Assumptions!$C$1:$F$1,0)))*MONTH(AB$3)/12,0)-ROUND((INDEX(Assumptions!$C$27:$F$27,MATCH(YEAR(AB$3),Assumptions!$C$1:$F$1,0))*INDEX(Assumptions!$C$28:$F$28,MATCH(YEAR(AB$3),Assumptions!$C$1:$F$1,0)))*(MONTH(AB$3)-1)/12,0)</f>
        <v>1</v>
      </c>
      <c r="AC7" s="35">
        <f t="array" ref="AC7">ROUND((INDEX(Assumptions!$C$27:$F$27,MATCH(YEAR(AC$3),Assumptions!$C$1:$F$1,0))*INDEX(Assumptions!$C$28:$F$28,MATCH(YEAR(AC$3),Assumptions!$C$1:$F$1,0)))*MONTH(AC$3)/12,0)-ROUND((INDEX(Assumptions!$C$27:$F$27,MATCH(YEAR(AC$3),Assumptions!$C$1:$F$1,0))*INDEX(Assumptions!$C$28:$F$28,MATCH(YEAR(AC$3),Assumptions!$C$1:$F$1,0)))*(MONTH(AC$3)-1)/12,0)</f>
        <v>1</v>
      </c>
      <c r="AD7" s="35">
        <f t="array" ref="AD7">ROUND((INDEX(Assumptions!$C$27:$F$27,MATCH(YEAR(AD$3),Assumptions!$C$1:$F$1,0))*INDEX(Assumptions!$C$28:$F$28,MATCH(YEAR(AD$3),Assumptions!$C$1:$F$1,0)))*MONTH(AD$3)/12,0)-ROUND((INDEX(Assumptions!$C$27:$F$27,MATCH(YEAR(AD$3),Assumptions!$C$1:$F$1,0))*INDEX(Assumptions!$C$28:$F$28,MATCH(YEAR(AD$3),Assumptions!$C$1:$F$1,0)))*(MONTH(AD$3)-1)/12,0)</f>
        <v>1</v>
      </c>
      <c r="AE7" s="35">
        <f t="array" ref="AE7">ROUND((INDEX(Assumptions!$C$27:$F$27,MATCH(YEAR(AE$3),Assumptions!$C$1:$F$1,0))*INDEX(Assumptions!$C$28:$F$28,MATCH(YEAR(AE$3),Assumptions!$C$1:$F$1,0)))*MONTH(AE$3)/12,0)-ROUND((INDEX(Assumptions!$C$27:$F$27,MATCH(YEAR(AE$3),Assumptions!$C$1:$F$1,0))*INDEX(Assumptions!$C$28:$F$28,MATCH(YEAR(AE$3),Assumptions!$C$1:$F$1,0)))*(MONTH(AE$3)-1)/12,0)</f>
        <v>2</v>
      </c>
      <c r="AF7" s="35">
        <f t="array" ref="AF7">ROUND((INDEX(Assumptions!$C$27:$F$27,MATCH(YEAR(AF$3),Assumptions!$C$1:$F$1,0))*INDEX(Assumptions!$C$28:$F$28,MATCH(YEAR(AF$3),Assumptions!$C$1:$F$1,0)))*MONTH(AF$3)/12,0)-ROUND((INDEX(Assumptions!$C$27:$F$27,MATCH(YEAR(AF$3),Assumptions!$C$1:$F$1,0))*INDEX(Assumptions!$C$28:$F$28,MATCH(YEAR(AF$3),Assumptions!$C$1:$F$1,0)))*(MONTH(AF$3)-1)/12,0)</f>
        <v>1</v>
      </c>
      <c r="AG7" s="35">
        <f t="array" ref="AG7">ROUND((INDEX(Assumptions!$C$27:$F$27,MATCH(YEAR(AG$3),Assumptions!$C$1:$F$1,0))*INDEX(Assumptions!$C$28:$F$28,MATCH(YEAR(AG$3),Assumptions!$C$1:$F$1,0)))*MONTH(AG$3)/12,0)-ROUND((INDEX(Assumptions!$C$27:$F$27,MATCH(YEAR(AG$3),Assumptions!$C$1:$F$1,0))*INDEX(Assumptions!$C$28:$F$28,MATCH(YEAR(AG$3),Assumptions!$C$1:$F$1,0)))*(MONTH(AG$3)-1)/12,0)</f>
        <v>1</v>
      </c>
      <c r="AH7" s="35">
        <f t="array" ref="AH7">ROUND((INDEX(Assumptions!$C$27:$F$27,MATCH(YEAR(AH$3),Assumptions!$C$1:$F$1,0))*INDEX(Assumptions!$C$28:$F$28,MATCH(YEAR(AH$3),Assumptions!$C$1:$F$1,0)))*MONTH(AH$3)/12,0)-ROUND((INDEX(Assumptions!$C$27:$F$27,MATCH(YEAR(AH$3),Assumptions!$C$1:$F$1,0))*INDEX(Assumptions!$C$28:$F$28,MATCH(YEAR(AH$3),Assumptions!$C$1:$F$1,0)))*(MONTH(AH$3)-1)/12,0)</f>
        <v>2</v>
      </c>
      <c r="AI7" s="35">
        <f t="array" ref="AI7">ROUND((INDEX(Assumptions!$C$27:$F$27,MATCH(YEAR(AI$3),Assumptions!$C$1:$F$1,0))*INDEX(Assumptions!$C$28:$F$28,MATCH(YEAR(AI$3),Assumptions!$C$1:$F$1,0)))*MONTH(AI$3)/12,0)-ROUND((INDEX(Assumptions!$C$27:$F$27,MATCH(YEAR(AI$3),Assumptions!$C$1:$F$1,0))*INDEX(Assumptions!$C$28:$F$28,MATCH(YEAR(AI$3),Assumptions!$C$1:$F$1,0)))*(MONTH(AI$3)-1)/12,0)</f>
        <v>1</v>
      </c>
      <c r="AJ7" s="35">
        <f t="array" ref="AJ7">ROUND((INDEX(Assumptions!$C$27:$F$27,MATCH(YEAR(AJ$3),Assumptions!$C$1:$F$1,0))*INDEX(Assumptions!$C$28:$F$28,MATCH(YEAR(AJ$3),Assumptions!$C$1:$F$1,0)))*MONTH(AJ$3)/12,0)-ROUND((INDEX(Assumptions!$C$27:$F$27,MATCH(YEAR(AJ$3),Assumptions!$C$1:$F$1,0))*INDEX(Assumptions!$C$28:$F$28,MATCH(YEAR(AJ$3),Assumptions!$C$1:$F$1,0)))*(MONTH(AJ$3)-1)/12,0)</f>
        <v>1</v>
      </c>
      <c r="AK7" s="35">
        <f t="array" ref="AK7">ROUND((INDEX(Assumptions!$C$27:$F$27,MATCH(YEAR(AK$3),Assumptions!$C$1:$F$1,0))*INDEX(Assumptions!$C$28:$F$28,MATCH(YEAR(AK$3),Assumptions!$C$1:$F$1,0)))*MONTH(AK$3)/12,0)-ROUND((INDEX(Assumptions!$C$27:$F$27,MATCH(YEAR(AK$3),Assumptions!$C$1:$F$1,0))*INDEX(Assumptions!$C$28:$F$28,MATCH(YEAR(AK$3),Assumptions!$C$1:$F$1,0)))*(MONTH(AK$3)-1)/12,0)</f>
        <v>2</v>
      </c>
      <c r="AL7" s="35">
        <f t="array" ref="AL7">ROUND((INDEX(Assumptions!$C$27:$F$27,MATCH(YEAR(AL$3),Assumptions!$C$1:$F$1,0))*INDEX(Assumptions!$C$28:$F$28,MATCH(YEAR(AL$3),Assumptions!$C$1:$F$1,0)))*MONTH(AL$3)/12,0)-ROUND((INDEX(Assumptions!$C$27:$F$27,MATCH(YEAR(AL$3),Assumptions!$C$1:$F$1,0))*INDEX(Assumptions!$C$28:$F$28,MATCH(YEAR(AL$3),Assumptions!$C$1:$F$1,0)))*(MONTH(AL$3)-1)/12,0)</f>
        <v>1</v>
      </c>
      <c r="AM7" s="35">
        <f t="array" ref="AM7">ROUND((INDEX(Assumptions!$C$27:$F$27,MATCH(YEAR(AM$3),Assumptions!$C$1:$F$1,0))*INDEX(Assumptions!$C$28:$F$28,MATCH(YEAR(AM$3),Assumptions!$C$1:$F$1,0)))*MONTH(AM$3)/12,0)-ROUND((INDEX(Assumptions!$C$27:$F$27,MATCH(YEAR(AM$3),Assumptions!$C$1:$F$1,0))*INDEX(Assumptions!$C$28:$F$28,MATCH(YEAR(AM$3),Assumptions!$C$1:$F$1,0)))*(MONTH(AM$3)-1)/12,0)</f>
        <v>2</v>
      </c>
      <c r="AN7" s="35">
        <f t="array" ref="AN7">ROUND((INDEX(Assumptions!$C$27:$F$27,MATCH(YEAR(AN$3),Assumptions!$C$1:$F$1,0))*INDEX(Assumptions!$C$28:$F$28,MATCH(YEAR(AN$3),Assumptions!$C$1:$F$1,0)))*MONTH(AN$3)/12,0)-ROUND((INDEX(Assumptions!$C$27:$F$27,MATCH(YEAR(AN$3),Assumptions!$C$1:$F$1,0))*INDEX(Assumptions!$C$28:$F$28,MATCH(YEAR(AN$3),Assumptions!$C$1:$F$1,0)))*(MONTH(AN$3)-1)/12,0)</f>
        <v>1</v>
      </c>
      <c r="AO7" s="35">
        <f t="array" ref="AO7">ROUND((INDEX(Assumptions!$C$27:$F$27,MATCH(YEAR(AO$3),Assumptions!$C$1:$F$1,0))*INDEX(Assumptions!$C$28:$F$28,MATCH(YEAR(AO$3),Assumptions!$C$1:$F$1,0)))*MONTH(AO$3)/12,0)-ROUND((INDEX(Assumptions!$C$27:$F$27,MATCH(YEAR(AO$3),Assumptions!$C$1:$F$1,0))*INDEX(Assumptions!$C$28:$F$28,MATCH(YEAR(AO$3),Assumptions!$C$1:$F$1,0)))*(MONTH(AO$3)-1)/12,0)</f>
        <v>1</v>
      </c>
      <c r="AP7" s="35">
        <f t="array" ref="AP7">ROUND((INDEX(Assumptions!$C$27:$F$27,MATCH(YEAR(AP$3),Assumptions!$C$1:$F$1,0))*INDEX(Assumptions!$C$28:$F$28,MATCH(YEAR(AP$3),Assumptions!$C$1:$F$1,0)))*MONTH(AP$3)/12,0)-ROUND((INDEX(Assumptions!$C$27:$F$27,MATCH(YEAR(AP$3),Assumptions!$C$1:$F$1,0))*INDEX(Assumptions!$C$28:$F$28,MATCH(YEAR(AP$3),Assumptions!$C$1:$F$1,0)))*(MONTH(AP$3)-1)/12,0)</f>
        <v>1</v>
      </c>
      <c r="AQ7" s="35">
        <f t="array" ref="AQ7">ROUND((INDEX(Assumptions!$C$27:$F$27,MATCH(YEAR(AQ$3),Assumptions!$C$1:$F$1,0))*INDEX(Assumptions!$C$28:$F$28,MATCH(YEAR(AQ$3),Assumptions!$C$1:$F$1,0)))*MONTH(AQ$3)/12,0)-ROUND((INDEX(Assumptions!$C$27:$F$27,MATCH(YEAR(AQ$3),Assumptions!$C$1:$F$1,0))*INDEX(Assumptions!$C$28:$F$28,MATCH(YEAR(AQ$3),Assumptions!$C$1:$F$1,0)))*(MONTH(AQ$3)-1)/12,0)</f>
        <v>2</v>
      </c>
      <c r="AR7" s="35">
        <f t="array" ref="AR7">ROUND((INDEX(Assumptions!$C$27:$F$27,MATCH(YEAR(AR$3),Assumptions!$C$1:$F$1,0))*INDEX(Assumptions!$C$28:$F$28,MATCH(YEAR(AR$3),Assumptions!$C$1:$F$1,0)))*MONTH(AR$3)/12,0)-ROUND((INDEX(Assumptions!$C$27:$F$27,MATCH(YEAR(AR$3),Assumptions!$C$1:$F$1,0))*INDEX(Assumptions!$C$28:$F$28,MATCH(YEAR(AR$3),Assumptions!$C$1:$F$1,0)))*(MONTH(AR$3)-1)/12,0)</f>
        <v>1</v>
      </c>
      <c r="AS7" s="35">
        <f t="array" ref="AS7">ROUND((INDEX(Assumptions!$C$27:$F$27,MATCH(YEAR(AS$3),Assumptions!$C$1:$F$1,0))*INDEX(Assumptions!$C$28:$F$28,MATCH(YEAR(AS$3),Assumptions!$C$1:$F$1,0)))*MONTH(AS$3)/12,0)-ROUND((INDEX(Assumptions!$C$27:$F$27,MATCH(YEAR(AS$3),Assumptions!$C$1:$F$1,0))*INDEX(Assumptions!$C$28:$F$28,MATCH(YEAR(AS$3),Assumptions!$C$1:$F$1,0)))*(MONTH(AS$3)-1)/12,0)</f>
        <v>1</v>
      </c>
      <c r="AT7" s="35">
        <f t="array" ref="AT7">ROUND((INDEX(Assumptions!$C$27:$F$27,MATCH(YEAR(AT$3),Assumptions!$C$1:$F$1,0))*INDEX(Assumptions!$C$28:$F$28,MATCH(YEAR(AT$3),Assumptions!$C$1:$F$1,0)))*MONTH(AT$3)/12,0)-ROUND((INDEX(Assumptions!$C$27:$F$27,MATCH(YEAR(AT$3),Assumptions!$C$1:$F$1,0))*INDEX(Assumptions!$C$28:$F$28,MATCH(YEAR(AT$3),Assumptions!$C$1:$F$1,0)))*(MONTH(AT$3)-1)/12,0)</f>
        <v>1</v>
      </c>
      <c r="AU7" s="35">
        <f t="array" ref="AU7">ROUND((INDEX(Assumptions!$C$27:$F$27,MATCH(YEAR(AU$3),Assumptions!$C$1:$F$1,0))*INDEX(Assumptions!$C$28:$F$28,MATCH(YEAR(AU$3),Assumptions!$C$1:$F$1,0)))*MONTH(AU$3)/12,0)-ROUND((INDEX(Assumptions!$C$27:$F$27,MATCH(YEAR(AU$3),Assumptions!$C$1:$F$1,0))*INDEX(Assumptions!$C$28:$F$28,MATCH(YEAR(AU$3),Assumptions!$C$1:$F$1,0)))*(MONTH(AU$3)-1)/12,0)</f>
        <v>2</v>
      </c>
      <c r="AV7" s="35">
        <f t="array" ref="AV7">ROUND((INDEX(Assumptions!$C$27:$F$27,MATCH(YEAR(AV$3),Assumptions!$C$1:$F$1,0))*INDEX(Assumptions!$C$28:$F$28,MATCH(YEAR(AV$3),Assumptions!$C$1:$F$1,0)))*MONTH(AV$3)/12,0)-ROUND((INDEX(Assumptions!$C$27:$F$27,MATCH(YEAR(AV$3),Assumptions!$C$1:$F$1,0))*INDEX(Assumptions!$C$28:$F$28,MATCH(YEAR(AV$3),Assumptions!$C$1:$F$1,0)))*(MONTH(AV$3)-1)/12,0)</f>
        <v>1</v>
      </c>
      <c r="AW7" s="35">
        <f t="array" ref="AW7">ROUND((INDEX(Assumptions!$C$27:$F$27,MATCH(YEAR(AW$3),Assumptions!$C$1:$F$1,0))*INDEX(Assumptions!$C$28:$F$28,MATCH(YEAR(AW$3),Assumptions!$C$1:$F$1,0)))*MONTH(AW$3)/12,0)-ROUND((INDEX(Assumptions!$C$27:$F$27,MATCH(YEAR(AW$3),Assumptions!$C$1:$F$1,0))*INDEX(Assumptions!$C$28:$F$28,MATCH(YEAR(AW$3),Assumptions!$C$1:$F$1,0)))*(MONTH(AW$3)-1)/12,0)</f>
        <v>1</v>
      </c>
      <c r="AX7" s="35">
        <f t="array" ref="AX7">ROUND((INDEX(Assumptions!$C$27:$F$27,MATCH(YEAR(AX$3),Assumptions!$C$1:$F$1,0))*INDEX(Assumptions!$C$28:$F$28,MATCH(YEAR(AX$3),Assumptions!$C$1:$F$1,0)))*MONTH(AX$3)/12,0)-ROUND((INDEX(Assumptions!$C$27:$F$27,MATCH(YEAR(AX$3),Assumptions!$C$1:$F$1,0))*INDEX(Assumptions!$C$28:$F$28,MATCH(YEAR(AX$3),Assumptions!$C$1:$F$1,0)))*(MONTH(AX$3)-1)/12,0)</f>
        <v>1</v>
      </c>
      <c r="AY7" s="35">
        <f t="array" ref="AY7">ROUND((INDEX(Assumptions!$C$27:$F$27,MATCH(YEAR(AY$3),Assumptions!$C$1:$F$1,0))*INDEX(Assumptions!$C$28:$F$28,MATCH(YEAR(AY$3),Assumptions!$C$1:$F$1,0)))*MONTH(AY$3)/12,0)-ROUND((INDEX(Assumptions!$C$27:$F$27,MATCH(YEAR(AY$3),Assumptions!$C$1:$F$1,0))*INDEX(Assumptions!$C$28:$F$28,MATCH(YEAR(AY$3),Assumptions!$C$1:$F$1,0)))*(MONTH(AY$3)-1)/12,0)</f>
        <v>2</v>
      </c>
      <c r="AZ7" s="35">
        <f t="array" ref="AZ7">ROUND((INDEX(Assumptions!$C$27:$F$27,MATCH(YEAR(AZ$3),Assumptions!$C$1:$F$1,0))*INDEX(Assumptions!$C$28:$F$28,MATCH(YEAR(AZ$3),Assumptions!$C$1:$F$1,0)))*MONTH(AZ$3)/12,0)-ROUND((INDEX(Assumptions!$C$27:$F$27,MATCH(YEAR(AZ$3),Assumptions!$C$1:$F$1,0))*INDEX(Assumptions!$C$28:$F$28,MATCH(YEAR(AZ$3),Assumptions!$C$1:$F$1,0)))*(MONTH(AZ$3)-1)/12,0)</f>
        <v>1</v>
      </c>
      <c r="BA7" s="35">
        <f t="array" ref="BA7">ROUND((INDEX(Assumptions!$C$27:$F$27,MATCH(YEAR(BA$3),Assumptions!$C$1:$F$1,0))*INDEX(Assumptions!$C$28:$F$28,MATCH(YEAR(BA$3),Assumptions!$C$1:$F$1,0)))*MONTH(BA$3)/12,0)-ROUND((INDEX(Assumptions!$C$27:$F$27,MATCH(YEAR(BA$3),Assumptions!$C$1:$F$1,0))*INDEX(Assumptions!$C$28:$F$28,MATCH(YEAR(BA$3),Assumptions!$C$1:$F$1,0)))*(MONTH(BA$3)-1)/12,0)</f>
        <v>1</v>
      </c>
      <c r="BB7" s="1"/>
      <c r="BC7" s="35">
        <f t="shared" ref="BC7:BF7" si="1">SUMPRODUCT((YEAR($F$3:$BA$3)=BC$3)*$F7:$BA7)</f>
        <v>11</v>
      </c>
      <c r="BD7" s="35">
        <f t="shared" si="1"/>
        <v>12</v>
      </c>
      <c r="BE7" s="35">
        <f t="shared" si="1"/>
        <v>16</v>
      </c>
      <c r="BF7" s="35">
        <f t="shared" si="1"/>
        <v>15</v>
      </c>
    </row>
    <row r="8">
      <c r="A8" s="1"/>
      <c r="B8" s="3" t="s">
        <v>94</v>
      </c>
      <c r="C8" s="1"/>
      <c r="D8" s="1"/>
      <c r="E8" s="3" t="s">
        <v>44</v>
      </c>
      <c r="F8" s="35">
        <f>SUM(F7)+F43</f>
        <v>4</v>
      </c>
      <c r="G8" s="35">
        <f>SUM(F7:G7)+G43</f>
        <v>5</v>
      </c>
      <c r="H8" s="35">
        <f>SUM(F7:H7)+H43</f>
        <v>4</v>
      </c>
      <c r="I8" s="35">
        <f>SUM(F7:I7)+I43</f>
        <v>5</v>
      </c>
      <c r="J8" s="35">
        <f t="shared" ref="J8:BA8" si="2">SUM(F7:J7)</f>
        <v>4</v>
      </c>
      <c r="K8" s="35">
        <f t="shared" si="2"/>
        <v>4</v>
      </c>
      <c r="L8" s="35">
        <f t="shared" si="2"/>
        <v>4</v>
      </c>
      <c r="M8" s="35">
        <f t="shared" si="2"/>
        <v>4</v>
      </c>
      <c r="N8" s="35">
        <f t="shared" si="2"/>
        <v>4</v>
      </c>
      <c r="O8" s="35">
        <f t="shared" si="2"/>
        <v>5</v>
      </c>
      <c r="P8" s="35">
        <f t="shared" si="2"/>
        <v>5</v>
      </c>
      <c r="Q8" s="35">
        <f t="shared" si="2"/>
        <v>5</v>
      </c>
      <c r="R8" s="35">
        <f t="shared" si="2"/>
        <v>5</v>
      </c>
      <c r="S8" s="35">
        <f t="shared" si="2"/>
        <v>5</v>
      </c>
      <c r="T8" s="35">
        <f t="shared" si="2"/>
        <v>5</v>
      </c>
      <c r="U8" s="35">
        <f t="shared" si="2"/>
        <v>5</v>
      </c>
      <c r="V8" s="35">
        <f t="shared" si="2"/>
        <v>5</v>
      </c>
      <c r="W8" s="35">
        <f t="shared" si="2"/>
        <v>5</v>
      </c>
      <c r="X8" s="35">
        <f t="shared" si="2"/>
        <v>5</v>
      </c>
      <c r="Y8" s="35">
        <f t="shared" si="2"/>
        <v>5</v>
      </c>
      <c r="Z8" s="35">
        <f t="shared" si="2"/>
        <v>5</v>
      </c>
      <c r="AA8" s="35">
        <f t="shared" si="2"/>
        <v>5</v>
      </c>
      <c r="AB8" s="35">
        <f t="shared" si="2"/>
        <v>5</v>
      </c>
      <c r="AC8" s="35">
        <f t="shared" si="2"/>
        <v>5</v>
      </c>
      <c r="AD8" s="35">
        <f t="shared" si="2"/>
        <v>5</v>
      </c>
      <c r="AE8" s="35">
        <f t="shared" si="2"/>
        <v>6</v>
      </c>
      <c r="AF8" s="35">
        <f t="shared" si="2"/>
        <v>6</v>
      </c>
      <c r="AG8" s="35">
        <f t="shared" si="2"/>
        <v>6</v>
      </c>
      <c r="AH8" s="35">
        <f t="shared" si="2"/>
        <v>7</v>
      </c>
      <c r="AI8" s="35">
        <f t="shared" si="2"/>
        <v>7</v>
      </c>
      <c r="AJ8" s="35">
        <f t="shared" si="2"/>
        <v>6</v>
      </c>
      <c r="AK8" s="35">
        <f t="shared" si="2"/>
        <v>7</v>
      </c>
      <c r="AL8" s="35">
        <f t="shared" si="2"/>
        <v>7</v>
      </c>
      <c r="AM8" s="35">
        <f t="shared" si="2"/>
        <v>7</v>
      </c>
      <c r="AN8" s="35">
        <f t="shared" si="2"/>
        <v>7</v>
      </c>
      <c r="AO8" s="35">
        <f t="shared" si="2"/>
        <v>7</v>
      </c>
      <c r="AP8" s="35">
        <f t="shared" si="2"/>
        <v>6</v>
      </c>
      <c r="AQ8" s="35">
        <f t="shared" si="2"/>
        <v>7</v>
      </c>
      <c r="AR8" s="35">
        <f t="shared" si="2"/>
        <v>6</v>
      </c>
      <c r="AS8" s="35">
        <f t="shared" si="2"/>
        <v>6</v>
      </c>
      <c r="AT8" s="35">
        <f t="shared" si="2"/>
        <v>6</v>
      </c>
      <c r="AU8" s="35">
        <f t="shared" si="2"/>
        <v>7</v>
      </c>
      <c r="AV8" s="35">
        <f t="shared" si="2"/>
        <v>6</v>
      </c>
      <c r="AW8" s="35">
        <f t="shared" si="2"/>
        <v>6</v>
      </c>
      <c r="AX8" s="35">
        <f t="shared" si="2"/>
        <v>6</v>
      </c>
      <c r="AY8" s="35">
        <f t="shared" si="2"/>
        <v>7</v>
      </c>
      <c r="AZ8" s="35">
        <f t="shared" si="2"/>
        <v>6</v>
      </c>
      <c r="BA8" s="35">
        <f t="shared" si="2"/>
        <v>6</v>
      </c>
      <c r="BB8" s="1"/>
      <c r="BC8" s="35"/>
      <c r="BD8" s="35"/>
      <c r="BE8" s="35"/>
      <c r="BF8" s="35"/>
    </row>
    <row r="9">
      <c r="A9" s="1"/>
      <c r="B9" s="3" t="s">
        <v>95</v>
      </c>
      <c r="C9" s="1"/>
      <c r="D9" s="1"/>
      <c r="E9" s="3" t="s">
        <v>33</v>
      </c>
      <c r="F9" s="26">
        <f t="array" ref="F9">F8*(INDEX(Assumptions!$C$3:$F$3,MATCH(YEAR(F$3),Assumptions!$C$1:$F$1,0))-INDEX(Assumptions!$C$17:$F$17,MATCH(YEAR(F$3),Assumptions!$C$1:$F$1,0)))</f>
        <v>26000</v>
      </c>
      <c r="G9" s="26">
        <f t="array" ref="G9">G8*(INDEX(Assumptions!$C$3:$F$3,MATCH(YEAR(G$3),Assumptions!$C$1:$F$1,0))-INDEX(Assumptions!$C$17:$F$17,MATCH(YEAR(G$3),Assumptions!$C$1:$F$1,0)))</f>
        <v>32500</v>
      </c>
      <c r="H9" s="26">
        <f t="array" ref="H9">H8*(INDEX(Assumptions!$C$3:$F$3,MATCH(YEAR(H$3),Assumptions!$C$1:$F$1,0))-INDEX(Assumptions!$C$17:$F$17,MATCH(YEAR(H$3),Assumptions!$C$1:$F$1,0)))</f>
        <v>26000</v>
      </c>
      <c r="I9" s="26">
        <f t="array" ref="I9">I8*(INDEX(Assumptions!$C$3:$F$3,MATCH(YEAR(I$3),Assumptions!$C$1:$F$1,0))-INDEX(Assumptions!$C$17:$F$17,MATCH(YEAR(I$3),Assumptions!$C$1:$F$1,0)))</f>
        <v>32500</v>
      </c>
      <c r="J9" s="26">
        <f t="array" ref="J9">J8*(INDEX(Assumptions!$C$3:$F$3,MATCH(YEAR(J$3),Assumptions!$C$1:$F$1,0))-INDEX(Assumptions!$C$17:$F$17,MATCH(YEAR(J$3),Assumptions!$C$1:$F$1,0)))</f>
        <v>26000</v>
      </c>
      <c r="K9" s="26">
        <f t="array" ref="K9">K8*(INDEX(Assumptions!$C$3:$F$3,MATCH(YEAR(K$3),Assumptions!$C$1:$F$1,0))-INDEX(Assumptions!$C$17:$F$17,MATCH(YEAR(K$3),Assumptions!$C$1:$F$1,0)))</f>
        <v>26000</v>
      </c>
      <c r="L9" s="26">
        <f t="array" ref="L9">L8*(INDEX(Assumptions!$C$3:$F$3,MATCH(YEAR(L$3),Assumptions!$C$1:$F$1,0))-INDEX(Assumptions!$C$17:$F$17,MATCH(YEAR(L$3),Assumptions!$C$1:$F$1,0)))</f>
        <v>26000</v>
      </c>
      <c r="M9" s="26">
        <f t="array" ref="M9">M8*(INDEX(Assumptions!$C$3:$F$3,MATCH(YEAR(M$3),Assumptions!$C$1:$F$1,0))-INDEX(Assumptions!$C$17:$F$17,MATCH(YEAR(M$3),Assumptions!$C$1:$F$1,0)))</f>
        <v>26000</v>
      </c>
      <c r="N9" s="26">
        <f t="array" ref="N9">N8*(INDEX(Assumptions!$C$3:$F$3,MATCH(YEAR(N$3),Assumptions!$C$1:$F$1,0))-INDEX(Assumptions!$C$17:$F$17,MATCH(YEAR(N$3),Assumptions!$C$1:$F$1,0)))</f>
        <v>26000</v>
      </c>
      <c r="O9" s="26">
        <f t="array" ref="O9">O8*(INDEX(Assumptions!$C$3:$F$3,MATCH(YEAR(O$3),Assumptions!$C$1:$F$1,0))-INDEX(Assumptions!$C$17:$F$17,MATCH(YEAR(O$3),Assumptions!$C$1:$F$1,0)))</f>
        <v>32500</v>
      </c>
      <c r="P9" s="26">
        <f t="array" ref="P9">P8*(INDEX(Assumptions!$C$3:$F$3,MATCH(YEAR(P$3),Assumptions!$C$1:$F$1,0))-INDEX(Assumptions!$C$17:$F$17,MATCH(YEAR(P$3),Assumptions!$C$1:$F$1,0)))</f>
        <v>32500</v>
      </c>
      <c r="Q9" s="26">
        <f t="array" ref="Q9">Q8*(INDEX(Assumptions!$C$3:$F$3,MATCH(YEAR(Q$3),Assumptions!$C$1:$F$1,0))-INDEX(Assumptions!$C$17:$F$17,MATCH(YEAR(Q$3),Assumptions!$C$1:$F$1,0)))</f>
        <v>32500</v>
      </c>
      <c r="R9" s="26">
        <f t="array" ref="R9">R8*(INDEX(Assumptions!$C$3:$F$3,MATCH(YEAR(R$3),Assumptions!$C$1:$F$1,0))-INDEX(Assumptions!$C$17:$F$17,MATCH(YEAR(R$3),Assumptions!$C$1:$F$1,0)))</f>
        <v>35000</v>
      </c>
      <c r="S9" s="26">
        <f t="array" ref="S9">S8*(INDEX(Assumptions!$C$3:$F$3,MATCH(YEAR(S$3),Assumptions!$C$1:$F$1,0))-INDEX(Assumptions!$C$17:$F$17,MATCH(YEAR(S$3),Assumptions!$C$1:$F$1,0)))</f>
        <v>35000</v>
      </c>
      <c r="T9" s="26">
        <f t="array" ref="T9">T8*(INDEX(Assumptions!$C$3:$F$3,MATCH(YEAR(T$3),Assumptions!$C$1:$F$1,0))-INDEX(Assumptions!$C$17:$F$17,MATCH(YEAR(T$3),Assumptions!$C$1:$F$1,0)))</f>
        <v>35000</v>
      </c>
      <c r="U9" s="26">
        <f t="array" ref="U9">U8*(INDEX(Assumptions!$C$3:$F$3,MATCH(YEAR(U$3),Assumptions!$C$1:$F$1,0))-INDEX(Assumptions!$C$17:$F$17,MATCH(YEAR(U$3),Assumptions!$C$1:$F$1,0)))</f>
        <v>35000</v>
      </c>
      <c r="V9" s="26">
        <f t="array" ref="V9">V8*(INDEX(Assumptions!$C$3:$F$3,MATCH(YEAR(V$3),Assumptions!$C$1:$F$1,0))-INDEX(Assumptions!$C$17:$F$17,MATCH(YEAR(V$3),Assumptions!$C$1:$F$1,0)))</f>
        <v>35000</v>
      </c>
      <c r="W9" s="26">
        <f t="array" ref="W9">W8*(INDEX(Assumptions!$C$3:$F$3,MATCH(YEAR(W$3),Assumptions!$C$1:$F$1,0))-INDEX(Assumptions!$C$17:$F$17,MATCH(YEAR(W$3),Assumptions!$C$1:$F$1,0)))</f>
        <v>35000</v>
      </c>
      <c r="X9" s="26">
        <f t="array" ref="X9">X8*(INDEX(Assumptions!$C$3:$F$3,MATCH(YEAR(X$3),Assumptions!$C$1:$F$1,0))-INDEX(Assumptions!$C$17:$F$17,MATCH(YEAR(X$3),Assumptions!$C$1:$F$1,0)))</f>
        <v>35000</v>
      </c>
      <c r="Y9" s="26">
        <f t="array" ref="Y9">Y8*(INDEX(Assumptions!$C$3:$F$3,MATCH(YEAR(Y$3),Assumptions!$C$1:$F$1,0))-INDEX(Assumptions!$C$17:$F$17,MATCH(YEAR(Y$3),Assumptions!$C$1:$F$1,0)))</f>
        <v>35000</v>
      </c>
      <c r="Z9" s="26">
        <f t="array" ref="Z9">Z8*(INDEX(Assumptions!$C$3:$F$3,MATCH(YEAR(Z$3),Assumptions!$C$1:$F$1,0))-INDEX(Assumptions!$C$17:$F$17,MATCH(YEAR(Z$3),Assumptions!$C$1:$F$1,0)))</f>
        <v>35000</v>
      </c>
      <c r="AA9" s="26">
        <f t="array" ref="AA9">AA8*(INDEX(Assumptions!$C$3:$F$3,MATCH(YEAR(AA$3),Assumptions!$C$1:$F$1,0))-INDEX(Assumptions!$C$17:$F$17,MATCH(YEAR(AA$3),Assumptions!$C$1:$F$1,0)))</f>
        <v>35000</v>
      </c>
      <c r="AB9" s="26">
        <f t="array" ref="AB9">AB8*(INDEX(Assumptions!$C$3:$F$3,MATCH(YEAR(AB$3),Assumptions!$C$1:$F$1,0))-INDEX(Assumptions!$C$17:$F$17,MATCH(YEAR(AB$3),Assumptions!$C$1:$F$1,0)))</f>
        <v>35000</v>
      </c>
      <c r="AC9" s="26">
        <f t="array" ref="AC9">AC8*(INDEX(Assumptions!$C$3:$F$3,MATCH(YEAR(AC$3),Assumptions!$C$1:$F$1,0))-INDEX(Assumptions!$C$17:$F$17,MATCH(YEAR(AC$3),Assumptions!$C$1:$F$1,0)))</f>
        <v>35000</v>
      </c>
      <c r="AD9" s="26">
        <f t="array" ref="AD9">AD8*(INDEX(Assumptions!$C$3:$F$3,MATCH(YEAR(AD$3),Assumptions!$C$1:$F$1,0))-INDEX(Assumptions!$C$17:$F$17,MATCH(YEAR(AD$3),Assumptions!$C$1:$F$1,0)))</f>
        <v>37500</v>
      </c>
      <c r="AE9" s="26">
        <f t="array" ref="AE9">AE8*(INDEX(Assumptions!$C$3:$F$3,MATCH(YEAR(AE$3),Assumptions!$C$1:$F$1,0))-INDEX(Assumptions!$C$17:$F$17,MATCH(YEAR(AE$3),Assumptions!$C$1:$F$1,0)))</f>
        <v>45000</v>
      </c>
      <c r="AF9" s="26">
        <f t="array" ref="AF9">AF8*(INDEX(Assumptions!$C$3:$F$3,MATCH(YEAR(AF$3),Assumptions!$C$1:$F$1,0))-INDEX(Assumptions!$C$17:$F$17,MATCH(YEAR(AF$3),Assumptions!$C$1:$F$1,0)))</f>
        <v>45000</v>
      </c>
      <c r="AG9" s="26">
        <f t="array" ref="AG9">AG8*(INDEX(Assumptions!$C$3:$F$3,MATCH(YEAR(AG$3),Assumptions!$C$1:$F$1,0))-INDEX(Assumptions!$C$17:$F$17,MATCH(YEAR(AG$3),Assumptions!$C$1:$F$1,0)))</f>
        <v>45000</v>
      </c>
      <c r="AH9" s="26">
        <f t="array" ref="AH9">AH8*(INDEX(Assumptions!$C$3:$F$3,MATCH(YEAR(AH$3),Assumptions!$C$1:$F$1,0))-INDEX(Assumptions!$C$17:$F$17,MATCH(YEAR(AH$3),Assumptions!$C$1:$F$1,0)))</f>
        <v>52500</v>
      </c>
      <c r="AI9" s="26">
        <f t="array" ref="AI9">AI8*(INDEX(Assumptions!$C$3:$F$3,MATCH(YEAR(AI$3),Assumptions!$C$1:$F$1,0))-INDEX(Assumptions!$C$17:$F$17,MATCH(YEAR(AI$3),Assumptions!$C$1:$F$1,0)))</f>
        <v>52500</v>
      </c>
      <c r="AJ9" s="26">
        <f t="array" ref="AJ9">AJ8*(INDEX(Assumptions!$C$3:$F$3,MATCH(YEAR(AJ$3),Assumptions!$C$1:$F$1,0))-INDEX(Assumptions!$C$17:$F$17,MATCH(YEAR(AJ$3),Assumptions!$C$1:$F$1,0)))</f>
        <v>45000</v>
      </c>
      <c r="AK9" s="26">
        <f t="array" ref="AK9">AK8*(INDEX(Assumptions!$C$3:$F$3,MATCH(YEAR(AK$3),Assumptions!$C$1:$F$1,0))-INDEX(Assumptions!$C$17:$F$17,MATCH(YEAR(AK$3),Assumptions!$C$1:$F$1,0)))</f>
        <v>52500</v>
      </c>
      <c r="AL9" s="26">
        <f t="array" ref="AL9">AL8*(INDEX(Assumptions!$C$3:$F$3,MATCH(YEAR(AL$3),Assumptions!$C$1:$F$1,0))-INDEX(Assumptions!$C$17:$F$17,MATCH(YEAR(AL$3),Assumptions!$C$1:$F$1,0)))</f>
        <v>52500</v>
      </c>
      <c r="AM9" s="26">
        <f t="array" ref="AM9">AM8*(INDEX(Assumptions!$C$3:$F$3,MATCH(YEAR(AM$3),Assumptions!$C$1:$F$1,0))-INDEX(Assumptions!$C$17:$F$17,MATCH(YEAR(AM$3),Assumptions!$C$1:$F$1,0)))</f>
        <v>52500</v>
      </c>
      <c r="AN9" s="26">
        <f t="array" ref="AN9">AN8*(INDEX(Assumptions!$C$3:$F$3,MATCH(YEAR(AN$3),Assumptions!$C$1:$F$1,0))-INDEX(Assumptions!$C$17:$F$17,MATCH(YEAR(AN$3),Assumptions!$C$1:$F$1,0)))</f>
        <v>52500</v>
      </c>
      <c r="AO9" s="26">
        <f t="array" ref="AO9">AO8*(INDEX(Assumptions!$C$3:$F$3,MATCH(YEAR(AO$3),Assumptions!$C$1:$F$1,0))-INDEX(Assumptions!$C$17:$F$17,MATCH(YEAR(AO$3),Assumptions!$C$1:$F$1,0)))</f>
        <v>52500</v>
      </c>
      <c r="AP9" s="26">
        <f t="array" ref="AP9">AP8*(INDEX(Assumptions!$C$3:$F$3,MATCH(YEAR(AP$3),Assumptions!$C$1:$F$1,0))-INDEX(Assumptions!$C$17:$F$17,MATCH(YEAR(AP$3),Assumptions!$C$1:$F$1,0)))</f>
        <v>48000</v>
      </c>
      <c r="AQ9" s="26">
        <f t="array" ref="AQ9">AQ8*(INDEX(Assumptions!$C$3:$F$3,MATCH(YEAR(AQ$3),Assumptions!$C$1:$F$1,0))-INDEX(Assumptions!$C$17:$F$17,MATCH(YEAR(AQ$3),Assumptions!$C$1:$F$1,0)))</f>
        <v>56000</v>
      </c>
      <c r="AR9" s="26">
        <f t="array" ref="AR9">AR8*(INDEX(Assumptions!$C$3:$F$3,MATCH(YEAR(AR$3),Assumptions!$C$1:$F$1,0))-INDEX(Assumptions!$C$17:$F$17,MATCH(YEAR(AR$3),Assumptions!$C$1:$F$1,0)))</f>
        <v>48000</v>
      </c>
      <c r="AS9" s="26">
        <f t="array" ref="AS9">AS8*(INDEX(Assumptions!$C$3:$F$3,MATCH(YEAR(AS$3),Assumptions!$C$1:$F$1,0))-INDEX(Assumptions!$C$17:$F$17,MATCH(YEAR(AS$3),Assumptions!$C$1:$F$1,0)))</f>
        <v>48000</v>
      </c>
      <c r="AT9" s="26">
        <f t="array" ref="AT9">AT8*(INDEX(Assumptions!$C$3:$F$3,MATCH(YEAR(AT$3),Assumptions!$C$1:$F$1,0))-INDEX(Assumptions!$C$17:$F$17,MATCH(YEAR(AT$3),Assumptions!$C$1:$F$1,0)))</f>
        <v>48000</v>
      </c>
      <c r="AU9" s="26">
        <f t="array" ref="AU9">AU8*(INDEX(Assumptions!$C$3:$F$3,MATCH(YEAR(AU$3),Assumptions!$C$1:$F$1,0))-INDEX(Assumptions!$C$17:$F$17,MATCH(YEAR(AU$3),Assumptions!$C$1:$F$1,0)))</f>
        <v>56000</v>
      </c>
      <c r="AV9" s="26">
        <f t="array" ref="AV9">AV8*(INDEX(Assumptions!$C$3:$F$3,MATCH(YEAR(AV$3),Assumptions!$C$1:$F$1,0))-INDEX(Assumptions!$C$17:$F$17,MATCH(YEAR(AV$3),Assumptions!$C$1:$F$1,0)))</f>
        <v>48000</v>
      </c>
      <c r="AW9" s="26">
        <f t="array" ref="AW9">AW8*(INDEX(Assumptions!$C$3:$F$3,MATCH(YEAR(AW$3),Assumptions!$C$1:$F$1,0))-INDEX(Assumptions!$C$17:$F$17,MATCH(YEAR(AW$3),Assumptions!$C$1:$F$1,0)))</f>
        <v>48000</v>
      </c>
      <c r="AX9" s="26">
        <f t="array" ref="AX9">AX8*(INDEX(Assumptions!$C$3:$F$3,MATCH(YEAR(AX$3),Assumptions!$C$1:$F$1,0))-INDEX(Assumptions!$C$17:$F$17,MATCH(YEAR(AX$3),Assumptions!$C$1:$F$1,0)))</f>
        <v>48000</v>
      </c>
      <c r="AY9" s="26">
        <f t="array" ref="AY9">AY8*(INDEX(Assumptions!$C$3:$F$3,MATCH(YEAR(AY$3),Assumptions!$C$1:$F$1,0))-INDEX(Assumptions!$C$17:$F$17,MATCH(YEAR(AY$3),Assumptions!$C$1:$F$1,0)))</f>
        <v>56000</v>
      </c>
      <c r="AZ9" s="26">
        <f t="array" ref="AZ9">AZ8*(INDEX(Assumptions!$C$3:$F$3,MATCH(YEAR(AZ$3),Assumptions!$C$1:$F$1,0))-INDEX(Assumptions!$C$17:$F$17,MATCH(YEAR(AZ$3),Assumptions!$C$1:$F$1,0)))</f>
        <v>48000</v>
      </c>
      <c r="BA9" s="26">
        <f t="array" ref="BA9">BA8*(INDEX(Assumptions!$C$3:$F$3,MATCH(YEAR(BA$3),Assumptions!$C$1:$F$1,0))-INDEX(Assumptions!$C$17:$F$17,MATCH(YEAR(BA$3),Assumptions!$C$1:$F$1,0)))</f>
        <v>48000</v>
      </c>
      <c r="BB9" s="1"/>
      <c r="BC9" s="26">
        <f t="shared" ref="BC9:BF9" si="3">SUMPRODUCT((YEAR($F$3:$BA$3)=BC$3)*$F9:$BA9)</f>
        <v>344500</v>
      </c>
      <c r="BD9" s="26">
        <f t="shared" si="3"/>
        <v>420000</v>
      </c>
      <c r="BE9" s="26">
        <f t="shared" si="3"/>
        <v>585000</v>
      </c>
      <c r="BF9" s="26">
        <f t="shared" si="3"/>
        <v>600000</v>
      </c>
    </row>
    <row r="10">
      <c r="A10" s="1"/>
      <c r="B10" s="3" t="s">
        <v>96</v>
      </c>
      <c r="C10" s="1"/>
      <c r="D10" s="1"/>
      <c r="E10" s="3" t="s">
        <v>44</v>
      </c>
      <c r="F10" s="11">
        <v>0.0</v>
      </c>
      <c r="G10" s="11">
        <f>G44</f>
        <v>1</v>
      </c>
      <c r="H10" s="11">
        <v>0.0</v>
      </c>
      <c r="I10" s="11">
        <v>0.0</v>
      </c>
      <c r="J10" s="11">
        <v>0.0</v>
      </c>
      <c r="K10" s="35">
        <f t="array" ref="K10">F7*INDEX(Assumptions!$C$7:$F$7,MATCH(YEAR(K$3),Assumptions!$C$1:$F$1,0))</f>
        <v>0.2</v>
      </c>
      <c r="L10" s="35">
        <f t="array" ref="L10">G7*INDEX(Assumptions!$C$7:$F$7,MATCH(YEAR(L$3),Assumptions!$C$1:$F$1,0))</f>
        <v>0.2</v>
      </c>
      <c r="M10" s="35">
        <f t="array" ref="M10">H7*INDEX(Assumptions!$C$7:$F$7,MATCH(YEAR(M$3),Assumptions!$C$1:$F$1,0))</f>
        <v>0.2</v>
      </c>
      <c r="N10" s="35">
        <f t="array" ref="N10">I7*INDEX(Assumptions!$C$7:$F$7,MATCH(YEAR(N$3),Assumptions!$C$1:$F$1,0))</f>
        <v>0.2</v>
      </c>
      <c r="O10" s="35">
        <f t="array" ref="O10">J7*INDEX(Assumptions!$C$7:$F$7,MATCH(YEAR(O$3),Assumptions!$C$1:$F$1,0))</f>
        <v>0</v>
      </c>
      <c r="P10" s="35">
        <f t="array" ref="P10">K7*INDEX(Assumptions!$C$7:$F$7,MATCH(YEAR(P$3),Assumptions!$C$1:$F$1,0))</f>
        <v>0.2</v>
      </c>
      <c r="Q10" s="35">
        <f t="array" ref="Q10">L7*INDEX(Assumptions!$C$7:$F$7,MATCH(YEAR(Q$3),Assumptions!$C$1:$F$1,0))</f>
        <v>0.2</v>
      </c>
      <c r="R10" s="35">
        <f t="array" ref="R10">M7*INDEX(Assumptions!$C$7:$F$7,MATCH(YEAR(R$3),Assumptions!$C$1:$F$1,0))</f>
        <v>0.25</v>
      </c>
      <c r="S10" s="35">
        <f t="array" ref="S10">N7*INDEX(Assumptions!$C$7:$F$7,MATCH(YEAR(S$3),Assumptions!$C$1:$F$1,0))</f>
        <v>0.25</v>
      </c>
      <c r="T10" s="35">
        <f t="array" ref="T10">O7*INDEX(Assumptions!$C$7:$F$7,MATCH(YEAR(T$3),Assumptions!$C$1:$F$1,0))</f>
        <v>0.25</v>
      </c>
      <c r="U10" s="35">
        <f t="array" ref="U10">P7*INDEX(Assumptions!$C$7:$F$7,MATCH(YEAR(U$3),Assumptions!$C$1:$F$1,0))</f>
        <v>0.25</v>
      </c>
      <c r="V10" s="35">
        <f t="array" ref="V10">Q7*INDEX(Assumptions!$C$7:$F$7,MATCH(YEAR(V$3),Assumptions!$C$1:$F$1,0))</f>
        <v>0.25</v>
      </c>
      <c r="W10" s="35">
        <f t="array" ref="W10">R7*INDEX(Assumptions!$C$7:$F$7,MATCH(YEAR(W$3),Assumptions!$C$1:$F$1,0))</f>
        <v>0.25</v>
      </c>
      <c r="X10" s="35">
        <f t="array" ref="X10">S7*INDEX(Assumptions!$C$7:$F$7,MATCH(YEAR(X$3),Assumptions!$C$1:$F$1,0))</f>
        <v>0.25</v>
      </c>
      <c r="Y10" s="35">
        <f t="array" ref="Y10">T7*INDEX(Assumptions!$C$7:$F$7,MATCH(YEAR(Y$3),Assumptions!$C$1:$F$1,0))</f>
        <v>0.25</v>
      </c>
      <c r="Z10" s="35">
        <f t="array" ref="Z10">U7*INDEX(Assumptions!$C$7:$F$7,MATCH(YEAR(Z$3),Assumptions!$C$1:$F$1,0))</f>
        <v>0.25</v>
      </c>
      <c r="AA10" s="35">
        <f t="array" ref="AA10">V7*INDEX(Assumptions!$C$7:$F$7,MATCH(YEAR(AA$3),Assumptions!$C$1:$F$1,0))</f>
        <v>0.25</v>
      </c>
      <c r="AB10" s="35">
        <f t="array" ref="AB10">W7*INDEX(Assumptions!$C$7:$F$7,MATCH(YEAR(AB$3),Assumptions!$C$1:$F$1,0))</f>
        <v>0.25</v>
      </c>
      <c r="AC10" s="35">
        <f t="array" ref="AC10">X7*INDEX(Assumptions!$C$7:$F$7,MATCH(YEAR(AC$3),Assumptions!$C$1:$F$1,0))</f>
        <v>0.25</v>
      </c>
      <c r="AD10" s="35">
        <f t="array" ref="AD10">Y7*INDEX(Assumptions!$C$7:$F$7,MATCH(YEAR(AD$3),Assumptions!$C$1:$F$1,0))</f>
        <v>0.28</v>
      </c>
      <c r="AE10" s="35">
        <f t="array" ref="AE10">Z7*INDEX(Assumptions!$C$7:$F$7,MATCH(YEAR(AE$3),Assumptions!$C$1:$F$1,0))</f>
        <v>0.28</v>
      </c>
      <c r="AF10" s="35">
        <f t="array" ref="AF10">AA7*INDEX(Assumptions!$C$7:$F$7,MATCH(YEAR(AF$3),Assumptions!$C$1:$F$1,0))</f>
        <v>0.28</v>
      </c>
      <c r="AG10" s="35">
        <f t="array" ref="AG10">AB7*INDEX(Assumptions!$C$7:$F$7,MATCH(YEAR(AG$3),Assumptions!$C$1:$F$1,0))</f>
        <v>0.28</v>
      </c>
      <c r="AH10" s="35">
        <f t="array" ref="AH10">AC7*INDEX(Assumptions!$C$7:$F$7,MATCH(YEAR(AH$3),Assumptions!$C$1:$F$1,0))</f>
        <v>0.28</v>
      </c>
      <c r="AI10" s="35">
        <f t="array" ref="AI10">AD7*INDEX(Assumptions!$C$7:$F$7,MATCH(YEAR(AI$3),Assumptions!$C$1:$F$1,0))</f>
        <v>0.28</v>
      </c>
      <c r="AJ10" s="35">
        <f t="array" ref="AJ10">AE7*INDEX(Assumptions!$C$7:$F$7,MATCH(YEAR(AJ$3),Assumptions!$C$1:$F$1,0))</f>
        <v>0.56</v>
      </c>
      <c r="AK10" s="35">
        <f t="array" ref="AK10">AF7*INDEX(Assumptions!$C$7:$F$7,MATCH(YEAR(AK$3),Assumptions!$C$1:$F$1,0))</f>
        <v>0.28</v>
      </c>
      <c r="AL10" s="35">
        <f t="array" ref="AL10">AG7*INDEX(Assumptions!$C$7:$F$7,MATCH(YEAR(AL$3),Assumptions!$C$1:$F$1,0))</f>
        <v>0.28</v>
      </c>
      <c r="AM10" s="35">
        <f t="array" ref="AM10">AH7*INDEX(Assumptions!$C$7:$F$7,MATCH(YEAR(AM$3),Assumptions!$C$1:$F$1,0))</f>
        <v>0.56</v>
      </c>
      <c r="AN10" s="35">
        <f t="array" ref="AN10">AI7*INDEX(Assumptions!$C$7:$F$7,MATCH(YEAR(AN$3),Assumptions!$C$1:$F$1,0))</f>
        <v>0.28</v>
      </c>
      <c r="AO10" s="35">
        <f t="array" ref="AO10">AJ7*INDEX(Assumptions!$C$7:$F$7,MATCH(YEAR(AO$3),Assumptions!$C$1:$F$1,0))</f>
        <v>0.28</v>
      </c>
      <c r="AP10" s="35">
        <f t="array" ref="AP10">AK7*INDEX(Assumptions!$C$7:$F$7,MATCH(YEAR(AP$3),Assumptions!$C$1:$F$1,0))</f>
        <v>0.64</v>
      </c>
      <c r="AQ10" s="35">
        <f t="array" ref="AQ10">AL7*INDEX(Assumptions!$C$7:$F$7,MATCH(YEAR(AQ$3),Assumptions!$C$1:$F$1,0))</f>
        <v>0.32</v>
      </c>
      <c r="AR10" s="35">
        <f t="array" ref="AR10">AM7*INDEX(Assumptions!$C$7:$F$7,MATCH(YEAR(AR$3),Assumptions!$C$1:$F$1,0))</f>
        <v>0.64</v>
      </c>
      <c r="AS10" s="35">
        <f t="array" ref="AS10">AN7*INDEX(Assumptions!$C$7:$F$7,MATCH(YEAR(AS$3),Assumptions!$C$1:$F$1,0))</f>
        <v>0.32</v>
      </c>
      <c r="AT10" s="35">
        <f t="array" ref="AT10">AO7*INDEX(Assumptions!$C$7:$F$7,MATCH(YEAR(AT$3),Assumptions!$C$1:$F$1,0))</f>
        <v>0.32</v>
      </c>
      <c r="AU10" s="35">
        <f t="array" ref="AU10">AP7*INDEX(Assumptions!$C$7:$F$7,MATCH(YEAR(AU$3),Assumptions!$C$1:$F$1,0))</f>
        <v>0.32</v>
      </c>
      <c r="AV10" s="35">
        <f t="array" ref="AV10">AQ7*INDEX(Assumptions!$C$7:$F$7,MATCH(YEAR(AV$3),Assumptions!$C$1:$F$1,0))</f>
        <v>0.64</v>
      </c>
      <c r="AW10" s="35">
        <f t="array" ref="AW10">AR7*INDEX(Assumptions!$C$7:$F$7,MATCH(YEAR(AW$3),Assumptions!$C$1:$F$1,0))</f>
        <v>0.32</v>
      </c>
      <c r="AX10" s="35">
        <f t="array" ref="AX10">AS7*INDEX(Assumptions!$C$7:$F$7,MATCH(YEAR(AX$3),Assumptions!$C$1:$F$1,0))</f>
        <v>0.32</v>
      </c>
      <c r="AY10" s="35">
        <f t="array" ref="AY10">AT7*INDEX(Assumptions!$C$7:$F$7,MATCH(YEAR(AY$3),Assumptions!$C$1:$F$1,0))</f>
        <v>0.32</v>
      </c>
      <c r="AZ10" s="35">
        <f t="array" ref="AZ10">AU7*INDEX(Assumptions!$C$7:$F$7,MATCH(YEAR(AZ$3),Assumptions!$C$1:$F$1,0))</f>
        <v>0.64</v>
      </c>
      <c r="BA10" s="35">
        <f t="array" ref="BA10">AV7*INDEX(Assumptions!$C$7:$F$7,MATCH(YEAR(BA$3),Assumptions!$C$1:$F$1,0))</f>
        <v>0.32</v>
      </c>
      <c r="BB10" s="1"/>
      <c r="BC10" s="35">
        <f t="shared" ref="BC10:BF10" si="4">SUMPRODUCT((YEAR($F$3:$BA$3)=BC$3)*$F10:$BA10)</f>
        <v>2.2</v>
      </c>
      <c r="BD10" s="35">
        <f t="shared" si="4"/>
        <v>3</v>
      </c>
      <c r="BE10" s="35">
        <f t="shared" si="4"/>
        <v>3.92</v>
      </c>
      <c r="BF10" s="35">
        <f t="shared" si="4"/>
        <v>5.12</v>
      </c>
    </row>
    <row r="11">
      <c r="A11" s="1"/>
      <c r="B11" s="3" t="s">
        <v>97</v>
      </c>
      <c r="C11" s="1"/>
      <c r="D11" s="1"/>
      <c r="E11" s="3" t="s">
        <v>33</v>
      </c>
      <c r="F11" s="26">
        <f t="array" ref="F11">F10*(INDEX(Assumptions!$C$6:$F$6,MATCH(YEAR(F$3),Assumptions!$C$1:$F$1,0))*Assumptions!$C$5)</f>
        <v>0</v>
      </c>
      <c r="G11" s="26">
        <f t="array" ref="G11">G10*(INDEX(Assumptions!$C$6:$F$6,MATCH(YEAR(G$3),Assumptions!$C$1:$F$1,0))*Assumptions!$C$5)</f>
        <v>100000</v>
      </c>
      <c r="H11" s="26">
        <f t="array" ref="H11">H10*(INDEX(Assumptions!$C$6:$F$6,MATCH(YEAR(H$3),Assumptions!$C$1:$F$1,0))*Assumptions!$C$5)</f>
        <v>0</v>
      </c>
      <c r="I11" s="26">
        <f t="array" ref="I11">I10*(INDEX(Assumptions!$C$6:$F$6,MATCH(YEAR(I$3),Assumptions!$C$1:$F$1,0))*Assumptions!$C$5)</f>
        <v>0</v>
      </c>
      <c r="J11" s="26">
        <f t="array" ref="J11">J10*(INDEX(Assumptions!$C$6:$F$6,MATCH(YEAR(J$3),Assumptions!$C$1:$F$1,0))*Assumptions!$C$5)</f>
        <v>0</v>
      </c>
      <c r="K11" s="26">
        <f t="array" ref="K11">K10*(INDEX(Assumptions!$C$6:$F$6,MATCH(YEAR(K$3),Assumptions!$C$1:$F$1,0))*Assumptions!$C$5)</f>
        <v>20000</v>
      </c>
      <c r="L11" s="26">
        <f t="array" ref="L11">L10*(INDEX(Assumptions!$C$6:$F$6,MATCH(YEAR(L$3),Assumptions!$C$1:$F$1,0))*Assumptions!$C$5)</f>
        <v>20000</v>
      </c>
      <c r="M11" s="26">
        <f t="array" ref="M11">M10*(INDEX(Assumptions!$C$6:$F$6,MATCH(YEAR(M$3),Assumptions!$C$1:$F$1,0))*Assumptions!$C$5)</f>
        <v>20000</v>
      </c>
      <c r="N11" s="26">
        <f t="array" ref="N11">N10*(INDEX(Assumptions!$C$6:$F$6,MATCH(YEAR(N$3),Assumptions!$C$1:$F$1,0))*Assumptions!$C$5)</f>
        <v>20000</v>
      </c>
      <c r="O11" s="26">
        <f t="array" ref="O11">O10*(INDEX(Assumptions!$C$6:$F$6,MATCH(YEAR(O$3),Assumptions!$C$1:$F$1,0))*Assumptions!$C$5)</f>
        <v>0</v>
      </c>
      <c r="P11" s="26">
        <f t="array" ref="P11">P10*(INDEX(Assumptions!$C$6:$F$6,MATCH(YEAR(P$3),Assumptions!$C$1:$F$1,0))*Assumptions!$C$5)</f>
        <v>20000</v>
      </c>
      <c r="Q11" s="26">
        <f t="array" ref="Q11">Q10*(INDEX(Assumptions!$C$6:$F$6,MATCH(YEAR(Q$3),Assumptions!$C$1:$F$1,0))*Assumptions!$C$5)</f>
        <v>20000</v>
      </c>
      <c r="R11" s="26">
        <f t="array" ref="R11">R10*(INDEX(Assumptions!$C$6:$F$6,MATCH(YEAR(R$3),Assumptions!$C$1:$F$1,0))*Assumptions!$C$5)</f>
        <v>35000</v>
      </c>
      <c r="S11" s="26">
        <f t="array" ref="S11">S10*(INDEX(Assumptions!$C$6:$F$6,MATCH(YEAR(S$3),Assumptions!$C$1:$F$1,0))*Assumptions!$C$5)</f>
        <v>35000</v>
      </c>
      <c r="T11" s="26">
        <f t="array" ref="T11">T10*(INDEX(Assumptions!$C$6:$F$6,MATCH(YEAR(T$3),Assumptions!$C$1:$F$1,0))*Assumptions!$C$5)</f>
        <v>35000</v>
      </c>
      <c r="U11" s="26">
        <f t="array" ref="U11">U10*(INDEX(Assumptions!$C$6:$F$6,MATCH(YEAR(U$3),Assumptions!$C$1:$F$1,0))*Assumptions!$C$5)</f>
        <v>35000</v>
      </c>
      <c r="V11" s="26">
        <f t="array" ref="V11">V10*(INDEX(Assumptions!$C$6:$F$6,MATCH(YEAR(V$3),Assumptions!$C$1:$F$1,0))*Assumptions!$C$5)</f>
        <v>35000</v>
      </c>
      <c r="W11" s="26">
        <f t="array" ref="W11">W10*(INDEX(Assumptions!$C$6:$F$6,MATCH(YEAR(W$3),Assumptions!$C$1:$F$1,0))*Assumptions!$C$5)</f>
        <v>35000</v>
      </c>
      <c r="X11" s="26">
        <f t="array" ref="X11">X10*(INDEX(Assumptions!$C$6:$F$6,MATCH(YEAR(X$3),Assumptions!$C$1:$F$1,0))*Assumptions!$C$5)</f>
        <v>35000</v>
      </c>
      <c r="Y11" s="26">
        <f t="array" ref="Y11">Y10*(INDEX(Assumptions!$C$6:$F$6,MATCH(YEAR(Y$3),Assumptions!$C$1:$F$1,0))*Assumptions!$C$5)</f>
        <v>35000</v>
      </c>
      <c r="Z11" s="26">
        <f t="array" ref="Z11">Z10*(INDEX(Assumptions!$C$6:$F$6,MATCH(YEAR(Z$3),Assumptions!$C$1:$F$1,0))*Assumptions!$C$5)</f>
        <v>35000</v>
      </c>
      <c r="AA11" s="26">
        <f t="array" ref="AA11">AA10*(INDEX(Assumptions!$C$6:$F$6,MATCH(YEAR(AA$3),Assumptions!$C$1:$F$1,0))*Assumptions!$C$5)</f>
        <v>35000</v>
      </c>
      <c r="AB11" s="26">
        <f t="array" ref="AB11">AB10*(INDEX(Assumptions!$C$6:$F$6,MATCH(YEAR(AB$3),Assumptions!$C$1:$F$1,0))*Assumptions!$C$5)</f>
        <v>35000</v>
      </c>
      <c r="AC11" s="26">
        <f t="array" ref="AC11">AC10*(INDEX(Assumptions!$C$6:$F$6,MATCH(YEAR(AC$3),Assumptions!$C$1:$F$1,0))*Assumptions!$C$5)</f>
        <v>35000</v>
      </c>
      <c r="AD11" s="26">
        <f t="array" ref="AD11">AD10*(INDEX(Assumptions!$C$6:$F$6,MATCH(YEAR(AD$3),Assumptions!$C$1:$F$1,0))*Assumptions!$C$5)</f>
        <v>56000</v>
      </c>
      <c r="AE11" s="26">
        <f t="array" ref="AE11">AE10*(INDEX(Assumptions!$C$6:$F$6,MATCH(YEAR(AE$3),Assumptions!$C$1:$F$1,0))*Assumptions!$C$5)</f>
        <v>56000</v>
      </c>
      <c r="AF11" s="26">
        <f t="array" ref="AF11">AF10*(INDEX(Assumptions!$C$6:$F$6,MATCH(YEAR(AF$3),Assumptions!$C$1:$F$1,0))*Assumptions!$C$5)</f>
        <v>56000</v>
      </c>
      <c r="AG11" s="26">
        <f t="array" ref="AG11">AG10*(INDEX(Assumptions!$C$6:$F$6,MATCH(YEAR(AG$3),Assumptions!$C$1:$F$1,0))*Assumptions!$C$5)</f>
        <v>56000</v>
      </c>
      <c r="AH11" s="26">
        <f t="array" ref="AH11">AH10*(INDEX(Assumptions!$C$6:$F$6,MATCH(YEAR(AH$3),Assumptions!$C$1:$F$1,0))*Assumptions!$C$5)</f>
        <v>56000</v>
      </c>
      <c r="AI11" s="26">
        <f t="array" ref="AI11">AI10*(INDEX(Assumptions!$C$6:$F$6,MATCH(YEAR(AI$3),Assumptions!$C$1:$F$1,0))*Assumptions!$C$5)</f>
        <v>56000</v>
      </c>
      <c r="AJ11" s="26">
        <f t="array" ref="AJ11">AJ10*(INDEX(Assumptions!$C$6:$F$6,MATCH(YEAR(AJ$3),Assumptions!$C$1:$F$1,0))*Assumptions!$C$5)</f>
        <v>112000</v>
      </c>
      <c r="AK11" s="26">
        <f t="array" ref="AK11">AK10*(INDEX(Assumptions!$C$6:$F$6,MATCH(YEAR(AK$3),Assumptions!$C$1:$F$1,0))*Assumptions!$C$5)</f>
        <v>56000</v>
      </c>
      <c r="AL11" s="26">
        <f t="array" ref="AL11">AL10*(INDEX(Assumptions!$C$6:$F$6,MATCH(YEAR(AL$3),Assumptions!$C$1:$F$1,0))*Assumptions!$C$5)</f>
        <v>56000</v>
      </c>
      <c r="AM11" s="26">
        <f t="array" ref="AM11">AM10*(INDEX(Assumptions!$C$6:$F$6,MATCH(YEAR(AM$3),Assumptions!$C$1:$F$1,0))*Assumptions!$C$5)</f>
        <v>112000</v>
      </c>
      <c r="AN11" s="26">
        <f t="array" ref="AN11">AN10*(INDEX(Assumptions!$C$6:$F$6,MATCH(YEAR(AN$3),Assumptions!$C$1:$F$1,0))*Assumptions!$C$5)</f>
        <v>56000</v>
      </c>
      <c r="AO11" s="26">
        <f t="array" ref="AO11">AO10*(INDEX(Assumptions!$C$6:$F$6,MATCH(YEAR(AO$3),Assumptions!$C$1:$F$1,0))*Assumptions!$C$5)</f>
        <v>56000</v>
      </c>
      <c r="AP11" s="26">
        <f t="array" ref="AP11">AP10*(INDEX(Assumptions!$C$6:$F$6,MATCH(YEAR(AP$3),Assumptions!$C$1:$F$1,0))*Assumptions!$C$5)</f>
        <v>192000</v>
      </c>
      <c r="AQ11" s="26">
        <f t="array" ref="AQ11">AQ10*(INDEX(Assumptions!$C$6:$F$6,MATCH(YEAR(AQ$3),Assumptions!$C$1:$F$1,0))*Assumptions!$C$5)</f>
        <v>96000</v>
      </c>
      <c r="AR11" s="26">
        <f t="array" ref="AR11">AR10*(INDEX(Assumptions!$C$6:$F$6,MATCH(YEAR(AR$3),Assumptions!$C$1:$F$1,0))*Assumptions!$C$5)</f>
        <v>192000</v>
      </c>
      <c r="AS11" s="26">
        <f t="array" ref="AS11">AS10*(INDEX(Assumptions!$C$6:$F$6,MATCH(YEAR(AS$3),Assumptions!$C$1:$F$1,0))*Assumptions!$C$5)</f>
        <v>96000</v>
      </c>
      <c r="AT11" s="26">
        <f t="array" ref="AT11">AT10*(INDEX(Assumptions!$C$6:$F$6,MATCH(YEAR(AT$3),Assumptions!$C$1:$F$1,0))*Assumptions!$C$5)</f>
        <v>96000</v>
      </c>
      <c r="AU11" s="26">
        <f t="array" ref="AU11">AU10*(INDEX(Assumptions!$C$6:$F$6,MATCH(YEAR(AU$3),Assumptions!$C$1:$F$1,0))*Assumptions!$C$5)</f>
        <v>96000</v>
      </c>
      <c r="AV11" s="26">
        <f t="array" ref="AV11">AV10*(INDEX(Assumptions!$C$6:$F$6,MATCH(YEAR(AV$3),Assumptions!$C$1:$F$1,0))*Assumptions!$C$5)</f>
        <v>192000</v>
      </c>
      <c r="AW11" s="26">
        <f t="array" ref="AW11">AW10*(INDEX(Assumptions!$C$6:$F$6,MATCH(YEAR(AW$3),Assumptions!$C$1:$F$1,0))*Assumptions!$C$5)</f>
        <v>96000</v>
      </c>
      <c r="AX11" s="26">
        <f t="array" ref="AX11">AX10*(INDEX(Assumptions!$C$6:$F$6,MATCH(YEAR(AX$3),Assumptions!$C$1:$F$1,0))*Assumptions!$C$5)</f>
        <v>96000</v>
      </c>
      <c r="AY11" s="26">
        <f t="array" ref="AY11">AY10*(INDEX(Assumptions!$C$6:$F$6,MATCH(YEAR(AY$3),Assumptions!$C$1:$F$1,0))*Assumptions!$C$5)</f>
        <v>96000</v>
      </c>
      <c r="AZ11" s="26">
        <f t="array" ref="AZ11">AZ10*(INDEX(Assumptions!$C$6:$F$6,MATCH(YEAR(AZ$3),Assumptions!$C$1:$F$1,0))*Assumptions!$C$5)</f>
        <v>192000</v>
      </c>
      <c r="BA11" s="26">
        <f t="array" ref="BA11">BA10*(INDEX(Assumptions!$C$6:$F$6,MATCH(YEAR(BA$3),Assumptions!$C$1:$F$1,0))*Assumptions!$C$5)</f>
        <v>96000</v>
      </c>
      <c r="BB11" s="1"/>
      <c r="BC11" s="26">
        <f t="shared" ref="BC11:BF11" si="5">SUMPRODUCT((YEAR($F$3:$BA$3)=BC$3)*$F11:$BA11)</f>
        <v>220000</v>
      </c>
      <c r="BD11" s="26">
        <f t="shared" si="5"/>
        <v>420000</v>
      </c>
      <c r="BE11" s="26">
        <f t="shared" si="5"/>
        <v>784000</v>
      </c>
      <c r="BF11" s="26">
        <f t="shared" si="5"/>
        <v>1536000</v>
      </c>
    </row>
    <row r="12">
      <c r="A12" s="1"/>
      <c r="B12" s="48" t="s">
        <v>98</v>
      </c>
      <c r="C12" s="49"/>
      <c r="D12" s="49"/>
      <c r="E12" s="48" t="s">
        <v>33</v>
      </c>
      <c r="F12" s="50">
        <f t="shared" ref="F12:BA12" si="6">F9+F11</f>
        <v>26000</v>
      </c>
      <c r="G12" s="50">
        <f t="shared" si="6"/>
        <v>132500</v>
      </c>
      <c r="H12" s="50">
        <f t="shared" si="6"/>
        <v>26000</v>
      </c>
      <c r="I12" s="50">
        <f t="shared" si="6"/>
        <v>32500</v>
      </c>
      <c r="J12" s="50">
        <f t="shared" si="6"/>
        <v>26000</v>
      </c>
      <c r="K12" s="50">
        <f t="shared" si="6"/>
        <v>46000</v>
      </c>
      <c r="L12" s="50">
        <f t="shared" si="6"/>
        <v>46000</v>
      </c>
      <c r="M12" s="50">
        <f t="shared" si="6"/>
        <v>46000</v>
      </c>
      <c r="N12" s="50">
        <f t="shared" si="6"/>
        <v>46000</v>
      </c>
      <c r="O12" s="50">
        <f t="shared" si="6"/>
        <v>32500</v>
      </c>
      <c r="P12" s="50">
        <f t="shared" si="6"/>
        <v>52500</v>
      </c>
      <c r="Q12" s="50">
        <f t="shared" si="6"/>
        <v>52500</v>
      </c>
      <c r="R12" s="50">
        <f t="shared" si="6"/>
        <v>70000</v>
      </c>
      <c r="S12" s="50">
        <f t="shared" si="6"/>
        <v>70000</v>
      </c>
      <c r="T12" s="50">
        <f t="shared" si="6"/>
        <v>70000</v>
      </c>
      <c r="U12" s="50">
        <f t="shared" si="6"/>
        <v>70000</v>
      </c>
      <c r="V12" s="50">
        <f t="shared" si="6"/>
        <v>70000</v>
      </c>
      <c r="W12" s="50">
        <f t="shared" si="6"/>
        <v>70000</v>
      </c>
      <c r="X12" s="50">
        <f t="shared" si="6"/>
        <v>70000</v>
      </c>
      <c r="Y12" s="50">
        <f t="shared" si="6"/>
        <v>70000</v>
      </c>
      <c r="Z12" s="50">
        <f t="shared" si="6"/>
        <v>70000</v>
      </c>
      <c r="AA12" s="50">
        <f t="shared" si="6"/>
        <v>70000</v>
      </c>
      <c r="AB12" s="50">
        <f t="shared" si="6"/>
        <v>70000</v>
      </c>
      <c r="AC12" s="50">
        <f t="shared" si="6"/>
        <v>70000</v>
      </c>
      <c r="AD12" s="50">
        <f t="shared" si="6"/>
        <v>93500</v>
      </c>
      <c r="AE12" s="50">
        <f t="shared" si="6"/>
        <v>101000</v>
      </c>
      <c r="AF12" s="50">
        <f t="shared" si="6"/>
        <v>101000</v>
      </c>
      <c r="AG12" s="50">
        <f t="shared" si="6"/>
        <v>101000</v>
      </c>
      <c r="AH12" s="50">
        <f t="shared" si="6"/>
        <v>108500</v>
      </c>
      <c r="AI12" s="50">
        <f t="shared" si="6"/>
        <v>108500</v>
      </c>
      <c r="AJ12" s="50">
        <f t="shared" si="6"/>
        <v>157000</v>
      </c>
      <c r="AK12" s="50">
        <f t="shared" si="6"/>
        <v>108500</v>
      </c>
      <c r="AL12" s="50">
        <f t="shared" si="6"/>
        <v>108500</v>
      </c>
      <c r="AM12" s="50">
        <f t="shared" si="6"/>
        <v>164500</v>
      </c>
      <c r="AN12" s="50">
        <f t="shared" si="6"/>
        <v>108500</v>
      </c>
      <c r="AO12" s="50">
        <f t="shared" si="6"/>
        <v>108500</v>
      </c>
      <c r="AP12" s="50">
        <f t="shared" si="6"/>
        <v>240000</v>
      </c>
      <c r="AQ12" s="50">
        <f t="shared" si="6"/>
        <v>152000</v>
      </c>
      <c r="AR12" s="50">
        <f t="shared" si="6"/>
        <v>240000</v>
      </c>
      <c r="AS12" s="50">
        <f t="shared" si="6"/>
        <v>144000</v>
      </c>
      <c r="AT12" s="50">
        <f t="shared" si="6"/>
        <v>144000</v>
      </c>
      <c r="AU12" s="50">
        <f t="shared" si="6"/>
        <v>152000</v>
      </c>
      <c r="AV12" s="50">
        <f t="shared" si="6"/>
        <v>240000</v>
      </c>
      <c r="AW12" s="50">
        <f t="shared" si="6"/>
        <v>144000</v>
      </c>
      <c r="AX12" s="50">
        <f t="shared" si="6"/>
        <v>144000</v>
      </c>
      <c r="AY12" s="50">
        <f t="shared" si="6"/>
        <v>152000</v>
      </c>
      <c r="AZ12" s="50">
        <f t="shared" si="6"/>
        <v>240000</v>
      </c>
      <c r="BA12" s="50">
        <f t="shared" si="6"/>
        <v>144000</v>
      </c>
      <c r="BB12" s="1"/>
      <c r="BC12" s="50">
        <f t="shared" ref="BC12:BF12" si="7">SUMPRODUCT((YEAR($F$3:$BA$3)=BC$3)*$F12:$BA12)</f>
        <v>564500</v>
      </c>
      <c r="BD12" s="50">
        <f t="shared" si="7"/>
        <v>840000</v>
      </c>
      <c r="BE12" s="50">
        <f t="shared" si="7"/>
        <v>1369000</v>
      </c>
      <c r="BF12" s="50">
        <f t="shared" si="7"/>
        <v>2136000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6" t="s">
        <v>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1"/>
      <c r="BC14" s="7"/>
      <c r="BD14" s="7"/>
      <c r="BE14" s="7"/>
      <c r="BF14" s="7"/>
    </row>
    <row r="15">
      <c r="A15" s="1"/>
      <c r="B15" s="3" t="s">
        <v>93</v>
      </c>
      <c r="C15" s="1"/>
      <c r="D15" s="1"/>
      <c r="E15" s="3" t="s">
        <v>44</v>
      </c>
      <c r="F15" s="35">
        <f t="array" ref="F15">ROUND(INDEX(Assumptions!$C$27:$F$27,MATCH(YEAR(F$3),Assumptions!$C$1:$F$1,0))*MONTH(F$3)/12,0)-ROUND(INDEX(Assumptions!$C$27:$F$27,MATCH(YEAR(F$3),Assumptions!$C$1:$F$1,0))*(MONTH(F$3)-1)/12,0)-F7</f>
        <v>0</v>
      </c>
      <c r="G15" s="35">
        <f t="array" ref="G15">ROUND(INDEX(Assumptions!$C$27:$F$27,MATCH(YEAR(G$3),Assumptions!$C$1:$F$1,0))*MONTH(G$3)/12,0)-ROUND(INDEX(Assumptions!$C$27:$F$27,MATCH(YEAR(G$3),Assumptions!$C$1:$F$1,0))*(MONTH(G$3)-1)/12,0)-G7</f>
        <v>1</v>
      </c>
      <c r="H15" s="35">
        <f t="array" ref="H15">ROUND(INDEX(Assumptions!$C$27:$F$27,MATCH(YEAR(H$3),Assumptions!$C$1:$F$1,0))*MONTH(H$3)/12,0)-ROUND(INDEX(Assumptions!$C$27:$F$27,MATCH(YEAR(H$3),Assumptions!$C$1:$F$1,0))*(MONTH(H$3)-1)/12,0)-H7</f>
        <v>0</v>
      </c>
      <c r="I15" s="35">
        <f t="array" ref="I15">ROUND(INDEX(Assumptions!$C$27:$F$27,MATCH(YEAR(I$3),Assumptions!$C$1:$F$1,0))*MONTH(I$3)/12,0)-ROUND(INDEX(Assumptions!$C$27:$F$27,MATCH(YEAR(I$3),Assumptions!$C$1:$F$1,0))*(MONTH(I$3)-1)/12,0)-I7</f>
        <v>0</v>
      </c>
      <c r="J15" s="35">
        <f t="array" ref="J15">ROUND(INDEX(Assumptions!$C$27:$F$27,MATCH(YEAR(J$3),Assumptions!$C$1:$F$1,0))*MONTH(J$3)/12,0)-ROUND(INDEX(Assumptions!$C$27:$F$27,MATCH(YEAR(J$3),Assumptions!$C$1:$F$1,0))*(MONTH(J$3)-1)/12,0)-J7</f>
        <v>1</v>
      </c>
      <c r="K15" s="35">
        <f t="array" ref="K15">ROUND(INDEX(Assumptions!$C$27:$F$27,MATCH(YEAR(K$3),Assumptions!$C$1:$F$1,0))*MONTH(K$3)/12,0)-ROUND(INDEX(Assumptions!$C$27:$F$27,MATCH(YEAR(K$3),Assumptions!$C$1:$F$1,0))*(MONTH(K$3)-1)/12,0)-K7</f>
        <v>1</v>
      </c>
      <c r="L15" s="35">
        <f t="array" ref="L15">ROUND(INDEX(Assumptions!$C$27:$F$27,MATCH(YEAR(L$3),Assumptions!$C$1:$F$1,0))*MONTH(L$3)/12,0)-ROUND(INDEX(Assumptions!$C$27:$F$27,MATCH(YEAR(L$3),Assumptions!$C$1:$F$1,0))*(MONTH(L$3)-1)/12,0)-L7</f>
        <v>0</v>
      </c>
      <c r="M15" s="35">
        <f t="array" ref="M15">ROUND(INDEX(Assumptions!$C$27:$F$27,MATCH(YEAR(M$3),Assumptions!$C$1:$F$1,0))*MONTH(M$3)/12,0)-ROUND(INDEX(Assumptions!$C$27:$F$27,MATCH(YEAR(M$3),Assumptions!$C$1:$F$1,0))*(MONTH(M$3)-1)/12,0)-M7</f>
        <v>0</v>
      </c>
      <c r="N15" s="35">
        <f t="array" ref="N15">ROUND(INDEX(Assumptions!$C$27:$F$27,MATCH(YEAR(N$3),Assumptions!$C$1:$F$1,0))*MONTH(N$3)/12,0)-ROUND(INDEX(Assumptions!$C$27:$F$27,MATCH(YEAR(N$3),Assumptions!$C$1:$F$1,0))*(MONTH(N$3)-1)/12,0)-N7</f>
        <v>0</v>
      </c>
      <c r="O15" s="35">
        <f t="array" ref="O15">ROUND(INDEX(Assumptions!$C$27:$F$27,MATCH(YEAR(O$3),Assumptions!$C$1:$F$1,0))*MONTH(O$3)/12,0)-ROUND(INDEX(Assumptions!$C$27:$F$27,MATCH(YEAR(O$3),Assumptions!$C$1:$F$1,0))*(MONTH(O$3)-1)/12,0)-O7</f>
        <v>1</v>
      </c>
      <c r="P15" s="35">
        <f t="array" ref="P15">ROUND(INDEX(Assumptions!$C$27:$F$27,MATCH(YEAR(P$3),Assumptions!$C$1:$F$1,0))*MONTH(P$3)/12,0)-ROUND(INDEX(Assumptions!$C$27:$F$27,MATCH(YEAR(P$3),Assumptions!$C$1:$F$1,0))*(MONTH(P$3)-1)/12,0)-P7</f>
        <v>0</v>
      </c>
      <c r="Q15" s="35">
        <f t="array" ref="Q15">ROUND(INDEX(Assumptions!$C$27:$F$27,MATCH(YEAR(Q$3),Assumptions!$C$1:$F$1,0))*MONTH(Q$3)/12,0)-ROUND(INDEX(Assumptions!$C$27:$F$27,MATCH(YEAR(Q$3),Assumptions!$C$1:$F$1,0))*(MONTH(Q$3)-1)/12,0)-Q7</f>
        <v>0</v>
      </c>
      <c r="R15" s="35">
        <f t="array" ref="R15">ROUND(INDEX(Assumptions!$C$27:$F$27,MATCH(YEAR(R$3),Assumptions!$C$1:$F$1,0))*MONTH(R$3)/12,0)-ROUND(INDEX(Assumptions!$C$27:$F$27,MATCH(YEAR(R$3),Assumptions!$C$1:$F$1,0))*(MONTH(R$3)-1)/12,0)-R7</f>
        <v>1</v>
      </c>
      <c r="S15" s="35">
        <f t="array" ref="S15">ROUND(INDEX(Assumptions!$C$27:$F$27,MATCH(YEAR(S$3),Assumptions!$C$1:$F$1,0))*MONTH(S$3)/12,0)-ROUND(INDEX(Assumptions!$C$27:$F$27,MATCH(YEAR(S$3),Assumptions!$C$1:$F$1,0))*(MONTH(S$3)-1)/12,0)-S7</f>
        <v>0</v>
      </c>
      <c r="T15" s="35">
        <f t="array" ref="T15">ROUND(INDEX(Assumptions!$C$27:$F$27,MATCH(YEAR(T$3),Assumptions!$C$1:$F$1,0))*MONTH(T$3)/12,0)-ROUND(INDEX(Assumptions!$C$27:$F$27,MATCH(YEAR(T$3),Assumptions!$C$1:$F$1,0))*(MONTH(T$3)-1)/12,0)-T7</f>
        <v>1</v>
      </c>
      <c r="U15" s="35">
        <f t="array" ref="U15">ROUND(INDEX(Assumptions!$C$27:$F$27,MATCH(YEAR(U$3),Assumptions!$C$1:$F$1,0))*MONTH(U$3)/12,0)-ROUND(INDEX(Assumptions!$C$27:$F$27,MATCH(YEAR(U$3),Assumptions!$C$1:$F$1,0))*(MONTH(U$3)-1)/12,0)-U7</f>
        <v>1</v>
      </c>
      <c r="V15" s="35">
        <f t="array" ref="V15">ROUND(INDEX(Assumptions!$C$27:$F$27,MATCH(YEAR(V$3),Assumptions!$C$1:$F$1,0))*MONTH(V$3)/12,0)-ROUND(INDEX(Assumptions!$C$27:$F$27,MATCH(YEAR(V$3),Assumptions!$C$1:$F$1,0))*(MONTH(V$3)-1)/12,0)-V7</f>
        <v>0</v>
      </c>
      <c r="W15" s="35">
        <f t="array" ref="W15">ROUND(INDEX(Assumptions!$C$27:$F$27,MATCH(YEAR(W$3),Assumptions!$C$1:$F$1,0))*MONTH(W$3)/12,0)-ROUND(INDEX(Assumptions!$C$27:$F$27,MATCH(YEAR(W$3),Assumptions!$C$1:$F$1,0))*(MONTH(W$3)-1)/12,0)-W7</f>
        <v>1</v>
      </c>
      <c r="X15" s="35">
        <f t="array" ref="X15">ROUND(INDEX(Assumptions!$C$27:$F$27,MATCH(YEAR(X$3),Assumptions!$C$1:$F$1,0))*MONTH(X$3)/12,0)-ROUND(INDEX(Assumptions!$C$27:$F$27,MATCH(YEAR(X$3),Assumptions!$C$1:$F$1,0))*(MONTH(X$3)-1)/12,0)-X7</f>
        <v>1</v>
      </c>
      <c r="Y15" s="35">
        <f t="array" ref="Y15">ROUND(INDEX(Assumptions!$C$27:$F$27,MATCH(YEAR(Y$3),Assumptions!$C$1:$F$1,0))*MONTH(Y$3)/12,0)-ROUND(INDEX(Assumptions!$C$27:$F$27,MATCH(YEAR(Y$3),Assumptions!$C$1:$F$1,0))*(MONTH(Y$3)-1)/12,0)-Y7</f>
        <v>0</v>
      </c>
      <c r="Z15" s="35">
        <f t="array" ref="Z15">ROUND(INDEX(Assumptions!$C$27:$F$27,MATCH(YEAR(Z$3),Assumptions!$C$1:$F$1,0))*MONTH(Z$3)/12,0)-ROUND(INDEX(Assumptions!$C$27:$F$27,MATCH(YEAR(Z$3),Assumptions!$C$1:$F$1,0))*(MONTH(Z$3)-1)/12,0)-Z7</f>
        <v>1</v>
      </c>
      <c r="AA15" s="35">
        <f t="array" ref="AA15">ROUND(INDEX(Assumptions!$C$27:$F$27,MATCH(YEAR(AA$3),Assumptions!$C$1:$F$1,0))*MONTH(AA$3)/12,0)-ROUND(INDEX(Assumptions!$C$27:$F$27,MATCH(YEAR(AA$3),Assumptions!$C$1:$F$1,0))*(MONTH(AA$3)-1)/12,0)-AA7</f>
        <v>1</v>
      </c>
      <c r="AB15" s="35">
        <f t="array" ref="AB15">ROUND(INDEX(Assumptions!$C$27:$F$27,MATCH(YEAR(AB$3),Assumptions!$C$1:$F$1,0))*MONTH(AB$3)/12,0)-ROUND(INDEX(Assumptions!$C$27:$F$27,MATCH(YEAR(AB$3),Assumptions!$C$1:$F$1,0))*(MONTH(AB$3)-1)/12,0)-AB7</f>
        <v>0</v>
      </c>
      <c r="AC15" s="35">
        <f t="array" ref="AC15">ROUND(INDEX(Assumptions!$C$27:$F$27,MATCH(YEAR(AC$3),Assumptions!$C$1:$F$1,0))*MONTH(AC$3)/12,0)-ROUND(INDEX(Assumptions!$C$27:$F$27,MATCH(YEAR(AC$3),Assumptions!$C$1:$F$1,0))*(MONTH(AC$3)-1)/12,0)-AC7</f>
        <v>1</v>
      </c>
      <c r="AD15" s="35">
        <f t="array" ref="AD15">ROUND(INDEX(Assumptions!$C$27:$F$27,MATCH(YEAR(AD$3),Assumptions!$C$1:$F$1,0))*MONTH(AD$3)/12,0)-ROUND(INDEX(Assumptions!$C$27:$F$27,MATCH(YEAR(AD$3),Assumptions!$C$1:$F$1,0))*(MONTH(AD$3)-1)/12,0)-AD7</f>
        <v>1</v>
      </c>
      <c r="AE15" s="35">
        <f t="array" ref="AE15">ROUND(INDEX(Assumptions!$C$27:$F$27,MATCH(YEAR(AE$3),Assumptions!$C$1:$F$1,0))*MONTH(AE$3)/12,0)-ROUND(INDEX(Assumptions!$C$27:$F$27,MATCH(YEAR(AE$3),Assumptions!$C$1:$F$1,0))*(MONTH(AE$3)-1)/12,0)-AE7</f>
        <v>0</v>
      </c>
      <c r="AF15" s="35">
        <f t="array" ref="AF15">ROUND(INDEX(Assumptions!$C$27:$F$27,MATCH(YEAR(AF$3),Assumptions!$C$1:$F$1,0))*MONTH(AF$3)/12,0)-ROUND(INDEX(Assumptions!$C$27:$F$27,MATCH(YEAR(AF$3),Assumptions!$C$1:$F$1,0))*(MONTH(AF$3)-1)/12,0)-AF7</f>
        <v>1</v>
      </c>
      <c r="AG15" s="35">
        <f t="array" ref="AG15">ROUND(INDEX(Assumptions!$C$27:$F$27,MATCH(YEAR(AG$3),Assumptions!$C$1:$F$1,0))*MONTH(AG$3)/12,0)-ROUND(INDEX(Assumptions!$C$27:$F$27,MATCH(YEAR(AG$3),Assumptions!$C$1:$F$1,0))*(MONTH(AG$3)-1)/12,0)-AG7</f>
        <v>1</v>
      </c>
      <c r="AH15" s="35">
        <f t="array" ref="AH15">ROUND(INDEX(Assumptions!$C$27:$F$27,MATCH(YEAR(AH$3),Assumptions!$C$1:$F$1,0))*MONTH(AH$3)/12,0)-ROUND(INDEX(Assumptions!$C$27:$F$27,MATCH(YEAR(AH$3),Assumptions!$C$1:$F$1,0))*(MONTH(AH$3)-1)/12,0)-AH7</f>
        <v>0</v>
      </c>
      <c r="AI15" s="35">
        <f t="array" ref="AI15">ROUND(INDEX(Assumptions!$C$27:$F$27,MATCH(YEAR(AI$3),Assumptions!$C$1:$F$1,0))*MONTH(AI$3)/12,0)-ROUND(INDEX(Assumptions!$C$27:$F$27,MATCH(YEAR(AI$3),Assumptions!$C$1:$F$1,0))*(MONTH(AI$3)-1)/12,0)-AI7</f>
        <v>2</v>
      </c>
      <c r="AJ15" s="35">
        <f t="array" ref="AJ15">ROUND(INDEX(Assumptions!$C$27:$F$27,MATCH(YEAR(AJ$3),Assumptions!$C$1:$F$1,0))*MONTH(AJ$3)/12,0)-ROUND(INDEX(Assumptions!$C$27:$F$27,MATCH(YEAR(AJ$3),Assumptions!$C$1:$F$1,0))*(MONTH(AJ$3)-1)/12,0)-AJ7</f>
        <v>1</v>
      </c>
      <c r="AK15" s="35">
        <f t="array" ref="AK15">ROUND(INDEX(Assumptions!$C$27:$F$27,MATCH(YEAR(AK$3),Assumptions!$C$1:$F$1,0))*MONTH(AK$3)/12,0)-ROUND(INDEX(Assumptions!$C$27:$F$27,MATCH(YEAR(AK$3),Assumptions!$C$1:$F$1,0))*(MONTH(AK$3)-1)/12,0)-AK7</f>
        <v>0</v>
      </c>
      <c r="AL15" s="35">
        <f t="array" ref="AL15">ROUND(INDEX(Assumptions!$C$27:$F$27,MATCH(YEAR(AL$3),Assumptions!$C$1:$F$1,0))*MONTH(AL$3)/12,0)-ROUND(INDEX(Assumptions!$C$27:$F$27,MATCH(YEAR(AL$3),Assumptions!$C$1:$F$1,0))*(MONTH(AL$3)-1)/12,0)-AL7</f>
        <v>1</v>
      </c>
      <c r="AM15" s="35">
        <f t="array" ref="AM15">ROUND(INDEX(Assumptions!$C$27:$F$27,MATCH(YEAR(AM$3),Assumptions!$C$1:$F$1,0))*MONTH(AM$3)/12,0)-ROUND(INDEX(Assumptions!$C$27:$F$27,MATCH(YEAR(AM$3),Assumptions!$C$1:$F$1,0))*(MONTH(AM$3)-1)/12,0)-AM7</f>
        <v>0</v>
      </c>
      <c r="AN15" s="35">
        <f t="array" ref="AN15">ROUND(INDEX(Assumptions!$C$27:$F$27,MATCH(YEAR(AN$3),Assumptions!$C$1:$F$1,0))*MONTH(AN$3)/12,0)-ROUND(INDEX(Assumptions!$C$27:$F$27,MATCH(YEAR(AN$3),Assumptions!$C$1:$F$1,0))*(MONTH(AN$3)-1)/12,0)-AN7</f>
        <v>1</v>
      </c>
      <c r="AO15" s="35">
        <f t="array" ref="AO15">ROUND(INDEX(Assumptions!$C$27:$F$27,MATCH(YEAR(AO$3),Assumptions!$C$1:$F$1,0))*MONTH(AO$3)/12,0)-ROUND(INDEX(Assumptions!$C$27:$F$27,MATCH(YEAR(AO$3),Assumptions!$C$1:$F$1,0))*(MONTH(AO$3)-1)/12,0)-AO7</f>
        <v>1</v>
      </c>
      <c r="AP15" s="35">
        <f t="array" ref="AP15">ROUND(INDEX(Assumptions!$C$27:$F$27,MATCH(YEAR(AP$3),Assumptions!$C$1:$F$1,0))*MONTH(AP$3)/12,0)-ROUND(INDEX(Assumptions!$C$27:$F$27,MATCH(YEAR(AP$3),Assumptions!$C$1:$F$1,0))*(MONTH(AP$3)-1)/12,0)-AP7</f>
        <v>2</v>
      </c>
      <c r="AQ15" s="35">
        <f t="array" ref="AQ15">ROUND(INDEX(Assumptions!$C$27:$F$27,MATCH(YEAR(AQ$3),Assumptions!$C$1:$F$1,0))*MONTH(AQ$3)/12,0)-ROUND(INDEX(Assumptions!$C$27:$F$27,MATCH(YEAR(AQ$3),Assumptions!$C$1:$F$1,0))*(MONTH(AQ$3)-1)/12,0)-AQ7</f>
        <v>0</v>
      </c>
      <c r="AR15" s="35">
        <f t="array" ref="AR15">ROUND(INDEX(Assumptions!$C$27:$F$27,MATCH(YEAR(AR$3),Assumptions!$C$1:$F$1,0))*MONTH(AR$3)/12,0)-ROUND(INDEX(Assumptions!$C$27:$F$27,MATCH(YEAR(AR$3),Assumptions!$C$1:$F$1,0))*(MONTH(AR$3)-1)/12,0)-AR7</f>
        <v>2</v>
      </c>
      <c r="AS15" s="35">
        <f t="array" ref="AS15">ROUND(INDEX(Assumptions!$C$27:$F$27,MATCH(YEAR(AS$3),Assumptions!$C$1:$F$1,0))*MONTH(AS$3)/12,0)-ROUND(INDEX(Assumptions!$C$27:$F$27,MATCH(YEAR(AS$3),Assumptions!$C$1:$F$1,0))*(MONTH(AS$3)-1)/12,0)-AS7</f>
        <v>1</v>
      </c>
      <c r="AT15" s="35">
        <f t="array" ref="AT15">ROUND(INDEX(Assumptions!$C$27:$F$27,MATCH(YEAR(AT$3),Assumptions!$C$1:$F$1,0))*MONTH(AT$3)/12,0)-ROUND(INDEX(Assumptions!$C$27:$F$27,MATCH(YEAR(AT$3),Assumptions!$C$1:$F$1,0))*(MONTH(AT$3)-1)/12,0)-AT7</f>
        <v>2</v>
      </c>
      <c r="AU15" s="35">
        <f t="array" ref="AU15">ROUND(INDEX(Assumptions!$C$27:$F$27,MATCH(YEAR(AU$3),Assumptions!$C$1:$F$1,0))*MONTH(AU$3)/12,0)-ROUND(INDEX(Assumptions!$C$27:$F$27,MATCH(YEAR(AU$3),Assumptions!$C$1:$F$1,0))*(MONTH(AU$3)-1)/12,0)-AU7</f>
        <v>0</v>
      </c>
      <c r="AV15" s="35">
        <f t="array" ref="AV15">ROUND(INDEX(Assumptions!$C$27:$F$27,MATCH(YEAR(AV$3),Assumptions!$C$1:$F$1,0))*MONTH(AV$3)/12,0)-ROUND(INDEX(Assumptions!$C$27:$F$27,MATCH(YEAR(AV$3),Assumptions!$C$1:$F$1,0))*(MONTH(AV$3)-1)/12,0)-AV7</f>
        <v>2</v>
      </c>
      <c r="AW15" s="35">
        <f t="array" ref="AW15">ROUND(INDEX(Assumptions!$C$27:$F$27,MATCH(YEAR(AW$3),Assumptions!$C$1:$F$1,0))*MONTH(AW$3)/12,0)-ROUND(INDEX(Assumptions!$C$27:$F$27,MATCH(YEAR(AW$3),Assumptions!$C$1:$F$1,0))*(MONTH(AW$3)-1)/12,0)-AW7</f>
        <v>1</v>
      </c>
      <c r="AX15" s="35">
        <f t="array" ref="AX15">ROUND(INDEX(Assumptions!$C$27:$F$27,MATCH(YEAR(AX$3),Assumptions!$C$1:$F$1,0))*MONTH(AX$3)/12,0)-ROUND(INDEX(Assumptions!$C$27:$F$27,MATCH(YEAR(AX$3),Assumptions!$C$1:$F$1,0))*(MONTH(AX$3)-1)/12,0)-AX7</f>
        <v>2</v>
      </c>
      <c r="AY15" s="35">
        <f t="array" ref="AY15">ROUND(INDEX(Assumptions!$C$27:$F$27,MATCH(YEAR(AY$3),Assumptions!$C$1:$F$1,0))*MONTH(AY$3)/12,0)-ROUND(INDEX(Assumptions!$C$27:$F$27,MATCH(YEAR(AY$3),Assumptions!$C$1:$F$1,0))*(MONTH(AY$3)-1)/12,0)-AY7</f>
        <v>0</v>
      </c>
      <c r="AZ15" s="35">
        <f t="array" ref="AZ15">ROUND(INDEX(Assumptions!$C$27:$F$27,MATCH(YEAR(AZ$3),Assumptions!$C$1:$F$1,0))*MONTH(AZ$3)/12,0)-ROUND(INDEX(Assumptions!$C$27:$F$27,MATCH(YEAR(AZ$3),Assumptions!$C$1:$F$1,0))*(MONTH(AZ$3)-1)/12,0)-AZ7</f>
        <v>2</v>
      </c>
      <c r="BA15" s="35">
        <f t="array" ref="BA15">ROUND(INDEX(Assumptions!$C$27:$F$27,MATCH(YEAR(BA$3),Assumptions!$C$1:$F$1,0))*MONTH(BA$3)/12,0)-ROUND(INDEX(Assumptions!$C$27:$F$27,MATCH(YEAR(BA$3),Assumptions!$C$1:$F$1,0))*(MONTH(BA$3)-1)/12,0)-BA7</f>
        <v>1</v>
      </c>
      <c r="BB15" s="1"/>
      <c r="BC15" s="35">
        <f t="shared" ref="BC15:BF15" si="8">SUMPRODUCT((YEAR($F$3:$BA$3)=BC$3)*$F15:$BA15)</f>
        <v>4</v>
      </c>
      <c r="BD15" s="35">
        <f t="shared" si="8"/>
        <v>8</v>
      </c>
      <c r="BE15" s="35">
        <f t="shared" si="8"/>
        <v>9</v>
      </c>
      <c r="BF15" s="35">
        <f t="shared" si="8"/>
        <v>15</v>
      </c>
    </row>
    <row r="16">
      <c r="A16" s="1"/>
      <c r="B16" s="3" t="s">
        <v>94</v>
      </c>
      <c r="C16" s="1"/>
      <c r="D16" s="1"/>
      <c r="E16" s="3" t="s">
        <v>44</v>
      </c>
      <c r="F16" s="35">
        <f>SUM(F15)</f>
        <v>0</v>
      </c>
      <c r="G16" s="35">
        <f>SUM(F15:G15)</f>
        <v>1</v>
      </c>
      <c r="H16" s="35">
        <f>SUM(F15:H15)</f>
        <v>1</v>
      </c>
      <c r="I16" s="35">
        <f>SUM(F15:I15)</f>
        <v>1</v>
      </c>
      <c r="J16" s="35">
        <f>SUM(F15:J15)</f>
        <v>2</v>
      </c>
      <c r="K16" s="35">
        <f>SUM(F15:K15)</f>
        <v>3</v>
      </c>
      <c r="L16" s="35">
        <f t="shared" ref="L16:BA16" si="9">SUM(F15:L15)</f>
        <v>3</v>
      </c>
      <c r="M16" s="35">
        <f t="shared" si="9"/>
        <v>3</v>
      </c>
      <c r="N16" s="35">
        <f t="shared" si="9"/>
        <v>2</v>
      </c>
      <c r="O16" s="35">
        <f t="shared" si="9"/>
        <v>3</v>
      </c>
      <c r="P16" s="35">
        <f t="shared" si="9"/>
        <v>3</v>
      </c>
      <c r="Q16" s="35">
        <f t="shared" si="9"/>
        <v>2</v>
      </c>
      <c r="R16" s="35">
        <f t="shared" si="9"/>
        <v>2</v>
      </c>
      <c r="S16" s="35">
        <f t="shared" si="9"/>
        <v>2</v>
      </c>
      <c r="T16" s="35">
        <f t="shared" si="9"/>
        <v>3</v>
      </c>
      <c r="U16" s="35">
        <f t="shared" si="9"/>
        <v>4</v>
      </c>
      <c r="V16" s="35">
        <f t="shared" si="9"/>
        <v>3</v>
      </c>
      <c r="W16" s="35">
        <f t="shared" si="9"/>
        <v>4</v>
      </c>
      <c r="X16" s="35">
        <f t="shared" si="9"/>
        <v>5</v>
      </c>
      <c r="Y16" s="35">
        <f t="shared" si="9"/>
        <v>4</v>
      </c>
      <c r="Z16" s="35">
        <f t="shared" si="9"/>
        <v>5</v>
      </c>
      <c r="AA16" s="35">
        <f t="shared" si="9"/>
        <v>5</v>
      </c>
      <c r="AB16" s="35">
        <f t="shared" si="9"/>
        <v>4</v>
      </c>
      <c r="AC16" s="35">
        <f t="shared" si="9"/>
        <v>5</v>
      </c>
      <c r="AD16" s="35">
        <f t="shared" si="9"/>
        <v>5</v>
      </c>
      <c r="AE16" s="35">
        <f t="shared" si="9"/>
        <v>4</v>
      </c>
      <c r="AF16" s="35">
        <f t="shared" si="9"/>
        <v>5</v>
      </c>
      <c r="AG16" s="35">
        <f t="shared" si="9"/>
        <v>5</v>
      </c>
      <c r="AH16" s="35">
        <f t="shared" si="9"/>
        <v>4</v>
      </c>
      <c r="AI16" s="35">
        <f t="shared" si="9"/>
        <v>6</v>
      </c>
      <c r="AJ16" s="35">
        <f t="shared" si="9"/>
        <v>6</v>
      </c>
      <c r="AK16" s="35">
        <f t="shared" si="9"/>
        <v>5</v>
      </c>
      <c r="AL16" s="35">
        <f t="shared" si="9"/>
        <v>6</v>
      </c>
      <c r="AM16" s="35">
        <f t="shared" si="9"/>
        <v>5</v>
      </c>
      <c r="AN16" s="35">
        <f t="shared" si="9"/>
        <v>5</v>
      </c>
      <c r="AO16" s="35">
        <f t="shared" si="9"/>
        <v>6</v>
      </c>
      <c r="AP16" s="35">
        <f t="shared" si="9"/>
        <v>6</v>
      </c>
      <c r="AQ16" s="35">
        <f t="shared" si="9"/>
        <v>5</v>
      </c>
      <c r="AR16" s="35">
        <f t="shared" si="9"/>
        <v>7</v>
      </c>
      <c r="AS16" s="35">
        <f t="shared" si="9"/>
        <v>7</v>
      </c>
      <c r="AT16" s="35">
        <f t="shared" si="9"/>
        <v>9</v>
      </c>
      <c r="AU16" s="35">
        <f t="shared" si="9"/>
        <v>8</v>
      </c>
      <c r="AV16" s="35">
        <f t="shared" si="9"/>
        <v>9</v>
      </c>
      <c r="AW16" s="35">
        <f t="shared" si="9"/>
        <v>8</v>
      </c>
      <c r="AX16" s="35">
        <f t="shared" si="9"/>
        <v>10</v>
      </c>
      <c r="AY16" s="35">
        <f t="shared" si="9"/>
        <v>8</v>
      </c>
      <c r="AZ16" s="35">
        <f t="shared" si="9"/>
        <v>9</v>
      </c>
      <c r="BA16" s="35">
        <f t="shared" si="9"/>
        <v>8</v>
      </c>
      <c r="BB16" s="1"/>
      <c r="BC16" s="35"/>
      <c r="BD16" s="35"/>
      <c r="BE16" s="35"/>
      <c r="BF16" s="35"/>
    </row>
    <row r="17">
      <c r="A17" s="1"/>
      <c r="B17" s="3" t="s">
        <v>95</v>
      </c>
      <c r="C17" s="1"/>
      <c r="D17" s="1"/>
      <c r="E17" s="3" t="s">
        <v>33</v>
      </c>
      <c r="F17" s="26">
        <f t="array" ref="F17">F16*(INDEX(Assumptions!$C$10:$F$10,MATCH(YEAR(F$3),Assumptions!$C$1:$F$1,0))-INDEX(Assumptions!$C$17:$F$17,MATCH(YEAR(F$3),Assumptions!$C$1:$F$1,0)))</f>
        <v>0</v>
      </c>
      <c r="G17" s="26">
        <f t="array" ref="G17">G16*(INDEX(Assumptions!$C$10:$F$10,MATCH(YEAR(G$3),Assumptions!$C$1:$F$1,0))-INDEX(Assumptions!$C$17:$F$17,MATCH(YEAR(G$3),Assumptions!$C$1:$F$1,0)))</f>
        <v>7500</v>
      </c>
      <c r="H17" s="26">
        <f t="array" ref="H17">H16*(INDEX(Assumptions!$C$10:$F$10,MATCH(YEAR(H$3),Assumptions!$C$1:$F$1,0))-INDEX(Assumptions!$C$17:$F$17,MATCH(YEAR(H$3),Assumptions!$C$1:$F$1,0)))</f>
        <v>7500</v>
      </c>
      <c r="I17" s="26">
        <f t="array" ref="I17">I16*(INDEX(Assumptions!$C$10:$F$10,MATCH(YEAR(I$3),Assumptions!$C$1:$F$1,0))-INDEX(Assumptions!$C$17:$F$17,MATCH(YEAR(I$3),Assumptions!$C$1:$F$1,0)))</f>
        <v>7500</v>
      </c>
      <c r="J17" s="26">
        <f t="array" ref="J17">J16*(INDEX(Assumptions!$C$10:$F$10,MATCH(YEAR(J$3),Assumptions!$C$1:$F$1,0))-INDEX(Assumptions!$C$17:$F$17,MATCH(YEAR(J$3),Assumptions!$C$1:$F$1,0)))</f>
        <v>15000</v>
      </c>
      <c r="K17" s="26">
        <f t="array" ref="K17">K16*(INDEX(Assumptions!$C$10:$F$10,MATCH(YEAR(K$3),Assumptions!$C$1:$F$1,0))-INDEX(Assumptions!$C$17:$F$17,MATCH(YEAR(K$3),Assumptions!$C$1:$F$1,0)))</f>
        <v>22500</v>
      </c>
      <c r="L17" s="26">
        <f t="array" ref="L17">L16*(INDEX(Assumptions!$C$10:$F$10,MATCH(YEAR(L$3),Assumptions!$C$1:$F$1,0))-INDEX(Assumptions!$C$17:$F$17,MATCH(YEAR(L$3),Assumptions!$C$1:$F$1,0)))</f>
        <v>22500</v>
      </c>
      <c r="M17" s="26">
        <f t="array" ref="M17">M16*(INDEX(Assumptions!$C$10:$F$10,MATCH(YEAR(M$3),Assumptions!$C$1:$F$1,0))-INDEX(Assumptions!$C$17:$F$17,MATCH(YEAR(M$3),Assumptions!$C$1:$F$1,0)))</f>
        <v>22500</v>
      </c>
      <c r="N17" s="26">
        <f t="array" ref="N17">N16*(INDEX(Assumptions!$C$10:$F$10,MATCH(YEAR(N$3),Assumptions!$C$1:$F$1,0))-INDEX(Assumptions!$C$17:$F$17,MATCH(YEAR(N$3),Assumptions!$C$1:$F$1,0)))</f>
        <v>15000</v>
      </c>
      <c r="O17" s="26">
        <f t="array" ref="O17">O16*(INDEX(Assumptions!$C$10:$F$10,MATCH(YEAR(O$3),Assumptions!$C$1:$F$1,0))-INDEX(Assumptions!$C$17:$F$17,MATCH(YEAR(O$3),Assumptions!$C$1:$F$1,0)))</f>
        <v>22500</v>
      </c>
      <c r="P17" s="26">
        <f t="array" ref="P17">P16*(INDEX(Assumptions!$C$10:$F$10,MATCH(YEAR(P$3),Assumptions!$C$1:$F$1,0))-INDEX(Assumptions!$C$17:$F$17,MATCH(YEAR(P$3),Assumptions!$C$1:$F$1,0)))</f>
        <v>22500</v>
      </c>
      <c r="Q17" s="26">
        <f t="array" ref="Q17">Q16*(INDEX(Assumptions!$C$10:$F$10,MATCH(YEAR(Q$3),Assumptions!$C$1:$F$1,0))-INDEX(Assumptions!$C$17:$F$17,MATCH(YEAR(Q$3),Assumptions!$C$1:$F$1,0)))</f>
        <v>15000</v>
      </c>
      <c r="R17" s="26">
        <f t="array" ref="R17">R16*(INDEX(Assumptions!$C$10:$F$10,MATCH(YEAR(R$3),Assumptions!$C$1:$F$1,0))-INDEX(Assumptions!$C$17:$F$17,MATCH(YEAR(R$3),Assumptions!$C$1:$F$1,0)))</f>
        <v>16000</v>
      </c>
      <c r="S17" s="26">
        <f t="array" ref="S17">S16*(INDEX(Assumptions!$C$10:$F$10,MATCH(YEAR(S$3),Assumptions!$C$1:$F$1,0))-INDEX(Assumptions!$C$17:$F$17,MATCH(YEAR(S$3),Assumptions!$C$1:$F$1,0)))</f>
        <v>16000</v>
      </c>
      <c r="T17" s="26">
        <f t="array" ref="T17">T16*(INDEX(Assumptions!$C$10:$F$10,MATCH(YEAR(T$3),Assumptions!$C$1:$F$1,0))-INDEX(Assumptions!$C$17:$F$17,MATCH(YEAR(T$3),Assumptions!$C$1:$F$1,0)))</f>
        <v>24000</v>
      </c>
      <c r="U17" s="26">
        <f t="array" ref="U17">U16*(INDEX(Assumptions!$C$10:$F$10,MATCH(YEAR(U$3),Assumptions!$C$1:$F$1,0))-INDEX(Assumptions!$C$17:$F$17,MATCH(YEAR(U$3),Assumptions!$C$1:$F$1,0)))</f>
        <v>32000</v>
      </c>
      <c r="V17" s="26">
        <f t="array" ref="V17">V16*(INDEX(Assumptions!$C$10:$F$10,MATCH(YEAR(V$3),Assumptions!$C$1:$F$1,0))-INDEX(Assumptions!$C$17:$F$17,MATCH(YEAR(V$3),Assumptions!$C$1:$F$1,0)))</f>
        <v>24000</v>
      </c>
      <c r="W17" s="26">
        <f t="array" ref="W17">W16*(INDEX(Assumptions!$C$10:$F$10,MATCH(YEAR(W$3),Assumptions!$C$1:$F$1,0))-INDEX(Assumptions!$C$17:$F$17,MATCH(YEAR(W$3),Assumptions!$C$1:$F$1,0)))</f>
        <v>32000</v>
      </c>
      <c r="X17" s="26">
        <f t="array" ref="X17">X16*(INDEX(Assumptions!$C$10:$F$10,MATCH(YEAR(X$3),Assumptions!$C$1:$F$1,0))-INDEX(Assumptions!$C$17:$F$17,MATCH(YEAR(X$3),Assumptions!$C$1:$F$1,0)))</f>
        <v>40000</v>
      </c>
      <c r="Y17" s="26">
        <f t="array" ref="Y17">Y16*(INDEX(Assumptions!$C$10:$F$10,MATCH(YEAR(Y$3),Assumptions!$C$1:$F$1,0))-INDEX(Assumptions!$C$17:$F$17,MATCH(YEAR(Y$3),Assumptions!$C$1:$F$1,0)))</f>
        <v>32000</v>
      </c>
      <c r="Z17" s="26">
        <f t="array" ref="Z17">Z16*(INDEX(Assumptions!$C$10:$F$10,MATCH(YEAR(Z$3),Assumptions!$C$1:$F$1,0))-INDEX(Assumptions!$C$17:$F$17,MATCH(YEAR(Z$3),Assumptions!$C$1:$F$1,0)))</f>
        <v>40000</v>
      </c>
      <c r="AA17" s="26">
        <f t="array" ref="AA17">AA16*(INDEX(Assumptions!$C$10:$F$10,MATCH(YEAR(AA$3),Assumptions!$C$1:$F$1,0))-INDEX(Assumptions!$C$17:$F$17,MATCH(YEAR(AA$3),Assumptions!$C$1:$F$1,0)))</f>
        <v>40000</v>
      </c>
      <c r="AB17" s="26">
        <f t="array" ref="AB17">AB16*(INDEX(Assumptions!$C$10:$F$10,MATCH(YEAR(AB$3),Assumptions!$C$1:$F$1,0))-INDEX(Assumptions!$C$17:$F$17,MATCH(YEAR(AB$3),Assumptions!$C$1:$F$1,0)))</f>
        <v>32000</v>
      </c>
      <c r="AC17" s="26">
        <f t="array" ref="AC17">AC16*(INDEX(Assumptions!$C$10:$F$10,MATCH(YEAR(AC$3),Assumptions!$C$1:$F$1,0))-INDEX(Assumptions!$C$17:$F$17,MATCH(YEAR(AC$3),Assumptions!$C$1:$F$1,0)))</f>
        <v>40000</v>
      </c>
      <c r="AD17" s="26">
        <f t="array" ref="AD17">AD16*(INDEX(Assumptions!$C$10:$F$10,MATCH(YEAR(AD$3),Assumptions!$C$1:$F$1,0))-INDEX(Assumptions!$C$17:$F$17,MATCH(YEAR(AD$3),Assumptions!$C$1:$F$1,0)))</f>
        <v>40000</v>
      </c>
      <c r="AE17" s="26">
        <f t="array" ref="AE17">AE16*(INDEX(Assumptions!$C$10:$F$10,MATCH(YEAR(AE$3),Assumptions!$C$1:$F$1,0))-INDEX(Assumptions!$C$17:$F$17,MATCH(YEAR(AE$3),Assumptions!$C$1:$F$1,0)))</f>
        <v>32000</v>
      </c>
      <c r="AF17" s="26">
        <f t="array" ref="AF17">AF16*(INDEX(Assumptions!$C$10:$F$10,MATCH(YEAR(AF$3),Assumptions!$C$1:$F$1,0))-INDEX(Assumptions!$C$17:$F$17,MATCH(YEAR(AF$3),Assumptions!$C$1:$F$1,0)))</f>
        <v>40000</v>
      </c>
      <c r="AG17" s="26">
        <f t="array" ref="AG17">AG16*(INDEX(Assumptions!$C$10:$F$10,MATCH(YEAR(AG$3),Assumptions!$C$1:$F$1,0))-INDEX(Assumptions!$C$17:$F$17,MATCH(YEAR(AG$3),Assumptions!$C$1:$F$1,0)))</f>
        <v>40000</v>
      </c>
      <c r="AH17" s="26">
        <f t="array" ref="AH17">AH16*(INDEX(Assumptions!$C$10:$F$10,MATCH(YEAR(AH$3),Assumptions!$C$1:$F$1,0))-INDEX(Assumptions!$C$17:$F$17,MATCH(YEAR(AH$3),Assumptions!$C$1:$F$1,0)))</f>
        <v>32000</v>
      </c>
      <c r="AI17" s="26">
        <f t="array" ref="AI17">AI16*(INDEX(Assumptions!$C$10:$F$10,MATCH(YEAR(AI$3),Assumptions!$C$1:$F$1,0))-INDEX(Assumptions!$C$17:$F$17,MATCH(YEAR(AI$3),Assumptions!$C$1:$F$1,0)))</f>
        <v>48000</v>
      </c>
      <c r="AJ17" s="26">
        <f t="array" ref="AJ17">AJ16*(INDEX(Assumptions!$C$10:$F$10,MATCH(YEAR(AJ$3),Assumptions!$C$1:$F$1,0))-INDEX(Assumptions!$C$17:$F$17,MATCH(YEAR(AJ$3),Assumptions!$C$1:$F$1,0)))</f>
        <v>48000</v>
      </c>
      <c r="AK17" s="26">
        <f t="array" ref="AK17">AK16*(INDEX(Assumptions!$C$10:$F$10,MATCH(YEAR(AK$3),Assumptions!$C$1:$F$1,0))-INDEX(Assumptions!$C$17:$F$17,MATCH(YEAR(AK$3),Assumptions!$C$1:$F$1,0)))</f>
        <v>40000</v>
      </c>
      <c r="AL17" s="26">
        <f t="array" ref="AL17">AL16*(INDEX(Assumptions!$C$10:$F$10,MATCH(YEAR(AL$3),Assumptions!$C$1:$F$1,0))-INDEX(Assumptions!$C$17:$F$17,MATCH(YEAR(AL$3),Assumptions!$C$1:$F$1,0)))</f>
        <v>48000</v>
      </c>
      <c r="AM17" s="26">
        <f t="array" ref="AM17">AM16*(INDEX(Assumptions!$C$10:$F$10,MATCH(YEAR(AM$3),Assumptions!$C$1:$F$1,0))-INDEX(Assumptions!$C$17:$F$17,MATCH(YEAR(AM$3),Assumptions!$C$1:$F$1,0)))</f>
        <v>40000</v>
      </c>
      <c r="AN17" s="26">
        <f t="array" ref="AN17">AN16*(INDEX(Assumptions!$C$10:$F$10,MATCH(YEAR(AN$3),Assumptions!$C$1:$F$1,0))-INDEX(Assumptions!$C$17:$F$17,MATCH(YEAR(AN$3),Assumptions!$C$1:$F$1,0)))</f>
        <v>40000</v>
      </c>
      <c r="AO17" s="26">
        <f t="array" ref="AO17">AO16*(INDEX(Assumptions!$C$10:$F$10,MATCH(YEAR(AO$3),Assumptions!$C$1:$F$1,0))-INDEX(Assumptions!$C$17:$F$17,MATCH(YEAR(AO$3),Assumptions!$C$1:$F$1,0)))</f>
        <v>48000</v>
      </c>
      <c r="AP17" s="26">
        <f t="array" ref="AP17">AP16*(INDEX(Assumptions!$C$10:$F$10,MATCH(YEAR(AP$3),Assumptions!$C$1:$F$1,0))-INDEX(Assumptions!$C$17:$F$17,MATCH(YEAR(AP$3),Assumptions!$C$1:$F$1,0)))</f>
        <v>51000</v>
      </c>
      <c r="AQ17" s="26">
        <f t="array" ref="AQ17">AQ16*(INDEX(Assumptions!$C$10:$F$10,MATCH(YEAR(AQ$3),Assumptions!$C$1:$F$1,0))-INDEX(Assumptions!$C$17:$F$17,MATCH(YEAR(AQ$3),Assumptions!$C$1:$F$1,0)))</f>
        <v>42500</v>
      </c>
      <c r="AR17" s="26">
        <f t="array" ref="AR17">AR16*(INDEX(Assumptions!$C$10:$F$10,MATCH(YEAR(AR$3),Assumptions!$C$1:$F$1,0))-INDEX(Assumptions!$C$17:$F$17,MATCH(YEAR(AR$3),Assumptions!$C$1:$F$1,0)))</f>
        <v>59500</v>
      </c>
      <c r="AS17" s="26">
        <f t="array" ref="AS17">AS16*(INDEX(Assumptions!$C$10:$F$10,MATCH(YEAR(AS$3),Assumptions!$C$1:$F$1,0))-INDEX(Assumptions!$C$17:$F$17,MATCH(YEAR(AS$3),Assumptions!$C$1:$F$1,0)))</f>
        <v>59500</v>
      </c>
      <c r="AT17" s="26">
        <f t="array" ref="AT17">AT16*(INDEX(Assumptions!$C$10:$F$10,MATCH(YEAR(AT$3),Assumptions!$C$1:$F$1,0))-INDEX(Assumptions!$C$17:$F$17,MATCH(YEAR(AT$3),Assumptions!$C$1:$F$1,0)))</f>
        <v>76500</v>
      </c>
      <c r="AU17" s="26">
        <f t="array" ref="AU17">AU16*(INDEX(Assumptions!$C$10:$F$10,MATCH(YEAR(AU$3),Assumptions!$C$1:$F$1,0))-INDEX(Assumptions!$C$17:$F$17,MATCH(YEAR(AU$3),Assumptions!$C$1:$F$1,0)))</f>
        <v>68000</v>
      </c>
      <c r="AV17" s="26">
        <f t="array" ref="AV17">AV16*(INDEX(Assumptions!$C$10:$F$10,MATCH(YEAR(AV$3),Assumptions!$C$1:$F$1,0))-INDEX(Assumptions!$C$17:$F$17,MATCH(YEAR(AV$3),Assumptions!$C$1:$F$1,0)))</f>
        <v>76500</v>
      </c>
      <c r="AW17" s="26">
        <f t="array" ref="AW17">AW16*(INDEX(Assumptions!$C$10:$F$10,MATCH(YEAR(AW$3),Assumptions!$C$1:$F$1,0))-INDEX(Assumptions!$C$17:$F$17,MATCH(YEAR(AW$3),Assumptions!$C$1:$F$1,0)))</f>
        <v>68000</v>
      </c>
      <c r="AX17" s="26">
        <f t="array" ref="AX17">AX16*(INDEX(Assumptions!$C$10:$F$10,MATCH(YEAR(AX$3),Assumptions!$C$1:$F$1,0))-INDEX(Assumptions!$C$17:$F$17,MATCH(YEAR(AX$3),Assumptions!$C$1:$F$1,0)))</f>
        <v>85000</v>
      </c>
      <c r="AY17" s="26">
        <f t="array" ref="AY17">AY16*(INDEX(Assumptions!$C$10:$F$10,MATCH(YEAR(AY$3),Assumptions!$C$1:$F$1,0))-INDEX(Assumptions!$C$17:$F$17,MATCH(YEAR(AY$3),Assumptions!$C$1:$F$1,0)))</f>
        <v>68000</v>
      </c>
      <c r="AZ17" s="26">
        <f t="array" ref="AZ17">AZ16*(INDEX(Assumptions!$C$10:$F$10,MATCH(YEAR(AZ$3),Assumptions!$C$1:$F$1,0))-INDEX(Assumptions!$C$17:$F$17,MATCH(YEAR(AZ$3),Assumptions!$C$1:$F$1,0)))</f>
        <v>76500</v>
      </c>
      <c r="BA17" s="26">
        <f t="array" ref="BA17">BA16*(INDEX(Assumptions!$C$10:$F$10,MATCH(YEAR(BA$3),Assumptions!$C$1:$F$1,0))-INDEX(Assumptions!$C$17:$F$17,MATCH(YEAR(BA$3),Assumptions!$C$1:$F$1,0)))</f>
        <v>68000</v>
      </c>
      <c r="BB17" s="1"/>
      <c r="BC17" s="26">
        <f t="shared" ref="BC17:BF17" si="10">SUMPRODUCT((YEAR($F$3:$BA$3)=BC$3)*$F17:$BA17)</f>
        <v>180000</v>
      </c>
      <c r="BD17" s="26">
        <f t="shared" si="10"/>
        <v>368000</v>
      </c>
      <c r="BE17" s="26">
        <f t="shared" si="10"/>
        <v>496000</v>
      </c>
      <c r="BF17" s="26">
        <f t="shared" si="10"/>
        <v>799000</v>
      </c>
    </row>
    <row r="18">
      <c r="A18" s="1"/>
      <c r="B18" s="3" t="s">
        <v>96</v>
      </c>
      <c r="C18" s="1"/>
      <c r="D18" s="1"/>
      <c r="E18" s="3" t="s">
        <v>44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35">
        <f t="array" ref="M18">F15*INDEX(Assumptions!$C$14:$F$14,MATCH(YEAR(M$3),Assumptions!$C$1:$F$1,0))</f>
        <v>0</v>
      </c>
      <c r="N18" s="35">
        <f t="array" ref="N18">G15*INDEX(Assumptions!$C$14:$F$14,MATCH(YEAR(N$3),Assumptions!$C$1:$F$1,0))</f>
        <v>0.5</v>
      </c>
      <c r="O18" s="35">
        <f t="array" ref="O18">H15*INDEX(Assumptions!$C$14:$F$14,MATCH(YEAR(O$3),Assumptions!$C$1:$F$1,0))</f>
        <v>0</v>
      </c>
      <c r="P18" s="35">
        <f t="array" ref="P18">I15*INDEX(Assumptions!$C$14:$F$14,MATCH(YEAR(P$3),Assumptions!$C$1:$F$1,0))</f>
        <v>0</v>
      </c>
      <c r="Q18" s="35">
        <f t="array" ref="Q18">J15*INDEX(Assumptions!$C$14:$F$14,MATCH(YEAR(Q$3),Assumptions!$C$1:$F$1,0))</f>
        <v>0.5</v>
      </c>
      <c r="R18" s="35">
        <f t="array" ref="R18">K15*INDEX(Assumptions!$C$14:$F$14,MATCH(YEAR(R$3),Assumptions!$C$1:$F$1,0))</f>
        <v>0.56</v>
      </c>
      <c r="S18" s="35">
        <f t="array" ref="S18">L15*INDEX(Assumptions!$C$14:$F$14,MATCH(YEAR(S$3),Assumptions!$C$1:$F$1,0))</f>
        <v>0</v>
      </c>
      <c r="T18" s="35">
        <f t="array" ref="T18">M15*INDEX(Assumptions!$C$14:$F$14,MATCH(YEAR(T$3),Assumptions!$C$1:$F$1,0))</f>
        <v>0</v>
      </c>
      <c r="U18" s="35">
        <f t="array" ref="U18">N15*INDEX(Assumptions!$C$14:$F$14,MATCH(YEAR(U$3),Assumptions!$C$1:$F$1,0))</f>
        <v>0</v>
      </c>
      <c r="V18" s="35">
        <f t="array" ref="V18">O15*INDEX(Assumptions!$C$14:$F$14,MATCH(YEAR(V$3),Assumptions!$C$1:$F$1,0))</f>
        <v>0.56</v>
      </c>
      <c r="W18" s="35">
        <f t="array" ref="W18">P15*INDEX(Assumptions!$C$14:$F$14,MATCH(YEAR(W$3),Assumptions!$C$1:$F$1,0))</f>
        <v>0</v>
      </c>
      <c r="X18" s="35">
        <f t="array" ref="X18">Q15*INDEX(Assumptions!$C$14:$F$14,MATCH(YEAR(X$3),Assumptions!$C$1:$F$1,0))</f>
        <v>0</v>
      </c>
      <c r="Y18" s="35">
        <f t="array" ref="Y18">R15*INDEX(Assumptions!$C$14:$F$14,MATCH(YEAR(Y$3),Assumptions!$C$1:$F$1,0))</f>
        <v>0.56</v>
      </c>
      <c r="Z18" s="35">
        <f t="array" ref="Z18">S15*INDEX(Assumptions!$C$14:$F$14,MATCH(YEAR(Z$3),Assumptions!$C$1:$F$1,0))</f>
        <v>0</v>
      </c>
      <c r="AA18" s="35">
        <f t="array" ref="AA18">T15*INDEX(Assumptions!$C$14:$F$14,MATCH(YEAR(AA$3),Assumptions!$C$1:$F$1,0))</f>
        <v>0.56</v>
      </c>
      <c r="AB18" s="35">
        <f t="array" ref="AB18">U15*INDEX(Assumptions!$C$14:$F$14,MATCH(YEAR(AB$3),Assumptions!$C$1:$F$1,0))</f>
        <v>0.56</v>
      </c>
      <c r="AC18" s="35">
        <f t="array" ref="AC18">V15*INDEX(Assumptions!$C$14:$F$14,MATCH(YEAR(AC$3),Assumptions!$C$1:$F$1,0))</f>
        <v>0</v>
      </c>
      <c r="AD18" s="35">
        <f t="array" ref="AD18">W15*INDEX(Assumptions!$C$14:$F$14,MATCH(YEAR(AD$3),Assumptions!$C$1:$F$1,0))</f>
        <v>0.63</v>
      </c>
      <c r="AE18" s="35">
        <f t="array" ref="AE18">X15*INDEX(Assumptions!$C$14:$F$14,MATCH(YEAR(AE$3),Assumptions!$C$1:$F$1,0))</f>
        <v>0.63</v>
      </c>
      <c r="AF18" s="35">
        <f t="array" ref="AF18">Y15*INDEX(Assumptions!$C$14:$F$14,MATCH(YEAR(AF$3),Assumptions!$C$1:$F$1,0))</f>
        <v>0</v>
      </c>
      <c r="AG18" s="35">
        <f t="array" ref="AG18">Z15*INDEX(Assumptions!$C$14:$F$14,MATCH(YEAR(AG$3),Assumptions!$C$1:$F$1,0))</f>
        <v>0.63</v>
      </c>
      <c r="AH18" s="35">
        <f t="array" ref="AH18">AA15*INDEX(Assumptions!$C$14:$F$14,MATCH(YEAR(AH$3),Assumptions!$C$1:$F$1,0))</f>
        <v>0.63</v>
      </c>
      <c r="AI18" s="35">
        <f t="array" ref="AI18">AB15*INDEX(Assumptions!$C$14:$F$14,MATCH(YEAR(AI$3),Assumptions!$C$1:$F$1,0))</f>
        <v>0</v>
      </c>
      <c r="AJ18" s="35">
        <f t="array" ref="AJ18">AC15*INDEX(Assumptions!$C$14:$F$14,MATCH(YEAR(AJ$3),Assumptions!$C$1:$F$1,0))</f>
        <v>0.63</v>
      </c>
      <c r="AK18" s="35">
        <f t="array" ref="AK18">AD15*INDEX(Assumptions!$C$14:$F$14,MATCH(YEAR(AK$3),Assumptions!$C$1:$F$1,0))</f>
        <v>0.63</v>
      </c>
      <c r="AL18" s="35">
        <f t="array" ref="AL18">AE15*INDEX(Assumptions!$C$14:$F$14,MATCH(YEAR(AL$3),Assumptions!$C$1:$F$1,0))</f>
        <v>0</v>
      </c>
      <c r="AM18" s="35">
        <f t="array" ref="AM18">AF15*INDEX(Assumptions!$C$14:$F$14,MATCH(YEAR(AM$3),Assumptions!$C$1:$F$1,0))</f>
        <v>0.63</v>
      </c>
      <c r="AN18" s="35">
        <f t="array" ref="AN18">AG15*INDEX(Assumptions!$C$14:$F$14,MATCH(YEAR(AN$3),Assumptions!$C$1:$F$1,0))</f>
        <v>0.63</v>
      </c>
      <c r="AO18" s="35">
        <f t="array" ref="AO18">AH15*INDEX(Assumptions!$C$14:$F$14,MATCH(YEAR(AO$3),Assumptions!$C$1:$F$1,0))</f>
        <v>0</v>
      </c>
      <c r="AP18" s="35">
        <f t="array" ref="AP18">AI15*INDEX(Assumptions!$C$14:$F$14,MATCH(YEAR(AP$3),Assumptions!$C$1:$F$1,0))</f>
        <v>1.4</v>
      </c>
      <c r="AQ18" s="35">
        <f t="array" ref="AQ18">AJ15*INDEX(Assumptions!$C$14:$F$14,MATCH(YEAR(AQ$3),Assumptions!$C$1:$F$1,0))</f>
        <v>0.7</v>
      </c>
      <c r="AR18" s="35">
        <f t="array" ref="AR18">AK15*INDEX(Assumptions!$C$14:$F$14,MATCH(YEAR(AR$3),Assumptions!$C$1:$F$1,0))</f>
        <v>0</v>
      </c>
      <c r="AS18" s="35">
        <f t="array" ref="AS18">AL15*INDEX(Assumptions!$C$14:$F$14,MATCH(YEAR(AS$3),Assumptions!$C$1:$F$1,0))</f>
        <v>0.7</v>
      </c>
      <c r="AT18" s="35">
        <f t="array" ref="AT18">AM15*INDEX(Assumptions!$C$14:$F$14,MATCH(YEAR(AT$3),Assumptions!$C$1:$F$1,0))</f>
        <v>0</v>
      </c>
      <c r="AU18" s="35">
        <f t="array" ref="AU18">AN15*INDEX(Assumptions!$C$14:$F$14,MATCH(YEAR(AU$3),Assumptions!$C$1:$F$1,0))</f>
        <v>0.7</v>
      </c>
      <c r="AV18" s="35">
        <f t="array" ref="AV18">AO15*INDEX(Assumptions!$C$14:$F$14,MATCH(YEAR(AV$3),Assumptions!$C$1:$F$1,0))</f>
        <v>0.7</v>
      </c>
      <c r="AW18" s="35">
        <f t="array" ref="AW18">AP15*INDEX(Assumptions!$C$14:$F$14,MATCH(YEAR(AW$3),Assumptions!$C$1:$F$1,0))</f>
        <v>1.4</v>
      </c>
      <c r="AX18" s="35">
        <f t="array" ref="AX18">AQ15*INDEX(Assumptions!$C$14:$F$14,MATCH(YEAR(AX$3),Assumptions!$C$1:$F$1,0))</f>
        <v>0</v>
      </c>
      <c r="AY18" s="35">
        <f t="array" ref="AY18">AR15*INDEX(Assumptions!$C$14:$F$14,MATCH(YEAR(AY$3),Assumptions!$C$1:$F$1,0))</f>
        <v>1.4</v>
      </c>
      <c r="AZ18" s="35">
        <f t="array" ref="AZ18">AS15*INDEX(Assumptions!$C$14:$F$14,MATCH(YEAR(AZ$3),Assumptions!$C$1:$F$1,0))</f>
        <v>0.7</v>
      </c>
      <c r="BA18" s="35">
        <f t="array" ref="BA18">AT15*INDEX(Assumptions!$C$14:$F$14,MATCH(YEAR(BA$3),Assumptions!$C$1:$F$1,0))</f>
        <v>1.4</v>
      </c>
      <c r="BB18" s="1"/>
      <c r="BC18" s="35">
        <f t="shared" ref="BC18:BF18" si="11">SUMPRODUCT((YEAR($F$3:$BA$3)=BC$3)*$F18:$BA18)</f>
        <v>1</v>
      </c>
      <c r="BD18" s="35">
        <f t="shared" si="11"/>
        <v>2.8</v>
      </c>
      <c r="BE18" s="35">
        <f t="shared" si="11"/>
        <v>5.04</v>
      </c>
      <c r="BF18" s="35">
        <f t="shared" si="11"/>
        <v>9.1</v>
      </c>
    </row>
    <row r="19">
      <c r="A19" s="1"/>
      <c r="B19" s="3" t="s">
        <v>97</v>
      </c>
      <c r="C19" s="1"/>
      <c r="D19" s="1"/>
      <c r="E19" s="3" t="s">
        <v>33</v>
      </c>
      <c r="F19" s="26">
        <f t="array" ref="F19">F18*(INDEX(Assumptions!$C$13:$F$13,MATCH(YEAR(F$3),Assumptions!$C$1:$F$1,0))*Assumptions!$C$12)</f>
        <v>0</v>
      </c>
      <c r="G19" s="26">
        <f t="array" ref="G19">G18*(INDEX(Assumptions!$C$13:$F$13,MATCH(YEAR(G$3),Assumptions!$C$1:$F$1,0))*Assumptions!$C$12)</f>
        <v>0</v>
      </c>
      <c r="H19" s="26">
        <f t="array" ref="H19">H18*(INDEX(Assumptions!$C$13:$F$13,MATCH(YEAR(H$3),Assumptions!$C$1:$F$1,0))*Assumptions!$C$12)</f>
        <v>0</v>
      </c>
      <c r="I19" s="26">
        <f t="array" ref="I19">I18*(INDEX(Assumptions!$C$13:$F$13,MATCH(YEAR(I$3),Assumptions!$C$1:$F$1,0))*Assumptions!$C$12)</f>
        <v>0</v>
      </c>
      <c r="J19" s="26">
        <f t="array" ref="J19">J18*(INDEX(Assumptions!$C$13:$F$13,MATCH(YEAR(J$3),Assumptions!$C$1:$F$1,0))*Assumptions!$C$12)</f>
        <v>0</v>
      </c>
      <c r="K19" s="26">
        <f t="array" ref="K19">K18*(INDEX(Assumptions!$C$13:$F$13,MATCH(YEAR(K$3),Assumptions!$C$1:$F$1,0))*Assumptions!$C$12)</f>
        <v>0</v>
      </c>
      <c r="L19" s="26">
        <f t="array" ref="L19">L18*(INDEX(Assumptions!$C$13:$F$13,MATCH(YEAR(L$3),Assumptions!$C$1:$F$1,0))*Assumptions!$C$12)</f>
        <v>0</v>
      </c>
      <c r="M19" s="26">
        <f t="array" ref="M19">M18*(INDEX(Assumptions!$C$13:$F$13,MATCH(YEAR(M$3),Assumptions!$C$1:$F$1,0))*Assumptions!$C$12)</f>
        <v>0</v>
      </c>
      <c r="N19" s="26">
        <f t="array" ref="N19">N18*(INDEX(Assumptions!$C$13:$F$13,MATCH(YEAR(N$3),Assumptions!$C$1:$F$1,0))*Assumptions!$C$12)</f>
        <v>120000</v>
      </c>
      <c r="O19" s="26">
        <f t="array" ref="O19">O18*(INDEX(Assumptions!$C$13:$F$13,MATCH(YEAR(O$3),Assumptions!$C$1:$F$1,0))*Assumptions!$C$12)</f>
        <v>0</v>
      </c>
      <c r="P19" s="26">
        <f t="array" ref="P19">P18*(INDEX(Assumptions!$C$13:$F$13,MATCH(YEAR(P$3),Assumptions!$C$1:$F$1,0))*Assumptions!$C$12)</f>
        <v>0</v>
      </c>
      <c r="Q19" s="26">
        <f t="array" ref="Q19">Q18*(INDEX(Assumptions!$C$13:$F$13,MATCH(YEAR(Q$3),Assumptions!$C$1:$F$1,0))*Assumptions!$C$12)</f>
        <v>120000</v>
      </c>
      <c r="R19" s="26">
        <f t="array" ref="R19">R18*(INDEX(Assumptions!$C$13:$F$13,MATCH(YEAR(R$3),Assumptions!$C$1:$F$1,0))*Assumptions!$C$12)</f>
        <v>201600</v>
      </c>
      <c r="S19" s="26">
        <f t="array" ref="S19">S18*(INDEX(Assumptions!$C$13:$F$13,MATCH(YEAR(S$3),Assumptions!$C$1:$F$1,0))*Assumptions!$C$12)</f>
        <v>0</v>
      </c>
      <c r="T19" s="26">
        <f t="array" ref="T19">T18*(INDEX(Assumptions!$C$13:$F$13,MATCH(YEAR(T$3),Assumptions!$C$1:$F$1,0))*Assumptions!$C$12)</f>
        <v>0</v>
      </c>
      <c r="U19" s="26">
        <f t="array" ref="U19">U18*(INDEX(Assumptions!$C$13:$F$13,MATCH(YEAR(U$3),Assumptions!$C$1:$F$1,0))*Assumptions!$C$12)</f>
        <v>0</v>
      </c>
      <c r="V19" s="26">
        <f t="array" ref="V19">V18*(INDEX(Assumptions!$C$13:$F$13,MATCH(YEAR(V$3),Assumptions!$C$1:$F$1,0))*Assumptions!$C$12)</f>
        <v>201600</v>
      </c>
      <c r="W19" s="26">
        <f t="array" ref="W19">W18*(INDEX(Assumptions!$C$13:$F$13,MATCH(YEAR(W$3),Assumptions!$C$1:$F$1,0))*Assumptions!$C$12)</f>
        <v>0</v>
      </c>
      <c r="X19" s="26">
        <f t="array" ref="X19">X18*(INDEX(Assumptions!$C$13:$F$13,MATCH(YEAR(X$3),Assumptions!$C$1:$F$1,0))*Assumptions!$C$12)</f>
        <v>0</v>
      </c>
      <c r="Y19" s="26">
        <f t="array" ref="Y19">Y18*(INDEX(Assumptions!$C$13:$F$13,MATCH(YEAR(Y$3),Assumptions!$C$1:$F$1,0))*Assumptions!$C$12)</f>
        <v>201600</v>
      </c>
      <c r="Z19" s="26">
        <f t="array" ref="Z19">Z18*(INDEX(Assumptions!$C$13:$F$13,MATCH(YEAR(Z$3),Assumptions!$C$1:$F$1,0))*Assumptions!$C$12)</f>
        <v>0</v>
      </c>
      <c r="AA19" s="26">
        <f t="array" ref="AA19">AA18*(INDEX(Assumptions!$C$13:$F$13,MATCH(YEAR(AA$3),Assumptions!$C$1:$F$1,0))*Assumptions!$C$12)</f>
        <v>201600</v>
      </c>
      <c r="AB19" s="26">
        <f t="array" ref="AB19">AB18*(INDEX(Assumptions!$C$13:$F$13,MATCH(YEAR(AB$3),Assumptions!$C$1:$F$1,0))*Assumptions!$C$12)</f>
        <v>201600</v>
      </c>
      <c r="AC19" s="26">
        <f t="array" ref="AC19">AC18*(INDEX(Assumptions!$C$13:$F$13,MATCH(YEAR(AC$3),Assumptions!$C$1:$F$1,0))*Assumptions!$C$12)</f>
        <v>0</v>
      </c>
      <c r="AD19" s="26">
        <f t="array" ref="AD19">AD18*(INDEX(Assumptions!$C$13:$F$13,MATCH(YEAR(AD$3),Assumptions!$C$1:$F$1,0))*Assumptions!$C$12)</f>
        <v>302400</v>
      </c>
      <c r="AE19" s="26">
        <f t="array" ref="AE19">AE18*(INDEX(Assumptions!$C$13:$F$13,MATCH(YEAR(AE$3),Assumptions!$C$1:$F$1,0))*Assumptions!$C$12)</f>
        <v>302400</v>
      </c>
      <c r="AF19" s="26">
        <f t="array" ref="AF19">AF18*(INDEX(Assumptions!$C$13:$F$13,MATCH(YEAR(AF$3),Assumptions!$C$1:$F$1,0))*Assumptions!$C$12)</f>
        <v>0</v>
      </c>
      <c r="AG19" s="26">
        <f t="array" ref="AG19">AG18*(INDEX(Assumptions!$C$13:$F$13,MATCH(YEAR(AG$3),Assumptions!$C$1:$F$1,0))*Assumptions!$C$12)</f>
        <v>302400</v>
      </c>
      <c r="AH19" s="26">
        <f t="array" ref="AH19">AH18*(INDEX(Assumptions!$C$13:$F$13,MATCH(YEAR(AH$3),Assumptions!$C$1:$F$1,0))*Assumptions!$C$12)</f>
        <v>302400</v>
      </c>
      <c r="AI19" s="26">
        <f t="array" ref="AI19">AI18*(INDEX(Assumptions!$C$13:$F$13,MATCH(YEAR(AI$3),Assumptions!$C$1:$F$1,0))*Assumptions!$C$12)</f>
        <v>0</v>
      </c>
      <c r="AJ19" s="26">
        <f t="array" ref="AJ19">AJ18*(INDEX(Assumptions!$C$13:$F$13,MATCH(YEAR(AJ$3),Assumptions!$C$1:$F$1,0))*Assumptions!$C$12)</f>
        <v>302400</v>
      </c>
      <c r="AK19" s="26">
        <f t="array" ref="AK19">AK18*(INDEX(Assumptions!$C$13:$F$13,MATCH(YEAR(AK$3),Assumptions!$C$1:$F$1,0))*Assumptions!$C$12)</f>
        <v>302400</v>
      </c>
      <c r="AL19" s="26">
        <f t="array" ref="AL19">AL18*(INDEX(Assumptions!$C$13:$F$13,MATCH(YEAR(AL$3),Assumptions!$C$1:$F$1,0))*Assumptions!$C$12)</f>
        <v>0</v>
      </c>
      <c r="AM19" s="26">
        <f t="array" ref="AM19">AM18*(INDEX(Assumptions!$C$13:$F$13,MATCH(YEAR(AM$3),Assumptions!$C$1:$F$1,0))*Assumptions!$C$12)</f>
        <v>302400</v>
      </c>
      <c r="AN19" s="26">
        <f t="array" ref="AN19">AN18*(INDEX(Assumptions!$C$13:$F$13,MATCH(YEAR(AN$3),Assumptions!$C$1:$F$1,0))*Assumptions!$C$12)</f>
        <v>302400</v>
      </c>
      <c r="AO19" s="26">
        <f t="array" ref="AO19">AO18*(INDEX(Assumptions!$C$13:$F$13,MATCH(YEAR(AO$3),Assumptions!$C$1:$F$1,0))*Assumptions!$C$12)</f>
        <v>0</v>
      </c>
      <c r="AP19" s="26">
        <f t="array" ref="AP19">AP18*(INDEX(Assumptions!$C$13:$F$13,MATCH(YEAR(AP$3),Assumptions!$C$1:$F$1,0))*Assumptions!$C$12)</f>
        <v>840000</v>
      </c>
      <c r="AQ19" s="26">
        <f t="array" ref="AQ19">AQ18*(INDEX(Assumptions!$C$13:$F$13,MATCH(YEAR(AQ$3),Assumptions!$C$1:$F$1,0))*Assumptions!$C$12)</f>
        <v>420000</v>
      </c>
      <c r="AR19" s="26">
        <f t="array" ref="AR19">AR18*(INDEX(Assumptions!$C$13:$F$13,MATCH(YEAR(AR$3),Assumptions!$C$1:$F$1,0))*Assumptions!$C$12)</f>
        <v>0</v>
      </c>
      <c r="AS19" s="26">
        <f t="array" ref="AS19">AS18*(INDEX(Assumptions!$C$13:$F$13,MATCH(YEAR(AS$3),Assumptions!$C$1:$F$1,0))*Assumptions!$C$12)</f>
        <v>420000</v>
      </c>
      <c r="AT19" s="26">
        <f t="array" ref="AT19">AT18*(INDEX(Assumptions!$C$13:$F$13,MATCH(YEAR(AT$3),Assumptions!$C$1:$F$1,0))*Assumptions!$C$12)</f>
        <v>0</v>
      </c>
      <c r="AU19" s="26">
        <f t="array" ref="AU19">AU18*(INDEX(Assumptions!$C$13:$F$13,MATCH(YEAR(AU$3),Assumptions!$C$1:$F$1,0))*Assumptions!$C$12)</f>
        <v>420000</v>
      </c>
      <c r="AV19" s="26">
        <f t="array" ref="AV19">AV18*(INDEX(Assumptions!$C$13:$F$13,MATCH(YEAR(AV$3),Assumptions!$C$1:$F$1,0))*Assumptions!$C$12)</f>
        <v>420000</v>
      </c>
      <c r="AW19" s="26">
        <f t="array" ref="AW19">AW18*(INDEX(Assumptions!$C$13:$F$13,MATCH(YEAR(AW$3),Assumptions!$C$1:$F$1,0))*Assumptions!$C$12)</f>
        <v>840000</v>
      </c>
      <c r="AX19" s="26">
        <f t="array" ref="AX19">AX18*(INDEX(Assumptions!$C$13:$F$13,MATCH(YEAR(AX$3),Assumptions!$C$1:$F$1,0))*Assumptions!$C$12)</f>
        <v>0</v>
      </c>
      <c r="AY19" s="26">
        <f t="array" ref="AY19">AY18*(INDEX(Assumptions!$C$13:$F$13,MATCH(YEAR(AY$3),Assumptions!$C$1:$F$1,0))*Assumptions!$C$12)</f>
        <v>840000</v>
      </c>
      <c r="AZ19" s="26">
        <f t="array" ref="AZ19">AZ18*(INDEX(Assumptions!$C$13:$F$13,MATCH(YEAR(AZ$3),Assumptions!$C$1:$F$1,0))*Assumptions!$C$12)</f>
        <v>420000</v>
      </c>
      <c r="BA19" s="26">
        <f t="array" ref="BA19">BA18*(INDEX(Assumptions!$C$13:$F$13,MATCH(YEAR(BA$3),Assumptions!$C$1:$F$1,0))*Assumptions!$C$12)</f>
        <v>840000</v>
      </c>
      <c r="BB19" s="1"/>
      <c r="BC19" s="26">
        <f t="shared" ref="BC19:BF19" si="12">SUMPRODUCT((YEAR($F$3:$BA$3)=BC$3)*$F19:$BA19)</f>
        <v>240000</v>
      </c>
      <c r="BD19" s="26">
        <f t="shared" si="12"/>
        <v>1008000</v>
      </c>
      <c r="BE19" s="26">
        <f t="shared" si="12"/>
        <v>2419200</v>
      </c>
      <c r="BF19" s="26">
        <f t="shared" si="12"/>
        <v>5460000</v>
      </c>
    </row>
    <row r="20">
      <c r="A20" s="1"/>
      <c r="B20" s="48" t="s">
        <v>99</v>
      </c>
      <c r="C20" s="49"/>
      <c r="D20" s="49"/>
      <c r="E20" s="48" t="s">
        <v>33</v>
      </c>
      <c r="F20" s="50">
        <f t="shared" ref="F20:BA20" si="13">F17+F19</f>
        <v>0</v>
      </c>
      <c r="G20" s="50">
        <f t="shared" si="13"/>
        <v>7500</v>
      </c>
      <c r="H20" s="50">
        <f t="shared" si="13"/>
        <v>7500</v>
      </c>
      <c r="I20" s="50">
        <f t="shared" si="13"/>
        <v>7500</v>
      </c>
      <c r="J20" s="50">
        <f t="shared" si="13"/>
        <v>15000</v>
      </c>
      <c r="K20" s="50">
        <f t="shared" si="13"/>
        <v>22500</v>
      </c>
      <c r="L20" s="50">
        <f t="shared" si="13"/>
        <v>22500</v>
      </c>
      <c r="M20" s="50">
        <f t="shared" si="13"/>
        <v>22500</v>
      </c>
      <c r="N20" s="50">
        <f t="shared" si="13"/>
        <v>135000</v>
      </c>
      <c r="O20" s="50">
        <f t="shared" si="13"/>
        <v>22500</v>
      </c>
      <c r="P20" s="50">
        <f t="shared" si="13"/>
        <v>22500</v>
      </c>
      <c r="Q20" s="50">
        <f t="shared" si="13"/>
        <v>135000</v>
      </c>
      <c r="R20" s="50">
        <f t="shared" si="13"/>
        <v>217600</v>
      </c>
      <c r="S20" s="50">
        <f t="shared" si="13"/>
        <v>16000</v>
      </c>
      <c r="T20" s="50">
        <f t="shared" si="13"/>
        <v>24000</v>
      </c>
      <c r="U20" s="50">
        <f t="shared" si="13"/>
        <v>32000</v>
      </c>
      <c r="V20" s="50">
        <f t="shared" si="13"/>
        <v>225600</v>
      </c>
      <c r="W20" s="50">
        <f t="shared" si="13"/>
        <v>32000</v>
      </c>
      <c r="X20" s="50">
        <f t="shared" si="13"/>
        <v>40000</v>
      </c>
      <c r="Y20" s="50">
        <f t="shared" si="13"/>
        <v>233600</v>
      </c>
      <c r="Z20" s="50">
        <f t="shared" si="13"/>
        <v>40000</v>
      </c>
      <c r="AA20" s="50">
        <f t="shared" si="13"/>
        <v>241600</v>
      </c>
      <c r="AB20" s="50">
        <f t="shared" si="13"/>
        <v>233600</v>
      </c>
      <c r="AC20" s="50">
        <f t="shared" si="13"/>
        <v>40000</v>
      </c>
      <c r="AD20" s="50">
        <f t="shared" si="13"/>
        <v>342400</v>
      </c>
      <c r="AE20" s="50">
        <f t="shared" si="13"/>
        <v>334400</v>
      </c>
      <c r="AF20" s="50">
        <f t="shared" si="13"/>
        <v>40000</v>
      </c>
      <c r="AG20" s="50">
        <f t="shared" si="13"/>
        <v>342400</v>
      </c>
      <c r="AH20" s="50">
        <f t="shared" si="13"/>
        <v>334400</v>
      </c>
      <c r="AI20" s="50">
        <f t="shared" si="13"/>
        <v>48000</v>
      </c>
      <c r="AJ20" s="50">
        <f t="shared" si="13"/>
        <v>350400</v>
      </c>
      <c r="AK20" s="50">
        <f t="shared" si="13"/>
        <v>342400</v>
      </c>
      <c r="AL20" s="50">
        <f t="shared" si="13"/>
        <v>48000</v>
      </c>
      <c r="AM20" s="50">
        <f t="shared" si="13"/>
        <v>342400</v>
      </c>
      <c r="AN20" s="50">
        <f t="shared" si="13"/>
        <v>342400</v>
      </c>
      <c r="AO20" s="50">
        <f t="shared" si="13"/>
        <v>48000</v>
      </c>
      <c r="AP20" s="50">
        <f t="shared" si="13"/>
        <v>891000</v>
      </c>
      <c r="AQ20" s="50">
        <f t="shared" si="13"/>
        <v>462500</v>
      </c>
      <c r="AR20" s="50">
        <f t="shared" si="13"/>
        <v>59500</v>
      </c>
      <c r="AS20" s="50">
        <f t="shared" si="13"/>
        <v>479500</v>
      </c>
      <c r="AT20" s="50">
        <f t="shared" si="13"/>
        <v>76500</v>
      </c>
      <c r="AU20" s="50">
        <f t="shared" si="13"/>
        <v>488000</v>
      </c>
      <c r="AV20" s="50">
        <f t="shared" si="13"/>
        <v>496500</v>
      </c>
      <c r="AW20" s="50">
        <f t="shared" si="13"/>
        <v>908000</v>
      </c>
      <c r="AX20" s="50">
        <f t="shared" si="13"/>
        <v>85000</v>
      </c>
      <c r="AY20" s="50">
        <f t="shared" si="13"/>
        <v>908000</v>
      </c>
      <c r="AZ20" s="50">
        <f t="shared" si="13"/>
        <v>496500</v>
      </c>
      <c r="BA20" s="50">
        <f t="shared" si="13"/>
        <v>908000</v>
      </c>
      <c r="BB20" s="1"/>
      <c r="BC20" s="50">
        <f t="shared" ref="BC20:BF20" si="14">SUMPRODUCT((YEAR($F$3:$BA$3)=BC$3)*$F20:$BA20)</f>
        <v>420000</v>
      </c>
      <c r="BD20" s="50">
        <f t="shared" si="14"/>
        <v>1376000</v>
      </c>
      <c r="BE20" s="50">
        <f t="shared" si="14"/>
        <v>2915200</v>
      </c>
      <c r="BF20" s="50">
        <f t="shared" si="14"/>
        <v>6259000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1" t="s">
        <v>37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</row>
    <row r="23">
      <c r="A23" s="1"/>
      <c r="B23" s="3" t="s">
        <v>100</v>
      </c>
      <c r="C23" s="1"/>
      <c r="D23" s="1"/>
      <c r="E23" s="3" t="s">
        <v>44</v>
      </c>
      <c r="F23" s="35">
        <f t="shared" ref="F23:BA23" si="15">F8+F16</f>
        <v>4</v>
      </c>
      <c r="G23" s="35">
        <f t="shared" si="15"/>
        <v>6</v>
      </c>
      <c r="H23" s="35">
        <f t="shared" si="15"/>
        <v>5</v>
      </c>
      <c r="I23" s="35">
        <f t="shared" si="15"/>
        <v>6</v>
      </c>
      <c r="J23" s="35">
        <f t="shared" si="15"/>
        <v>6</v>
      </c>
      <c r="K23" s="35">
        <f t="shared" si="15"/>
        <v>7</v>
      </c>
      <c r="L23" s="35">
        <f t="shared" si="15"/>
        <v>7</v>
      </c>
      <c r="M23" s="35">
        <f t="shared" si="15"/>
        <v>7</v>
      </c>
      <c r="N23" s="35">
        <f t="shared" si="15"/>
        <v>6</v>
      </c>
      <c r="O23" s="35">
        <f t="shared" si="15"/>
        <v>8</v>
      </c>
      <c r="P23" s="35">
        <f t="shared" si="15"/>
        <v>8</v>
      </c>
      <c r="Q23" s="35">
        <f t="shared" si="15"/>
        <v>7</v>
      </c>
      <c r="R23" s="35">
        <f t="shared" si="15"/>
        <v>7</v>
      </c>
      <c r="S23" s="35">
        <f t="shared" si="15"/>
        <v>7</v>
      </c>
      <c r="T23" s="35">
        <f t="shared" si="15"/>
        <v>8</v>
      </c>
      <c r="U23" s="35">
        <f t="shared" si="15"/>
        <v>9</v>
      </c>
      <c r="V23" s="35">
        <f t="shared" si="15"/>
        <v>8</v>
      </c>
      <c r="W23" s="35">
        <f t="shared" si="15"/>
        <v>9</v>
      </c>
      <c r="X23" s="35">
        <f t="shared" si="15"/>
        <v>10</v>
      </c>
      <c r="Y23" s="35">
        <f t="shared" si="15"/>
        <v>9</v>
      </c>
      <c r="Z23" s="35">
        <f t="shared" si="15"/>
        <v>10</v>
      </c>
      <c r="AA23" s="35">
        <f t="shared" si="15"/>
        <v>10</v>
      </c>
      <c r="AB23" s="35">
        <f t="shared" si="15"/>
        <v>9</v>
      </c>
      <c r="AC23" s="35">
        <f t="shared" si="15"/>
        <v>10</v>
      </c>
      <c r="AD23" s="35">
        <f t="shared" si="15"/>
        <v>10</v>
      </c>
      <c r="AE23" s="35">
        <f t="shared" si="15"/>
        <v>10</v>
      </c>
      <c r="AF23" s="35">
        <f t="shared" si="15"/>
        <v>11</v>
      </c>
      <c r="AG23" s="35">
        <f t="shared" si="15"/>
        <v>11</v>
      </c>
      <c r="AH23" s="35">
        <f t="shared" si="15"/>
        <v>11</v>
      </c>
      <c r="AI23" s="35">
        <f t="shared" si="15"/>
        <v>13</v>
      </c>
      <c r="AJ23" s="35">
        <f t="shared" si="15"/>
        <v>12</v>
      </c>
      <c r="AK23" s="35">
        <f t="shared" si="15"/>
        <v>12</v>
      </c>
      <c r="AL23" s="35">
        <f t="shared" si="15"/>
        <v>13</v>
      </c>
      <c r="AM23" s="35">
        <f t="shared" si="15"/>
        <v>12</v>
      </c>
      <c r="AN23" s="35">
        <f t="shared" si="15"/>
        <v>12</v>
      </c>
      <c r="AO23" s="35">
        <f t="shared" si="15"/>
        <v>13</v>
      </c>
      <c r="AP23" s="35">
        <f t="shared" si="15"/>
        <v>12</v>
      </c>
      <c r="AQ23" s="35">
        <f t="shared" si="15"/>
        <v>12</v>
      </c>
      <c r="AR23" s="35">
        <f t="shared" si="15"/>
        <v>13</v>
      </c>
      <c r="AS23" s="35">
        <f t="shared" si="15"/>
        <v>13</v>
      </c>
      <c r="AT23" s="35">
        <f t="shared" si="15"/>
        <v>15</v>
      </c>
      <c r="AU23" s="35">
        <f t="shared" si="15"/>
        <v>15</v>
      </c>
      <c r="AV23" s="35">
        <f t="shared" si="15"/>
        <v>15</v>
      </c>
      <c r="AW23" s="35">
        <f t="shared" si="15"/>
        <v>14</v>
      </c>
      <c r="AX23" s="35">
        <f t="shared" si="15"/>
        <v>16</v>
      </c>
      <c r="AY23" s="35">
        <f t="shared" si="15"/>
        <v>15</v>
      </c>
      <c r="AZ23" s="35">
        <f t="shared" si="15"/>
        <v>15</v>
      </c>
      <c r="BA23" s="35">
        <f t="shared" si="15"/>
        <v>14</v>
      </c>
      <c r="BB23" s="1"/>
      <c r="BC23" s="35"/>
      <c r="BD23" s="35"/>
      <c r="BE23" s="35"/>
      <c r="BF23" s="35"/>
    </row>
    <row r="24">
      <c r="A24" s="1"/>
      <c r="B24" s="3" t="s">
        <v>101</v>
      </c>
      <c r="C24" s="1"/>
      <c r="D24" s="1"/>
      <c r="E24" s="3" t="s">
        <v>44</v>
      </c>
      <c r="F24" s="35">
        <f>0</f>
        <v>0</v>
      </c>
      <c r="G24" s="35">
        <f t="shared" ref="G24:J24" si="16">MAX(0,F43-G43)</f>
        <v>0</v>
      </c>
      <c r="H24" s="35">
        <f t="shared" si="16"/>
        <v>2</v>
      </c>
      <c r="I24" s="35">
        <f t="shared" si="16"/>
        <v>0</v>
      </c>
      <c r="J24" s="35">
        <f t="shared" si="16"/>
        <v>1</v>
      </c>
      <c r="K24" s="35">
        <f t="shared" ref="K24:L24" si="17">F7+MAX(0,J43-K43)</f>
        <v>1</v>
      </c>
      <c r="L24" s="35">
        <f t="shared" si="17"/>
        <v>1</v>
      </c>
      <c r="M24" s="35">
        <f t="shared" ref="M24:BA24" si="18">H7+F15+MAX(0,L43-M43)</f>
        <v>1</v>
      </c>
      <c r="N24" s="35">
        <f t="shared" si="18"/>
        <v>2</v>
      </c>
      <c r="O24" s="35">
        <f t="shared" si="18"/>
        <v>0</v>
      </c>
      <c r="P24" s="35">
        <f t="shared" si="18"/>
        <v>1</v>
      </c>
      <c r="Q24" s="35">
        <f t="shared" si="18"/>
        <v>2</v>
      </c>
      <c r="R24" s="35">
        <f t="shared" si="18"/>
        <v>2</v>
      </c>
      <c r="S24" s="35">
        <f t="shared" si="18"/>
        <v>1</v>
      </c>
      <c r="T24" s="35">
        <f t="shared" si="18"/>
        <v>1</v>
      </c>
      <c r="U24" s="35">
        <f t="shared" si="18"/>
        <v>1</v>
      </c>
      <c r="V24" s="35">
        <f t="shared" si="18"/>
        <v>2</v>
      </c>
      <c r="W24" s="35">
        <f t="shared" si="18"/>
        <v>1</v>
      </c>
      <c r="X24" s="35">
        <f t="shared" si="18"/>
        <v>1</v>
      </c>
      <c r="Y24" s="35">
        <f t="shared" si="18"/>
        <v>2</v>
      </c>
      <c r="Z24" s="35">
        <f t="shared" si="18"/>
        <v>1</v>
      </c>
      <c r="AA24" s="35">
        <f t="shared" si="18"/>
        <v>2</v>
      </c>
      <c r="AB24" s="35">
        <f t="shared" si="18"/>
        <v>2</v>
      </c>
      <c r="AC24" s="35">
        <f t="shared" si="18"/>
        <v>1</v>
      </c>
      <c r="AD24" s="35">
        <f t="shared" si="18"/>
        <v>2</v>
      </c>
      <c r="AE24" s="35">
        <f t="shared" si="18"/>
        <v>2</v>
      </c>
      <c r="AF24" s="35">
        <f t="shared" si="18"/>
        <v>1</v>
      </c>
      <c r="AG24" s="35">
        <f t="shared" si="18"/>
        <v>2</v>
      </c>
      <c r="AH24" s="35">
        <f t="shared" si="18"/>
        <v>2</v>
      </c>
      <c r="AI24" s="35">
        <f t="shared" si="18"/>
        <v>1</v>
      </c>
      <c r="AJ24" s="35">
        <f t="shared" si="18"/>
        <v>3</v>
      </c>
      <c r="AK24" s="35">
        <f t="shared" si="18"/>
        <v>2</v>
      </c>
      <c r="AL24" s="35">
        <f t="shared" si="18"/>
        <v>1</v>
      </c>
      <c r="AM24" s="35">
        <f t="shared" si="18"/>
        <v>3</v>
      </c>
      <c r="AN24" s="35">
        <f t="shared" si="18"/>
        <v>2</v>
      </c>
      <c r="AO24" s="35">
        <f t="shared" si="18"/>
        <v>1</v>
      </c>
      <c r="AP24" s="35">
        <f t="shared" si="18"/>
        <v>4</v>
      </c>
      <c r="AQ24" s="35">
        <f t="shared" si="18"/>
        <v>2</v>
      </c>
      <c r="AR24" s="35">
        <f t="shared" si="18"/>
        <v>2</v>
      </c>
      <c r="AS24" s="35">
        <f t="shared" si="18"/>
        <v>2</v>
      </c>
      <c r="AT24" s="35">
        <f t="shared" si="18"/>
        <v>1</v>
      </c>
      <c r="AU24" s="35">
        <f t="shared" si="18"/>
        <v>2</v>
      </c>
      <c r="AV24" s="35">
        <f t="shared" si="18"/>
        <v>3</v>
      </c>
      <c r="AW24" s="35">
        <f t="shared" si="18"/>
        <v>3</v>
      </c>
      <c r="AX24" s="35">
        <f t="shared" si="18"/>
        <v>1</v>
      </c>
      <c r="AY24" s="35">
        <f t="shared" si="18"/>
        <v>3</v>
      </c>
      <c r="AZ24" s="35">
        <f t="shared" si="18"/>
        <v>3</v>
      </c>
      <c r="BA24" s="35">
        <f t="shared" si="18"/>
        <v>3</v>
      </c>
      <c r="BB24" s="1"/>
      <c r="BC24" s="35">
        <f t="shared" ref="BC24:BF24" si="19">SUMPRODUCT((YEAR($F$3:$BA$3)=BC$3)*$F24:$BA24)</f>
        <v>11</v>
      </c>
      <c r="BD24" s="35">
        <f t="shared" si="19"/>
        <v>17</v>
      </c>
      <c r="BE24" s="35">
        <f t="shared" si="19"/>
        <v>22</v>
      </c>
      <c r="BF24" s="35">
        <f t="shared" si="19"/>
        <v>29</v>
      </c>
    </row>
    <row r="25">
      <c r="A25" s="1"/>
      <c r="B25" s="3" t="s">
        <v>102</v>
      </c>
      <c r="C25" s="1"/>
      <c r="D25" s="1"/>
      <c r="E25" s="3" t="s">
        <v>44</v>
      </c>
      <c r="F25" s="35">
        <f>F24</f>
        <v>0</v>
      </c>
      <c r="G25" s="35">
        <f>F25*(1-Assumptions!$C$19)+G24</f>
        <v>0</v>
      </c>
      <c r="H25" s="35">
        <f>G25*(1-Assumptions!$C$19)+H24</f>
        <v>2</v>
      </c>
      <c r="I25" s="35">
        <f>H25*(1-Assumptions!$C$19)+I24</f>
        <v>1.96315306</v>
      </c>
      <c r="J25" s="35">
        <f>I25*(1-Assumptions!$C$19)+J24</f>
        <v>2.926984968</v>
      </c>
      <c r="K25" s="35">
        <f>J25*(1-Assumptions!$C$19)+K24</f>
        <v>3.873059748</v>
      </c>
      <c r="L25" s="35">
        <f>K25*(1-Assumptions!$C$19)+L24</f>
        <v>4.801704547</v>
      </c>
      <c r="M25" s="35">
        <f>L25*(1-Assumptions!$C$19)+M24</f>
        <v>5.713240487</v>
      </c>
      <c r="N25" s="35">
        <f>M25*(1-Assumptions!$C$19)+N24</f>
        <v>7.607982772</v>
      </c>
      <c r="O25" s="35">
        <f>N25*(1-Assumptions!$C$19)+O24</f>
        <v>7.467817328</v>
      </c>
      <c r="P25" s="35">
        <f>O25*(1-Assumptions!$C$19)+P24</f>
        <v>8.330234219</v>
      </c>
      <c r="Q25" s="35">
        <f>P25*(1-Assumptions!$C$19)+Q24</f>
        <v>10.1767624</v>
      </c>
      <c r="R25" s="35">
        <f>Q25*(1-Assumptions!$C$19)+R24</f>
        <v>11.98927112</v>
      </c>
      <c r="S25" s="35">
        <f>R25*(1-Assumptions!$C$19)+S24</f>
        <v>12.76838714</v>
      </c>
      <c r="T25" s="35">
        <f>S25*(1-Assumptions!$C$19)+T24</f>
        <v>13.53314914</v>
      </c>
      <c r="U25" s="35">
        <f>T25*(1-Assumptions!$C$19)+U24</f>
        <v>14.28382157</v>
      </c>
      <c r="V25" s="35">
        <f>U25*(1-Assumptions!$C$19)+V24</f>
        <v>16.02066401</v>
      </c>
      <c r="W25" s="35">
        <f>V25*(1-Assumptions!$C$19)+W24</f>
        <v>16.72550779</v>
      </c>
      <c r="X25" s="35">
        <f>W25*(1-Assumptions!$C$19)+X24</f>
        <v>17.4173659</v>
      </c>
      <c r="Y25" s="35">
        <f>X25*(1-Assumptions!$C$19)+Y24</f>
        <v>19.09647758</v>
      </c>
      <c r="Z25" s="35">
        <f>Y25*(1-Assumptions!$C$19)+Z24</f>
        <v>19.74465419</v>
      </c>
      <c r="AA25" s="35">
        <f>Z25*(1-Assumptions!$C$19)+AA24</f>
        <v>21.38088914</v>
      </c>
      <c r="AB25" s="35">
        <f>AA25*(1-Assumptions!$C$19)+AB24</f>
        <v>22.98697897</v>
      </c>
      <c r="AC25" s="35">
        <f>AB25*(1-Assumptions!$C$19)+AC24</f>
        <v>23.56347905</v>
      </c>
      <c r="AD25" s="35">
        <f>AC25*(1-Assumptions!$C$19)+AD24</f>
        <v>25.129358</v>
      </c>
      <c r="AE25" s="35">
        <f>AD25*(1-Assumptions!$C$19)+AE24</f>
        <v>26.66638802</v>
      </c>
      <c r="AF25" s="35">
        <f>AE25*(1-Assumptions!$C$19)+AF24</f>
        <v>27.17510062</v>
      </c>
      <c r="AG25" s="35">
        <f>AF25*(1-Assumptions!$C$19)+AG24</f>
        <v>28.67444097</v>
      </c>
      <c r="AH25" s="35">
        <f>AG25*(1-Assumptions!$C$19)+AH24</f>
        <v>30.14615826</v>
      </c>
      <c r="AI25" s="35">
        <f>AH25*(1-Assumptions!$C$19)+AI24</f>
        <v>30.59076141</v>
      </c>
      <c r="AJ25" s="35">
        <f>AI25*(1-Assumptions!$C$19)+AJ24</f>
        <v>33.02717343</v>
      </c>
      <c r="AK25" s="35">
        <f>AJ25*(1-Assumptions!$C$19)+AK24</f>
        <v>34.41869829</v>
      </c>
      <c r="AL25" s="35">
        <f>AK25*(1-Assumptions!$C$19)+AL24</f>
        <v>34.78458643</v>
      </c>
      <c r="AM25" s="35">
        <f>AL25*(1-Assumptions!$C$19)+AM24</f>
        <v>37.14373364</v>
      </c>
      <c r="AN25" s="35">
        <f>AM25*(1-Assumptions!$C$19)+AN24</f>
        <v>38.45941717</v>
      </c>
      <c r="AO25" s="35">
        <f>AN25*(1-Assumptions!$C$19)+AO24</f>
        <v>38.75086125</v>
      </c>
      <c r="AP25" s="35">
        <f>AO25*(1-Assumptions!$C$19)+AP24</f>
        <v>42.03693592</v>
      </c>
      <c r="AQ25" s="35">
        <f>AP25*(1-Assumptions!$C$19)+AQ24</f>
        <v>43.26246968</v>
      </c>
      <c r="AR25" s="35">
        <f>AQ25*(1-Assumptions!$C$19)+AR24</f>
        <v>44.46542487</v>
      </c>
      <c r="AS25" s="35">
        <f>AR25*(1-Assumptions!$C$19)+AS24</f>
        <v>45.64621744</v>
      </c>
      <c r="AT25" s="35">
        <f>AS25*(1-Assumptions!$C$19)+AT24</f>
        <v>45.80525572</v>
      </c>
      <c r="AU25" s="35">
        <f>AT25*(1-Assumptions!$C$19)+AU24</f>
        <v>46.96136396</v>
      </c>
      <c r="AV25" s="35">
        <f>AU25*(1-Assumptions!$C$19)+AV24</f>
        <v>49.09617267</v>
      </c>
      <c r="AW25" s="35">
        <f>AV25*(1-Assumptions!$C$19)+AW24</f>
        <v>51.1916508</v>
      </c>
      <c r="AX25" s="35">
        <f>AW25*(1-Assumptions!$C$19)+AX24</f>
        <v>51.24852295</v>
      </c>
      <c r="AY25" s="35">
        <f>AX25*(1-Assumptions!$C$19)+AY24</f>
        <v>53.30434732</v>
      </c>
      <c r="AZ25" s="35">
        <f>AY25*(1-Assumptions!$C$19)+AZ24</f>
        <v>55.32229627</v>
      </c>
      <c r="BA25" s="35">
        <f>AZ25*(1-Assumptions!$C$19)+BA24</f>
        <v>57.3030676</v>
      </c>
      <c r="BB25" s="1"/>
      <c r="BC25" s="35"/>
      <c r="BD25" s="35"/>
      <c r="BE25" s="35"/>
      <c r="BF25" s="35"/>
    </row>
    <row r="26">
      <c r="A26" s="1"/>
      <c r="B26" s="3" t="s">
        <v>103</v>
      </c>
      <c r="C26" s="1"/>
      <c r="D26" s="1"/>
      <c r="E26" s="3" t="s">
        <v>44</v>
      </c>
      <c r="F26" s="35">
        <f t="array" ref="F26">Personnel!F13*INDEX(Assumptions!$C$20:$F$20,MATCH(YEAR(F$3),Assumptions!$C$1:$F$1,0))</f>
        <v>0</v>
      </c>
      <c r="G26" s="35">
        <f t="array" ref="G26">Personnel!G13*INDEX(Assumptions!$C$20:$F$20,MATCH(YEAR(G$3),Assumptions!$C$1:$F$1,0))</f>
        <v>0</v>
      </c>
      <c r="H26" s="35">
        <f t="array" ref="H26">Personnel!H13*INDEX(Assumptions!$C$20:$F$20,MATCH(YEAR(H$3),Assumptions!$C$1:$F$1,0))</f>
        <v>0</v>
      </c>
      <c r="I26" s="35">
        <f t="array" ref="I26">Personnel!I13*INDEX(Assumptions!$C$20:$F$20,MATCH(YEAR(I$3),Assumptions!$C$1:$F$1,0))</f>
        <v>0</v>
      </c>
      <c r="J26" s="35">
        <f t="array" ref="J26">Personnel!J13*INDEX(Assumptions!$C$20:$F$20,MATCH(YEAR(J$3),Assumptions!$C$1:$F$1,0))</f>
        <v>0</v>
      </c>
      <c r="K26" s="35">
        <f t="array" ref="K26">Personnel!K13*INDEX(Assumptions!$C$20:$F$20,MATCH(YEAR(K$3),Assumptions!$C$1:$F$1,0))</f>
        <v>0</v>
      </c>
      <c r="L26" s="35">
        <f t="array" ref="L26">Personnel!L13*INDEX(Assumptions!$C$20:$F$20,MATCH(YEAR(L$3),Assumptions!$C$1:$F$1,0))</f>
        <v>0</v>
      </c>
      <c r="M26" s="35">
        <f t="array" ref="M26">Personnel!M13*INDEX(Assumptions!$C$20:$F$20,MATCH(YEAR(M$3),Assumptions!$C$1:$F$1,0))</f>
        <v>0</v>
      </c>
      <c r="N26" s="35">
        <f t="array" ref="N26">Personnel!N13*INDEX(Assumptions!$C$20:$F$20,MATCH(YEAR(N$3),Assumptions!$C$1:$F$1,0))</f>
        <v>0</v>
      </c>
      <c r="O26" s="35">
        <f t="array" ref="O26">Personnel!O13*INDEX(Assumptions!$C$20:$F$20,MATCH(YEAR(O$3),Assumptions!$C$1:$F$1,0))</f>
        <v>0</v>
      </c>
      <c r="P26" s="35">
        <f t="array" ref="P26">Personnel!P13*INDEX(Assumptions!$C$20:$F$20,MATCH(YEAR(P$3),Assumptions!$C$1:$F$1,0))</f>
        <v>0</v>
      </c>
      <c r="Q26" s="35">
        <f t="array" ref="Q26">Personnel!Q13*INDEX(Assumptions!$C$20:$F$20,MATCH(YEAR(Q$3),Assumptions!$C$1:$F$1,0))</f>
        <v>0</v>
      </c>
      <c r="R26" s="35">
        <f t="array" ref="R26">Personnel!R13*INDEX(Assumptions!$C$20:$F$20,MATCH(YEAR(R$3),Assumptions!$C$1:$F$1,0))</f>
        <v>0</v>
      </c>
      <c r="S26" s="35">
        <f t="array" ref="S26">Personnel!S13*INDEX(Assumptions!$C$20:$F$20,MATCH(YEAR(S$3),Assumptions!$C$1:$F$1,0))</f>
        <v>0</v>
      </c>
      <c r="T26" s="35">
        <f t="array" ref="T26">Personnel!T13*INDEX(Assumptions!$C$20:$F$20,MATCH(YEAR(T$3),Assumptions!$C$1:$F$1,0))</f>
        <v>0</v>
      </c>
      <c r="U26" s="35">
        <f t="array" ref="U26">Personnel!U13*INDEX(Assumptions!$C$20:$F$20,MATCH(YEAR(U$3),Assumptions!$C$1:$F$1,0))</f>
        <v>0</v>
      </c>
      <c r="V26" s="35">
        <f t="array" ref="V26">Personnel!V13*INDEX(Assumptions!$C$20:$F$20,MATCH(YEAR(V$3),Assumptions!$C$1:$F$1,0))</f>
        <v>0</v>
      </c>
      <c r="W26" s="35">
        <f t="array" ref="W26">Personnel!W13*INDEX(Assumptions!$C$20:$F$20,MATCH(YEAR(W$3),Assumptions!$C$1:$F$1,0))</f>
        <v>0</v>
      </c>
      <c r="X26" s="35">
        <f t="array" ref="X26">Personnel!X13*INDEX(Assumptions!$C$20:$F$20,MATCH(YEAR(X$3),Assumptions!$C$1:$F$1,0))</f>
        <v>0</v>
      </c>
      <c r="Y26" s="35">
        <f t="array" ref="Y26">Personnel!Y13*INDEX(Assumptions!$C$20:$F$20,MATCH(YEAR(Y$3),Assumptions!$C$1:$F$1,0))</f>
        <v>0</v>
      </c>
      <c r="Z26" s="35">
        <f t="array" ref="Z26">Personnel!Z13*INDEX(Assumptions!$C$20:$F$20,MATCH(YEAR(Z$3),Assumptions!$C$1:$F$1,0))</f>
        <v>0</v>
      </c>
      <c r="AA26" s="35">
        <f t="array" ref="AA26">Personnel!AA13*INDEX(Assumptions!$C$20:$F$20,MATCH(YEAR(AA$3),Assumptions!$C$1:$F$1,0))</f>
        <v>0</v>
      </c>
      <c r="AB26" s="35">
        <f t="array" ref="AB26">Personnel!AB13*INDEX(Assumptions!$C$20:$F$20,MATCH(YEAR(AB$3),Assumptions!$C$1:$F$1,0))</f>
        <v>0</v>
      </c>
      <c r="AC26" s="35">
        <f t="array" ref="AC26">Personnel!AC13*INDEX(Assumptions!$C$20:$F$20,MATCH(YEAR(AC$3),Assumptions!$C$1:$F$1,0))</f>
        <v>0</v>
      </c>
      <c r="AD26" s="35">
        <f t="array" ref="AD26">Personnel!AD13*INDEX(Assumptions!$C$20:$F$20,MATCH(YEAR(AD$3),Assumptions!$C$1:$F$1,0))</f>
        <v>3</v>
      </c>
      <c r="AE26" s="35">
        <f t="array" ref="AE26">Personnel!AE13*INDEX(Assumptions!$C$20:$F$20,MATCH(YEAR(AE$3),Assumptions!$C$1:$F$1,0))</f>
        <v>3</v>
      </c>
      <c r="AF26" s="35">
        <f t="array" ref="AF26">Personnel!AF13*INDEX(Assumptions!$C$20:$F$20,MATCH(YEAR(AF$3),Assumptions!$C$1:$F$1,0))</f>
        <v>3</v>
      </c>
      <c r="AG26" s="35">
        <f t="array" ref="AG26">Personnel!AG13*INDEX(Assumptions!$C$20:$F$20,MATCH(YEAR(AG$3),Assumptions!$C$1:$F$1,0))</f>
        <v>3</v>
      </c>
      <c r="AH26" s="35">
        <f t="array" ref="AH26">Personnel!AH13*INDEX(Assumptions!$C$20:$F$20,MATCH(YEAR(AH$3),Assumptions!$C$1:$F$1,0))</f>
        <v>3</v>
      </c>
      <c r="AI26" s="35">
        <f t="array" ref="AI26">Personnel!AI13*INDEX(Assumptions!$C$20:$F$20,MATCH(YEAR(AI$3),Assumptions!$C$1:$F$1,0))</f>
        <v>3</v>
      </c>
      <c r="AJ26" s="35">
        <f t="array" ref="AJ26">Personnel!AJ13*INDEX(Assumptions!$C$20:$F$20,MATCH(YEAR(AJ$3),Assumptions!$C$1:$F$1,0))</f>
        <v>3</v>
      </c>
      <c r="AK26" s="35">
        <f t="array" ref="AK26">Personnel!AK13*INDEX(Assumptions!$C$20:$F$20,MATCH(YEAR(AK$3),Assumptions!$C$1:$F$1,0))</f>
        <v>3</v>
      </c>
      <c r="AL26" s="35">
        <f t="array" ref="AL26">Personnel!AL13*INDEX(Assumptions!$C$20:$F$20,MATCH(YEAR(AL$3),Assumptions!$C$1:$F$1,0))</f>
        <v>3</v>
      </c>
      <c r="AM26" s="35">
        <f t="array" ref="AM26">Personnel!AM13*INDEX(Assumptions!$C$20:$F$20,MATCH(YEAR(AM$3),Assumptions!$C$1:$F$1,0))</f>
        <v>3</v>
      </c>
      <c r="AN26" s="35">
        <f t="array" ref="AN26">Personnel!AN13*INDEX(Assumptions!$C$20:$F$20,MATCH(YEAR(AN$3),Assumptions!$C$1:$F$1,0))</f>
        <v>3</v>
      </c>
      <c r="AO26" s="35">
        <f t="array" ref="AO26">Personnel!AO13*INDEX(Assumptions!$C$20:$F$20,MATCH(YEAR(AO$3),Assumptions!$C$1:$F$1,0))</f>
        <v>3</v>
      </c>
      <c r="AP26" s="35">
        <f t="array" ref="AP26">Personnel!AP13*INDEX(Assumptions!$C$20:$F$20,MATCH(YEAR(AP$3),Assumptions!$C$1:$F$1,0))</f>
        <v>4</v>
      </c>
      <c r="AQ26" s="35">
        <f t="array" ref="AQ26">Personnel!AQ13*INDEX(Assumptions!$C$20:$F$20,MATCH(YEAR(AQ$3),Assumptions!$C$1:$F$1,0))</f>
        <v>4</v>
      </c>
      <c r="AR26" s="35">
        <f t="array" ref="AR26">Personnel!AR13*INDEX(Assumptions!$C$20:$F$20,MATCH(YEAR(AR$3),Assumptions!$C$1:$F$1,0))</f>
        <v>4</v>
      </c>
      <c r="AS26" s="35">
        <f t="array" ref="AS26">Personnel!AS13*INDEX(Assumptions!$C$20:$F$20,MATCH(YEAR(AS$3),Assumptions!$C$1:$F$1,0))</f>
        <v>4</v>
      </c>
      <c r="AT26" s="35">
        <f t="array" ref="AT26">Personnel!AT13*INDEX(Assumptions!$C$20:$F$20,MATCH(YEAR(AT$3),Assumptions!$C$1:$F$1,0))</f>
        <v>4</v>
      </c>
      <c r="AU26" s="35">
        <f t="array" ref="AU26">Personnel!AU13*INDEX(Assumptions!$C$20:$F$20,MATCH(YEAR(AU$3),Assumptions!$C$1:$F$1,0))</f>
        <v>4</v>
      </c>
      <c r="AV26" s="35">
        <f t="array" ref="AV26">Personnel!AV13*INDEX(Assumptions!$C$20:$F$20,MATCH(YEAR(AV$3),Assumptions!$C$1:$F$1,0))</f>
        <v>4</v>
      </c>
      <c r="AW26" s="35">
        <f t="array" ref="AW26">Personnel!AW13*INDEX(Assumptions!$C$20:$F$20,MATCH(YEAR(AW$3),Assumptions!$C$1:$F$1,0))</f>
        <v>4</v>
      </c>
      <c r="AX26" s="35">
        <f t="array" ref="AX26">Personnel!AX13*INDEX(Assumptions!$C$20:$F$20,MATCH(YEAR(AX$3),Assumptions!$C$1:$F$1,0))</f>
        <v>4</v>
      </c>
      <c r="AY26" s="35">
        <f t="array" ref="AY26">Personnel!AY13*INDEX(Assumptions!$C$20:$F$20,MATCH(YEAR(AY$3),Assumptions!$C$1:$F$1,0))</f>
        <v>4</v>
      </c>
      <c r="AZ26" s="35">
        <f t="array" ref="AZ26">Personnel!AZ13*INDEX(Assumptions!$C$20:$F$20,MATCH(YEAR(AZ$3),Assumptions!$C$1:$F$1,0))</f>
        <v>4</v>
      </c>
      <c r="BA26" s="35">
        <f t="array" ref="BA26">Personnel!BA13*INDEX(Assumptions!$C$20:$F$20,MATCH(YEAR(BA$3),Assumptions!$C$1:$F$1,0))</f>
        <v>4</v>
      </c>
      <c r="BB26" s="1"/>
      <c r="BC26" s="35">
        <f t="shared" ref="BC26:BF26" si="20">SUMPRODUCT((YEAR($F$3:$BA$3)=BC$3)*$F26:$BA26)</f>
        <v>0</v>
      </c>
      <c r="BD26" s="35">
        <f t="shared" si="20"/>
        <v>0</v>
      </c>
      <c r="BE26" s="35">
        <f t="shared" si="20"/>
        <v>36</v>
      </c>
      <c r="BF26" s="35">
        <f t="shared" si="20"/>
        <v>48</v>
      </c>
    </row>
    <row r="27">
      <c r="A27" s="1"/>
      <c r="B27" s="3" t="s">
        <v>104</v>
      </c>
      <c r="C27" s="1"/>
      <c r="D27" s="1"/>
      <c r="E27" s="3" t="s">
        <v>44</v>
      </c>
      <c r="F27" s="35">
        <f>F26</f>
        <v>0</v>
      </c>
      <c r="G27" s="35">
        <f>F27*(1-Assumptions!$C$22)+G26</f>
        <v>0</v>
      </c>
      <c r="H27" s="35">
        <f>G27*(1-Assumptions!$C$22)+H26</f>
        <v>0</v>
      </c>
      <c r="I27" s="35">
        <f>H27*(1-Assumptions!$C$22)+I26</f>
        <v>0</v>
      </c>
      <c r="J27" s="35">
        <f>I27*(1-Assumptions!$C$22)+J26</f>
        <v>0</v>
      </c>
      <c r="K27" s="35">
        <f>J27*(1-Assumptions!$C$22)+K26</f>
        <v>0</v>
      </c>
      <c r="L27" s="35">
        <f>K27*(1-Assumptions!$C$22)+L26</f>
        <v>0</v>
      </c>
      <c r="M27" s="35">
        <f>L27*(1-Assumptions!$C$22)+M26</f>
        <v>0</v>
      </c>
      <c r="N27" s="35">
        <f>M27*(1-Assumptions!$C$22)+N26</f>
        <v>0</v>
      </c>
      <c r="O27" s="35">
        <f>N27*(1-Assumptions!$C$22)+O26</f>
        <v>0</v>
      </c>
      <c r="P27" s="35">
        <f>O27*(1-Assumptions!$C$22)+P26</f>
        <v>0</v>
      </c>
      <c r="Q27" s="35">
        <f>P27*(1-Assumptions!$C$22)+Q26</f>
        <v>0</v>
      </c>
      <c r="R27" s="35">
        <f>Q27*(1-Assumptions!$C$22)+R26</f>
        <v>0</v>
      </c>
      <c r="S27" s="35">
        <f>R27*(1-Assumptions!$C$22)+S26</f>
        <v>0</v>
      </c>
      <c r="T27" s="35">
        <f>S27*(1-Assumptions!$C$22)+T26</f>
        <v>0</v>
      </c>
      <c r="U27" s="35">
        <f>T27*(1-Assumptions!$C$22)+U26</f>
        <v>0</v>
      </c>
      <c r="V27" s="35">
        <f>U27*(1-Assumptions!$C$22)+V26</f>
        <v>0</v>
      </c>
      <c r="W27" s="35">
        <f>V27*(1-Assumptions!$C$22)+W26</f>
        <v>0</v>
      </c>
      <c r="X27" s="35">
        <f>W27*(1-Assumptions!$C$22)+X26</f>
        <v>0</v>
      </c>
      <c r="Y27" s="35">
        <f>X27*(1-Assumptions!$C$22)+Y26</f>
        <v>0</v>
      </c>
      <c r="Z27" s="35">
        <f>Y27*(1-Assumptions!$C$22)+Z26</f>
        <v>0</v>
      </c>
      <c r="AA27" s="35">
        <f>Z27*(1-Assumptions!$C$22)+AA26</f>
        <v>0</v>
      </c>
      <c r="AB27" s="35">
        <f>AA27*(1-Assumptions!$C$22)+AB26</f>
        <v>0</v>
      </c>
      <c r="AC27" s="35">
        <f>AB27*(1-Assumptions!$C$22)+AC26</f>
        <v>0</v>
      </c>
      <c r="AD27" s="35">
        <f>AC27*(1-Assumptions!$C$22)+AD26</f>
        <v>3</v>
      </c>
      <c r="AE27" s="35">
        <f>AD27*(1-Assumptions!$C$22)+AE26</f>
        <v>5.912143409</v>
      </c>
      <c r="AF27" s="35">
        <f>AE27*(1-Assumptions!$C$22)+AF26</f>
        <v>8.739003153</v>
      </c>
      <c r="AG27" s="35">
        <f>AF27*(1-Assumptions!$C$22)+AG26</f>
        <v>11.48307681</v>
      </c>
      <c r="AH27" s="35">
        <f>AG27*(1-Assumptions!$C$22)+AH26</f>
        <v>14.14678882</v>
      </c>
      <c r="AI27" s="35">
        <f>AH27*(1-Assumptions!$C$22)+AI26</f>
        <v>16.7324926</v>
      </c>
      <c r="AJ27" s="35">
        <f>AI27*(1-Assumptions!$C$22)+AJ26</f>
        <v>19.24247268</v>
      </c>
      <c r="AK27" s="35">
        <f>AJ27*(1-Assumptions!$C$22)+AK26</f>
        <v>21.67894666</v>
      </c>
      <c r="AL27" s="35">
        <f>AK27*(1-Assumptions!$C$22)+AL26</f>
        <v>24.04406721</v>
      </c>
      <c r="AM27" s="35">
        <f>AL27*(1-Assumptions!$C$22)+AM26</f>
        <v>26.33992395</v>
      </c>
      <c r="AN27" s="35">
        <f>AM27*(1-Assumptions!$C$22)+AN26</f>
        <v>28.56854531</v>
      </c>
      <c r="AO27" s="35">
        <f>AN27*(1-Assumptions!$C$22)+AO26</f>
        <v>30.73190031</v>
      </c>
      <c r="AP27" s="35">
        <f>AO27*(1-Assumptions!$C$22)+AP26</f>
        <v>33.83190031</v>
      </c>
      <c r="AQ27" s="35">
        <f>AP27*(1-Assumptions!$C$22)+AQ26</f>
        <v>36.84111516</v>
      </c>
      <c r="AR27" s="35">
        <f>AQ27*(1-Assumptions!$C$22)+AR26</f>
        <v>39.76220357</v>
      </c>
      <c r="AS27" s="35">
        <f>AR27*(1-Assumptions!$C$22)+AS26</f>
        <v>42.59774635</v>
      </c>
      <c r="AT27" s="35">
        <f>AS27*(1-Assumptions!$C$22)+AT26</f>
        <v>45.35024875</v>
      </c>
      <c r="AU27" s="35">
        <f>AT27*(1-Assumptions!$C$22)+AU26</f>
        <v>48.02214266</v>
      </c>
      <c r="AV27" s="35">
        <f>AU27*(1-Assumptions!$C$22)+AV26</f>
        <v>50.61578875</v>
      </c>
      <c r="AW27" s="35">
        <f>AV27*(1-Assumptions!$C$22)+AW26</f>
        <v>53.13347853</v>
      </c>
      <c r="AX27" s="35">
        <f>AW27*(1-Assumptions!$C$22)+AX26</f>
        <v>55.57743643</v>
      </c>
      <c r="AY27" s="35">
        <f>AX27*(1-Assumptions!$C$22)+AY26</f>
        <v>57.94982173</v>
      </c>
      <c r="AZ27" s="35">
        <f>AY27*(1-Assumptions!$C$22)+AZ26</f>
        <v>60.25273046</v>
      </c>
      <c r="BA27" s="35">
        <f>AZ27*(1-Assumptions!$C$22)+BA26</f>
        <v>62.48819729</v>
      </c>
      <c r="BB27" s="1"/>
      <c r="BC27" s="35"/>
      <c r="BD27" s="35"/>
      <c r="BE27" s="35"/>
      <c r="BF27" s="35"/>
    </row>
    <row r="28">
      <c r="A28" s="1"/>
      <c r="B28" s="3" t="s">
        <v>105</v>
      </c>
      <c r="C28" s="1"/>
      <c r="D28" s="1"/>
      <c r="E28" s="3" t="s">
        <v>44</v>
      </c>
      <c r="F28" s="35">
        <f t="shared" ref="F28:BA28" si="21">F23+F25+F27</f>
        <v>4</v>
      </c>
      <c r="G28" s="35">
        <f t="shared" si="21"/>
        <v>6</v>
      </c>
      <c r="H28" s="35">
        <f t="shared" si="21"/>
        <v>7</v>
      </c>
      <c r="I28" s="35">
        <f t="shared" si="21"/>
        <v>7.96315306</v>
      </c>
      <c r="J28" s="35">
        <f t="shared" si="21"/>
        <v>8.926984968</v>
      </c>
      <c r="K28" s="35">
        <f t="shared" si="21"/>
        <v>10.87305975</v>
      </c>
      <c r="L28" s="35">
        <f t="shared" si="21"/>
        <v>11.80170455</v>
      </c>
      <c r="M28" s="35">
        <f t="shared" si="21"/>
        <v>12.71324049</v>
      </c>
      <c r="N28" s="35">
        <f t="shared" si="21"/>
        <v>13.60798277</v>
      </c>
      <c r="O28" s="35">
        <f t="shared" si="21"/>
        <v>15.46781733</v>
      </c>
      <c r="P28" s="35">
        <f t="shared" si="21"/>
        <v>16.33023422</v>
      </c>
      <c r="Q28" s="35">
        <f t="shared" si="21"/>
        <v>17.1767624</v>
      </c>
      <c r="R28" s="35">
        <f t="shared" si="21"/>
        <v>18.98927112</v>
      </c>
      <c r="S28" s="35">
        <f t="shared" si="21"/>
        <v>19.76838714</v>
      </c>
      <c r="T28" s="35">
        <f t="shared" si="21"/>
        <v>21.53314914</v>
      </c>
      <c r="U28" s="35">
        <f t="shared" si="21"/>
        <v>23.28382157</v>
      </c>
      <c r="V28" s="35">
        <f t="shared" si="21"/>
        <v>24.02066401</v>
      </c>
      <c r="W28" s="35">
        <f t="shared" si="21"/>
        <v>25.72550779</v>
      </c>
      <c r="X28" s="35">
        <f t="shared" si="21"/>
        <v>27.4173659</v>
      </c>
      <c r="Y28" s="35">
        <f t="shared" si="21"/>
        <v>28.09647758</v>
      </c>
      <c r="Z28" s="35">
        <f t="shared" si="21"/>
        <v>29.74465419</v>
      </c>
      <c r="AA28" s="35">
        <f t="shared" si="21"/>
        <v>31.38088914</v>
      </c>
      <c r="AB28" s="35">
        <f t="shared" si="21"/>
        <v>31.98697897</v>
      </c>
      <c r="AC28" s="35">
        <f t="shared" si="21"/>
        <v>33.56347905</v>
      </c>
      <c r="AD28" s="35">
        <f t="shared" si="21"/>
        <v>38.129358</v>
      </c>
      <c r="AE28" s="35">
        <f t="shared" si="21"/>
        <v>42.57853143</v>
      </c>
      <c r="AF28" s="35">
        <f t="shared" si="21"/>
        <v>46.91410377</v>
      </c>
      <c r="AG28" s="35">
        <f t="shared" si="21"/>
        <v>51.15751778</v>
      </c>
      <c r="AH28" s="35">
        <f t="shared" si="21"/>
        <v>55.29294708</v>
      </c>
      <c r="AI28" s="35">
        <f t="shared" si="21"/>
        <v>60.32325402</v>
      </c>
      <c r="AJ28" s="35">
        <f t="shared" si="21"/>
        <v>64.26964612</v>
      </c>
      <c r="AK28" s="35">
        <f t="shared" si="21"/>
        <v>68.09764495</v>
      </c>
      <c r="AL28" s="35">
        <f t="shared" si="21"/>
        <v>71.82865364</v>
      </c>
      <c r="AM28" s="35">
        <f t="shared" si="21"/>
        <v>75.48365759</v>
      </c>
      <c r="AN28" s="35">
        <f t="shared" si="21"/>
        <v>79.02796248</v>
      </c>
      <c r="AO28" s="35">
        <f t="shared" si="21"/>
        <v>82.48276156</v>
      </c>
      <c r="AP28" s="35">
        <f t="shared" si="21"/>
        <v>87.86883622</v>
      </c>
      <c r="AQ28" s="35">
        <f t="shared" si="21"/>
        <v>92.10358485</v>
      </c>
      <c r="AR28" s="35">
        <f t="shared" si="21"/>
        <v>97.22762843</v>
      </c>
      <c r="AS28" s="35">
        <f t="shared" si="21"/>
        <v>101.2439638</v>
      </c>
      <c r="AT28" s="35">
        <f t="shared" si="21"/>
        <v>106.1555045</v>
      </c>
      <c r="AU28" s="35">
        <f t="shared" si="21"/>
        <v>109.9835066</v>
      </c>
      <c r="AV28" s="35">
        <f t="shared" si="21"/>
        <v>114.7119614</v>
      </c>
      <c r="AW28" s="35">
        <f t="shared" si="21"/>
        <v>118.3251293</v>
      </c>
      <c r="AX28" s="35">
        <f t="shared" si="21"/>
        <v>122.8259594</v>
      </c>
      <c r="AY28" s="35">
        <f t="shared" si="21"/>
        <v>126.254169</v>
      </c>
      <c r="AZ28" s="35">
        <f t="shared" si="21"/>
        <v>130.5750267</v>
      </c>
      <c r="BA28" s="35">
        <f t="shared" si="21"/>
        <v>133.7912649</v>
      </c>
      <c r="BB28" s="1"/>
      <c r="BC28" s="35"/>
      <c r="BD28" s="35"/>
      <c r="BE28" s="35"/>
      <c r="BF28" s="35"/>
    </row>
    <row r="29">
      <c r="A29" s="1"/>
      <c r="B29" s="52" t="s">
        <v>106</v>
      </c>
      <c r="C29" s="53"/>
      <c r="D29" s="53"/>
      <c r="E29" s="52" t="s">
        <v>33</v>
      </c>
      <c r="F29" s="54">
        <f t="array" ref="F29">F28*INDEX(Assumptions!$C$17:$F$17,MATCH(YEAR(F$3),Assumptions!$C$1:$F$1,0))</f>
        <v>2000</v>
      </c>
      <c r="G29" s="54">
        <f t="array" ref="G29">G28*INDEX(Assumptions!$C$17:$F$17,MATCH(YEAR(G$3),Assumptions!$C$1:$F$1,0))</f>
        <v>3000</v>
      </c>
      <c r="H29" s="54">
        <f t="array" ref="H29">H28*INDEX(Assumptions!$C$17:$F$17,MATCH(YEAR(H$3),Assumptions!$C$1:$F$1,0))</f>
        <v>3500</v>
      </c>
      <c r="I29" s="54">
        <f t="array" ref="I29">I28*INDEX(Assumptions!$C$17:$F$17,MATCH(YEAR(I$3),Assumptions!$C$1:$F$1,0))</f>
        <v>3981.57653</v>
      </c>
      <c r="J29" s="54">
        <f t="array" ref="J29">J28*INDEX(Assumptions!$C$17:$F$17,MATCH(YEAR(J$3),Assumptions!$C$1:$F$1,0))</f>
        <v>4463.492484</v>
      </c>
      <c r="K29" s="54">
        <f t="array" ref="K29">K28*INDEX(Assumptions!$C$17:$F$17,MATCH(YEAR(K$3),Assumptions!$C$1:$F$1,0))</f>
        <v>5436.529874</v>
      </c>
      <c r="L29" s="54">
        <f t="array" ref="L29">L28*INDEX(Assumptions!$C$17:$F$17,MATCH(YEAR(L$3),Assumptions!$C$1:$F$1,0))</f>
        <v>5900.852274</v>
      </c>
      <c r="M29" s="54">
        <f t="array" ref="M29">M28*INDEX(Assumptions!$C$17:$F$17,MATCH(YEAR(M$3),Assumptions!$C$1:$F$1,0))</f>
        <v>6356.620244</v>
      </c>
      <c r="N29" s="54">
        <f t="array" ref="N29">N28*INDEX(Assumptions!$C$17:$F$17,MATCH(YEAR(N$3),Assumptions!$C$1:$F$1,0))</f>
        <v>6803.991386</v>
      </c>
      <c r="O29" s="54">
        <f t="array" ref="O29">O28*INDEX(Assumptions!$C$17:$F$17,MATCH(YEAR(O$3),Assumptions!$C$1:$F$1,0))</f>
        <v>7733.908664</v>
      </c>
      <c r="P29" s="54">
        <f t="array" ref="P29">P28*INDEX(Assumptions!$C$17:$F$17,MATCH(YEAR(P$3),Assumptions!$C$1:$F$1,0))</f>
        <v>8165.117109</v>
      </c>
      <c r="Q29" s="54">
        <f t="array" ref="Q29">Q28*INDEX(Assumptions!$C$17:$F$17,MATCH(YEAR(Q$3),Assumptions!$C$1:$F$1,0))</f>
        <v>8588.381199</v>
      </c>
      <c r="R29" s="54">
        <f t="array" ref="R29">R28*INDEX(Assumptions!$C$17:$F$17,MATCH(YEAR(R$3),Assumptions!$C$1:$F$1,0))</f>
        <v>9494.63556</v>
      </c>
      <c r="S29" s="54">
        <f t="array" ref="S29">S28*INDEX(Assumptions!$C$17:$F$17,MATCH(YEAR(S$3),Assumptions!$C$1:$F$1,0))</f>
        <v>9884.193571</v>
      </c>
      <c r="T29" s="54">
        <f t="array" ref="T29">T28*INDEX(Assumptions!$C$17:$F$17,MATCH(YEAR(T$3),Assumptions!$C$1:$F$1,0))</f>
        <v>10766.57457</v>
      </c>
      <c r="U29" s="54">
        <f t="array" ref="U29">U28*INDEX(Assumptions!$C$17:$F$17,MATCH(YEAR(U$3),Assumptions!$C$1:$F$1,0))</f>
        <v>11641.91079</v>
      </c>
      <c r="V29" s="54">
        <f t="array" ref="V29">V28*INDEX(Assumptions!$C$17:$F$17,MATCH(YEAR(V$3),Assumptions!$C$1:$F$1,0))</f>
        <v>12010.33201</v>
      </c>
      <c r="W29" s="54">
        <f t="array" ref="W29">W28*INDEX(Assumptions!$C$17:$F$17,MATCH(YEAR(W$3),Assumptions!$C$1:$F$1,0))</f>
        <v>12862.75389</v>
      </c>
      <c r="X29" s="54">
        <f t="array" ref="X29">X28*INDEX(Assumptions!$C$17:$F$17,MATCH(YEAR(X$3),Assumptions!$C$1:$F$1,0))</f>
        <v>13708.68295</v>
      </c>
      <c r="Y29" s="54">
        <f t="array" ref="Y29">Y28*INDEX(Assumptions!$C$17:$F$17,MATCH(YEAR(Y$3),Assumptions!$C$1:$F$1,0))</f>
        <v>14048.23879</v>
      </c>
      <c r="Z29" s="54">
        <f t="array" ref="Z29">Z28*INDEX(Assumptions!$C$17:$F$17,MATCH(YEAR(Z$3),Assumptions!$C$1:$F$1,0))</f>
        <v>14872.3271</v>
      </c>
      <c r="AA29" s="54">
        <f t="array" ref="AA29">AA28*INDEX(Assumptions!$C$17:$F$17,MATCH(YEAR(AA$3),Assumptions!$C$1:$F$1,0))</f>
        <v>15690.44457</v>
      </c>
      <c r="AB29" s="54">
        <f t="array" ref="AB29">AB28*INDEX(Assumptions!$C$17:$F$17,MATCH(YEAR(AB$3),Assumptions!$C$1:$F$1,0))</f>
        <v>15993.48949</v>
      </c>
      <c r="AC29" s="54">
        <f t="array" ref="AC29">AC28*INDEX(Assumptions!$C$17:$F$17,MATCH(YEAR(AC$3),Assumptions!$C$1:$F$1,0))</f>
        <v>16781.73953</v>
      </c>
      <c r="AD29" s="54">
        <f t="array" ref="AD29">AD28*INDEX(Assumptions!$C$17:$F$17,MATCH(YEAR(AD$3),Assumptions!$C$1:$F$1,0))</f>
        <v>19064.679</v>
      </c>
      <c r="AE29" s="54">
        <f t="array" ref="AE29">AE28*INDEX(Assumptions!$C$17:$F$17,MATCH(YEAR(AE$3),Assumptions!$C$1:$F$1,0))</f>
        <v>21289.26572</v>
      </c>
      <c r="AF29" s="54">
        <f t="array" ref="AF29">AF28*INDEX(Assumptions!$C$17:$F$17,MATCH(YEAR(AF$3),Assumptions!$C$1:$F$1,0))</f>
        <v>23457.05189</v>
      </c>
      <c r="AG29" s="54">
        <f t="array" ref="AG29">AG28*INDEX(Assumptions!$C$17:$F$17,MATCH(YEAR(AG$3),Assumptions!$C$1:$F$1,0))</f>
        <v>25578.75889</v>
      </c>
      <c r="AH29" s="54">
        <f t="array" ref="AH29">AH28*INDEX(Assumptions!$C$17:$F$17,MATCH(YEAR(AH$3),Assumptions!$C$1:$F$1,0))</f>
        <v>27646.47354</v>
      </c>
      <c r="AI29" s="54">
        <f t="array" ref="AI29">AI28*INDEX(Assumptions!$C$17:$F$17,MATCH(YEAR(AI$3),Assumptions!$C$1:$F$1,0))</f>
        <v>30161.62701</v>
      </c>
      <c r="AJ29" s="54">
        <f t="array" ref="AJ29">AJ28*INDEX(Assumptions!$C$17:$F$17,MATCH(YEAR(AJ$3),Assumptions!$C$1:$F$1,0))</f>
        <v>32134.82306</v>
      </c>
      <c r="AK29" s="54">
        <f t="array" ref="AK29">AK28*INDEX(Assumptions!$C$17:$F$17,MATCH(YEAR(AK$3),Assumptions!$C$1:$F$1,0))</f>
        <v>34048.82248</v>
      </c>
      <c r="AL29" s="54">
        <f t="array" ref="AL29">AL28*INDEX(Assumptions!$C$17:$F$17,MATCH(YEAR(AL$3),Assumptions!$C$1:$F$1,0))</f>
        <v>35914.32682</v>
      </c>
      <c r="AM29" s="54">
        <f t="array" ref="AM29">AM28*INDEX(Assumptions!$C$17:$F$17,MATCH(YEAR(AM$3),Assumptions!$C$1:$F$1,0))</f>
        <v>37741.8288</v>
      </c>
      <c r="AN29" s="54">
        <f t="array" ref="AN29">AN28*INDEX(Assumptions!$C$17:$F$17,MATCH(YEAR(AN$3),Assumptions!$C$1:$F$1,0))</f>
        <v>39513.98124</v>
      </c>
      <c r="AO29" s="54">
        <f t="array" ref="AO29">AO28*INDEX(Assumptions!$C$17:$F$17,MATCH(YEAR(AO$3),Assumptions!$C$1:$F$1,0))</f>
        <v>41241.38078</v>
      </c>
      <c r="AP29" s="54">
        <f t="array" ref="AP29">AP28*INDEX(Assumptions!$C$17:$F$17,MATCH(YEAR(AP$3),Assumptions!$C$1:$F$1,0))</f>
        <v>43934.41811</v>
      </c>
      <c r="AQ29" s="54">
        <f t="array" ref="AQ29">AQ28*INDEX(Assumptions!$C$17:$F$17,MATCH(YEAR(AQ$3),Assumptions!$C$1:$F$1,0))</f>
        <v>46051.79242</v>
      </c>
      <c r="AR29" s="54">
        <f t="array" ref="AR29">AR28*INDEX(Assumptions!$C$17:$F$17,MATCH(YEAR(AR$3),Assumptions!$C$1:$F$1,0))</f>
        <v>48613.81422</v>
      </c>
      <c r="AS29" s="54">
        <f t="array" ref="AS29">AS28*INDEX(Assumptions!$C$17:$F$17,MATCH(YEAR(AS$3),Assumptions!$C$1:$F$1,0))</f>
        <v>50621.98189</v>
      </c>
      <c r="AT29" s="54">
        <f t="array" ref="AT29">AT28*INDEX(Assumptions!$C$17:$F$17,MATCH(YEAR(AT$3),Assumptions!$C$1:$F$1,0))</f>
        <v>53077.75223</v>
      </c>
      <c r="AU29" s="54">
        <f t="array" ref="AU29">AU28*INDEX(Assumptions!$C$17:$F$17,MATCH(YEAR(AU$3),Assumptions!$C$1:$F$1,0))</f>
        <v>54991.75331</v>
      </c>
      <c r="AV29" s="54">
        <f t="array" ref="AV29">AV28*INDEX(Assumptions!$C$17:$F$17,MATCH(YEAR(AV$3),Assumptions!$C$1:$F$1,0))</f>
        <v>57355.98071</v>
      </c>
      <c r="AW29" s="54">
        <f t="array" ref="AW29">AW28*INDEX(Assumptions!$C$17:$F$17,MATCH(YEAR(AW$3),Assumptions!$C$1:$F$1,0))</f>
        <v>59162.56466</v>
      </c>
      <c r="AX29" s="54">
        <f t="array" ref="AX29">AX28*INDEX(Assumptions!$C$17:$F$17,MATCH(YEAR(AX$3),Assumptions!$C$1:$F$1,0))</f>
        <v>61412.97969</v>
      </c>
      <c r="AY29" s="54">
        <f t="array" ref="AY29">AY28*INDEX(Assumptions!$C$17:$F$17,MATCH(YEAR(AY$3),Assumptions!$C$1:$F$1,0))</f>
        <v>63127.08452</v>
      </c>
      <c r="AZ29" s="54">
        <f t="array" ref="AZ29">AZ28*INDEX(Assumptions!$C$17:$F$17,MATCH(YEAR(AZ$3),Assumptions!$C$1:$F$1,0))</f>
        <v>65287.51336</v>
      </c>
      <c r="BA29" s="54">
        <f t="array" ref="BA29">BA28*INDEX(Assumptions!$C$17:$F$17,MATCH(YEAR(BA$3),Assumptions!$C$1:$F$1,0))</f>
        <v>66895.63244</v>
      </c>
      <c r="BB29" s="54"/>
      <c r="BC29" s="54">
        <f t="shared" ref="BC29:BF29" si="22">SUMPRODUCT((YEAR($F$3:$BA$3)=BC$3)*$F29:$BA29)</f>
        <v>65930.46976</v>
      </c>
      <c r="BD29" s="54">
        <f t="shared" si="22"/>
        <v>157755.3228</v>
      </c>
      <c r="BE29" s="54">
        <f t="shared" si="22"/>
        <v>367793.0192</v>
      </c>
      <c r="BF29" s="54">
        <f t="shared" si="22"/>
        <v>670533.2676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6" t="s">
        <v>107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1"/>
      <c r="BC31" s="7"/>
      <c r="BD31" s="7"/>
      <c r="BE31" s="7"/>
      <c r="BF31" s="7"/>
    </row>
    <row r="32">
      <c r="A32" s="40"/>
      <c r="B32" s="55" t="s">
        <v>108</v>
      </c>
      <c r="C32" s="56"/>
      <c r="D32" s="56"/>
      <c r="E32" s="55" t="s">
        <v>44</v>
      </c>
      <c r="F32" s="57">
        <f t="shared" ref="F32:BA32" si="23">F8+F16</f>
        <v>4</v>
      </c>
      <c r="G32" s="57">
        <f t="shared" si="23"/>
        <v>6</v>
      </c>
      <c r="H32" s="57">
        <f t="shared" si="23"/>
        <v>5</v>
      </c>
      <c r="I32" s="57">
        <f t="shared" si="23"/>
        <v>6</v>
      </c>
      <c r="J32" s="57">
        <f t="shared" si="23"/>
        <v>6</v>
      </c>
      <c r="K32" s="57">
        <f t="shared" si="23"/>
        <v>7</v>
      </c>
      <c r="L32" s="57">
        <f t="shared" si="23"/>
        <v>7</v>
      </c>
      <c r="M32" s="57">
        <f t="shared" si="23"/>
        <v>7</v>
      </c>
      <c r="N32" s="57">
        <f t="shared" si="23"/>
        <v>6</v>
      </c>
      <c r="O32" s="57">
        <f t="shared" si="23"/>
        <v>8</v>
      </c>
      <c r="P32" s="57">
        <f t="shared" si="23"/>
        <v>8</v>
      </c>
      <c r="Q32" s="57">
        <f t="shared" si="23"/>
        <v>7</v>
      </c>
      <c r="R32" s="57">
        <f t="shared" si="23"/>
        <v>7</v>
      </c>
      <c r="S32" s="57">
        <f t="shared" si="23"/>
        <v>7</v>
      </c>
      <c r="T32" s="57">
        <f t="shared" si="23"/>
        <v>8</v>
      </c>
      <c r="U32" s="57">
        <f t="shared" si="23"/>
        <v>9</v>
      </c>
      <c r="V32" s="57">
        <f t="shared" si="23"/>
        <v>8</v>
      </c>
      <c r="W32" s="57">
        <f t="shared" si="23"/>
        <v>9</v>
      </c>
      <c r="X32" s="57">
        <f t="shared" si="23"/>
        <v>10</v>
      </c>
      <c r="Y32" s="57">
        <f t="shared" si="23"/>
        <v>9</v>
      </c>
      <c r="Z32" s="57">
        <f t="shared" si="23"/>
        <v>10</v>
      </c>
      <c r="AA32" s="57">
        <f t="shared" si="23"/>
        <v>10</v>
      </c>
      <c r="AB32" s="57">
        <f t="shared" si="23"/>
        <v>9</v>
      </c>
      <c r="AC32" s="57">
        <f t="shared" si="23"/>
        <v>10</v>
      </c>
      <c r="AD32" s="57">
        <f t="shared" si="23"/>
        <v>10</v>
      </c>
      <c r="AE32" s="57">
        <f t="shared" si="23"/>
        <v>10</v>
      </c>
      <c r="AF32" s="57">
        <f t="shared" si="23"/>
        <v>11</v>
      </c>
      <c r="AG32" s="57">
        <f t="shared" si="23"/>
        <v>11</v>
      </c>
      <c r="AH32" s="57">
        <f t="shared" si="23"/>
        <v>11</v>
      </c>
      <c r="AI32" s="57">
        <f t="shared" si="23"/>
        <v>13</v>
      </c>
      <c r="AJ32" s="57">
        <f t="shared" si="23"/>
        <v>12</v>
      </c>
      <c r="AK32" s="57">
        <f t="shared" si="23"/>
        <v>12</v>
      </c>
      <c r="AL32" s="57">
        <f t="shared" si="23"/>
        <v>13</v>
      </c>
      <c r="AM32" s="57">
        <f t="shared" si="23"/>
        <v>12</v>
      </c>
      <c r="AN32" s="57">
        <f t="shared" si="23"/>
        <v>12</v>
      </c>
      <c r="AO32" s="57">
        <f t="shared" si="23"/>
        <v>13</v>
      </c>
      <c r="AP32" s="57">
        <f t="shared" si="23"/>
        <v>12</v>
      </c>
      <c r="AQ32" s="57">
        <f t="shared" si="23"/>
        <v>12</v>
      </c>
      <c r="AR32" s="57">
        <f t="shared" si="23"/>
        <v>13</v>
      </c>
      <c r="AS32" s="57">
        <f t="shared" si="23"/>
        <v>13</v>
      </c>
      <c r="AT32" s="57">
        <f t="shared" si="23"/>
        <v>15</v>
      </c>
      <c r="AU32" s="57">
        <f t="shared" si="23"/>
        <v>15</v>
      </c>
      <c r="AV32" s="57">
        <f t="shared" si="23"/>
        <v>15</v>
      </c>
      <c r="AW32" s="57">
        <f t="shared" si="23"/>
        <v>14</v>
      </c>
      <c r="AX32" s="57">
        <f t="shared" si="23"/>
        <v>16</v>
      </c>
      <c r="AY32" s="57">
        <f t="shared" si="23"/>
        <v>15</v>
      </c>
      <c r="AZ32" s="57">
        <f t="shared" si="23"/>
        <v>15</v>
      </c>
      <c r="BA32" s="57">
        <f t="shared" si="23"/>
        <v>14</v>
      </c>
      <c r="BB32" s="1"/>
      <c r="BC32" s="57"/>
      <c r="BD32" s="57"/>
      <c r="BE32" s="57"/>
      <c r="BF32" s="57"/>
      <c r="BG32" s="46"/>
      <c r="BH32" s="46"/>
    </row>
    <row r="33">
      <c r="A33" s="40"/>
      <c r="B33" s="55" t="s">
        <v>109</v>
      </c>
      <c r="C33" s="56"/>
      <c r="D33" s="56"/>
      <c r="E33" s="55" t="s">
        <v>44</v>
      </c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1"/>
      <c r="BC33" s="57">
        <f t="shared" ref="BC33:BF33" si="24">BC7+BC15</f>
        <v>15</v>
      </c>
      <c r="BD33" s="57">
        <f t="shared" si="24"/>
        <v>20</v>
      </c>
      <c r="BE33" s="57">
        <f t="shared" si="24"/>
        <v>25</v>
      </c>
      <c r="BF33" s="57">
        <f t="shared" si="24"/>
        <v>30</v>
      </c>
      <c r="BG33" s="46"/>
      <c r="BH33" s="46"/>
    </row>
    <row r="34">
      <c r="A34" s="1"/>
      <c r="B34" s="3" t="s">
        <v>110</v>
      </c>
      <c r="C34" s="1"/>
      <c r="D34" s="1"/>
      <c r="E34" s="3" t="s">
        <v>33</v>
      </c>
      <c r="F34" s="26">
        <f t="shared" ref="F34:BA34" si="25">F9+F17</f>
        <v>26000</v>
      </c>
      <c r="G34" s="26">
        <f t="shared" si="25"/>
        <v>40000</v>
      </c>
      <c r="H34" s="26">
        <f t="shared" si="25"/>
        <v>33500</v>
      </c>
      <c r="I34" s="26">
        <f t="shared" si="25"/>
        <v>40000</v>
      </c>
      <c r="J34" s="26">
        <f t="shared" si="25"/>
        <v>41000</v>
      </c>
      <c r="K34" s="26">
        <f t="shared" si="25"/>
        <v>48500</v>
      </c>
      <c r="L34" s="26">
        <f t="shared" si="25"/>
        <v>48500</v>
      </c>
      <c r="M34" s="26">
        <f t="shared" si="25"/>
        <v>48500</v>
      </c>
      <c r="N34" s="26">
        <f t="shared" si="25"/>
        <v>41000</v>
      </c>
      <c r="O34" s="26">
        <f t="shared" si="25"/>
        <v>55000</v>
      </c>
      <c r="P34" s="26">
        <f t="shared" si="25"/>
        <v>55000</v>
      </c>
      <c r="Q34" s="26">
        <f t="shared" si="25"/>
        <v>47500</v>
      </c>
      <c r="R34" s="26">
        <f t="shared" si="25"/>
        <v>51000</v>
      </c>
      <c r="S34" s="26">
        <f t="shared" si="25"/>
        <v>51000</v>
      </c>
      <c r="T34" s="26">
        <f t="shared" si="25"/>
        <v>59000</v>
      </c>
      <c r="U34" s="26">
        <f t="shared" si="25"/>
        <v>67000</v>
      </c>
      <c r="V34" s="26">
        <f t="shared" si="25"/>
        <v>59000</v>
      </c>
      <c r="W34" s="26">
        <f t="shared" si="25"/>
        <v>67000</v>
      </c>
      <c r="X34" s="26">
        <f t="shared" si="25"/>
        <v>75000</v>
      </c>
      <c r="Y34" s="26">
        <f t="shared" si="25"/>
        <v>67000</v>
      </c>
      <c r="Z34" s="26">
        <f t="shared" si="25"/>
        <v>75000</v>
      </c>
      <c r="AA34" s="26">
        <f t="shared" si="25"/>
        <v>75000</v>
      </c>
      <c r="AB34" s="26">
        <f t="shared" si="25"/>
        <v>67000</v>
      </c>
      <c r="AC34" s="26">
        <f t="shared" si="25"/>
        <v>75000</v>
      </c>
      <c r="AD34" s="26">
        <f t="shared" si="25"/>
        <v>77500</v>
      </c>
      <c r="AE34" s="26">
        <f t="shared" si="25"/>
        <v>77000</v>
      </c>
      <c r="AF34" s="26">
        <f t="shared" si="25"/>
        <v>85000</v>
      </c>
      <c r="AG34" s="26">
        <f t="shared" si="25"/>
        <v>85000</v>
      </c>
      <c r="AH34" s="26">
        <f t="shared" si="25"/>
        <v>84500</v>
      </c>
      <c r="AI34" s="26">
        <f t="shared" si="25"/>
        <v>100500</v>
      </c>
      <c r="AJ34" s="26">
        <f t="shared" si="25"/>
        <v>93000</v>
      </c>
      <c r="AK34" s="26">
        <f t="shared" si="25"/>
        <v>92500</v>
      </c>
      <c r="AL34" s="26">
        <f t="shared" si="25"/>
        <v>100500</v>
      </c>
      <c r="AM34" s="26">
        <f t="shared" si="25"/>
        <v>92500</v>
      </c>
      <c r="AN34" s="26">
        <f t="shared" si="25"/>
        <v>92500</v>
      </c>
      <c r="AO34" s="26">
        <f t="shared" si="25"/>
        <v>100500</v>
      </c>
      <c r="AP34" s="26">
        <f t="shared" si="25"/>
        <v>99000</v>
      </c>
      <c r="AQ34" s="26">
        <f t="shared" si="25"/>
        <v>98500</v>
      </c>
      <c r="AR34" s="26">
        <f t="shared" si="25"/>
        <v>107500</v>
      </c>
      <c r="AS34" s="26">
        <f t="shared" si="25"/>
        <v>107500</v>
      </c>
      <c r="AT34" s="26">
        <f t="shared" si="25"/>
        <v>124500</v>
      </c>
      <c r="AU34" s="26">
        <f t="shared" si="25"/>
        <v>124000</v>
      </c>
      <c r="AV34" s="26">
        <f t="shared" si="25"/>
        <v>124500</v>
      </c>
      <c r="AW34" s="26">
        <f t="shared" si="25"/>
        <v>116000</v>
      </c>
      <c r="AX34" s="26">
        <f t="shared" si="25"/>
        <v>133000</v>
      </c>
      <c r="AY34" s="26">
        <f t="shared" si="25"/>
        <v>124000</v>
      </c>
      <c r="AZ34" s="26">
        <f t="shared" si="25"/>
        <v>124500</v>
      </c>
      <c r="BA34" s="26">
        <f t="shared" si="25"/>
        <v>116000</v>
      </c>
      <c r="BB34" s="1"/>
      <c r="BC34" s="26">
        <f t="shared" ref="BC34:BF34" si="26">SUMPRODUCT((YEAR($F$3:$BA$3)=BC$3)*$F34:$BA34)</f>
        <v>524500</v>
      </c>
      <c r="BD34" s="26">
        <f t="shared" si="26"/>
        <v>788000</v>
      </c>
      <c r="BE34" s="26">
        <f t="shared" si="26"/>
        <v>1081000</v>
      </c>
      <c r="BF34" s="26">
        <f t="shared" si="26"/>
        <v>1399000</v>
      </c>
    </row>
    <row r="35">
      <c r="A35" s="1"/>
      <c r="B35" s="3" t="s">
        <v>111</v>
      </c>
      <c r="C35" s="1"/>
      <c r="D35" s="1"/>
      <c r="E35" s="3" t="s">
        <v>33</v>
      </c>
      <c r="F35" s="26">
        <f t="shared" ref="F35:BA35" si="27">F11+F19</f>
        <v>0</v>
      </c>
      <c r="G35" s="26">
        <f t="shared" si="27"/>
        <v>100000</v>
      </c>
      <c r="H35" s="26">
        <f t="shared" si="27"/>
        <v>0</v>
      </c>
      <c r="I35" s="26">
        <f t="shared" si="27"/>
        <v>0</v>
      </c>
      <c r="J35" s="26">
        <f t="shared" si="27"/>
        <v>0</v>
      </c>
      <c r="K35" s="26">
        <f t="shared" si="27"/>
        <v>20000</v>
      </c>
      <c r="L35" s="26">
        <f t="shared" si="27"/>
        <v>20000</v>
      </c>
      <c r="M35" s="26">
        <f t="shared" si="27"/>
        <v>20000</v>
      </c>
      <c r="N35" s="26">
        <f t="shared" si="27"/>
        <v>140000</v>
      </c>
      <c r="O35" s="26">
        <f t="shared" si="27"/>
        <v>0</v>
      </c>
      <c r="P35" s="26">
        <f t="shared" si="27"/>
        <v>20000</v>
      </c>
      <c r="Q35" s="26">
        <f t="shared" si="27"/>
        <v>140000</v>
      </c>
      <c r="R35" s="26">
        <f t="shared" si="27"/>
        <v>236600</v>
      </c>
      <c r="S35" s="26">
        <f t="shared" si="27"/>
        <v>35000</v>
      </c>
      <c r="T35" s="26">
        <f t="shared" si="27"/>
        <v>35000</v>
      </c>
      <c r="U35" s="26">
        <f t="shared" si="27"/>
        <v>35000</v>
      </c>
      <c r="V35" s="26">
        <f t="shared" si="27"/>
        <v>236600</v>
      </c>
      <c r="W35" s="26">
        <f t="shared" si="27"/>
        <v>35000</v>
      </c>
      <c r="X35" s="26">
        <f t="shared" si="27"/>
        <v>35000</v>
      </c>
      <c r="Y35" s="26">
        <f t="shared" si="27"/>
        <v>236600</v>
      </c>
      <c r="Z35" s="26">
        <f t="shared" si="27"/>
        <v>35000</v>
      </c>
      <c r="AA35" s="26">
        <f t="shared" si="27"/>
        <v>236600</v>
      </c>
      <c r="AB35" s="26">
        <f t="shared" si="27"/>
        <v>236600</v>
      </c>
      <c r="AC35" s="26">
        <f t="shared" si="27"/>
        <v>35000</v>
      </c>
      <c r="AD35" s="26">
        <f t="shared" si="27"/>
        <v>358400</v>
      </c>
      <c r="AE35" s="26">
        <f t="shared" si="27"/>
        <v>358400</v>
      </c>
      <c r="AF35" s="26">
        <f t="shared" si="27"/>
        <v>56000</v>
      </c>
      <c r="AG35" s="26">
        <f t="shared" si="27"/>
        <v>358400</v>
      </c>
      <c r="AH35" s="26">
        <f t="shared" si="27"/>
        <v>358400</v>
      </c>
      <c r="AI35" s="26">
        <f t="shared" si="27"/>
        <v>56000</v>
      </c>
      <c r="AJ35" s="26">
        <f t="shared" si="27"/>
        <v>414400</v>
      </c>
      <c r="AK35" s="26">
        <f t="shared" si="27"/>
        <v>358400</v>
      </c>
      <c r="AL35" s="26">
        <f t="shared" si="27"/>
        <v>56000</v>
      </c>
      <c r="AM35" s="26">
        <f t="shared" si="27"/>
        <v>414400</v>
      </c>
      <c r="AN35" s="26">
        <f t="shared" si="27"/>
        <v>358400</v>
      </c>
      <c r="AO35" s="26">
        <f t="shared" si="27"/>
        <v>56000</v>
      </c>
      <c r="AP35" s="26">
        <f t="shared" si="27"/>
        <v>1032000</v>
      </c>
      <c r="AQ35" s="26">
        <f t="shared" si="27"/>
        <v>516000</v>
      </c>
      <c r="AR35" s="26">
        <f t="shared" si="27"/>
        <v>192000</v>
      </c>
      <c r="AS35" s="26">
        <f t="shared" si="27"/>
        <v>516000</v>
      </c>
      <c r="AT35" s="26">
        <f t="shared" si="27"/>
        <v>96000</v>
      </c>
      <c r="AU35" s="26">
        <f t="shared" si="27"/>
        <v>516000</v>
      </c>
      <c r="AV35" s="26">
        <f t="shared" si="27"/>
        <v>612000</v>
      </c>
      <c r="AW35" s="26">
        <f t="shared" si="27"/>
        <v>936000</v>
      </c>
      <c r="AX35" s="26">
        <f t="shared" si="27"/>
        <v>96000</v>
      </c>
      <c r="AY35" s="26">
        <f t="shared" si="27"/>
        <v>936000</v>
      </c>
      <c r="AZ35" s="26">
        <f t="shared" si="27"/>
        <v>612000</v>
      </c>
      <c r="BA35" s="26">
        <f t="shared" si="27"/>
        <v>936000</v>
      </c>
      <c r="BB35" s="1"/>
      <c r="BC35" s="26">
        <f t="shared" ref="BC35:BF35" si="28">SUMPRODUCT((YEAR($F$3:$BA$3)=BC$3)*$F35:$BA35)</f>
        <v>460000</v>
      </c>
      <c r="BD35" s="26">
        <f t="shared" si="28"/>
        <v>1428000</v>
      </c>
      <c r="BE35" s="26">
        <f t="shared" si="28"/>
        <v>3203200</v>
      </c>
      <c r="BF35" s="26">
        <f t="shared" si="28"/>
        <v>6996000</v>
      </c>
    </row>
    <row r="36">
      <c r="A36" s="1"/>
      <c r="B36" s="3" t="s">
        <v>112</v>
      </c>
      <c r="C36" s="1"/>
      <c r="D36" s="1"/>
      <c r="E36" s="3" t="s">
        <v>33</v>
      </c>
      <c r="F36" s="26">
        <f t="shared" ref="F36:BA36" si="29">F29</f>
        <v>2000</v>
      </c>
      <c r="G36" s="26">
        <f t="shared" si="29"/>
        <v>3000</v>
      </c>
      <c r="H36" s="26">
        <f t="shared" si="29"/>
        <v>3500</v>
      </c>
      <c r="I36" s="26">
        <f t="shared" si="29"/>
        <v>3981.57653</v>
      </c>
      <c r="J36" s="26">
        <f t="shared" si="29"/>
        <v>4463.492484</v>
      </c>
      <c r="K36" s="26">
        <f t="shared" si="29"/>
        <v>5436.529874</v>
      </c>
      <c r="L36" s="26">
        <f t="shared" si="29"/>
        <v>5900.852274</v>
      </c>
      <c r="M36" s="26">
        <f t="shared" si="29"/>
        <v>6356.620244</v>
      </c>
      <c r="N36" s="26">
        <f t="shared" si="29"/>
        <v>6803.991386</v>
      </c>
      <c r="O36" s="26">
        <f t="shared" si="29"/>
        <v>7733.908664</v>
      </c>
      <c r="P36" s="26">
        <f t="shared" si="29"/>
        <v>8165.117109</v>
      </c>
      <c r="Q36" s="26">
        <f t="shared" si="29"/>
        <v>8588.381199</v>
      </c>
      <c r="R36" s="26">
        <f t="shared" si="29"/>
        <v>9494.63556</v>
      </c>
      <c r="S36" s="26">
        <f t="shared" si="29"/>
        <v>9884.193571</v>
      </c>
      <c r="T36" s="26">
        <f t="shared" si="29"/>
        <v>10766.57457</v>
      </c>
      <c r="U36" s="26">
        <f t="shared" si="29"/>
        <v>11641.91079</v>
      </c>
      <c r="V36" s="26">
        <f t="shared" si="29"/>
        <v>12010.33201</v>
      </c>
      <c r="W36" s="26">
        <f t="shared" si="29"/>
        <v>12862.75389</v>
      </c>
      <c r="X36" s="26">
        <f t="shared" si="29"/>
        <v>13708.68295</v>
      </c>
      <c r="Y36" s="26">
        <f t="shared" si="29"/>
        <v>14048.23879</v>
      </c>
      <c r="Z36" s="26">
        <f t="shared" si="29"/>
        <v>14872.3271</v>
      </c>
      <c r="AA36" s="26">
        <f t="shared" si="29"/>
        <v>15690.44457</v>
      </c>
      <c r="AB36" s="26">
        <f t="shared" si="29"/>
        <v>15993.48949</v>
      </c>
      <c r="AC36" s="26">
        <f t="shared" si="29"/>
        <v>16781.73953</v>
      </c>
      <c r="AD36" s="26">
        <f t="shared" si="29"/>
        <v>19064.679</v>
      </c>
      <c r="AE36" s="26">
        <f t="shared" si="29"/>
        <v>21289.26572</v>
      </c>
      <c r="AF36" s="26">
        <f t="shared" si="29"/>
        <v>23457.05189</v>
      </c>
      <c r="AG36" s="26">
        <f t="shared" si="29"/>
        <v>25578.75889</v>
      </c>
      <c r="AH36" s="26">
        <f t="shared" si="29"/>
        <v>27646.47354</v>
      </c>
      <c r="AI36" s="26">
        <f t="shared" si="29"/>
        <v>30161.62701</v>
      </c>
      <c r="AJ36" s="26">
        <f t="shared" si="29"/>
        <v>32134.82306</v>
      </c>
      <c r="AK36" s="26">
        <f t="shared" si="29"/>
        <v>34048.82248</v>
      </c>
      <c r="AL36" s="26">
        <f t="shared" si="29"/>
        <v>35914.32682</v>
      </c>
      <c r="AM36" s="26">
        <f t="shared" si="29"/>
        <v>37741.8288</v>
      </c>
      <c r="AN36" s="26">
        <f t="shared" si="29"/>
        <v>39513.98124</v>
      </c>
      <c r="AO36" s="26">
        <f t="shared" si="29"/>
        <v>41241.38078</v>
      </c>
      <c r="AP36" s="26">
        <f t="shared" si="29"/>
        <v>43934.41811</v>
      </c>
      <c r="AQ36" s="26">
        <f t="shared" si="29"/>
        <v>46051.79242</v>
      </c>
      <c r="AR36" s="26">
        <f t="shared" si="29"/>
        <v>48613.81422</v>
      </c>
      <c r="AS36" s="26">
        <f t="shared" si="29"/>
        <v>50621.98189</v>
      </c>
      <c r="AT36" s="26">
        <f t="shared" si="29"/>
        <v>53077.75223</v>
      </c>
      <c r="AU36" s="26">
        <f t="shared" si="29"/>
        <v>54991.75331</v>
      </c>
      <c r="AV36" s="26">
        <f t="shared" si="29"/>
        <v>57355.98071</v>
      </c>
      <c r="AW36" s="26">
        <f t="shared" si="29"/>
        <v>59162.56466</v>
      </c>
      <c r="AX36" s="26">
        <f t="shared" si="29"/>
        <v>61412.97969</v>
      </c>
      <c r="AY36" s="26">
        <f t="shared" si="29"/>
        <v>63127.08452</v>
      </c>
      <c r="AZ36" s="26">
        <f t="shared" si="29"/>
        <v>65287.51336</v>
      </c>
      <c r="BA36" s="26">
        <f t="shared" si="29"/>
        <v>66895.63244</v>
      </c>
      <c r="BB36" s="1"/>
      <c r="BC36" s="26">
        <f t="shared" ref="BC36:BF36" si="30">SUMPRODUCT((YEAR($F$3:$BA$3)=BC$3)*$F36:$BA36)</f>
        <v>65930.46976</v>
      </c>
      <c r="BD36" s="26">
        <f t="shared" si="30"/>
        <v>157755.3228</v>
      </c>
      <c r="BE36" s="26">
        <f t="shared" si="30"/>
        <v>367793.0192</v>
      </c>
      <c r="BF36" s="26">
        <f t="shared" si="30"/>
        <v>670533.2676</v>
      </c>
    </row>
    <row r="37">
      <c r="A37" s="1"/>
      <c r="B37" s="48" t="s">
        <v>113</v>
      </c>
      <c r="C37" s="49"/>
      <c r="D37" s="49"/>
      <c r="E37" s="48" t="s">
        <v>33</v>
      </c>
      <c r="F37" s="50">
        <f t="shared" ref="F37:BA37" si="31">F34+F35+F36</f>
        <v>28000</v>
      </c>
      <c r="G37" s="50">
        <f t="shared" si="31"/>
        <v>143000</v>
      </c>
      <c r="H37" s="50">
        <f t="shared" si="31"/>
        <v>37000</v>
      </c>
      <c r="I37" s="50">
        <f t="shared" si="31"/>
        <v>43981.57653</v>
      </c>
      <c r="J37" s="50">
        <f t="shared" si="31"/>
        <v>45463.49248</v>
      </c>
      <c r="K37" s="50">
        <f t="shared" si="31"/>
        <v>73936.52987</v>
      </c>
      <c r="L37" s="50">
        <f t="shared" si="31"/>
        <v>74400.85227</v>
      </c>
      <c r="M37" s="50">
        <f t="shared" si="31"/>
        <v>74856.62024</v>
      </c>
      <c r="N37" s="50">
        <f t="shared" si="31"/>
        <v>187803.9914</v>
      </c>
      <c r="O37" s="50">
        <f t="shared" si="31"/>
        <v>62733.90866</v>
      </c>
      <c r="P37" s="50">
        <f t="shared" si="31"/>
        <v>83165.11711</v>
      </c>
      <c r="Q37" s="50">
        <f t="shared" si="31"/>
        <v>196088.3812</v>
      </c>
      <c r="R37" s="50">
        <f t="shared" si="31"/>
        <v>297094.6356</v>
      </c>
      <c r="S37" s="50">
        <f t="shared" si="31"/>
        <v>95884.19357</v>
      </c>
      <c r="T37" s="50">
        <f t="shared" si="31"/>
        <v>104766.5746</v>
      </c>
      <c r="U37" s="50">
        <f t="shared" si="31"/>
        <v>113641.9108</v>
      </c>
      <c r="V37" s="50">
        <f t="shared" si="31"/>
        <v>307610.332</v>
      </c>
      <c r="W37" s="50">
        <f t="shared" si="31"/>
        <v>114862.7539</v>
      </c>
      <c r="X37" s="50">
        <f t="shared" si="31"/>
        <v>123708.6829</v>
      </c>
      <c r="Y37" s="50">
        <f t="shared" si="31"/>
        <v>317648.2388</v>
      </c>
      <c r="Z37" s="50">
        <f t="shared" si="31"/>
        <v>124872.3271</v>
      </c>
      <c r="AA37" s="50">
        <f t="shared" si="31"/>
        <v>327290.4446</v>
      </c>
      <c r="AB37" s="50">
        <f t="shared" si="31"/>
        <v>319593.4895</v>
      </c>
      <c r="AC37" s="50">
        <f t="shared" si="31"/>
        <v>126781.7395</v>
      </c>
      <c r="AD37" s="50">
        <f t="shared" si="31"/>
        <v>454964.679</v>
      </c>
      <c r="AE37" s="50">
        <f t="shared" si="31"/>
        <v>456689.2657</v>
      </c>
      <c r="AF37" s="50">
        <f t="shared" si="31"/>
        <v>164457.0519</v>
      </c>
      <c r="AG37" s="50">
        <f t="shared" si="31"/>
        <v>468978.7589</v>
      </c>
      <c r="AH37" s="50">
        <f t="shared" si="31"/>
        <v>470546.4735</v>
      </c>
      <c r="AI37" s="50">
        <f t="shared" si="31"/>
        <v>186661.627</v>
      </c>
      <c r="AJ37" s="50">
        <f t="shared" si="31"/>
        <v>539534.8231</v>
      </c>
      <c r="AK37" s="50">
        <f t="shared" si="31"/>
        <v>484948.8225</v>
      </c>
      <c r="AL37" s="50">
        <f t="shared" si="31"/>
        <v>192414.3268</v>
      </c>
      <c r="AM37" s="50">
        <f t="shared" si="31"/>
        <v>544641.8288</v>
      </c>
      <c r="AN37" s="50">
        <f t="shared" si="31"/>
        <v>490413.9812</v>
      </c>
      <c r="AO37" s="50">
        <f t="shared" si="31"/>
        <v>197741.3808</v>
      </c>
      <c r="AP37" s="50">
        <f t="shared" si="31"/>
        <v>1174934.418</v>
      </c>
      <c r="AQ37" s="50">
        <f t="shared" si="31"/>
        <v>660551.7924</v>
      </c>
      <c r="AR37" s="50">
        <f t="shared" si="31"/>
        <v>348113.8142</v>
      </c>
      <c r="AS37" s="50">
        <f t="shared" si="31"/>
        <v>674121.9819</v>
      </c>
      <c r="AT37" s="50">
        <f t="shared" si="31"/>
        <v>273577.7522</v>
      </c>
      <c r="AU37" s="50">
        <f t="shared" si="31"/>
        <v>694991.7533</v>
      </c>
      <c r="AV37" s="50">
        <f t="shared" si="31"/>
        <v>793855.9807</v>
      </c>
      <c r="AW37" s="50">
        <f t="shared" si="31"/>
        <v>1111162.565</v>
      </c>
      <c r="AX37" s="50">
        <f t="shared" si="31"/>
        <v>290412.9797</v>
      </c>
      <c r="AY37" s="50">
        <f t="shared" si="31"/>
        <v>1123127.085</v>
      </c>
      <c r="AZ37" s="50">
        <f t="shared" si="31"/>
        <v>801787.5134</v>
      </c>
      <c r="BA37" s="50">
        <f t="shared" si="31"/>
        <v>1118895.632</v>
      </c>
      <c r="BB37" s="1"/>
      <c r="BC37" s="50">
        <f t="shared" ref="BC37:BF37" si="32">SUMPRODUCT((YEAR($F$3:$BA$3)=BC$3)*$F37:$BA37)</f>
        <v>1050430.47</v>
      </c>
      <c r="BD37" s="50">
        <f t="shared" si="32"/>
        <v>2373755.323</v>
      </c>
      <c r="BE37" s="50">
        <f t="shared" si="32"/>
        <v>4651993.019</v>
      </c>
      <c r="BF37" s="50">
        <f t="shared" si="32"/>
        <v>9065533.268</v>
      </c>
    </row>
    <row r="38">
      <c r="A38" s="1"/>
      <c r="B38" s="3" t="s">
        <v>114</v>
      </c>
      <c r="C38" s="1"/>
      <c r="D38" s="1"/>
      <c r="E38" s="3" t="s">
        <v>33</v>
      </c>
      <c r="F38" s="26">
        <f>-Assumptions!$C$31*Assumptions!$C$33*(F34+F35)</f>
        <v>-1950</v>
      </c>
      <c r="G38" s="26">
        <f>-Assumptions!$C$31*Assumptions!$C$33*(G34+G35)</f>
        <v>-10500</v>
      </c>
      <c r="H38" s="26">
        <f>-Assumptions!$C$31*Assumptions!$C$33*(H34+H35)</f>
        <v>-2512.5</v>
      </c>
      <c r="I38" s="26">
        <f>-Assumptions!$C$31*Assumptions!$C$33*(I34+I35)</f>
        <v>-3000</v>
      </c>
      <c r="J38" s="26">
        <f>-Assumptions!$C$31*Assumptions!$C$33*(J34+J35)</f>
        <v>-3075</v>
      </c>
      <c r="K38" s="26">
        <f>-Assumptions!$C$31*Assumptions!$C$33*(K34+K35)</f>
        <v>-5137.5</v>
      </c>
      <c r="L38" s="26">
        <f>-Assumptions!$C$31*Assumptions!$C$33*(L34+L35)</f>
        <v>-5137.5</v>
      </c>
      <c r="M38" s="26">
        <f>-Assumptions!$C$31*Assumptions!$C$33*(M34+M35)</f>
        <v>-5137.5</v>
      </c>
      <c r="N38" s="26">
        <f>-Assumptions!$C$31*Assumptions!$C$33*(N34+N35)</f>
        <v>-13575</v>
      </c>
      <c r="O38" s="26">
        <f>-Assumptions!$C$31*Assumptions!$C$33*(O34+O35)</f>
        <v>-4125</v>
      </c>
      <c r="P38" s="26">
        <f>-Assumptions!$C$31*Assumptions!$C$33*(P34+P35)</f>
        <v>-5625</v>
      </c>
      <c r="Q38" s="26">
        <f>-Assumptions!$C$31*Assumptions!$C$33*(Q34+Q35)</f>
        <v>-14062.5</v>
      </c>
      <c r="R38" s="26">
        <f>-Assumptions!$C$31*Assumptions!$C$33*(R34+R35)</f>
        <v>-21570</v>
      </c>
      <c r="S38" s="26">
        <f>-Assumptions!$C$31*Assumptions!$C$33*(S34+S35)</f>
        <v>-6450</v>
      </c>
      <c r="T38" s="26">
        <f>-Assumptions!$C$31*Assumptions!$C$33*(T34+T35)</f>
        <v>-7050</v>
      </c>
      <c r="U38" s="26">
        <f>-Assumptions!$C$31*Assumptions!$C$33*(U34+U35)</f>
        <v>-7650</v>
      </c>
      <c r="V38" s="26">
        <f>-Assumptions!$C$31*Assumptions!$C$33*(V34+V35)</f>
        <v>-22170</v>
      </c>
      <c r="W38" s="26">
        <f>-Assumptions!$C$31*Assumptions!$C$33*(W34+W35)</f>
        <v>-7650</v>
      </c>
      <c r="X38" s="26">
        <f>-Assumptions!$C$31*Assumptions!$C$33*(X34+X35)</f>
        <v>-8250</v>
      </c>
      <c r="Y38" s="26">
        <f>-Assumptions!$C$31*Assumptions!$C$33*(Y34+Y35)</f>
        <v>-22770</v>
      </c>
      <c r="Z38" s="26">
        <f>-Assumptions!$C$31*Assumptions!$C$33*(Z34+Z35)</f>
        <v>-8250</v>
      </c>
      <c r="AA38" s="26">
        <f>-Assumptions!$C$31*Assumptions!$C$33*(AA34+AA35)</f>
        <v>-23370</v>
      </c>
      <c r="AB38" s="26">
        <f>-Assumptions!$C$31*Assumptions!$C$33*(AB34+AB35)</f>
        <v>-22770</v>
      </c>
      <c r="AC38" s="26">
        <f>-Assumptions!$C$31*Assumptions!$C$33*(AC34+AC35)</f>
        <v>-8250</v>
      </c>
      <c r="AD38" s="26">
        <f>-Assumptions!$C$31*Assumptions!$C$33*(AD34+AD35)</f>
        <v>-32692.5</v>
      </c>
      <c r="AE38" s="26">
        <f>-Assumptions!$C$31*Assumptions!$C$33*(AE34+AE35)</f>
        <v>-32655</v>
      </c>
      <c r="AF38" s="26">
        <f>-Assumptions!$C$31*Assumptions!$C$33*(AF34+AF35)</f>
        <v>-10575</v>
      </c>
      <c r="AG38" s="26">
        <f>-Assumptions!$C$31*Assumptions!$C$33*(AG34+AG35)</f>
        <v>-33255</v>
      </c>
      <c r="AH38" s="26">
        <f>-Assumptions!$C$31*Assumptions!$C$33*(AH34+AH35)</f>
        <v>-33217.5</v>
      </c>
      <c r="AI38" s="26">
        <f>-Assumptions!$C$31*Assumptions!$C$33*(AI34+AI35)</f>
        <v>-11737.5</v>
      </c>
      <c r="AJ38" s="26">
        <f>-Assumptions!$C$31*Assumptions!$C$33*(AJ34+AJ35)</f>
        <v>-38055</v>
      </c>
      <c r="AK38" s="26">
        <f>-Assumptions!$C$31*Assumptions!$C$33*(AK34+AK35)</f>
        <v>-33817.5</v>
      </c>
      <c r="AL38" s="26">
        <f>-Assumptions!$C$31*Assumptions!$C$33*(AL34+AL35)</f>
        <v>-11737.5</v>
      </c>
      <c r="AM38" s="26">
        <f>-Assumptions!$C$31*Assumptions!$C$33*(AM34+AM35)</f>
        <v>-38017.5</v>
      </c>
      <c r="AN38" s="26">
        <f>-Assumptions!$C$31*Assumptions!$C$33*(AN34+AN35)</f>
        <v>-33817.5</v>
      </c>
      <c r="AO38" s="26">
        <f>-Assumptions!$C$31*Assumptions!$C$33*(AO34+AO35)</f>
        <v>-11737.5</v>
      </c>
      <c r="AP38" s="26">
        <f>-Assumptions!$C$31*Assumptions!$C$33*(AP34+AP35)</f>
        <v>-84825</v>
      </c>
      <c r="AQ38" s="26">
        <f>-Assumptions!$C$31*Assumptions!$C$33*(AQ34+AQ35)</f>
        <v>-46087.5</v>
      </c>
      <c r="AR38" s="26">
        <f>-Assumptions!$C$31*Assumptions!$C$33*(AR34+AR35)</f>
        <v>-22462.5</v>
      </c>
      <c r="AS38" s="26">
        <f>-Assumptions!$C$31*Assumptions!$C$33*(AS34+AS35)</f>
        <v>-46762.5</v>
      </c>
      <c r="AT38" s="26">
        <f>-Assumptions!$C$31*Assumptions!$C$33*(AT34+AT35)</f>
        <v>-16537.5</v>
      </c>
      <c r="AU38" s="26">
        <f>-Assumptions!$C$31*Assumptions!$C$33*(AU34+AU35)</f>
        <v>-48000</v>
      </c>
      <c r="AV38" s="26">
        <f>-Assumptions!$C$31*Assumptions!$C$33*(AV34+AV35)</f>
        <v>-55237.5</v>
      </c>
      <c r="AW38" s="26">
        <f>-Assumptions!$C$31*Assumptions!$C$33*(AW34+AW35)</f>
        <v>-78900</v>
      </c>
      <c r="AX38" s="26">
        <f>-Assumptions!$C$31*Assumptions!$C$33*(AX34+AX35)</f>
        <v>-17175</v>
      </c>
      <c r="AY38" s="26">
        <f>-Assumptions!$C$31*Assumptions!$C$33*(AY34+AY35)</f>
        <v>-79500</v>
      </c>
      <c r="AZ38" s="26">
        <f>-Assumptions!$C$31*Assumptions!$C$33*(AZ34+AZ35)</f>
        <v>-55237.5</v>
      </c>
      <c r="BA38" s="26">
        <f>-Assumptions!$C$31*Assumptions!$C$33*(BA34+BA35)</f>
        <v>-78900</v>
      </c>
      <c r="BB38" s="1"/>
      <c r="BC38" s="26">
        <f t="shared" ref="BC38:BF38" si="33">SUMPRODUCT((YEAR($F$3:$BA$3)=BC$3)*$F38:$BA38)</f>
        <v>-73837.5</v>
      </c>
      <c r="BD38" s="26">
        <f t="shared" si="33"/>
        <v>-166200</v>
      </c>
      <c r="BE38" s="26">
        <f t="shared" si="33"/>
        <v>-321315</v>
      </c>
      <c r="BF38" s="26">
        <f t="shared" si="33"/>
        <v>-629625</v>
      </c>
    </row>
    <row r="39">
      <c r="A39" s="1"/>
      <c r="B39" s="48" t="s">
        <v>115</v>
      </c>
      <c r="C39" s="49"/>
      <c r="D39" s="49"/>
      <c r="E39" s="48" t="s">
        <v>33</v>
      </c>
      <c r="F39" s="50">
        <f t="shared" ref="F39:BA39" si="34">F37+F38</f>
        <v>26050</v>
      </c>
      <c r="G39" s="50">
        <f t="shared" si="34"/>
        <v>132500</v>
      </c>
      <c r="H39" s="50">
        <f t="shared" si="34"/>
        <v>34487.5</v>
      </c>
      <c r="I39" s="50">
        <f t="shared" si="34"/>
        <v>40981.57653</v>
      </c>
      <c r="J39" s="50">
        <f t="shared" si="34"/>
        <v>42388.49248</v>
      </c>
      <c r="K39" s="50">
        <f t="shared" si="34"/>
        <v>68799.02987</v>
      </c>
      <c r="L39" s="50">
        <f t="shared" si="34"/>
        <v>69263.35227</v>
      </c>
      <c r="M39" s="50">
        <f t="shared" si="34"/>
        <v>69719.12024</v>
      </c>
      <c r="N39" s="50">
        <f t="shared" si="34"/>
        <v>174228.9914</v>
      </c>
      <c r="O39" s="50">
        <f t="shared" si="34"/>
        <v>58608.90866</v>
      </c>
      <c r="P39" s="50">
        <f t="shared" si="34"/>
        <v>77540.11711</v>
      </c>
      <c r="Q39" s="50">
        <f t="shared" si="34"/>
        <v>182025.8812</v>
      </c>
      <c r="R39" s="50">
        <f t="shared" si="34"/>
        <v>275524.6356</v>
      </c>
      <c r="S39" s="50">
        <f t="shared" si="34"/>
        <v>89434.19357</v>
      </c>
      <c r="T39" s="50">
        <f t="shared" si="34"/>
        <v>97716.57457</v>
      </c>
      <c r="U39" s="50">
        <f t="shared" si="34"/>
        <v>105991.9108</v>
      </c>
      <c r="V39" s="50">
        <f t="shared" si="34"/>
        <v>285440.332</v>
      </c>
      <c r="W39" s="50">
        <f t="shared" si="34"/>
        <v>107212.7539</v>
      </c>
      <c r="X39" s="50">
        <f t="shared" si="34"/>
        <v>115458.6829</v>
      </c>
      <c r="Y39" s="50">
        <f t="shared" si="34"/>
        <v>294878.2388</v>
      </c>
      <c r="Z39" s="50">
        <f t="shared" si="34"/>
        <v>116622.3271</v>
      </c>
      <c r="AA39" s="50">
        <f t="shared" si="34"/>
        <v>303920.4446</v>
      </c>
      <c r="AB39" s="50">
        <f t="shared" si="34"/>
        <v>296823.4895</v>
      </c>
      <c r="AC39" s="50">
        <f t="shared" si="34"/>
        <v>118531.7395</v>
      </c>
      <c r="AD39" s="50">
        <f t="shared" si="34"/>
        <v>422272.179</v>
      </c>
      <c r="AE39" s="50">
        <f t="shared" si="34"/>
        <v>424034.2657</v>
      </c>
      <c r="AF39" s="50">
        <f t="shared" si="34"/>
        <v>153882.0519</v>
      </c>
      <c r="AG39" s="50">
        <f t="shared" si="34"/>
        <v>435723.7589</v>
      </c>
      <c r="AH39" s="50">
        <f t="shared" si="34"/>
        <v>437328.9735</v>
      </c>
      <c r="AI39" s="50">
        <f t="shared" si="34"/>
        <v>174924.127</v>
      </c>
      <c r="AJ39" s="50">
        <f t="shared" si="34"/>
        <v>501479.8231</v>
      </c>
      <c r="AK39" s="50">
        <f t="shared" si="34"/>
        <v>451131.3225</v>
      </c>
      <c r="AL39" s="50">
        <f t="shared" si="34"/>
        <v>180676.8268</v>
      </c>
      <c r="AM39" s="50">
        <f t="shared" si="34"/>
        <v>506624.3288</v>
      </c>
      <c r="AN39" s="50">
        <f t="shared" si="34"/>
        <v>456596.4812</v>
      </c>
      <c r="AO39" s="50">
        <f t="shared" si="34"/>
        <v>186003.8808</v>
      </c>
      <c r="AP39" s="50">
        <f t="shared" si="34"/>
        <v>1090109.418</v>
      </c>
      <c r="AQ39" s="50">
        <f t="shared" si="34"/>
        <v>614464.2924</v>
      </c>
      <c r="AR39" s="50">
        <f t="shared" si="34"/>
        <v>325651.3142</v>
      </c>
      <c r="AS39" s="50">
        <f t="shared" si="34"/>
        <v>627359.4819</v>
      </c>
      <c r="AT39" s="50">
        <f t="shared" si="34"/>
        <v>257040.2522</v>
      </c>
      <c r="AU39" s="50">
        <f t="shared" si="34"/>
        <v>646991.7533</v>
      </c>
      <c r="AV39" s="50">
        <f t="shared" si="34"/>
        <v>738618.4807</v>
      </c>
      <c r="AW39" s="50">
        <f t="shared" si="34"/>
        <v>1032262.565</v>
      </c>
      <c r="AX39" s="50">
        <f t="shared" si="34"/>
        <v>273237.9797</v>
      </c>
      <c r="AY39" s="50">
        <f t="shared" si="34"/>
        <v>1043627.085</v>
      </c>
      <c r="AZ39" s="50">
        <f t="shared" si="34"/>
        <v>746550.0134</v>
      </c>
      <c r="BA39" s="50">
        <f t="shared" si="34"/>
        <v>1039995.632</v>
      </c>
      <c r="BB39" s="1"/>
      <c r="BC39" s="50">
        <f t="shared" ref="BC39:BF39" si="35">SUMPRODUCT((YEAR($F$3:$BA$3)=BC$3)*$F39:$BA39)</f>
        <v>976592.9698</v>
      </c>
      <c r="BD39" s="50">
        <f t="shared" si="35"/>
        <v>2207555.323</v>
      </c>
      <c r="BE39" s="50">
        <f t="shared" si="35"/>
        <v>4330678.019</v>
      </c>
      <c r="BF39" s="50">
        <f t="shared" si="35"/>
        <v>8435908.268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6" t="s">
        <v>116</v>
      </c>
      <c r="C42" s="7"/>
      <c r="D42" s="7"/>
      <c r="E42" s="7"/>
      <c r="F42" s="7"/>
      <c r="G42" s="7"/>
      <c r="H42" s="7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117</v>
      </c>
      <c r="C43" s="1"/>
      <c r="D43" s="1"/>
      <c r="E43" s="3" t="s">
        <v>44</v>
      </c>
      <c r="F43" s="11">
        <v>3.0</v>
      </c>
      <c r="G43" s="11">
        <v>3.0</v>
      </c>
      <c r="H43" s="11">
        <v>1.0</v>
      </c>
      <c r="I43" s="11">
        <v>1.0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3"/>
      <c r="BD43" s="1"/>
      <c r="BE43" s="1"/>
      <c r="BF43" s="1"/>
    </row>
    <row r="44">
      <c r="A44" s="1"/>
      <c r="B44" s="3" t="s">
        <v>96</v>
      </c>
      <c r="C44" s="1"/>
      <c r="D44" s="1"/>
      <c r="E44" s="3" t="s">
        <v>44</v>
      </c>
      <c r="F44" s="35"/>
      <c r="G44" s="11">
        <v>1.0</v>
      </c>
      <c r="H44" s="35"/>
      <c r="I44" s="3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118</v>
      </c>
      <c r="C45" s="1"/>
      <c r="D45" s="1"/>
      <c r="E45" s="3" t="s">
        <v>33</v>
      </c>
      <c r="F45" s="1"/>
      <c r="G45" s="26">
        <f t="array" ref="G45">INDEX(Assumptions!$C$6:$F$6,MATCH(2027,Assumptions!$C$1:$F$1,0))*Assumptions!$C$5</f>
        <v>100000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58" t="s">
        <v>119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>
      <c r="BB83" s="1"/>
    </row>
    <row r="84">
      <c r="BB84" s="1"/>
    </row>
    <row r="85">
      <c r="BB85" s="1"/>
    </row>
    <row r="86">
      <c r="BB86" s="1"/>
    </row>
    <row r="87">
      <c r="BB87" s="1"/>
    </row>
    <row r="88">
      <c r="BB88" s="1"/>
    </row>
    <row r="89">
      <c r="BB89" s="1"/>
    </row>
    <row r="90">
      <c r="BB90" s="1"/>
    </row>
    <row r="91">
      <c r="BB91" s="1"/>
    </row>
    <row r="92">
      <c r="BB92" s="1"/>
    </row>
  </sheetData>
  <mergeCells count="1">
    <mergeCell ref="B46:E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92</v>
      </c>
      <c r="F3" s="47">
        <v>46388.0</v>
      </c>
      <c r="G3" s="47">
        <v>46419.0</v>
      </c>
      <c r="H3" s="47">
        <v>46447.0</v>
      </c>
      <c r="I3" s="47">
        <v>46478.0</v>
      </c>
      <c r="J3" s="47">
        <v>46508.0</v>
      </c>
      <c r="K3" s="47">
        <v>46539.0</v>
      </c>
      <c r="L3" s="47">
        <v>46569.0</v>
      </c>
      <c r="M3" s="47">
        <v>46600.0</v>
      </c>
      <c r="N3" s="47">
        <v>46631.0</v>
      </c>
      <c r="O3" s="47">
        <v>46661.0</v>
      </c>
      <c r="P3" s="47">
        <v>46692.0</v>
      </c>
      <c r="Q3" s="47">
        <v>46722.0</v>
      </c>
      <c r="R3" s="47">
        <v>46753.0</v>
      </c>
      <c r="S3" s="47">
        <v>46784.0</v>
      </c>
      <c r="T3" s="47">
        <v>46813.0</v>
      </c>
      <c r="U3" s="47">
        <v>46844.0</v>
      </c>
      <c r="V3" s="47">
        <v>46874.0</v>
      </c>
      <c r="W3" s="47">
        <v>46905.0</v>
      </c>
      <c r="X3" s="47">
        <v>46935.0</v>
      </c>
      <c r="Y3" s="47">
        <v>46966.0</v>
      </c>
      <c r="Z3" s="47">
        <v>46997.0</v>
      </c>
      <c r="AA3" s="47">
        <v>47027.0</v>
      </c>
      <c r="AB3" s="47">
        <v>47058.0</v>
      </c>
      <c r="AC3" s="47">
        <v>47088.0</v>
      </c>
      <c r="AD3" s="47">
        <v>47119.0</v>
      </c>
      <c r="AE3" s="47">
        <v>47150.0</v>
      </c>
      <c r="AF3" s="47">
        <v>47178.0</v>
      </c>
      <c r="AG3" s="47">
        <v>47209.0</v>
      </c>
      <c r="AH3" s="47">
        <v>47239.0</v>
      </c>
      <c r="AI3" s="47">
        <v>47270.0</v>
      </c>
      <c r="AJ3" s="47">
        <v>47300.0</v>
      </c>
      <c r="AK3" s="47">
        <v>47331.0</v>
      </c>
      <c r="AL3" s="47">
        <v>47362.0</v>
      </c>
      <c r="AM3" s="47">
        <v>47392.0</v>
      </c>
      <c r="AN3" s="47">
        <v>47423.0</v>
      </c>
      <c r="AO3" s="47">
        <v>47453.0</v>
      </c>
      <c r="AP3" s="47">
        <v>47484.0</v>
      </c>
      <c r="AQ3" s="47">
        <v>47515.0</v>
      </c>
      <c r="AR3" s="47">
        <v>47543.0</v>
      </c>
      <c r="AS3" s="47">
        <v>47574.0</v>
      </c>
      <c r="AT3" s="47">
        <v>47604.0</v>
      </c>
      <c r="AU3" s="47">
        <v>47635.0</v>
      </c>
      <c r="AV3" s="47">
        <v>47665.0</v>
      </c>
      <c r="AW3" s="47">
        <v>47696.0</v>
      </c>
      <c r="AX3" s="47">
        <v>47727.0</v>
      </c>
      <c r="AY3" s="47">
        <v>47757.0</v>
      </c>
      <c r="AZ3" s="47">
        <v>47788.0</v>
      </c>
      <c r="BA3" s="47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121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122</v>
      </c>
      <c r="C7" s="1"/>
      <c r="D7" s="1"/>
      <c r="E7" s="3" t="s">
        <v>44</v>
      </c>
      <c r="F7" s="35">
        <f>'Revenue forecast'!F8+'Revenue forecast'!F16</f>
        <v>4</v>
      </c>
      <c r="G7" s="35">
        <f>'Revenue forecast'!G8+'Revenue forecast'!G16</f>
        <v>6</v>
      </c>
      <c r="H7" s="35">
        <f>'Revenue forecast'!H8+'Revenue forecast'!H16</f>
        <v>5</v>
      </c>
      <c r="I7" s="35">
        <f>'Revenue forecast'!I8+'Revenue forecast'!I16</f>
        <v>6</v>
      </c>
      <c r="J7" s="35">
        <f>'Revenue forecast'!J8+'Revenue forecast'!J16</f>
        <v>6</v>
      </c>
      <c r="K7" s="35">
        <f>'Revenue forecast'!K8+'Revenue forecast'!K16</f>
        <v>7</v>
      </c>
      <c r="L7" s="35">
        <f>'Revenue forecast'!L8+'Revenue forecast'!L16</f>
        <v>7</v>
      </c>
      <c r="M7" s="35">
        <f>'Revenue forecast'!M8+'Revenue forecast'!M16</f>
        <v>7</v>
      </c>
      <c r="N7" s="35">
        <f>'Revenue forecast'!N8+'Revenue forecast'!N16</f>
        <v>6</v>
      </c>
      <c r="O7" s="35">
        <f>'Revenue forecast'!O8+'Revenue forecast'!O16</f>
        <v>8</v>
      </c>
      <c r="P7" s="35">
        <f>'Revenue forecast'!P8+'Revenue forecast'!P16</f>
        <v>8</v>
      </c>
      <c r="Q7" s="35">
        <f>'Revenue forecast'!Q8+'Revenue forecast'!Q16</f>
        <v>7</v>
      </c>
      <c r="R7" s="35">
        <f>'Revenue forecast'!R8+'Revenue forecast'!R16</f>
        <v>7</v>
      </c>
      <c r="S7" s="35">
        <f>'Revenue forecast'!S8+'Revenue forecast'!S16</f>
        <v>7</v>
      </c>
      <c r="T7" s="35">
        <f>'Revenue forecast'!T8+'Revenue forecast'!T16</f>
        <v>8</v>
      </c>
      <c r="U7" s="35">
        <f>'Revenue forecast'!U8+'Revenue forecast'!U16</f>
        <v>9</v>
      </c>
      <c r="V7" s="35">
        <f>'Revenue forecast'!V8+'Revenue forecast'!V16</f>
        <v>8</v>
      </c>
      <c r="W7" s="35">
        <f>'Revenue forecast'!W8+'Revenue forecast'!W16</f>
        <v>9</v>
      </c>
      <c r="X7" s="35">
        <f>'Revenue forecast'!X8+'Revenue forecast'!X16</f>
        <v>10</v>
      </c>
      <c r="Y7" s="35">
        <f>'Revenue forecast'!Y8+'Revenue forecast'!Y16</f>
        <v>9</v>
      </c>
      <c r="Z7" s="35">
        <f>'Revenue forecast'!Z8+'Revenue forecast'!Z16</f>
        <v>10</v>
      </c>
      <c r="AA7" s="35">
        <f>'Revenue forecast'!AA8+'Revenue forecast'!AA16</f>
        <v>10</v>
      </c>
      <c r="AB7" s="35">
        <f>'Revenue forecast'!AB8+'Revenue forecast'!AB16</f>
        <v>9</v>
      </c>
      <c r="AC7" s="35">
        <f>'Revenue forecast'!AC8+'Revenue forecast'!AC16</f>
        <v>10</v>
      </c>
      <c r="AD7" s="35">
        <f>'Revenue forecast'!AD8+'Revenue forecast'!AD16</f>
        <v>10</v>
      </c>
      <c r="AE7" s="35">
        <f>'Revenue forecast'!AE8+'Revenue forecast'!AE16</f>
        <v>10</v>
      </c>
      <c r="AF7" s="35">
        <f>'Revenue forecast'!AF8+'Revenue forecast'!AF16</f>
        <v>11</v>
      </c>
      <c r="AG7" s="35">
        <f>'Revenue forecast'!AG8+'Revenue forecast'!AG16</f>
        <v>11</v>
      </c>
      <c r="AH7" s="35">
        <f>'Revenue forecast'!AH8+'Revenue forecast'!AH16</f>
        <v>11</v>
      </c>
      <c r="AI7" s="35">
        <f>'Revenue forecast'!AI8+'Revenue forecast'!AI16</f>
        <v>13</v>
      </c>
      <c r="AJ7" s="35">
        <f>'Revenue forecast'!AJ8+'Revenue forecast'!AJ16</f>
        <v>12</v>
      </c>
      <c r="AK7" s="35">
        <f>'Revenue forecast'!AK8+'Revenue forecast'!AK16</f>
        <v>12</v>
      </c>
      <c r="AL7" s="35">
        <f>'Revenue forecast'!AL8+'Revenue forecast'!AL16</f>
        <v>13</v>
      </c>
      <c r="AM7" s="35">
        <f>'Revenue forecast'!AM8+'Revenue forecast'!AM16</f>
        <v>12</v>
      </c>
      <c r="AN7" s="35">
        <f>'Revenue forecast'!AN8+'Revenue forecast'!AN16</f>
        <v>12</v>
      </c>
      <c r="AO7" s="35">
        <f>'Revenue forecast'!AO8+'Revenue forecast'!AO16</f>
        <v>13</v>
      </c>
      <c r="AP7" s="35">
        <f>'Revenue forecast'!AP8+'Revenue forecast'!AP16</f>
        <v>12</v>
      </c>
      <c r="AQ7" s="35">
        <f>'Revenue forecast'!AQ8+'Revenue forecast'!AQ16</f>
        <v>12</v>
      </c>
      <c r="AR7" s="35">
        <f>'Revenue forecast'!AR8+'Revenue forecast'!AR16</f>
        <v>13</v>
      </c>
      <c r="AS7" s="35">
        <f>'Revenue forecast'!AS8+'Revenue forecast'!AS16</f>
        <v>13</v>
      </c>
      <c r="AT7" s="35">
        <f>'Revenue forecast'!AT8+'Revenue forecast'!AT16</f>
        <v>15</v>
      </c>
      <c r="AU7" s="35">
        <f>'Revenue forecast'!AU8+'Revenue forecast'!AU16</f>
        <v>15</v>
      </c>
      <c r="AV7" s="35">
        <f>'Revenue forecast'!AV8+'Revenue forecast'!AV16</f>
        <v>15</v>
      </c>
      <c r="AW7" s="35">
        <f>'Revenue forecast'!AW8+'Revenue forecast'!AW16</f>
        <v>14</v>
      </c>
      <c r="AX7" s="35">
        <f>'Revenue forecast'!AX8+'Revenue forecast'!AX16</f>
        <v>16</v>
      </c>
      <c r="AY7" s="35">
        <f>'Revenue forecast'!AY8+'Revenue forecast'!AY16</f>
        <v>15</v>
      </c>
      <c r="AZ7" s="35">
        <f>'Revenue forecast'!AZ8+'Revenue forecast'!AZ16</f>
        <v>15</v>
      </c>
      <c r="BA7" s="35">
        <f>'Revenue forecast'!BA8+'Revenue forecast'!BA16</f>
        <v>14</v>
      </c>
      <c r="BB7" s="35"/>
      <c r="BC7" s="35">
        <f t="shared" ref="BC7:BC18" si="1">Q7</f>
        <v>7</v>
      </c>
      <c r="BD7" s="35">
        <f t="shared" ref="BD7:BD18" si="2">AC7</f>
        <v>10</v>
      </c>
      <c r="BE7" s="35">
        <f t="shared" ref="BE7:BE18" si="3">AO7</f>
        <v>13</v>
      </c>
      <c r="BF7" s="35">
        <f t="shared" ref="BF7:BF18" si="4">BA7</f>
        <v>14</v>
      </c>
    </row>
    <row r="8">
      <c r="A8" s="1"/>
      <c r="B8" s="3" t="s">
        <v>123</v>
      </c>
      <c r="C8" s="1"/>
      <c r="D8" s="1"/>
      <c r="E8" s="3" t="s">
        <v>44</v>
      </c>
      <c r="F8" s="35">
        <f t="array" ref="F8">MAX(1,CEILING(F7/INDEX(Assumptions!$C$48:$F$48,MATCH(YEAR(F$3),Assumptions!$C$1:$F$1,0)),1))</f>
        <v>2</v>
      </c>
      <c r="G8" s="35">
        <f t="array" ref="G8">MAX(F8,CEILING(G7/INDEX(Assumptions!$C$48:$F$48,MATCH(YEAR(G$3),Assumptions!$C$1:$F$1,0)),1))</f>
        <v>2</v>
      </c>
      <c r="H8" s="35">
        <f t="array" ref="H8">MAX(G8,CEILING(H7/INDEX(Assumptions!$C$48:$F$48,MATCH(YEAR(H$3),Assumptions!$C$1:$F$1,0)),1))</f>
        <v>2</v>
      </c>
      <c r="I8" s="35">
        <f t="array" ref="I8">MAX(H8,CEILING(I7/INDEX(Assumptions!$C$48:$F$48,MATCH(YEAR(I$3),Assumptions!$C$1:$F$1,0)),1))</f>
        <v>2</v>
      </c>
      <c r="J8" s="35">
        <f t="array" ref="J8">MAX(I8,CEILING(J7/INDEX(Assumptions!$C$48:$F$48,MATCH(YEAR(J$3),Assumptions!$C$1:$F$1,0)),1))</f>
        <v>2</v>
      </c>
      <c r="K8" s="35">
        <f t="array" ref="K8">MAX(J8,CEILING(K7/INDEX(Assumptions!$C$48:$F$48,MATCH(YEAR(K$3),Assumptions!$C$1:$F$1,0)),1))</f>
        <v>3</v>
      </c>
      <c r="L8" s="35">
        <f t="array" ref="L8">MAX(K8,CEILING(L7/INDEX(Assumptions!$C$48:$F$48,MATCH(YEAR(L$3),Assumptions!$C$1:$F$1,0)),1))</f>
        <v>3</v>
      </c>
      <c r="M8" s="35">
        <f t="array" ref="M8">MAX(L8,CEILING(M7/INDEX(Assumptions!$C$48:$F$48,MATCH(YEAR(M$3),Assumptions!$C$1:$F$1,0)),1))</f>
        <v>3</v>
      </c>
      <c r="N8" s="35">
        <f t="array" ref="N8">MAX(M8,CEILING(N7/INDEX(Assumptions!$C$48:$F$48,MATCH(YEAR(N$3),Assumptions!$C$1:$F$1,0)),1))</f>
        <v>3</v>
      </c>
      <c r="O8" s="35">
        <f t="array" ref="O8">MAX(N8,CEILING(O7/INDEX(Assumptions!$C$48:$F$48,MATCH(YEAR(O$3),Assumptions!$C$1:$F$1,0)),1))</f>
        <v>3</v>
      </c>
      <c r="P8" s="35">
        <f t="array" ref="P8">MAX(O8,CEILING(P7/INDEX(Assumptions!$C$48:$F$48,MATCH(YEAR(P$3),Assumptions!$C$1:$F$1,0)),1))</f>
        <v>3</v>
      </c>
      <c r="Q8" s="35">
        <f t="array" ref="Q8">MAX(P8,CEILING(Q7/INDEX(Assumptions!$C$48:$F$48,MATCH(YEAR(Q$3),Assumptions!$C$1:$F$1,0)),1))</f>
        <v>3</v>
      </c>
      <c r="R8" s="35">
        <f t="array" ref="R8">MAX(Q8,CEILING(R7/INDEX(Assumptions!$C$48:$F$48,MATCH(YEAR(R$3),Assumptions!$C$1:$F$1,0)),1))</f>
        <v>3</v>
      </c>
      <c r="S8" s="35">
        <f t="array" ref="S8">MAX(R8,CEILING(S7/INDEX(Assumptions!$C$48:$F$48,MATCH(YEAR(S$3),Assumptions!$C$1:$F$1,0)),1))</f>
        <v>3</v>
      </c>
      <c r="T8" s="35">
        <f t="array" ref="T8">MAX(S8,CEILING(T7/INDEX(Assumptions!$C$48:$F$48,MATCH(YEAR(T$3),Assumptions!$C$1:$F$1,0)),1))</f>
        <v>3</v>
      </c>
      <c r="U8" s="35">
        <f t="array" ref="U8">MAX(T8,CEILING(U7/INDEX(Assumptions!$C$48:$F$48,MATCH(YEAR(U$3),Assumptions!$C$1:$F$1,0)),1))</f>
        <v>3</v>
      </c>
      <c r="V8" s="35">
        <f t="array" ref="V8">MAX(U8,CEILING(V7/INDEX(Assumptions!$C$48:$F$48,MATCH(YEAR(V$3),Assumptions!$C$1:$F$1,0)),1))</f>
        <v>3</v>
      </c>
      <c r="W8" s="35">
        <f t="array" ref="W8">MAX(V8,CEILING(W7/INDEX(Assumptions!$C$48:$F$48,MATCH(YEAR(W$3),Assumptions!$C$1:$F$1,0)),1))</f>
        <v>3</v>
      </c>
      <c r="X8" s="35">
        <f t="array" ref="X8">MAX(W8,CEILING(X7/INDEX(Assumptions!$C$48:$F$48,MATCH(YEAR(X$3),Assumptions!$C$1:$F$1,0)),1))</f>
        <v>4</v>
      </c>
      <c r="Y8" s="35">
        <f t="array" ref="Y8">MAX(X8,CEILING(Y7/INDEX(Assumptions!$C$48:$F$48,MATCH(YEAR(Y$3),Assumptions!$C$1:$F$1,0)),1))</f>
        <v>4</v>
      </c>
      <c r="Z8" s="35">
        <f t="array" ref="Z8">MAX(Y8,CEILING(Z7/INDEX(Assumptions!$C$48:$F$48,MATCH(YEAR(Z$3),Assumptions!$C$1:$F$1,0)),1))</f>
        <v>4</v>
      </c>
      <c r="AA8" s="35">
        <f t="array" ref="AA8">MAX(Z8,CEILING(AA7/INDEX(Assumptions!$C$48:$F$48,MATCH(YEAR(AA$3),Assumptions!$C$1:$F$1,0)),1))</f>
        <v>4</v>
      </c>
      <c r="AB8" s="35">
        <f t="array" ref="AB8">MAX(AA8,CEILING(AB7/INDEX(Assumptions!$C$48:$F$48,MATCH(YEAR(AB$3),Assumptions!$C$1:$F$1,0)),1))</f>
        <v>4</v>
      </c>
      <c r="AC8" s="35">
        <f t="array" ref="AC8">MAX(AB8,CEILING(AC7/INDEX(Assumptions!$C$48:$F$48,MATCH(YEAR(AC$3),Assumptions!$C$1:$F$1,0)),1))</f>
        <v>4</v>
      </c>
      <c r="AD8" s="35">
        <f t="array" ref="AD8">MAX(AC8,CEILING(AD7/INDEX(Assumptions!$C$48:$F$48,MATCH(YEAR(AD$3),Assumptions!$C$1:$F$1,0)),1))</f>
        <v>4</v>
      </c>
      <c r="AE8" s="35">
        <f t="array" ref="AE8">MAX(AD8,CEILING(AE7/INDEX(Assumptions!$C$48:$F$48,MATCH(YEAR(AE$3),Assumptions!$C$1:$F$1,0)),1))</f>
        <v>4</v>
      </c>
      <c r="AF8" s="35">
        <f t="array" ref="AF8">MAX(AE8,CEILING(AF7/INDEX(Assumptions!$C$48:$F$48,MATCH(YEAR(AF$3),Assumptions!$C$1:$F$1,0)),1))</f>
        <v>4</v>
      </c>
      <c r="AG8" s="35">
        <f t="array" ref="AG8">MAX(AF8,CEILING(AG7/INDEX(Assumptions!$C$48:$F$48,MATCH(YEAR(AG$3),Assumptions!$C$1:$F$1,0)),1))</f>
        <v>4</v>
      </c>
      <c r="AH8" s="35">
        <f t="array" ref="AH8">MAX(AG8,CEILING(AH7/INDEX(Assumptions!$C$48:$F$48,MATCH(YEAR(AH$3),Assumptions!$C$1:$F$1,0)),1))</f>
        <v>4</v>
      </c>
      <c r="AI8" s="35">
        <f t="array" ref="AI8">MAX(AH8,CEILING(AI7/INDEX(Assumptions!$C$48:$F$48,MATCH(YEAR(AI$3),Assumptions!$C$1:$F$1,0)),1))</f>
        <v>5</v>
      </c>
      <c r="AJ8" s="35">
        <f t="array" ref="AJ8">MAX(AI8,CEILING(AJ7/INDEX(Assumptions!$C$48:$F$48,MATCH(YEAR(AJ$3),Assumptions!$C$1:$F$1,0)),1))</f>
        <v>5</v>
      </c>
      <c r="AK8" s="35">
        <f t="array" ref="AK8">MAX(AJ8,CEILING(AK7/INDEX(Assumptions!$C$48:$F$48,MATCH(YEAR(AK$3),Assumptions!$C$1:$F$1,0)),1))</f>
        <v>5</v>
      </c>
      <c r="AL8" s="35">
        <f t="array" ref="AL8">MAX(AK8,CEILING(AL7/INDEX(Assumptions!$C$48:$F$48,MATCH(YEAR(AL$3),Assumptions!$C$1:$F$1,0)),1))</f>
        <v>5</v>
      </c>
      <c r="AM8" s="35">
        <f t="array" ref="AM8">MAX(AL8,CEILING(AM7/INDEX(Assumptions!$C$48:$F$48,MATCH(YEAR(AM$3),Assumptions!$C$1:$F$1,0)),1))</f>
        <v>5</v>
      </c>
      <c r="AN8" s="35">
        <f t="array" ref="AN8">MAX(AM8,CEILING(AN7/INDEX(Assumptions!$C$48:$F$48,MATCH(YEAR(AN$3),Assumptions!$C$1:$F$1,0)),1))</f>
        <v>5</v>
      </c>
      <c r="AO8" s="35">
        <f t="array" ref="AO8">MAX(AN8,CEILING(AO7/INDEX(Assumptions!$C$48:$F$48,MATCH(YEAR(AO$3),Assumptions!$C$1:$F$1,0)),1))</f>
        <v>5</v>
      </c>
      <c r="AP8" s="35">
        <f t="array" ref="AP8">MAX(AO8,CEILING(AP7/INDEX(Assumptions!$C$48:$F$48,MATCH(YEAR(AP$3),Assumptions!$C$1:$F$1,0)),1))</f>
        <v>5</v>
      </c>
      <c r="AQ8" s="35">
        <f t="array" ref="AQ8">MAX(AP8,CEILING(AQ7/INDEX(Assumptions!$C$48:$F$48,MATCH(YEAR(AQ$3),Assumptions!$C$1:$F$1,0)),1))</f>
        <v>5</v>
      </c>
      <c r="AR8" s="35">
        <f t="array" ref="AR8">MAX(AQ8,CEILING(AR7/INDEX(Assumptions!$C$48:$F$48,MATCH(YEAR(AR$3),Assumptions!$C$1:$F$1,0)),1))</f>
        <v>5</v>
      </c>
      <c r="AS8" s="35">
        <f t="array" ref="AS8">MAX(AR8,CEILING(AS7/INDEX(Assumptions!$C$48:$F$48,MATCH(YEAR(AS$3),Assumptions!$C$1:$F$1,0)),1))</f>
        <v>5</v>
      </c>
      <c r="AT8" s="35">
        <f t="array" ref="AT8">MAX(AS8,CEILING(AT7/INDEX(Assumptions!$C$48:$F$48,MATCH(YEAR(AT$3),Assumptions!$C$1:$F$1,0)),1))</f>
        <v>5</v>
      </c>
      <c r="AU8" s="35">
        <f t="array" ref="AU8">MAX(AT8,CEILING(AU7/INDEX(Assumptions!$C$48:$F$48,MATCH(YEAR(AU$3),Assumptions!$C$1:$F$1,0)),1))</f>
        <v>5</v>
      </c>
      <c r="AV8" s="35">
        <f t="array" ref="AV8">MAX(AU8,CEILING(AV7/INDEX(Assumptions!$C$48:$F$48,MATCH(YEAR(AV$3),Assumptions!$C$1:$F$1,0)),1))</f>
        <v>5</v>
      </c>
      <c r="AW8" s="35">
        <f t="array" ref="AW8">MAX(AV8,CEILING(AW7/INDEX(Assumptions!$C$48:$F$48,MATCH(YEAR(AW$3),Assumptions!$C$1:$F$1,0)),1))</f>
        <v>5</v>
      </c>
      <c r="AX8" s="35">
        <f t="array" ref="AX8">MAX(AW8,CEILING(AX7/INDEX(Assumptions!$C$48:$F$48,MATCH(YEAR(AX$3),Assumptions!$C$1:$F$1,0)),1))</f>
        <v>6</v>
      </c>
      <c r="AY8" s="35">
        <f t="array" ref="AY8">MAX(AX8,CEILING(AY7/INDEX(Assumptions!$C$48:$F$48,MATCH(YEAR(AY$3),Assumptions!$C$1:$F$1,0)),1))</f>
        <v>6</v>
      </c>
      <c r="AZ8" s="35">
        <f t="array" ref="AZ8">MAX(AY8,CEILING(AZ7/INDEX(Assumptions!$C$48:$F$48,MATCH(YEAR(AZ$3),Assumptions!$C$1:$F$1,0)),1))</f>
        <v>6</v>
      </c>
      <c r="BA8" s="35">
        <f t="array" ref="BA8">MAX(AZ8,CEILING(BA7/INDEX(Assumptions!$C$48:$F$48,MATCH(YEAR(BA$3),Assumptions!$C$1:$F$1,0)),1))</f>
        <v>6</v>
      </c>
      <c r="BB8" s="35"/>
      <c r="BC8" s="35">
        <f t="shared" si="1"/>
        <v>3</v>
      </c>
      <c r="BD8" s="35">
        <f t="shared" si="2"/>
        <v>4</v>
      </c>
      <c r="BE8" s="35">
        <f t="shared" si="3"/>
        <v>5</v>
      </c>
      <c r="BF8" s="35">
        <f t="shared" si="4"/>
        <v>6</v>
      </c>
    </row>
    <row r="9">
      <c r="A9" s="1"/>
      <c r="B9" s="3" t="s">
        <v>124</v>
      </c>
      <c r="C9" s="1"/>
      <c r="D9" s="1"/>
      <c r="E9" s="3" t="s">
        <v>44</v>
      </c>
      <c r="F9" s="35">
        <f>IF(F7&gt;=Assumptions!$C$52,2,IF(F7&gt;=Assumptions!$C$51,1,0))</f>
        <v>0</v>
      </c>
      <c r="G9" s="35">
        <f>MAX(F9,IF(G7&gt;=Assumptions!$C$52,2,IF(G7&gt;=Assumptions!$C$51,1,0)))</f>
        <v>0</v>
      </c>
      <c r="H9" s="35">
        <f>MAX(G9,IF(H7&gt;=Assumptions!$C$52,2,IF(H7&gt;=Assumptions!$C$51,1,0)))</f>
        <v>0</v>
      </c>
      <c r="I9" s="35">
        <f>MAX(H9,IF(I7&gt;=Assumptions!$C$52,2,IF(I7&gt;=Assumptions!$C$51,1,0)))</f>
        <v>0</v>
      </c>
      <c r="J9" s="35">
        <f>MAX(I9,IF(J7&gt;=Assumptions!$C$52,2,IF(J7&gt;=Assumptions!$C$51,1,0)))</f>
        <v>0</v>
      </c>
      <c r="K9" s="35">
        <f>MAX(J9,IF(K7&gt;=Assumptions!$C$52,2,IF(K7&gt;=Assumptions!$C$51,1,0)))</f>
        <v>0</v>
      </c>
      <c r="L9" s="35">
        <f>MAX(K9,IF(L7&gt;=Assumptions!$C$52,2,IF(L7&gt;=Assumptions!$C$51,1,0)))</f>
        <v>0</v>
      </c>
      <c r="M9" s="35">
        <f>MAX(L9,IF(M7&gt;=Assumptions!$C$52,2,IF(M7&gt;=Assumptions!$C$51,1,0)))</f>
        <v>0</v>
      </c>
      <c r="N9" s="35">
        <f>MAX(M9,IF(N7&gt;=Assumptions!$C$52,2,IF(N7&gt;=Assumptions!$C$51,1,0)))</f>
        <v>0</v>
      </c>
      <c r="O9" s="35">
        <f>MAX(N9,IF(O7&gt;=Assumptions!$C$52,2,IF(O7&gt;=Assumptions!$C$51,1,0)))</f>
        <v>0</v>
      </c>
      <c r="P9" s="35">
        <f>MAX(O9,IF(P7&gt;=Assumptions!$C$52,2,IF(P7&gt;=Assumptions!$C$51,1,0)))</f>
        <v>0</v>
      </c>
      <c r="Q9" s="35">
        <f>MAX(P9,IF(Q7&gt;=Assumptions!$C$52,2,IF(Q7&gt;=Assumptions!$C$51,1,0)))</f>
        <v>0</v>
      </c>
      <c r="R9" s="35">
        <f>MAX(Q9,IF(R7&gt;=Assumptions!$C$52,2,IF(R7&gt;=Assumptions!$C$51,1,0)))</f>
        <v>0</v>
      </c>
      <c r="S9" s="35">
        <f>MAX(R9,IF(S7&gt;=Assumptions!$C$52,2,IF(S7&gt;=Assumptions!$C$51,1,0)))</f>
        <v>0</v>
      </c>
      <c r="T9" s="35">
        <f>MAX(S9,IF(T7&gt;=Assumptions!$C$52,2,IF(T7&gt;=Assumptions!$C$51,1,0)))</f>
        <v>0</v>
      </c>
      <c r="U9" s="35">
        <f>MAX(T9,IF(U7&gt;=Assumptions!$C$52,2,IF(U7&gt;=Assumptions!$C$51,1,0)))</f>
        <v>0</v>
      </c>
      <c r="V9" s="35">
        <f>MAX(U9,IF(V7&gt;=Assumptions!$C$52,2,IF(V7&gt;=Assumptions!$C$51,1,0)))</f>
        <v>0</v>
      </c>
      <c r="W9" s="35">
        <f>MAX(V9,IF(W7&gt;=Assumptions!$C$52,2,IF(W7&gt;=Assumptions!$C$51,1,0)))</f>
        <v>0</v>
      </c>
      <c r="X9" s="35">
        <f>MAX(W9,IF(X7&gt;=Assumptions!$C$52,2,IF(X7&gt;=Assumptions!$C$51,1,0)))</f>
        <v>1</v>
      </c>
      <c r="Y9" s="35">
        <f>MAX(X9,IF(Y7&gt;=Assumptions!$C$52,2,IF(Y7&gt;=Assumptions!$C$51,1,0)))</f>
        <v>1</v>
      </c>
      <c r="Z9" s="35">
        <f>MAX(Y9,IF(Z7&gt;=Assumptions!$C$52,2,IF(Z7&gt;=Assumptions!$C$51,1,0)))</f>
        <v>1</v>
      </c>
      <c r="AA9" s="35">
        <f>MAX(Z9,IF(AA7&gt;=Assumptions!$C$52,2,IF(AA7&gt;=Assumptions!$C$51,1,0)))</f>
        <v>1</v>
      </c>
      <c r="AB9" s="35">
        <f>MAX(AA9,IF(AB7&gt;=Assumptions!$C$52,2,IF(AB7&gt;=Assumptions!$C$51,1,0)))</f>
        <v>1</v>
      </c>
      <c r="AC9" s="35">
        <f>MAX(AB9,IF(AC7&gt;=Assumptions!$C$52,2,IF(AC7&gt;=Assumptions!$C$51,1,0)))</f>
        <v>1</v>
      </c>
      <c r="AD9" s="35">
        <f>MAX(AC9,IF(AD7&gt;=Assumptions!$C$52,2,IF(AD7&gt;=Assumptions!$C$51,1,0)))</f>
        <v>1</v>
      </c>
      <c r="AE9" s="35">
        <f>MAX(AD9,IF(AE7&gt;=Assumptions!$C$52,2,IF(AE7&gt;=Assumptions!$C$51,1,0)))</f>
        <v>1</v>
      </c>
      <c r="AF9" s="35">
        <f>MAX(AE9,IF(AF7&gt;=Assumptions!$C$52,2,IF(AF7&gt;=Assumptions!$C$51,1,0)))</f>
        <v>1</v>
      </c>
      <c r="AG9" s="35">
        <f>MAX(AF9,IF(AG7&gt;=Assumptions!$C$52,2,IF(AG7&gt;=Assumptions!$C$51,1,0)))</f>
        <v>1</v>
      </c>
      <c r="AH9" s="35">
        <f>MAX(AG9,IF(AH7&gt;=Assumptions!$C$52,2,IF(AH7&gt;=Assumptions!$C$51,1,0)))</f>
        <v>1</v>
      </c>
      <c r="AI9" s="35">
        <f>MAX(AH9,IF(AI7&gt;=Assumptions!$C$52,2,IF(AI7&gt;=Assumptions!$C$51,1,0)))</f>
        <v>1</v>
      </c>
      <c r="AJ9" s="35">
        <f>MAX(AI9,IF(AJ7&gt;=Assumptions!$C$52,2,IF(AJ7&gt;=Assumptions!$C$51,1,0)))</f>
        <v>1</v>
      </c>
      <c r="AK9" s="35">
        <f>MAX(AJ9,IF(AK7&gt;=Assumptions!$C$52,2,IF(AK7&gt;=Assumptions!$C$51,1,0)))</f>
        <v>1</v>
      </c>
      <c r="AL9" s="35">
        <f>MAX(AK9,IF(AL7&gt;=Assumptions!$C$52,2,IF(AL7&gt;=Assumptions!$C$51,1,0)))</f>
        <v>1</v>
      </c>
      <c r="AM9" s="35">
        <f>MAX(AL9,IF(AM7&gt;=Assumptions!$C$52,2,IF(AM7&gt;=Assumptions!$C$51,1,0)))</f>
        <v>1</v>
      </c>
      <c r="AN9" s="35">
        <f>MAX(AM9,IF(AN7&gt;=Assumptions!$C$52,2,IF(AN7&gt;=Assumptions!$C$51,1,0)))</f>
        <v>1</v>
      </c>
      <c r="AO9" s="35">
        <f>MAX(AN9,IF(AO7&gt;=Assumptions!$C$52,2,IF(AO7&gt;=Assumptions!$C$51,1,0)))</f>
        <v>1</v>
      </c>
      <c r="AP9" s="35">
        <f>MAX(AO9,IF(AP7&gt;=Assumptions!$C$52,2,IF(AP7&gt;=Assumptions!$C$51,1,0)))</f>
        <v>1</v>
      </c>
      <c r="AQ9" s="35">
        <f>MAX(AP9,IF(AQ7&gt;=Assumptions!$C$52,2,IF(AQ7&gt;=Assumptions!$C$51,1,0)))</f>
        <v>1</v>
      </c>
      <c r="AR9" s="35">
        <f>MAX(AQ9,IF(AR7&gt;=Assumptions!$C$52,2,IF(AR7&gt;=Assumptions!$C$51,1,0)))</f>
        <v>1</v>
      </c>
      <c r="AS9" s="35">
        <f>MAX(AR9,IF(AS7&gt;=Assumptions!$C$52,2,IF(AS7&gt;=Assumptions!$C$51,1,0)))</f>
        <v>1</v>
      </c>
      <c r="AT9" s="35">
        <f>MAX(AS9,IF(AT7&gt;=Assumptions!$C$52,2,IF(AT7&gt;=Assumptions!$C$51,1,0)))</f>
        <v>2</v>
      </c>
      <c r="AU9" s="35">
        <f>MAX(AT9,IF(AU7&gt;=Assumptions!$C$52,2,IF(AU7&gt;=Assumptions!$C$51,1,0)))</f>
        <v>2</v>
      </c>
      <c r="AV9" s="35">
        <f>MAX(AU9,IF(AV7&gt;=Assumptions!$C$52,2,IF(AV7&gt;=Assumptions!$C$51,1,0)))</f>
        <v>2</v>
      </c>
      <c r="AW9" s="35">
        <f>MAX(AV9,IF(AW7&gt;=Assumptions!$C$52,2,IF(AW7&gt;=Assumptions!$C$51,1,0)))</f>
        <v>2</v>
      </c>
      <c r="AX9" s="35">
        <f>MAX(AW9,IF(AX7&gt;=Assumptions!$C$52,2,IF(AX7&gt;=Assumptions!$C$51,1,0)))</f>
        <v>2</v>
      </c>
      <c r="AY9" s="35">
        <f>MAX(AX9,IF(AY7&gt;=Assumptions!$C$52,2,IF(AY7&gt;=Assumptions!$C$51,1,0)))</f>
        <v>2</v>
      </c>
      <c r="AZ9" s="35">
        <f>MAX(AY9,IF(AZ7&gt;=Assumptions!$C$52,2,IF(AZ7&gt;=Assumptions!$C$51,1,0)))</f>
        <v>2</v>
      </c>
      <c r="BA9" s="35">
        <f>MAX(AZ9,IF(BA7&gt;=Assumptions!$C$52,2,IF(BA7&gt;=Assumptions!$C$51,1,0)))</f>
        <v>2</v>
      </c>
      <c r="BB9" s="35"/>
      <c r="BC9" s="35">
        <f t="shared" si="1"/>
        <v>0</v>
      </c>
      <c r="BD9" s="35">
        <f t="shared" si="2"/>
        <v>1</v>
      </c>
      <c r="BE9" s="35">
        <f t="shared" si="3"/>
        <v>1</v>
      </c>
      <c r="BF9" s="35">
        <f t="shared" si="4"/>
        <v>2</v>
      </c>
    </row>
    <row r="10">
      <c r="A10" s="1"/>
      <c r="B10" s="3" t="s">
        <v>125</v>
      </c>
      <c r="C10" s="1"/>
      <c r="D10" s="1"/>
      <c r="E10" s="3" t="s">
        <v>44</v>
      </c>
      <c r="F10" s="35">
        <f>MAX(Assumptions!$C$53,ROUNDDOWN((F8+F9)/3,0))</f>
        <v>2</v>
      </c>
      <c r="G10" s="35">
        <f>MAX(Assumptions!$C$53,ROUNDDOWN((G8+G9)/3,0))</f>
        <v>2</v>
      </c>
      <c r="H10" s="35">
        <f>MAX(Assumptions!$C$53,ROUNDDOWN((H8+H9)/3,0))</f>
        <v>2</v>
      </c>
      <c r="I10" s="35">
        <f>MAX(Assumptions!$C$53,ROUNDDOWN((I8+I9)/3,0))</f>
        <v>2</v>
      </c>
      <c r="J10" s="35">
        <f>MAX(Assumptions!$C$53,ROUNDDOWN((J8+J9)/3,0))</f>
        <v>2</v>
      </c>
      <c r="K10" s="35">
        <f>MAX(Assumptions!$C$53,ROUNDDOWN((K8+K9)/3,0))</f>
        <v>2</v>
      </c>
      <c r="L10" s="35">
        <f>MAX(Assumptions!$C$53,ROUNDDOWN((L8+L9)/3,0))</f>
        <v>2</v>
      </c>
      <c r="M10" s="35">
        <f>MAX(Assumptions!$C$53,ROUNDDOWN((M8+M9)/3,0))</f>
        <v>2</v>
      </c>
      <c r="N10" s="35">
        <f>MAX(Assumptions!$C$53,ROUNDDOWN((N8+N9)/3,0))</f>
        <v>2</v>
      </c>
      <c r="O10" s="35">
        <f>MAX(Assumptions!$C$53,ROUNDDOWN((O8+O9)/3,0))</f>
        <v>2</v>
      </c>
      <c r="P10" s="35">
        <f>MAX(Assumptions!$C$53,ROUNDDOWN((P8+P9)/3,0))</f>
        <v>2</v>
      </c>
      <c r="Q10" s="35">
        <f>MAX(Assumptions!$C$53,ROUNDDOWN((Q8+Q9)/3,0))</f>
        <v>2</v>
      </c>
      <c r="R10" s="35">
        <f>MAX(Assumptions!$C$53,ROUNDDOWN((R8+R9)/3,0))</f>
        <v>2</v>
      </c>
      <c r="S10" s="35">
        <f>MAX(Assumptions!$C$53,ROUNDDOWN((S8+S9)/3,0))</f>
        <v>2</v>
      </c>
      <c r="T10" s="35">
        <f>MAX(Assumptions!$C$53,ROUNDDOWN((T8+T9)/3,0))</f>
        <v>2</v>
      </c>
      <c r="U10" s="35">
        <f>MAX(Assumptions!$C$53,ROUNDDOWN((U8+U9)/3,0))</f>
        <v>2</v>
      </c>
      <c r="V10" s="35">
        <f>MAX(Assumptions!$C$53,ROUNDDOWN((V8+V9)/3,0))</f>
        <v>2</v>
      </c>
      <c r="W10" s="35">
        <f>MAX(Assumptions!$C$53,ROUNDDOWN((W8+W9)/3,0))</f>
        <v>2</v>
      </c>
      <c r="X10" s="35">
        <f>MAX(Assumptions!$C$53,ROUNDDOWN((X8+X9)/3,0))</f>
        <v>2</v>
      </c>
      <c r="Y10" s="35">
        <f>MAX(Assumptions!$C$53,ROUNDDOWN((Y8+Y9)/3,0))</f>
        <v>2</v>
      </c>
      <c r="Z10" s="35">
        <f>MAX(Assumptions!$C$53,ROUNDDOWN((Z8+Z9)/3,0))</f>
        <v>2</v>
      </c>
      <c r="AA10" s="35">
        <f>MAX(Assumptions!$C$53,ROUNDDOWN((AA8+AA9)/3,0))</f>
        <v>2</v>
      </c>
      <c r="AB10" s="35">
        <f>MAX(Assumptions!$C$53,ROUNDDOWN((AB8+AB9)/3,0))</f>
        <v>2</v>
      </c>
      <c r="AC10" s="35">
        <f>MAX(Assumptions!$C$53,ROUNDDOWN((AC8+AC9)/3,0))</f>
        <v>2</v>
      </c>
      <c r="AD10" s="35">
        <f>MAX(Assumptions!$C$53,ROUNDDOWN((AD8+AD9)/3,0))</f>
        <v>2</v>
      </c>
      <c r="AE10" s="35">
        <f>MAX(Assumptions!$C$53,ROUNDDOWN((AE8+AE9)/3,0))</f>
        <v>2</v>
      </c>
      <c r="AF10" s="35">
        <f>MAX(Assumptions!$C$53,ROUNDDOWN((AF8+AF9)/3,0))</f>
        <v>2</v>
      </c>
      <c r="AG10" s="35">
        <f>MAX(Assumptions!$C$53,ROUNDDOWN((AG8+AG9)/3,0))</f>
        <v>2</v>
      </c>
      <c r="AH10" s="35">
        <f>MAX(Assumptions!$C$53,ROUNDDOWN((AH8+AH9)/3,0))</f>
        <v>2</v>
      </c>
      <c r="AI10" s="35">
        <f>MAX(Assumptions!$C$53,ROUNDDOWN((AI8+AI9)/3,0))</f>
        <v>2</v>
      </c>
      <c r="AJ10" s="35">
        <f>MAX(Assumptions!$C$53,ROUNDDOWN((AJ8+AJ9)/3,0))</f>
        <v>2</v>
      </c>
      <c r="AK10" s="35">
        <f>MAX(Assumptions!$C$53,ROUNDDOWN((AK8+AK9)/3,0))</f>
        <v>2</v>
      </c>
      <c r="AL10" s="35">
        <f>MAX(Assumptions!$C$53,ROUNDDOWN((AL8+AL9)/3,0))</f>
        <v>2</v>
      </c>
      <c r="AM10" s="35">
        <f>MAX(Assumptions!$C$53,ROUNDDOWN((AM8+AM9)/3,0))</f>
        <v>2</v>
      </c>
      <c r="AN10" s="35">
        <f>MAX(Assumptions!$C$53,ROUNDDOWN((AN8+AN9)/3,0))</f>
        <v>2</v>
      </c>
      <c r="AO10" s="35">
        <f>MAX(Assumptions!$C$53,ROUNDDOWN((AO8+AO9)/3,0))</f>
        <v>2</v>
      </c>
      <c r="AP10" s="35">
        <f>MAX(Assumptions!$C$53,ROUNDDOWN((AP8+AP9)/3,0))</f>
        <v>2</v>
      </c>
      <c r="AQ10" s="35">
        <f>MAX(Assumptions!$C$53,ROUNDDOWN((AQ8+AQ9)/3,0))</f>
        <v>2</v>
      </c>
      <c r="AR10" s="35">
        <f>MAX(Assumptions!$C$53,ROUNDDOWN((AR8+AR9)/3,0))</f>
        <v>2</v>
      </c>
      <c r="AS10" s="35">
        <f>MAX(Assumptions!$C$53,ROUNDDOWN((AS8+AS9)/3,0))</f>
        <v>2</v>
      </c>
      <c r="AT10" s="35">
        <f>MAX(Assumptions!$C$53,ROUNDDOWN((AT8+AT9)/3,0))</f>
        <v>2</v>
      </c>
      <c r="AU10" s="35">
        <f>MAX(Assumptions!$C$53,ROUNDDOWN((AU8+AU9)/3,0))</f>
        <v>2</v>
      </c>
      <c r="AV10" s="35">
        <f>MAX(Assumptions!$C$53,ROUNDDOWN((AV8+AV9)/3,0))</f>
        <v>2</v>
      </c>
      <c r="AW10" s="35">
        <f>MAX(Assumptions!$C$53,ROUNDDOWN((AW8+AW9)/3,0))</f>
        <v>2</v>
      </c>
      <c r="AX10" s="35">
        <f>MAX(Assumptions!$C$53,ROUNDDOWN((AX8+AX9)/3,0))</f>
        <v>2</v>
      </c>
      <c r="AY10" s="35">
        <f>MAX(Assumptions!$C$53,ROUNDDOWN((AY8+AY9)/3,0))</f>
        <v>2</v>
      </c>
      <c r="AZ10" s="35">
        <f>MAX(Assumptions!$C$53,ROUNDDOWN((AZ8+AZ9)/3,0))</f>
        <v>2</v>
      </c>
      <c r="BA10" s="35">
        <f>MAX(Assumptions!$C$53,ROUNDDOWN((BA8+BA9)/3,0))</f>
        <v>2</v>
      </c>
      <c r="BB10" s="35"/>
      <c r="BC10" s="35">
        <f t="shared" si="1"/>
        <v>2</v>
      </c>
      <c r="BD10" s="35">
        <f t="shared" si="2"/>
        <v>2</v>
      </c>
      <c r="BE10" s="35">
        <f t="shared" si="3"/>
        <v>2</v>
      </c>
      <c r="BF10" s="35">
        <f t="shared" si="4"/>
        <v>2</v>
      </c>
    </row>
    <row r="11">
      <c r="A11" s="1"/>
      <c r="B11" s="3" t="s">
        <v>126</v>
      </c>
      <c r="C11" s="1"/>
      <c r="D11" s="1"/>
      <c r="E11" s="3" t="s">
        <v>44</v>
      </c>
      <c r="F11" s="11">
        <v>1.0</v>
      </c>
      <c r="G11" s="11">
        <v>1.0</v>
      </c>
      <c r="H11" s="11">
        <v>1.0</v>
      </c>
      <c r="I11" s="11">
        <v>1.0</v>
      </c>
      <c r="J11" s="11">
        <v>1.0</v>
      </c>
      <c r="K11" s="11">
        <v>1.0</v>
      </c>
      <c r="L11" s="11">
        <v>1.0</v>
      </c>
      <c r="M11" s="11">
        <v>1.0</v>
      </c>
      <c r="N11" s="11">
        <v>1.0</v>
      </c>
      <c r="O11" s="11">
        <v>1.0</v>
      </c>
      <c r="P11" s="11">
        <v>1.0</v>
      </c>
      <c r="Q11" s="11">
        <v>1.0</v>
      </c>
      <c r="R11" s="11">
        <v>1.0</v>
      </c>
      <c r="S11" s="11">
        <v>1.0</v>
      </c>
      <c r="T11" s="11">
        <v>1.0</v>
      </c>
      <c r="U11" s="11">
        <v>1.0</v>
      </c>
      <c r="V11" s="11">
        <v>1.0</v>
      </c>
      <c r="W11" s="11">
        <v>1.0</v>
      </c>
      <c r="X11" s="11">
        <v>1.0</v>
      </c>
      <c r="Y11" s="11">
        <v>1.0</v>
      </c>
      <c r="Z11" s="11">
        <v>1.0</v>
      </c>
      <c r="AA11" s="11">
        <v>1.0</v>
      </c>
      <c r="AB11" s="11">
        <v>1.0</v>
      </c>
      <c r="AC11" s="11">
        <v>1.0</v>
      </c>
      <c r="AD11" s="11">
        <v>1.0</v>
      </c>
      <c r="AE11" s="11">
        <v>1.0</v>
      </c>
      <c r="AF11" s="11">
        <v>1.0</v>
      </c>
      <c r="AG11" s="11">
        <v>1.0</v>
      </c>
      <c r="AH11" s="11">
        <v>1.0</v>
      </c>
      <c r="AI11" s="11">
        <v>1.0</v>
      </c>
      <c r="AJ11" s="11">
        <v>1.0</v>
      </c>
      <c r="AK11" s="11">
        <v>1.0</v>
      </c>
      <c r="AL11" s="11">
        <v>1.0</v>
      </c>
      <c r="AM11" s="11">
        <v>1.0</v>
      </c>
      <c r="AN11" s="11">
        <v>1.0</v>
      </c>
      <c r="AO11" s="11">
        <v>1.0</v>
      </c>
      <c r="AP11" s="11">
        <v>1.0</v>
      </c>
      <c r="AQ11" s="11">
        <v>1.0</v>
      </c>
      <c r="AR11" s="11">
        <v>1.0</v>
      </c>
      <c r="AS11" s="11">
        <v>1.0</v>
      </c>
      <c r="AT11" s="11">
        <v>1.0</v>
      </c>
      <c r="AU11" s="11">
        <v>1.0</v>
      </c>
      <c r="AV11" s="11">
        <v>1.0</v>
      </c>
      <c r="AW11" s="11">
        <v>1.0</v>
      </c>
      <c r="AX11" s="11">
        <v>1.0</v>
      </c>
      <c r="AY11" s="11">
        <v>1.0</v>
      </c>
      <c r="AZ11" s="11">
        <v>1.0</v>
      </c>
      <c r="BA11" s="11">
        <v>1.0</v>
      </c>
      <c r="BB11" s="35"/>
      <c r="BC11" s="35">
        <f t="shared" si="1"/>
        <v>1</v>
      </c>
      <c r="BD11" s="35">
        <f t="shared" si="2"/>
        <v>1</v>
      </c>
      <c r="BE11" s="35">
        <f t="shared" si="3"/>
        <v>1</v>
      </c>
      <c r="BF11" s="35">
        <f t="shared" si="4"/>
        <v>1</v>
      </c>
    </row>
    <row r="12">
      <c r="A12" s="1"/>
      <c r="B12" s="3" t="s">
        <v>127</v>
      </c>
      <c r="C12" s="1"/>
      <c r="D12" s="1"/>
      <c r="E12" s="3" t="s">
        <v>44</v>
      </c>
      <c r="F12" s="11">
        <v>1.0</v>
      </c>
      <c r="G12" s="11">
        <v>1.0</v>
      </c>
      <c r="H12" s="11">
        <v>1.0</v>
      </c>
      <c r="I12" s="11">
        <v>1.0</v>
      </c>
      <c r="J12" s="11">
        <v>1.0</v>
      </c>
      <c r="K12" s="11">
        <v>1.0</v>
      </c>
      <c r="L12" s="11">
        <v>1.0</v>
      </c>
      <c r="M12" s="11">
        <v>1.0</v>
      </c>
      <c r="N12" s="11">
        <v>1.0</v>
      </c>
      <c r="O12" s="11">
        <v>1.0</v>
      </c>
      <c r="P12" s="11">
        <v>1.0</v>
      </c>
      <c r="Q12" s="11">
        <v>1.0</v>
      </c>
      <c r="R12" s="11">
        <v>1.0</v>
      </c>
      <c r="S12" s="11">
        <v>1.0</v>
      </c>
      <c r="T12" s="11">
        <v>1.0</v>
      </c>
      <c r="U12" s="11">
        <v>1.0</v>
      </c>
      <c r="V12" s="11">
        <v>1.0</v>
      </c>
      <c r="W12" s="11">
        <v>1.0</v>
      </c>
      <c r="X12" s="11">
        <v>1.0</v>
      </c>
      <c r="Y12" s="11">
        <v>1.0</v>
      </c>
      <c r="Z12" s="11">
        <v>1.0</v>
      </c>
      <c r="AA12" s="11">
        <v>1.0</v>
      </c>
      <c r="AB12" s="11">
        <v>1.0</v>
      </c>
      <c r="AC12" s="11">
        <v>1.0</v>
      </c>
      <c r="AD12" s="11">
        <v>1.0</v>
      </c>
      <c r="AE12" s="11">
        <v>1.0</v>
      </c>
      <c r="AF12" s="11">
        <v>1.0</v>
      </c>
      <c r="AG12" s="11">
        <v>1.0</v>
      </c>
      <c r="AH12" s="11">
        <v>1.0</v>
      </c>
      <c r="AI12" s="11">
        <v>1.0</v>
      </c>
      <c r="AJ12" s="11">
        <v>1.0</v>
      </c>
      <c r="AK12" s="11">
        <v>1.0</v>
      </c>
      <c r="AL12" s="11">
        <v>1.0</v>
      </c>
      <c r="AM12" s="11">
        <v>1.0</v>
      </c>
      <c r="AN12" s="11">
        <v>1.0</v>
      </c>
      <c r="AO12" s="11">
        <v>1.0</v>
      </c>
      <c r="AP12" s="11">
        <v>1.0</v>
      </c>
      <c r="AQ12" s="11">
        <v>1.0</v>
      </c>
      <c r="AR12" s="11">
        <v>1.0</v>
      </c>
      <c r="AS12" s="11">
        <v>1.0</v>
      </c>
      <c r="AT12" s="11">
        <v>1.0</v>
      </c>
      <c r="AU12" s="11">
        <v>1.0</v>
      </c>
      <c r="AV12" s="11">
        <v>1.0</v>
      </c>
      <c r="AW12" s="11">
        <v>1.0</v>
      </c>
      <c r="AX12" s="11">
        <v>1.0</v>
      </c>
      <c r="AY12" s="11">
        <v>1.0</v>
      </c>
      <c r="AZ12" s="11">
        <v>1.0</v>
      </c>
      <c r="BA12" s="11">
        <v>1.0</v>
      </c>
      <c r="BB12" s="35"/>
      <c r="BC12" s="35">
        <f t="shared" si="1"/>
        <v>1</v>
      </c>
      <c r="BD12" s="35">
        <f t="shared" si="2"/>
        <v>1</v>
      </c>
      <c r="BE12" s="35">
        <f t="shared" si="3"/>
        <v>1</v>
      </c>
      <c r="BF12" s="35">
        <f t="shared" si="4"/>
        <v>1</v>
      </c>
    </row>
    <row r="13">
      <c r="A13" s="1"/>
      <c r="B13" s="3" t="s">
        <v>128</v>
      </c>
      <c r="C13" s="1"/>
      <c r="D13" s="1"/>
      <c r="E13" s="3" t="s">
        <v>44</v>
      </c>
      <c r="F13" s="11">
        <f t="shared" ref="F13:BA13" si="5">IF(YEAR(F$3)&gt;=2029,1,0)</f>
        <v>0</v>
      </c>
      <c r="G13" s="11">
        <f t="shared" si="5"/>
        <v>0</v>
      </c>
      <c r="H13" s="11">
        <f t="shared" si="5"/>
        <v>0</v>
      </c>
      <c r="I13" s="11">
        <f t="shared" si="5"/>
        <v>0</v>
      </c>
      <c r="J13" s="11">
        <f t="shared" si="5"/>
        <v>0</v>
      </c>
      <c r="K13" s="11">
        <f t="shared" si="5"/>
        <v>0</v>
      </c>
      <c r="L13" s="11">
        <f t="shared" si="5"/>
        <v>0</v>
      </c>
      <c r="M13" s="11">
        <f t="shared" si="5"/>
        <v>0</v>
      </c>
      <c r="N13" s="11">
        <f t="shared" si="5"/>
        <v>0</v>
      </c>
      <c r="O13" s="11">
        <f t="shared" si="5"/>
        <v>0</v>
      </c>
      <c r="P13" s="11">
        <f t="shared" si="5"/>
        <v>0</v>
      </c>
      <c r="Q13" s="11">
        <f t="shared" si="5"/>
        <v>0</v>
      </c>
      <c r="R13" s="11">
        <f t="shared" si="5"/>
        <v>0</v>
      </c>
      <c r="S13" s="11">
        <f t="shared" si="5"/>
        <v>0</v>
      </c>
      <c r="T13" s="11">
        <f t="shared" si="5"/>
        <v>0</v>
      </c>
      <c r="U13" s="11">
        <f t="shared" si="5"/>
        <v>0</v>
      </c>
      <c r="V13" s="11">
        <f t="shared" si="5"/>
        <v>0</v>
      </c>
      <c r="W13" s="11">
        <f t="shared" si="5"/>
        <v>0</v>
      </c>
      <c r="X13" s="11">
        <f t="shared" si="5"/>
        <v>0</v>
      </c>
      <c r="Y13" s="11">
        <f t="shared" si="5"/>
        <v>0</v>
      </c>
      <c r="Z13" s="11">
        <f t="shared" si="5"/>
        <v>0</v>
      </c>
      <c r="AA13" s="11">
        <f t="shared" si="5"/>
        <v>0</v>
      </c>
      <c r="AB13" s="11">
        <f t="shared" si="5"/>
        <v>0</v>
      </c>
      <c r="AC13" s="11">
        <f t="shared" si="5"/>
        <v>0</v>
      </c>
      <c r="AD13" s="11">
        <f t="shared" si="5"/>
        <v>1</v>
      </c>
      <c r="AE13" s="11">
        <f t="shared" si="5"/>
        <v>1</v>
      </c>
      <c r="AF13" s="11">
        <f t="shared" si="5"/>
        <v>1</v>
      </c>
      <c r="AG13" s="11">
        <f t="shared" si="5"/>
        <v>1</v>
      </c>
      <c r="AH13" s="11">
        <f t="shared" si="5"/>
        <v>1</v>
      </c>
      <c r="AI13" s="11">
        <f t="shared" si="5"/>
        <v>1</v>
      </c>
      <c r="AJ13" s="11">
        <f t="shared" si="5"/>
        <v>1</v>
      </c>
      <c r="AK13" s="11">
        <f t="shared" si="5"/>
        <v>1</v>
      </c>
      <c r="AL13" s="11">
        <f t="shared" si="5"/>
        <v>1</v>
      </c>
      <c r="AM13" s="11">
        <f t="shared" si="5"/>
        <v>1</v>
      </c>
      <c r="AN13" s="11">
        <f t="shared" si="5"/>
        <v>1</v>
      </c>
      <c r="AO13" s="11">
        <f t="shared" si="5"/>
        <v>1</v>
      </c>
      <c r="AP13" s="11">
        <f t="shared" si="5"/>
        <v>1</v>
      </c>
      <c r="AQ13" s="11">
        <f t="shared" si="5"/>
        <v>1</v>
      </c>
      <c r="AR13" s="11">
        <f t="shared" si="5"/>
        <v>1</v>
      </c>
      <c r="AS13" s="11">
        <f t="shared" si="5"/>
        <v>1</v>
      </c>
      <c r="AT13" s="11">
        <f t="shared" si="5"/>
        <v>1</v>
      </c>
      <c r="AU13" s="11">
        <f t="shared" si="5"/>
        <v>1</v>
      </c>
      <c r="AV13" s="11">
        <f t="shared" si="5"/>
        <v>1</v>
      </c>
      <c r="AW13" s="11">
        <f t="shared" si="5"/>
        <v>1</v>
      </c>
      <c r="AX13" s="11">
        <f t="shared" si="5"/>
        <v>1</v>
      </c>
      <c r="AY13" s="11">
        <f t="shared" si="5"/>
        <v>1</v>
      </c>
      <c r="AZ13" s="11">
        <f t="shared" si="5"/>
        <v>1</v>
      </c>
      <c r="BA13" s="11">
        <f t="shared" si="5"/>
        <v>1</v>
      </c>
      <c r="BB13" s="35"/>
      <c r="BC13" s="35">
        <f t="shared" si="1"/>
        <v>0</v>
      </c>
      <c r="BD13" s="35">
        <f t="shared" si="2"/>
        <v>0</v>
      </c>
      <c r="BE13" s="35">
        <f t="shared" si="3"/>
        <v>1</v>
      </c>
      <c r="BF13" s="35">
        <f t="shared" si="4"/>
        <v>1</v>
      </c>
    </row>
    <row r="14">
      <c r="A14" s="1"/>
      <c r="B14" s="3" t="s">
        <v>129</v>
      </c>
      <c r="C14" s="59"/>
      <c r="D14" s="60"/>
      <c r="E14" s="3" t="s">
        <v>44</v>
      </c>
      <c r="F14" s="11">
        <f t="shared" ref="F14:BA14" si="6">IF(YEAR(F$3)&gt;=2029,2,1)</f>
        <v>1</v>
      </c>
      <c r="G14" s="11">
        <f t="shared" si="6"/>
        <v>1</v>
      </c>
      <c r="H14" s="11">
        <f t="shared" si="6"/>
        <v>1</v>
      </c>
      <c r="I14" s="11">
        <f t="shared" si="6"/>
        <v>1</v>
      </c>
      <c r="J14" s="11">
        <f t="shared" si="6"/>
        <v>1</v>
      </c>
      <c r="K14" s="11">
        <f t="shared" si="6"/>
        <v>1</v>
      </c>
      <c r="L14" s="11">
        <f t="shared" si="6"/>
        <v>1</v>
      </c>
      <c r="M14" s="11">
        <f t="shared" si="6"/>
        <v>1</v>
      </c>
      <c r="N14" s="11">
        <f t="shared" si="6"/>
        <v>1</v>
      </c>
      <c r="O14" s="11">
        <f t="shared" si="6"/>
        <v>1</v>
      </c>
      <c r="P14" s="11">
        <f t="shared" si="6"/>
        <v>1</v>
      </c>
      <c r="Q14" s="11">
        <f t="shared" si="6"/>
        <v>1</v>
      </c>
      <c r="R14" s="11">
        <f t="shared" si="6"/>
        <v>1</v>
      </c>
      <c r="S14" s="11">
        <f t="shared" si="6"/>
        <v>1</v>
      </c>
      <c r="T14" s="11">
        <f t="shared" si="6"/>
        <v>1</v>
      </c>
      <c r="U14" s="11">
        <f t="shared" si="6"/>
        <v>1</v>
      </c>
      <c r="V14" s="11">
        <f t="shared" si="6"/>
        <v>1</v>
      </c>
      <c r="W14" s="11">
        <f t="shared" si="6"/>
        <v>1</v>
      </c>
      <c r="X14" s="11">
        <f t="shared" si="6"/>
        <v>1</v>
      </c>
      <c r="Y14" s="11">
        <f t="shared" si="6"/>
        <v>1</v>
      </c>
      <c r="Z14" s="11">
        <f t="shared" si="6"/>
        <v>1</v>
      </c>
      <c r="AA14" s="11">
        <f t="shared" si="6"/>
        <v>1</v>
      </c>
      <c r="AB14" s="11">
        <f t="shared" si="6"/>
        <v>1</v>
      </c>
      <c r="AC14" s="11">
        <f t="shared" si="6"/>
        <v>1</v>
      </c>
      <c r="AD14" s="11">
        <f t="shared" si="6"/>
        <v>2</v>
      </c>
      <c r="AE14" s="11">
        <f t="shared" si="6"/>
        <v>2</v>
      </c>
      <c r="AF14" s="11">
        <f t="shared" si="6"/>
        <v>2</v>
      </c>
      <c r="AG14" s="11">
        <f t="shared" si="6"/>
        <v>2</v>
      </c>
      <c r="AH14" s="11">
        <f t="shared" si="6"/>
        <v>2</v>
      </c>
      <c r="AI14" s="11">
        <f t="shared" si="6"/>
        <v>2</v>
      </c>
      <c r="AJ14" s="11">
        <f t="shared" si="6"/>
        <v>2</v>
      </c>
      <c r="AK14" s="11">
        <f t="shared" si="6"/>
        <v>2</v>
      </c>
      <c r="AL14" s="11">
        <f t="shared" si="6"/>
        <v>2</v>
      </c>
      <c r="AM14" s="11">
        <f t="shared" si="6"/>
        <v>2</v>
      </c>
      <c r="AN14" s="11">
        <f t="shared" si="6"/>
        <v>2</v>
      </c>
      <c r="AO14" s="11">
        <f t="shared" si="6"/>
        <v>2</v>
      </c>
      <c r="AP14" s="11">
        <f t="shared" si="6"/>
        <v>2</v>
      </c>
      <c r="AQ14" s="11">
        <f t="shared" si="6"/>
        <v>2</v>
      </c>
      <c r="AR14" s="11">
        <f t="shared" si="6"/>
        <v>2</v>
      </c>
      <c r="AS14" s="11">
        <f t="shared" si="6"/>
        <v>2</v>
      </c>
      <c r="AT14" s="11">
        <f t="shared" si="6"/>
        <v>2</v>
      </c>
      <c r="AU14" s="11">
        <f t="shared" si="6"/>
        <v>2</v>
      </c>
      <c r="AV14" s="11">
        <f t="shared" si="6"/>
        <v>2</v>
      </c>
      <c r="AW14" s="11">
        <f t="shared" si="6"/>
        <v>2</v>
      </c>
      <c r="AX14" s="11">
        <f t="shared" si="6"/>
        <v>2</v>
      </c>
      <c r="AY14" s="11">
        <f t="shared" si="6"/>
        <v>2</v>
      </c>
      <c r="AZ14" s="11">
        <f t="shared" si="6"/>
        <v>2</v>
      </c>
      <c r="BA14" s="11">
        <f t="shared" si="6"/>
        <v>2</v>
      </c>
      <c r="BB14" s="35"/>
      <c r="BC14" s="35">
        <f t="shared" si="1"/>
        <v>1</v>
      </c>
      <c r="BD14" s="35">
        <f t="shared" si="2"/>
        <v>1</v>
      </c>
      <c r="BE14" s="35">
        <f t="shared" si="3"/>
        <v>2</v>
      </c>
      <c r="BF14" s="35">
        <f t="shared" si="4"/>
        <v>2</v>
      </c>
    </row>
    <row r="15">
      <c r="A15" s="1"/>
      <c r="B15" s="3" t="s">
        <v>130</v>
      </c>
      <c r="C15" s="1"/>
      <c r="D15" s="1"/>
      <c r="E15" s="3" t="s">
        <v>44</v>
      </c>
      <c r="F15" s="11">
        <v>1.0</v>
      </c>
      <c r="G15" s="11">
        <v>1.0</v>
      </c>
      <c r="H15" s="11">
        <v>1.0</v>
      </c>
      <c r="I15" s="11">
        <v>1.0</v>
      </c>
      <c r="J15" s="11">
        <v>1.0</v>
      </c>
      <c r="K15" s="11">
        <v>1.0</v>
      </c>
      <c r="L15" s="11">
        <v>1.0</v>
      </c>
      <c r="M15" s="11">
        <v>1.0</v>
      </c>
      <c r="N15" s="11">
        <v>1.0</v>
      </c>
      <c r="O15" s="11">
        <v>1.0</v>
      </c>
      <c r="P15" s="11">
        <v>1.0</v>
      </c>
      <c r="Q15" s="11">
        <v>1.0</v>
      </c>
      <c r="R15" s="11">
        <v>1.0</v>
      </c>
      <c r="S15" s="11">
        <v>1.0</v>
      </c>
      <c r="T15" s="11">
        <v>1.0</v>
      </c>
      <c r="U15" s="11">
        <v>1.0</v>
      </c>
      <c r="V15" s="11">
        <v>1.0</v>
      </c>
      <c r="W15" s="11">
        <v>1.0</v>
      </c>
      <c r="X15" s="11">
        <v>1.0</v>
      </c>
      <c r="Y15" s="11">
        <v>1.0</v>
      </c>
      <c r="Z15" s="11">
        <v>1.0</v>
      </c>
      <c r="AA15" s="11">
        <v>1.0</v>
      </c>
      <c r="AB15" s="11">
        <v>1.0</v>
      </c>
      <c r="AC15" s="11">
        <v>1.0</v>
      </c>
      <c r="AD15" s="11">
        <v>1.0</v>
      </c>
      <c r="AE15" s="11">
        <v>1.0</v>
      </c>
      <c r="AF15" s="11">
        <v>1.0</v>
      </c>
      <c r="AG15" s="11">
        <v>1.0</v>
      </c>
      <c r="AH15" s="11">
        <v>1.0</v>
      </c>
      <c r="AI15" s="11">
        <v>1.0</v>
      </c>
      <c r="AJ15" s="11">
        <v>1.0</v>
      </c>
      <c r="AK15" s="11">
        <v>1.0</v>
      </c>
      <c r="AL15" s="11">
        <v>1.0</v>
      </c>
      <c r="AM15" s="11">
        <v>1.0</v>
      </c>
      <c r="AN15" s="11">
        <v>1.0</v>
      </c>
      <c r="AO15" s="11">
        <v>1.0</v>
      </c>
      <c r="AP15" s="11">
        <v>1.0</v>
      </c>
      <c r="AQ15" s="11">
        <v>1.0</v>
      </c>
      <c r="AR15" s="11">
        <v>1.0</v>
      </c>
      <c r="AS15" s="11">
        <v>1.0</v>
      </c>
      <c r="AT15" s="11">
        <v>1.0</v>
      </c>
      <c r="AU15" s="11">
        <v>1.0</v>
      </c>
      <c r="AV15" s="11">
        <v>1.0</v>
      </c>
      <c r="AW15" s="11">
        <v>1.0</v>
      </c>
      <c r="AX15" s="11">
        <v>1.0</v>
      </c>
      <c r="AY15" s="11">
        <v>1.0</v>
      </c>
      <c r="AZ15" s="11">
        <v>1.0</v>
      </c>
      <c r="BA15" s="11">
        <v>1.0</v>
      </c>
      <c r="BB15" s="35"/>
      <c r="BC15" s="35">
        <f t="shared" si="1"/>
        <v>1</v>
      </c>
      <c r="BD15" s="35">
        <f t="shared" si="2"/>
        <v>1</v>
      </c>
      <c r="BE15" s="35">
        <f t="shared" si="3"/>
        <v>1</v>
      </c>
      <c r="BF15" s="35">
        <f t="shared" si="4"/>
        <v>1</v>
      </c>
    </row>
    <row r="16">
      <c r="A16" s="1"/>
      <c r="B16" s="3" t="s">
        <v>131</v>
      </c>
      <c r="C16" s="1"/>
      <c r="D16" s="1"/>
      <c r="E16" s="3" t="s">
        <v>44</v>
      </c>
      <c r="F16" s="11">
        <v>1.0</v>
      </c>
      <c r="G16" s="11">
        <v>1.0</v>
      </c>
      <c r="H16" s="11">
        <v>1.0</v>
      </c>
      <c r="I16" s="11">
        <v>1.0</v>
      </c>
      <c r="J16" s="11">
        <v>1.0</v>
      </c>
      <c r="K16" s="11">
        <v>1.0</v>
      </c>
      <c r="L16" s="11">
        <v>1.0</v>
      </c>
      <c r="M16" s="11">
        <v>1.0</v>
      </c>
      <c r="N16" s="11">
        <v>1.0</v>
      </c>
      <c r="O16" s="11">
        <v>1.0</v>
      </c>
      <c r="P16" s="11">
        <v>1.0</v>
      </c>
      <c r="Q16" s="11">
        <v>1.0</v>
      </c>
      <c r="R16" s="11">
        <v>1.0</v>
      </c>
      <c r="S16" s="11">
        <v>1.0</v>
      </c>
      <c r="T16" s="11">
        <v>1.0</v>
      </c>
      <c r="U16" s="11">
        <v>1.0</v>
      </c>
      <c r="V16" s="11">
        <v>1.0</v>
      </c>
      <c r="W16" s="11">
        <v>1.0</v>
      </c>
      <c r="X16" s="11">
        <v>1.0</v>
      </c>
      <c r="Y16" s="11">
        <v>1.0</v>
      </c>
      <c r="Z16" s="11">
        <v>1.0</v>
      </c>
      <c r="AA16" s="11">
        <v>1.0</v>
      </c>
      <c r="AB16" s="11">
        <v>1.0</v>
      </c>
      <c r="AC16" s="11">
        <v>1.0</v>
      </c>
      <c r="AD16" s="11">
        <v>1.0</v>
      </c>
      <c r="AE16" s="11">
        <v>1.0</v>
      </c>
      <c r="AF16" s="11">
        <v>1.0</v>
      </c>
      <c r="AG16" s="11">
        <v>1.0</v>
      </c>
      <c r="AH16" s="11">
        <v>1.0</v>
      </c>
      <c r="AI16" s="11">
        <v>1.0</v>
      </c>
      <c r="AJ16" s="11">
        <v>1.0</v>
      </c>
      <c r="AK16" s="11">
        <v>1.0</v>
      </c>
      <c r="AL16" s="11">
        <v>1.0</v>
      </c>
      <c r="AM16" s="11">
        <v>1.0</v>
      </c>
      <c r="AN16" s="11">
        <v>1.0</v>
      </c>
      <c r="AO16" s="11">
        <v>1.0</v>
      </c>
      <c r="AP16" s="11">
        <v>1.0</v>
      </c>
      <c r="AQ16" s="11">
        <v>1.0</v>
      </c>
      <c r="AR16" s="11">
        <v>1.0</v>
      </c>
      <c r="AS16" s="11">
        <v>1.0</v>
      </c>
      <c r="AT16" s="11">
        <v>1.0</v>
      </c>
      <c r="AU16" s="11">
        <v>1.0</v>
      </c>
      <c r="AV16" s="11">
        <v>1.0</v>
      </c>
      <c r="AW16" s="11">
        <v>1.0</v>
      </c>
      <c r="AX16" s="11">
        <v>1.0</v>
      </c>
      <c r="AY16" s="11">
        <v>1.0</v>
      </c>
      <c r="AZ16" s="11">
        <v>1.0</v>
      </c>
      <c r="BA16" s="11">
        <v>1.0</v>
      </c>
      <c r="BB16" s="35"/>
      <c r="BC16" s="35">
        <f t="shared" si="1"/>
        <v>1</v>
      </c>
      <c r="BD16" s="35">
        <f t="shared" si="2"/>
        <v>1</v>
      </c>
      <c r="BE16" s="35">
        <f t="shared" si="3"/>
        <v>1</v>
      </c>
      <c r="BF16" s="35">
        <f t="shared" si="4"/>
        <v>1</v>
      </c>
    </row>
    <row r="17">
      <c r="A17" s="1"/>
      <c r="B17" s="48" t="s">
        <v>132</v>
      </c>
      <c r="C17" s="49"/>
      <c r="D17" s="49"/>
      <c r="E17" s="48" t="s">
        <v>44</v>
      </c>
      <c r="F17" s="61">
        <f t="shared" ref="F17:BA17" si="7">SUM(F8:F16)</f>
        <v>9</v>
      </c>
      <c r="G17" s="61">
        <f t="shared" si="7"/>
        <v>9</v>
      </c>
      <c r="H17" s="61">
        <f t="shared" si="7"/>
        <v>9</v>
      </c>
      <c r="I17" s="61">
        <f t="shared" si="7"/>
        <v>9</v>
      </c>
      <c r="J17" s="61">
        <f t="shared" si="7"/>
        <v>9</v>
      </c>
      <c r="K17" s="61">
        <f t="shared" si="7"/>
        <v>10</v>
      </c>
      <c r="L17" s="61">
        <f t="shared" si="7"/>
        <v>10</v>
      </c>
      <c r="M17" s="61">
        <f t="shared" si="7"/>
        <v>10</v>
      </c>
      <c r="N17" s="61">
        <f t="shared" si="7"/>
        <v>10</v>
      </c>
      <c r="O17" s="61">
        <f t="shared" si="7"/>
        <v>10</v>
      </c>
      <c r="P17" s="61">
        <f t="shared" si="7"/>
        <v>10</v>
      </c>
      <c r="Q17" s="61">
        <f t="shared" si="7"/>
        <v>10</v>
      </c>
      <c r="R17" s="61">
        <f t="shared" si="7"/>
        <v>10</v>
      </c>
      <c r="S17" s="61">
        <f t="shared" si="7"/>
        <v>10</v>
      </c>
      <c r="T17" s="61">
        <f t="shared" si="7"/>
        <v>10</v>
      </c>
      <c r="U17" s="61">
        <f t="shared" si="7"/>
        <v>10</v>
      </c>
      <c r="V17" s="61">
        <f t="shared" si="7"/>
        <v>10</v>
      </c>
      <c r="W17" s="61">
        <f t="shared" si="7"/>
        <v>10</v>
      </c>
      <c r="X17" s="61">
        <f t="shared" si="7"/>
        <v>12</v>
      </c>
      <c r="Y17" s="61">
        <f t="shared" si="7"/>
        <v>12</v>
      </c>
      <c r="Z17" s="61">
        <f t="shared" si="7"/>
        <v>12</v>
      </c>
      <c r="AA17" s="61">
        <f t="shared" si="7"/>
        <v>12</v>
      </c>
      <c r="AB17" s="61">
        <f t="shared" si="7"/>
        <v>12</v>
      </c>
      <c r="AC17" s="61">
        <f t="shared" si="7"/>
        <v>12</v>
      </c>
      <c r="AD17" s="61">
        <f t="shared" si="7"/>
        <v>14</v>
      </c>
      <c r="AE17" s="61">
        <f t="shared" si="7"/>
        <v>14</v>
      </c>
      <c r="AF17" s="61">
        <f t="shared" si="7"/>
        <v>14</v>
      </c>
      <c r="AG17" s="61">
        <f t="shared" si="7"/>
        <v>14</v>
      </c>
      <c r="AH17" s="61">
        <f t="shared" si="7"/>
        <v>14</v>
      </c>
      <c r="AI17" s="61">
        <f t="shared" si="7"/>
        <v>15</v>
      </c>
      <c r="AJ17" s="61">
        <f t="shared" si="7"/>
        <v>15</v>
      </c>
      <c r="AK17" s="61">
        <f t="shared" si="7"/>
        <v>15</v>
      </c>
      <c r="AL17" s="61">
        <f t="shared" si="7"/>
        <v>15</v>
      </c>
      <c r="AM17" s="61">
        <f t="shared" si="7"/>
        <v>15</v>
      </c>
      <c r="AN17" s="61">
        <f t="shared" si="7"/>
        <v>15</v>
      </c>
      <c r="AO17" s="61">
        <f t="shared" si="7"/>
        <v>15</v>
      </c>
      <c r="AP17" s="61">
        <f t="shared" si="7"/>
        <v>15</v>
      </c>
      <c r="AQ17" s="61">
        <f t="shared" si="7"/>
        <v>15</v>
      </c>
      <c r="AR17" s="61">
        <f t="shared" si="7"/>
        <v>15</v>
      </c>
      <c r="AS17" s="61">
        <f t="shared" si="7"/>
        <v>15</v>
      </c>
      <c r="AT17" s="61">
        <f t="shared" si="7"/>
        <v>16</v>
      </c>
      <c r="AU17" s="61">
        <f t="shared" si="7"/>
        <v>16</v>
      </c>
      <c r="AV17" s="61">
        <f t="shared" si="7"/>
        <v>16</v>
      </c>
      <c r="AW17" s="61">
        <f t="shared" si="7"/>
        <v>16</v>
      </c>
      <c r="AX17" s="61">
        <f t="shared" si="7"/>
        <v>17</v>
      </c>
      <c r="AY17" s="61">
        <f t="shared" si="7"/>
        <v>17</v>
      </c>
      <c r="AZ17" s="61">
        <f t="shared" si="7"/>
        <v>17</v>
      </c>
      <c r="BA17" s="61">
        <f t="shared" si="7"/>
        <v>17</v>
      </c>
      <c r="BB17" s="61"/>
      <c r="BC17" s="61">
        <f t="shared" si="1"/>
        <v>10</v>
      </c>
      <c r="BD17" s="61">
        <f t="shared" si="2"/>
        <v>12</v>
      </c>
      <c r="BE17" s="61">
        <f t="shared" si="3"/>
        <v>15</v>
      </c>
      <c r="BF17" s="61">
        <f t="shared" si="4"/>
        <v>17</v>
      </c>
    </row>
    <row r="18">
      <c r="A18" s="1"/>
      <c r="B18" s="3" t="s">
        <v>133</v>
      </c>
      <c r="C18" s="1"/>
      <c r="D18" s="1"/>
      <c r="E18" s="3" t="s">
        <v>44</v>
      </c>
      <c r="F18" s="35">
        <f t="shared" ref="F18:BA18" si="8">F17-F13-F14</f>
        <v>8</v>
      </c>
      <c r="G18" s="35">
        <f t="shared" si="8"/>
        <v>8</v>
      </c>
      <c r="H18" s="35">
        <f t="shared" si="8"/>
        <v>8</v>
      </c>
      <c r="I18" s="35">
        <f t="shared" si="8"/>
        <v>8</v>
      </c>
      <c r="J18" s="35">
        <f t="shared" si="8"/>
        <v>8</v>
      </c>
      <c r="K18" s="35">
        <f t="shared" si="8"/>
        <v>9</v>
      </c>
      <c r="L18" s="35">
        <f t="shared" si="8"/>
        <v>9</v>
      </c>
      <c r="M18" s="35">
        <f t="shared" si="8"/>
        <v>9</v>
      </c>
      <c r="N18" s="35">
        <f t="shared" si="8"/>
        <v>9</v>
      </c>
      <c r="O18" s="35">
        <f t="shared" si="8"/>
        <v>9</v>
      </c>
      <c r="P18" s="35">
        <f t="shared" si="8"/>
        <v>9</v>
      </c>
      <c r="Q18" s="35">
        <f t="shared" si="8"/>
        <v>9</v>
      </c>
      <c r="R18" s="35">
        <f t="shared" si="8"/>
        <v>9</v>
      </c>
      <c r="S18" s="35">
        <f t="shared" si="8"/>
        <v>9</v>
      </c>
      <c r="T18" s="35">
        <f t="shared" si="8"/>
        <v>9</v>
      </c>
      <c r="U18" s="35">
        <f t="shared" si="8"/>
        <v>9</v>
      </c>
      <c r="V18" s="35">
        <f t="shared" si="8"/>
        <v>9</v>
      </c>
      <c r="W18" s="35">
        <f t="shared" si="8"/>
        <v>9</v>
      </c>
      <c r="X18" s="35">
        <f t="shared" si="8"/>
        <v>11</v>
      </c>
      <c r="Y18" s="35">
        <f t="shared" si="8"/>
        <v>11</v>
      </c>
      <c r="Z18" s="35">
        <f t="shared" si="8"/>
        <v>11</v>
      </c>
      <c r="AA18" s="35">
        <f t="shared" si="8"/>
        <v>11</v>
      </c>
      <c r="AB18" s="35">
        <f t="shared" si="8"/>
        <v>11</v>
      </c>
      <c r="AC18" s="35">
        <f t="shared" si="8"/>
        <v>11</v>
      </c>
      <c r="AD18" s="35">
        <f t="shared" si="8"/>
        <v>11</v>
      </c>
      <c r="AE18" s="35">
        <f t="shared" si="8"/>
        <v>11</v>
      </c>
      <c r="AF18" s="35">
        <f t="shared" si="8"/>
        <v>11</v>
      </c>
      <c r="AG18" s="35">
        <f t="shared" si="8"/>
        <v>11</v>
      </c>
      <c r="AH18" s="35">
        <f t="shared" si="8"/>
        <v>11</v>
      </c>
      <c r="AI18" s="35">
        <f t="shared" si="8"/>
        <v>12</v>
      </c>
      <c r="AJ18" s="35">
        <f t="shared" si="8"/>
        <v>12</v>
      </c>
      <c r="AK18" s="35">
        <f t="shared" si="8"/>
        <v>12</v>
      </c>
      <c r="AL18" s="35">
        <f t="shared" si="8"/>
        <v>12</v>
      </c>
      <c r="AM18" s="35">
        <f t="shared" si="8"/>
        <v>12</v>
      </c>
      <c r="AN18" s="35">
        <f t="shared" si="8"/>
        <v>12</v>
      </c>
      <c r="AO18" s="35">
        <f t="shared" si="8"/>
        <v>12</v>
      </c>
      <c r="AP18" s="35">
        <f t="shared" si="8"/>
        <v>12</v>
      </c>
      <c r="AQ18" s="35">
        <f t="shared" si="8"/>
        <v>12</v>
      </c>
      <c r="AR18" s="35">
        <f t="shared" si="8"/>
        <v>12</v>
      </c>
      <c r="AS18" s="35">
        <f t="shared" si="8"/>
        <v>12</v>
      </c>
      <c r="AT18" s="35">
        <f t="shared" si="8"/>
        <v>13</v>
      </c>
      <c r="AU18" s="35">
        <f t="shared" si="8"/>
        <v>13</v>
      </c>
      <c r="AV18" s="35">
        <f t="shared" si="8"/>
        <v>13</v>
      </c>
      <c r="AW18" s="35">
        <f t="shared" si="8"/>
        <v>13</v>
      </c>
      <c r="AX18" s="35">
        <f t="shared" si="8"/>
        <v>14</v>
      </c>
      <c r="AY18" s="35">
        <f t="shared" si="8"/>
        <v>14</v>
      </c>
      <c r="AZ18" s="35">
        <f t="shared" si="8"/>
        <v>14</v>
      </c>
      <c r="BA18" s="35">
        <f t="shared" si="8"/>
        <v>14</v>
      </c>
      <c r="BB18" s="1"/>
      <c r="BC18" s="35">
        <f t="shared" si="1"/>
        <v>9</v>
      </c>
      <c r="BD18" s="35">
        <f t="shared" si="2"/>
        <v>11</v>
      </c>
      <c r="BE18" s="35">
        <f t="shared" si="3"/>
        <v>12</v>
      </c>
      <c r="BF18" s="35">
        <f t="shared" si="4"/>
        <v>14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6" t="s">
        <v>134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</row>
    <row r="21">
      <c r="A21" s="1"/>
      <c r="B21" s="3" t="s">
        <v>135</v>
      </c>
      <c r="C21" s="1"/>
      <c r="D21" s="1"/>
      <c r="E21" s="3" t="s">
        <v>33</v>
      </c>
      <c r="F21" s="26">
        <f t="array" ref="F21">INDEX(Assumptions!$C$37:$F$37,MATCH(YEAR(F$3),Assumptions!$C$1:$F$1,0))*IF(ISNUMBER(SEARCH("yr",Assumptions!$G$37)),1/12,1)+INDEX(Assumptions!$C$38:$F$38,MATCH(YEAR(F$3),Assumptions!$C$1:$F$1,0))*IF(ISNUMBER(SEARCH("yr",Assumptions!$G$38)),1/12,1)+F8*INDEX(Assumptions!$C$40:$F$40,MATCH(YEAR(F$3),Assumptions!$C$1:$F$1,0))*IF(ISNUMBER(SEARCH("yr",Assumptions!$G$40)),1/12,1)+F9*INDEX(Assumptions!$C$39:$F$39,MATCH(YEAR(F$3),Assumptions!$C$1:$F$1,0))*IF(ISNUMBER(SEARCH("yr",Assumptions!$G$39)),1/12,1)+F10*INDEX(Assumptions!$C$41:$F$41,MATCH(YEAR(F$3),Assumptions!$C$1:$F$1,0))*IF(ISNUMBER(SEARCH("yr",Assumptions!$G$41)),1/12,1)+F12*INDEX(Assumptions!$C$42:$F$42,MATCH(YEAR(F$3),Assumptions!$C$1:$F$1,0))*IF(ISNUMBER(SEARCH("yr",Assumptions!$G$42)),1/12,1)+F13*INDEX(Assumptions!$C$44:$F$44,MATCH(YEAR(F$3),Assumptions!$C$1:$F$1,0))*IF(ISNUMBER(SEARCH("yr",Assumptions!$G$44)),1/12,1)+F14*INDEX(Assumptions!$C$45:$F$45,MATCH(YEAR(F$3),Assumptions!$C$1:$F$1,0))*IF(ISNUMBER(SEARCH("yr",Assumptions!$G$45)),1/12,1)</f>
        <v>35000</v>
      </c>
      <c r="G21" s="26">
        <f t="array" ref="G21">INDEX(Assumptions!$C$37:$F$37,MATCH(YEAR(G$3),Assumptions!$C$1:$F$1,0))*IF(ISNUMBER(SEARCH("yr",Assumptions!$G$37)),1/12,1)+INDEX(Assumptions!$C$38:$F$38,MATCH(YEAR(G$3),Assumptions!$C$1:$F$1,0))*IF(ISNUMBER(SEARCH("yr",Assumptions!$G$38)),1/12,1)+G8*INDEX(Assumptions!$C$40:$F$40,MATCH(YEAR(G$3),Assumptions!$C$1:$F$1,0))*IF(ISNUMBER(SEARCH("yr",Assumptions!$G$40)),1/12,1)+G9*INDEX(Assumptions!$C$39:$F$39,MATCH(YEAR(G$3),Assumptions!$C$1:$F$1,0))*IF(ISNUMBER(SEARCH("yr",Assumptions!$G$39)),1/12,1)+G10*INDEX(Assumptions!$C$41:$F$41,MATCH(YEAR(G$3),Assumptions!$C$1:$F$1,0))*IF(ISNUMBER(SEARCH("yr",Assumptions!$G$41)),1/12,1)+G12*INDEX(Assumptions!$C$42:$F$42,MATCH(YEAR(G$3),Assumptions!$C$1:$F$1,0))*IF(ISNUMBER(SEARCH("yr",Assumptions!$G$42)),1/12,1)+G13*INDEX(Assumptions!$C$44:$F$44,MATCH(YEAR(G$3),Assumptions!$C$1:$F$1,0))*IF(ISNUMBER(SEARCH("yr",Assumptions!$G$44)),1/12,1)+G14*INDEX(Assumptions!$C$45:$F$45,MATCH(YEAR(G$3),Assumptions!$C$1:$F$1,0))*IF(ISNUMBER(SEARCH("yr",Assumptions!$G$45)),1/12,1)</f>
        <v>35000</v>
      </c>
      <c r="H21" s="26">
        <f t="array" ref="H21">INDEX(Assumptions!$C$37:$F$37,MATCH(YEAR(H$3),Assumptions!$C$1:$F$1,0))*IF(ISNUMBER(SEARCH("yr",Assumptions!$G$37)),1/12,1)+INDEX(Assumptions!$C$38:$F$38,MATCH(YEAR(H$3),Assumptions!$C$1:$F$1,0))*IF(ISNUMBER(SEARCH("yr",Assumptions!$G$38)),1/12,1)+H8*INDEX(Assumptions!$C$40:$F$40,MATCH(YEAR(H$3),Assumptions!$C$1:$F$1,0))*IF(ISNUMBER(SEARCH("yr",Assumptions!$G$40)),1/12,1)+H9*INDEX(Assumptions!$C$39:$F$39,MATCH(YEAR(H$3),Assumptions!$C$1:$F$1,0))*IF(ISNUMBER(SEARCH("yr",Assumptions!$G$39)),1/12,1)+H10*INDEX(Assumptions!$C$41:$F$41,MATCH(YEAR(H$3),Assumptions!$C$1:$F$1,0))*IF(ISNUMBER(SEARCH("yr",Assumptions!$G$41)),1/12,1)+H12*INDEX(Assumptions!$C$42:$F$42,MATCH(YEAR(H$3),Assumptions!$C$1:$F$1,0))*IF(ISNUMBER(SEARCH("yr",Assumptions!$G$42)),1/12,1)+H13*INDEX(Assumptions!$C$44:$F$44,MATCH(YEAR(H$3),Assumptions!$C$1:$F$1,0))*IF(ISNUMBER(SEARCH("yr",Assumptions!$G$44)),1/12,1)+H14*INDEX(Assumptions!$C$45:$F$45,MATCH(YEAR(H$3),Assumptions!$C$1:$F$1,0))*IF(ISNUMBER(SEARCH("yr",Assumptions!$G$45)),1/12,1)</f>
        <v>35000</v>
      </c>
      <c r="I21" s="26">
        <f t="array" ref="I21">INDEX(Assumptions!$C$37:$F$37,MATCH(YEAR(I$3),Assumptions!$C$1:$F$1,0))*IF(ISNUMBER(SEARCH("yr",Assumptions!$G$37)),1/12,1)+INDEX(Assumptions!$C$38:$F$38,MATCH(YEAR(I$3),Assumptions!$C$1:$F$1,0))*IF(ISNUMBER(SEARCH("yr",Assumptions!$G$38)),1/12,1)+I8*INDEX(Assumptions!$C$40:$F$40,MATCH(YEAR(I$3),Assumptions!$C$1:$F$1,0))*IF(ISNUMBER(SEARCH("yr",Assumptions!$G$40)),1/12,1)+I9*INDEX(Assumptions!$C$39:$F$39,MATCH(YEAR(I$3),Assumptions!$C$1:$F$1,0))*IF(ISNUMBER(SEARCH("yr",Assumptions!$G$39)),1/12,1)+I10*INDEX(Assumptions!$C$41:$F$41,MATCH(YEAR(I$3),Assumptions!$C$1:$F$1,0))*IF(ISNUMBER(SEARCH("yr",Assumptions!$G$41)),1/12,1)+I12*INDEX(Assumptions!$C$42:$F$42,MATCH(YEAR(I$3),Assumptions!$C$1:$F$1,0))*IF(ISNUMBER(SEARCH("yr",Assumptions!$G$42)),1/12,1)+I13*INDEX(Assumptions!$C$44:$F$44,MATCH(YEAR(I$3),Assumptions!$C$1:$F$1,0))*IF(ISNUMBER(SEARCH("yr",Assumptions!$G$44)),1/12,1)+I14*INDEX(Assumptions!$C$45:$F$45,MATCH(YEAR(I$3),Assumptions!$C$1:$F$1,0))*IF(ISNUMBER(SEARCH("yr",Assumptions!$G$45)),1/12,1)</f>
        <v>35000</v>
      </c>
      <c r="J21" s="26">
        <f t="array" ref="J21">INDEX(Assumptions!$C$37:$F$37,MATCH(YEAR(J$3),Assumptions!$C$1:$F$1,0))*IF(ISNUMBER(SEARCH("yr",Assumptions!$G$37)),1/12,1)+INDEX(Assumptions!$C$38:$F$38,MATCH(YEAR(J$3),Assumptions!$C$1:$F$1,0))*IF(ISNUMBER(SEARCH("yr",Assumptions!$G$38)),1/12,1)+J8*INDEX(Assumptions!$C$40:$F$40,MATCH(YEAR(J$3),Assumptions!$C$1:$F$1,0))*IF(ISNUMBER(SEARCH("yr",Assumptions!$G$40)),1/12,1)+J9*INDEX(Assumptions!$C$39:$F$39,MATCH(YEAR(J$3),Assumptions!$C$1:$F$1,0))*IF(ISNUMBER(SEARCH("yr",Assumptions!$G$39)),1/12,1)+J10*INDEX(Assumptions!$C$41:$F$41,MATCH(YEAR(J$3),Assumptions!$C$1:$F$1,0))*IF(ISNUMBER(SEARCH("yr",Assumptions!$G$41)),1/12,1)+J12*INDEX(Assumptions!$C$42:$F$42,MATCH(YEAR(J$3),Assumptions!$C$1:$F$1,0))*IF(ISNUMBER(SEARCH("yr",Assumptions!$G$42)),1/12,1)+J13*INDEX(Assumptions!$C$44:$F$44,MATCH(YEAR(J$3),Assumptions!$C$1:$F$1,0))*IF(ISNUMBER(SEARCH("yr",Assumptions!$G$44)),1/12,1)+J14*INDEX(Assumptions!$C$45:$F$45,MATCH(YEAR(J$3),Assumptions!$C$1:$F$1,0))*IF(ISNUMBER(SEARCH("yr",Assumptions!$G$45)),1/12,1)</f>
        <v>35000</v>
      </c>
      <c r="K21" s="26">
        <f t="array" ref="K21">INDEX(Assumptions!$C$37:$F$37,MATCH(YEAR(K$3),Assumptions!$C$1:$F$1,0))*IF(ISNUMBER(SEARCH("yr",Assumptions!$G$37)),1/12,1)+INDEX(Assumptions!$C$38:$F$38,MATCH(YEAR(K$3),Assumptions!$C$1:$F$1,0))*IF(ISNUMBER(SEARCH("yr",Assumptions!$G$38)),1/12,1)+K8*INDEX(Assumptions!$C$40:$F$40,MATCH(YEAR(K$3),Assumptions!$C$1:$F$1,0))*IF(ISNUMBER(SEARCH("yr",Assumptions!$G$40)),1/12,1)+K9*INDEX(Assumptions!$C$39:$F$39,MATCH(YEAR(K$3),Assumptions!$C$1:$F$1,0))*IF(ISNUMBER(SEARCH("yr",Assumptions!$G$39)),1/12,1)+K10*INDEX(Assumptions!$C$41:$F$41,MATCH(YEAR(K$3),Assumptions!$C$1:$F$1,0))*IF(ISNUMBER(SEARCH("yr",Assumptions!$G$41)),1/12,1)+K12*INDEX(Assumptions!$C$42:$F$42,MATCH(YEAR(K$3),Assumptions!$C$1:$F$1,0))*IF(ISNUMBER(SEARCH("yr",Assumptions!$G$42)),1/12,1)+K13*INDEX(Assumptions!$C$44:$F$44,MATCH(YEAR(K$3),Assumptions!$C$1:$F$1,0))*IF(ISNUMBER(SEARCH("yr",Assumptions!$G$44)),1/12,1)+K14*INDEX(Assumptions!$C$45:$F$45,MATCH(YEAR(K$3),Assumptions!$C$1:$F$1,0))*IF(ISNUMBER(SEARCH("yr",Assumptions!$G$45)),1/12,1)</f>
        <v>38000</v>
      </c>
      <c r="L21" s="26">
        <f t="array" ref="L21">INDEX(Assumptions!$C$37:$F$37,MATCH(YEAR(L$3),Assumptions!$C$1:$F$1,0))*IF(ISNUMBER(SEARCH("yr",Assumptions!$G$37)),1/12,1)+INDEX(Assumptions!$C$38:$F$38,MATCH(YEAR(L$3),Assumptions!$C$1:$F$1,0))*IF(ISNUMBER(SEARCH("yr",Assumptions!$G$38)),1/12,1)+L8*INDEX(Assumptions!$C$40:$F$40,MATCH(YEAR(L$3),Assumptions!$C$1:$F$1,0))*IF(ISNUMBER(SEARCH("yr",Assumptions!$G$40)),1/12,1)+L9*INDEX(Assumptions!$C$39:$F$39,MATCH(YEAR(L$3),Assumptions!$C$1:$F$1,0))*IF(ISNUMBER(SEARCH("yr",Assumptions!$G$39)),1/12,1)+L10*INDEX(Assumptions!$C$41:$F$41,MATCH(YEAR(L$3),Assumptions!$C$1:$F$1,0))*IF(ISNUMBER(SEARCH("yr",Assumptions!$G$41)),1/12,1)+L12*INDEX(Assumptions!$C$42:$F$42,MATCH(YEAR(L$3),Assumptions!$C$1:$F$1,0))*IF(ISNUMBER(SEARCH("yr",Assumptions!$G$42)),1/12,1)+L13*INDEX(Assumptions!$C$44:$F$44,MATCH(YEAR(L$3),Assumptions!$C$1:$F$1,0))*IF(ISNUMBER(SEARCH("yr",Assumptions!$G$44)),1/12,1)+L14*INDEX(Assumptions!$C$45:$F$45,MATCH(YEAR(L$3),Assumptions!$C$1:$F$1,0))*IF(ISNUMBER(SEARCH("yr",Assumptions!$G$45)),1/12,1)</f>
        <v>38000</v>
      </c>
      <c r="M21" s="26">
        <f t="array" ref="M21">INDEX(Assumptions!$C$37:$F$37,MATCH(YEAR(M$3),Assumptions!$C$1:$F$1,0))*IF(ISNUMBER(SEARCH("yr",Assumptions!$G$37)),1/12,1)+INDEX(Assumptions!$C$38:$F$38,MATCH(YEAR(M$3),Assumptions!$C$1:$F$1,0))*IF(ISNUMBER(SEARCH("yr",Assumptions!$G$38)),1/12,1)+M8*INDEX(Assumptions!$C$40:$F$40,MATCH(YEAR(M$3),Assumptions!$C$1:$F$1,0))*IF(ISNUMBER(SEARCH("yr",Assumptions!$G$40)),1/12,1)+M9*INDEX(Assumptions!$C$39:$F$39,MATCH(YEAR(M$3),Assumptions!$C$1:$F$1,0))*IF(ISNUMBER(SEARCH("yr",Assumptions!$G$39)),1/12,1)+M10*INDEX(Assumptions!$C$41:$F$41,MATCH(YEAR(M$3),Assumptions!$C$1:$F$1,0))*IF(ISNUMBER(SEARCH("yr",Assumptions!$G$41)),1/12,1)+M12*INDEX(Assumptions!$C$42:$F$42,MATCH(YEAR(M$3),Assumptions!$C$1:$F$1,0))*IF(ISNUMBER(SEARCH("yr",Assumptions!$G$42)),1/12,1)+M13*INDEX(Assumptions!$C$44:$F$44,MATCH(YEAR(M$3),Assumptions!$C$1:$F$1,0))*IF(ISNUMBER(SEARCH("yr",Assumptions!$G$44)),1/12,1)+M14*INDEX(Assumptions!$C$45:$F$45,MATCH(YEAR(M$3),Assumptions!$C$1:$F$1,0))*IF(ISNUMBER(SEARCH("yr",Assumptions!$G$45)),1/12,1)</f>
        <v>38000</v>
      </c>
      <c r="N21" s="26">
        <f t="array" ref="N21">INDEX(Assumptions!$C$37:$F$37,MATCH(YEAR(N$3),Assumptions!$C$1:$F$1,0))*IF(ISNUMBER(SEARCH("yr",Assumptions!$G$37)),1/12,1)+INDEX(Assumptions!$C$38:$F$38,MATCH(YEAR(N$3),Assumptions!$C$1:$F$1,0))*IF(ISNUMBER(SEARCH("yr",Assumptions!$G$38)),1/12,1)+N8*INDEX(Assumptions!$C$40:$F$40,MATCH(YEAR(N$3),Assumptions!$C$1:$F$1,0))*IF(ISNUMBER(SEARCH("yr",Assumptions!$G$40)),1/12,1)+N9*INDEX(Assumptions!$C$39:$F$39,MATCH(YEAR(N$3),Assumptions!$C$1:$F$1,0))*IF(ISNUMBER(SEARCH("yr",Assumptions!$G$39)),1/12,1)+N10*INDEX(Assumptions!$C$41:$F$41,MATCH(YEAR(N$3),Assumptions!$C$1:$F$1,0))*IF(ISNUMBER(SEARCH("yr",Assumptions!$G$41)),1/12,1)+N12*INDEX(Assumptions!$C$42:$F$42,MATCH(YEAR(N$3),Assumptions!$C$1:$F$1,0))*IF(ISNUMBER(SEARCH("yr",Assumptions!$G$42)),1/12,1)+N13*INDEX(Assumptions!$C$44:$F$44,MATCH(YEAR(N$3),Assumptions!$C$1:$F$1,0))*IF(ISNUMBER(SEARCH("yr",Assumptions!$G$44)),1/12,1)+N14*INDEX(Assumptions!$C$45:$F$45,MATCH(YEAR(N$3),Assumptions!$C$1:$F$1,0))*IF(ISNUMBER(SEARCH("yr",Assumptions!$G$45)),1/12,1)</f>
        <v>38000</v>
      </c>
      <c r="O21" s="26">
        <f t="array" ref="O21">INDEX(Assumptions!$C$37:$F$37,MATCH(YEAR(O$3),Assumptions!$C$1:$F$1,0))*IF(ISNUMBER(SEARCH("yr",Assumptions!$G$37)),1/12,1)+INDEX(Assumptions!$C$38:$F$38,MATCH(YEAR(O$3),Assumptions!$C$1:$F$1,0))*IF(ISNUMBER(SEARCH("yr",Assumptions!$G$38)),1/12,1)+O8*INDEX(Assumptions!$C$40:$F$40,MATCH(YEAR(O$3),Assumptions!$C$1:$F$1,0))*IF(ISNUMBER(SEARCH("yr",Assumptions!$G$40)),1/12,1)+O9*INDEX(Assumptions!$C$39:$F$39,MATCH(YEAR(O$3),Assumptions!$C$1:$F$1,0))*IF(ISNUMBER(SEARCH("yr",Assumptions!$G$39)),1/12,1)+O10*INDEX(Assumptions!$C$41:$F$41,MATCH(YEAR(O$3),Assumptions!$C$1:$F$1,0))*IF(ISNUMBER(SEARCH("yr",Assumptions!$G$41)),1/12,1)+O12*INDEX(Assumptions!$C$42:$F$42,MATCH(YEAR(O$3),Assumptions!$C$1:$F$1,0))*IF(ISNUMBER(SEARCH("yr",Assumptions!$G$42)),1/12,1)+O13*INDEX(Assumptions!$C$44:$F$44,MATCH(YEAR(O$3),Assumptions!$C$1:$F$1,0))*IF(ISNUMBER(SEARCH("yr",Assumptions!$G$44)),1/12,1)+O14*INDEX(Assumptions!$C$45:$F$45,MATCH(YEAR(O$3),Assumptions!$C$1:$F$1,0))*IF(ISNUMBER(SEARCH("yr",Assumptions!$G$45)),1/12,1)</f>
        <v>38000</v>
      </c>
      <c r="P21" s="26">
        <f t="array" ref="P21">INDEX(Assumptions!$C$37:$F$37,MATCH(YEAR(P$3),Assumptions!$C$1:$F$1,0))*IF(ISNUMBER(SEARCH("yr",Assumptions!$G$37)),1/12,1)+INDEX(Assumptions!$C$38:$F$38,MATCH(YEAR(P$3),Assumptions!$C$1:$F$1,0))*IF(ISNUMBER(SEARCH("yr",Assumptions!$G$38)),1/12,1)+P8*INDEX(Assumptions!$C$40:$F$40,MATCH(YEAR(P$3),Assumptions!$C$1:$F$1,0))*IF(ISNUMBER(SEARCH("yr",Assumptions!$G$40)),1/12,1)+P9*INDEX(Assumptions!$C$39:$F$39,MATCH(YEAR(P$3),Assumptions!$C$1:$F$1,0))*IF(ISNUMBER(SEARCH("yr",Assumptions!$G$39)),1/12,1)+P10*INDEX(Assumptions!$C$41:$F$41,MATCH(YEAR(P$3),Assumptions!$C$1:$F$1,0))*IF(ISNUMBER(SEARCH("yr",Assumptions!$G$41)),1/12,1)+P12*INDEX(Assumptions!$C$42:$F$42,MATCH(YEAR(P$3),Assumptions!$C$1:$F$1,0))*IF(ISNUMBER(SEARCH("yr",Assumptions!$G$42)),1/12,1)+P13*INDEX(Assumptions!$C$44:$F$44,MATCH(YEAR(P$3),Assumptions!$C$1:$F$1,0))*IF(ISNUMBER(SEARCH("yr",Assumptions!$G$44)),1/12,1)+P14*INDEX(Assumptions!$C$45:$F$45,MATCH(YEAR(P$3),Assumptions!$C$1:$F$1,0))*IF(ISNUMBER(SEARCH("yr",Assumptions!$G$45)),1/12,1)</f>
        <v>38000</v>
      </c>
      <c r="Q21" s="26">
        <f t="array" ref="Q21">INDEX(Assumptions!$C$37:$F$37,MATCH(YEAR(Q$3),Assumptions!$C$1:$F$1,0))*IF(ISNUMBER(SEARCH("yr",Assumptions!$G$37)),1/12,1)+INDEX(Assumptions!$C$38:$F$38,MATCH(YEAR(Q$3),Assumptions!$C$1:$F$1,0))*IF(ISNUMBER(SEARCH("yr",Assumptions!$G$38)),1/12,1)+Q8*INDEX(Assumptions!$C$40:$F$40,MATCH(YEAR(Q$3),Assumptions!$C$1:$F$1,0))*IF(ISNUMBER(SEARCH("yr",Assumptions!$G$40)),1/12,1)+Q9*INDEX(Assumptions!$C$39:$F$39,MATCH(YEAR(Q$3),Assumptions!$C$1:$F$1,0))*IF(ISNUMBER(SEARCH("yr",Assumptions!$G$39)),1/12,1)+Q10*INDEX(Assumptions!$C$41:$F$41,MATCH(YEAR(Q$3),Assumptions!$C$1:$F$1,0))*IF(ISNUMBER(SEARCH("yr",Assumptions!$G$41)),1/12,1)+Q12*INDEX(Assumptions!$C$42:$F$42,MATCH(YEAR(Q$3),Assumptions!$C$1:$F$1,0))*IF(ISNUMBER(SEARCH("yr",Assumptions!$G$42)),1/12,1)+Q13*INDEX(Assumptions!$C$44:$F$44,MATCH(YEAR(Q$3),Assumptions!$C$1:$F$1,0))*IF(ISNUMBER(SEARCH("yr",Assumptions!$G$44)),1/12,1)+Q14*INDEX(Assumptions!$C$45:$F$45,MATCH(YEAR(Q$3),Assumptions!$C$1:$F$1,0))*IF(ISNUMBER(SEARCH("yr",Assumptions!$G$45)),1/12,1)</f>
        <v>38000</v>
      </c>
      <c r="R21" s="26">
        <f t="array" ref="R21">INDEX(Assumptions!$C$37:$F$37,MATCH(YEAR(R$3),Assumptions!$C$1:$F$1,0))*IF(ISNUMBER(SEARCH("yr",Assumptions!$G$37)),1/12,1)+INDEX(Assumptions!$C$38:$F$38,MATCH(YEAR(R$3),Assumptions!$C$1:$F$1,0))*IF(ISNUMBER(SEARCH("yr",Assumptions!$G$38)),1/12,1)+R8*INDEX(Assumptions!$C$40:$F$40,MATCH(YEAR(R$3),Assumptions!$C$1:$F$1,0))*IF(ISNUMBER(SEARCH("yr",Assumptions!$G$40)),1/12,1)+R9*INDEX(Assumptions!$C$39:$F$39,MATCH(YEAR(R$3),Assumptions!$C$1:$F$1,0))*IF(ISNUMBER(SEARCH("yr",Assumptions!$G$39)),1/12,1)+R10*INDEX(Assumptions!$C$41:$F$41,MATCH(YEAR(R$3),Assumptions!$C$1:$F$1,0))*IF(ISNUMBER(SEARCH("yr",Assumptions!$G$41)),1/12,1)+R12*INDEX(Assumptions!$C$42:$F$42,MATCH(YEAR(R$3),Assumptions!$C$1:$F$1,0))*IF(ISNUMBER(SEARCH("yr",Assumptions!$G$42)),1/12,1)+R13*INDEX(Assumptions!$C$44:$F$44,MATCH(YEAR(R$3),Assumptions!$C$1:$F$1,0))*IF(ISNUMBER(SEARCH("yr",Assumptions!$G$44)),1/12,1)+R14*INDEX(Assumptions!$C$45:$F$45,MATCH(YEAR(R$3),Assumptions!$C$1:$F$1,0))*IF(ISNUMBER(SEARCH("yr",Assumptions!$G$45)),1/12,1)</f>
        <v>43950</v>
      </c>
      <c r="S21" s="26">
        <f t="array" ref="S21">INDEX(Assumptions!$C$37:$F$37,MATCH(YEAR(S$3),Assumptions!$C$1:$F$1,0))*IF(ISNUMBER(SEARCH("yr",Assumptions!$G$37)),1/12,1)+INDEX(Assumptions!$C$38:$F$38,MATCH(YEAR(S$3),Assumptions!$C$1:$F$1,0))*IF(ISNUMBER(SEARCH("yr",Assumptions!$G$38)),1/12,1)+S8*INDEX(Assumptions!$C$40:$F$40,MATCH(YEAR(S$3),Assumptions!$C$1:$F$1,0))*IF(ISNUMBER(SEARCH("yr",Assumptions!$G$40)),1/12,1)+S9*INDEX(Assumptions!$C$39:$F$39,MATCH(YEAR(S$3),Assumptions!$C$1:$F$1,0))*IF(ISNUMBER(SEARCH("yr",Assumptions!$G$39)),1/12,1)+S10*INDEX(Assumptions!$C$41:$F$41,MATCH(YEAR(S$3),Assumptions!$C$1:$F$1,0))*IF(ISNUMBER(SEARCH("yr",Assumptions!$G$41)),1/12,1)+S12*INDEX(Assumptions!$C$42:$F$42,MATCH(YEAR(S$3),Assumptions!$C$1:$F$1,0))*IF(ISNUMBER(SEARCH("yr",Assumptions!$G$42)),1/12,1)+S13*INDEX(Assumptions!$C$44:$F$44,MATCH(YEAR(S$3),Assumptions!$C$1:$F$1,0))*IF(ISNUMBER(SEARCH("yr",Assumptions!$G$44)),1/12,1)+S14*INDEX(Assumptions!$C$45:$F$45,MATCH(YEAR(S$3),Assumptions!$C$1:$F$1,0))*IF(ISNUMBER(SEARCH("yr",Assumptions!$G$45)),1/12,1)</f>
        <v>43950</v>
      </c>
      <c r="T21" s="26">
        <f t="array" ref="T21">INDEX(Assumptions!$C$37:$F$37,MATCH(YEAR(T$3),Assumptions!$C$1:$F$1,0))*IF(ISNUMBER(SEARCH("yr",Assumptions!$G$37)),1/12,1)+INDEX(Assumptions!$C$38:$F$38,MATCH(YEAR(T$3),Assumptions!$C$1:$F$1,0))*IF(ISNUMBER(SEARCH("yr",Assumptions!$G$38)),1/12,1)+T8*INDEX(Assumptions!$C$40:$F$40,MATCH(YEAR(T$3),Assumptions!$C$1:$F$1,0))*IF(ISNUMBER(SEARCH("yr",Assumptions!$G$40)),1/12,1)+T9*INDEX(Assumptions!$C$39:$F$39,MATCH(YEAR(T$3),Assumptions!$C$1:$F$1,0))*IF(ISNUMBER(SEARCH("yr",Assumptions!$G$39)),1/12,1)+T10*INDEX(Assumptions!$C$41:$F$41,MATCH(YEAR(T$3),Assumptions!$C$1:$F$1,0))*IF(ISNUMBER(SEARCH("yr",Assumptions!$G$41)),1/12,1)+T12*INDEX(Assumptions!$C$42:$F$42,MATCH(YEAR(T$3),Assumptions!$C$1:$F$1,0))*IF(ISNUMBER(SEARCH("yr",Assumptions!$G$42)),1/12,1)+T13*INDEX(Assumptions!$C$44:$F$44,MATCH(YEAR(T$3),Assumptions!$C$1:$F$1,0))*IF(ISNUMBER(SEARCH("yr",Assumptions!$G$44)),1/12,1)+T14*INDEX(Assumptions!$C$45:$F$45,MATCH(YEAR(T$3),Assumptions!$C$1:$F$1,0))*IF(ISNUMBER(SEARCH("yr",Assumptions!$G$45)),1/12,1)</f>
        <v>43950</v>
      </c>
      <c r="U21" s="26">
        <f t="array" ref="U21">INDEX(Assumptions!$C$37:$F$37,MATCH(YEAR(U$3),Assumptions!$C$1:$F$1,0))*IF(ISNUMBER(SEARCH("yr",Assumptions!$G$37)),1/12,1)+INDEX(Assumptions!$C$38:$F$38,MATCH(YEAR(U$3),Assumptions!$C$1:$F$1,0))*IF(ISNUMBER(SEARCH("yr",Assumptions!$G$38)),1/12,1)+U8*INDEX(Assumptions!$C$40:$F$40,MATCH(YEAR(U$3),Assumptions!$C$1:$F$1,0))*IF(ISNUMBER(SEARCH("yr",Assumptions!$G$40)),1/12,1)+U9*INDEX(Assumptions!$C$39:$F$39,MATCH(YEAR(U$3),Assumptions!$C$1:$F$1,0))*IF(ISNUMBER(SEARCH("yr",Assumptions!$G$39)),1/12,1)+U10*INDEX(Assumptions!$C$41:$F$41,MATCH(YEAR(U$3),Assumptions!$C$1:$F$1,0))*IF(ISNUMBER(SEARCH("yr",Assumptions!$G$41)),1/12,1)+U12*INDEX(Assumptions!$C$42:$F$42,MATCH(YEAR(U$3),Assumptions!$C$1:$F$1,0))*IF(ISNUMBER(SEARCH("yr",Assumptions!$G$42)),1/12,1)+U13*INDEX(Assumptions!$C$44:$F$44,MATCH(YEAR(U$3),Assumptions!$C$1:$F$1,0))*IF(ISNUMBER(SEARCH("yr",Assumptions!$G$44)),1/12,1)+U14*INDEX(Assumptions!$C$45:$F$45,MATCH(YEAR(U$3),Assumptions!$C$1:$F$1,0))*IF(ISNUMBER(SEARCH("yr",Assumptions!$G$45)),1/12,1)</f>
        <v>43950</v>
      </c>
      <c r="V21" s="26">
        <f t="array" ref="V21">INDEX(Assumptions!$C$37:$F$37,MATCH(YEAR(V$3),Assumptions!$C$1:$F$1,0))*IF(ISNUMBER(SEARCH("yr",Assumptions!$G$37)),1/12,1)+INDEX(Assumptions!$C$38:$F$38,MATCH(YEAR(V$3),Assumptions!$C$1:$F$1,0))*IF(ISNUMBER(SEARCH("yr",Assumptions!$G$38)),1/12,1)+V8*INDEX(Assumptions!$C$40:$F$40,MATCH(YEAR(V$3),Assumptions!$C$1:$F$1,0))*IF(ISNUMBER(SEARCH("yr",Assumptions!$G$40)),1/12,1)+V9*INDEX(Assumptions!$C$39:$F$39,MATCH(YEAR(V$3),Assumptions!$C$1:$F$1,0))*IF(ISNUMBER(SEARCH("yr",Assumptions!$G$39)),1/12,1)+V10*INDEX(Assumptions!$C$41:$F$41,MATCH(YEAR(V$3),Assumptions!$C$1:$F$1,0))*IF(ISNUMBER(SEARCH("yr",Assumptions!$G$41)),1/12,1)+V12*INDEX(Assumptions!$C$42:$F$42,MATCH(YEAR(V$3),Assumptions!$C$1:$F$1,0))*IF(ISNUMBER(SEARCH("yr",Assumptions!$G$42)),1/12,1)+V13*INDEX(Assumptions!$C$44:$F$44,MATCH(YEAR(V$3),Assumptions!$C$1:$F$1,0))*IF(ISNUMBER(SEARCH("yr",Assumptions!$G$44)),1/12,1)+V14*INDEX(Assumptions!$C$45:$F$45,MATCH(YEAR(V$3),Assumptions!$C$1:$F$1,0))*IF(ISNUMBER(SEARCH("yr",Assumptions!$G$45)),1/12,1)</f>
        <v>43950</v>
      </c>
      <c r="W21" s="26">
        <f t="array" ref="W21">INDEX(Assumptions!$C$37:$F$37,MATCH(YEAR(W$3),Assumptions!$C$1:$F$1,0))*IF(ISNUMBER(SEARCH("yr",Assumptions!$G$37)),1/12,1)+INDEX(Assumptions!$C$38:$F$38,MATCH(YEAR(W$3),Assumptions!$C$1:$F$1,0))*IF(ISNUMBER(SEARCH("yr",Assumptions!$G$38)),1/12,1)+W8*INDEX(Assumptions!$C$40:$F$40,MATCH(YEAR(W$3),Assumptions!$C$1:$F$1,0))*IF(ISNUMBER(SEARCH("yr",Assumptions!$G$40)),1/12,1)+W9*INDEX(Assumptions!$C$39:$F$39,MATCH(YEAR(W$3),Assumptions!$C$1:$F$1,0))*IF(ISNUMBER(SEARCH("yr",Assumptions!$G$39)),1/12,1)+W10*INDEX(Assumptions!$C$41:$F$41,MATCH(YEAR(W$3),Assumptions!$C$1:$F$1,0))*IF(ISNUMBER(SEARCH("yr",Assumptions!$G$41)),1/12,1)+W12*INDEX(Assumptions!$C$42:$F$42,MATCH(YEAR(W$3),Assumptions!$C$1:$F$1,0))*IF(ISNUMBER(SEARCH("yr",Assumptions!$G$42)),1/12,1)+W13*INDEX(Assumptions!$C$44:$F$44,MATCH(YEAR(W$3),Assumptions!$C$1:$F$1,0))*IF(ISNUMBER(SEARCH("yr",Assumptions!$G$44)),1/12,1)+W14*INDEX(Assumptions!$C$45:$F$45,MATCH(YEAR(W$3),Assumptions!$C$1:$F$1,0))*IF(ISNUMBER(SEARCH("yr",Assumptions!$G$45)),1/12,1)</f>
        <v>43950</v>
      </c>
      <c r="X21" s="26">
        <f t="array" ref="X21">INDEX(Assumptions!$C$37:$F$37,MATCH(YEAR(X$3),Assumptions!$C$1:$F$1,0))*IF(ISNUMBER(SEARCH("yr",Assumptions!$G$37)),1/12,1)+INDEX(Assumptions!$C$38:$F$38,MATCH(YEAR(X$3),Assumptions!$C$1:$F$1,0))*IF(ISNUMBER(SEARCH("yr",Assumptions!$G$38)),1/12,1)+X8*INDEX(Assumptions!$C$40:$F$40,MATCH(YEAR(X$3),Assumptions!$C$1:$F$1,0))*IF(ISNUMBER(SEARCH("yr",Assumptions!$G$40)),1/12,1)+X9*INDEX(Assumptions!$C$39:$F$39,MATCH(YEAR(X$3),Assumptions!$C$1:$F$1,0))*IF(ISNUMBER(SEARCH("yr",Assumptions!$G$39)),1/12,1)+X10*INDEX(Assumptions!$C$41:$F$41,MATCH(YEAR(X$3),Assumptions!$C$1:$F$1,0))*IF(ISNUMBER(SEARCH("yr",Assumptions!$G$41)),1/12,1)+X12*INDEX(Assumptions!$C$42:$F$42,MATCH(YEAR(X$3),Assumptions!$C$1:$F$1,0))*IF(ISNUMBER(SEARCH("yr",Assumptions!$G$42)),1/12,1)+X13*INDEX(Assumptions!$C$44:$F$44,MATCH(YEAR(X$3),Assumptions!$C$1:$F$1,0))*IF(ISNUMBER(SEARCH("yr",Assumptions!$G$44)),1/12,1)+X14*INDEX(Assumptions!$C$45:$F$45,MATCH(YEAR(X$3),Assumptions!$C$1:$F$1,0))*IF(ISNUMBER(SEARCH("yr",Assumptions!$G$45)),1/12,1)</f>
        <v>51950</v>
      </c>
      <c r="Y21" s="26">
        <f t="array" ref="Y21">INDEX(Assumptions!$C$37:$F$37,MATCH(YEAR(Y$3),Assumptions!$C$1:$F$1,0))*IF(ISNUMBER(SEARCH("yr",Assumptions!$G$37)),1/12,1)+INDEX(Assumptions!$C$38:$F$38,MATCH(YEAR(Y$3),Assumptions!$C$1:$F$1,0))*IF(ISNUMBER(SEARCH("yr",Assumptions!$G$38)),1/12,1)+Y8*INDEX(Assumptions!$C$40:$F$40,MATCH(YEAR(Y$3),Assumptions!$C$1:$F$1,0))*IF(ISNUMBER(SEARCH("yr",Assumptions!$G$40)),1/12,1)+Y9*INDEX(Assumptions!$C$39:$F$39,MATCH(YEAR(Y$3),Assumptions!$C$1:$F$1,0))*IF(ISNUMBER(SEARCH("yr",Assumptions!$G$39)),1/12,1)+Y10*INDEX(Assumptions!$C$41:$F$41,MATCH(YEAR(Y$3),Assumptions!$C$1:$F$1,0))*IF(ISNUMBER(SEARCH("yr",Assumptions!$G$41)),1/12,1)+Y12*INDEX(Assumptions!$C$42:$F$42,MATCH(YEAR(Y$3),Assumptions!$C$1:$F$1,0))*IF(ISNUMBER(SEARCH("yr",Assumptions!$G$42)),1/12,1)+Y13*INDEX(Assumptions!$C$44:$F$44,MATCH(YEAR(Y$3),Assumptions!$C$1:$F$1,0))*IF(ISNUMBER(SEARCH("yr",Assumptions!$G$44)),1/12,1)+Y14*INDEX(Assumptions!$C$45:$F$45,MATCH(YEAR(Y$3),Assumptions!$C$1:$F$1,0))*IF(ISNUMBER(SEARCH("yr",Assumptions!$G$45)),1/12,1)</f>
        <v>51950</v>
      </c>
      <c r="Z21" s="26">
        <f t="array" ref="Z21">INDEX(Assumptions!$C$37:$F$37,MATCH(YEAR(Z$3),Assumptions!$C$1:$F$1,0))*IF(ISNUMBER(SEARCH("yr",Assumptions!$G$37)),1/12,1)+INDEX(Assumptions!$C$38:$F$38,MATCH(YEAR(Z$3),Assumptions!$C$1:$F$1,0))*IF(ISNUMBER(SEARCH("yr",Assumptions!$G$38)),1/12,1)+Z8*INDEX(Assumptions!$C$40:$F$40,MATCH(YEAR(Z$3),Assumptions!$C$1:$F$1,0))*IF(ISNUMBER(SEARCH("yr",Assumptions!$G$40)),1/12,1)+Z9*INDEX(Assumptions!$C$39:$F$39,MATCH(YEAR(Z$3),Assumptions!$C$1:$F$1,0))*IF(ISNUMBER(SEARCH("yr",Assumptions!$G$39)),1/12,1)+Z10*INDEX(Assumptions!$C$41:$F$41,MATCH(YEAR(Z$3),Assumptions!$C$1:$F$1,0))*IF(ISNUMBER(SEARCH("yr",Assumptions!$G$41)),1/12,1)+Z12*INDEX(Assumptions!$C$42:$F$42,MATCH(YEAR(Z$3),Assumptions!$C$1:$F$1,0))*IF(ISNUMBER(SEARCH("yr",Assumptions!$G$42)),1/12,1)+Z13*INDEX(Assumptions!$C$44:$F$44,MATCH(YEAR(Z$3),Assumptions!$C$1:$F$1,0))*IF(ISNUMBER(SEARCH("yr",Assumptions!$G$44)),1/12,1)+Z14*INDEX(Assumptions!$C$45:$F$45,MATCH(YEAR(Z$3),Assumptions!$C$1:$F$1,0))*IF(ISNUMBER(SEARCH("yr",Assumptions!$G$45)),1/12,1)</f>
        <v>51950</v>
      </c>
      <c r="AA21" s="26">
        <f t="array" ref="AA21">INDEX(Assumptions!$C$37:$F$37,MATCH(YEAR(AA$3),Assumptions!$C$1:$F$1,0))*IF(ISNUMBER(SEARCH("yr",Assumptions!$G$37)),1/12,1)+INDEX(Assumptions!$C$38:$F$38,MATCH(YEAR(AA$3),Assumptions!$C$1:$F$1,0))*IF(ISNUMBER(SEARCH("yr",Assumptions!$G$38)),1/12,1)+AA8*INDEX(Assumptions!$C$40:$F$40,MATCH(YEAR(AA$3),Assumptions!$C$1:$F$1,0))*IF(ISNUMBER(SEARCH("yr",Assumptions!$G$40)),1/12,1)+AA9*INDEX(Assumptions!$C$39:$F$39,MATCH(YEAR(AA$3),Assumptions!$C$1:$F$1,0))*IF(ISNUMBER(SEARCH("yr",Assumptions!$G$39)),1/12,1)+AA10*INDEX(Assumptions!$C$41:$F$41,MATCH(YEAR(AA$3),Assumptions!$C$1:$F$1,0))*IF(ISNUMBER(SEARCH("yr",Assumptions!$G$41)),1/12,1)+AA12*INDEX(Assumptions!$C$42:$F$42,MATCH(YEAR(AA$3),Assumptions!$C$1:$F$1,0))*IF(ISNUMBER(SEARCH("yr",Assumptions!$G$42)),1/12,1)+AA13*INDEX(Assumptions!$C$44:$F$44,MATCH(YEAR(AA$3),Assumptions!$C$1:$F$1,0))*IF(ISNUMBER(SEARCH("yr",Assumptions!$G$44)),1/12,1)+AA14*INDEX(Assumptions!$C$45:$F$45,MATCH(YEAR(AA$3),Assumptions!$C$1:$F$1,0))*IF(ISNUMBER(SEARCH("yr",Assumptions!$G$45)),1/12,1)</f>
        <v>51950</v>
      </c>
      <c r="AB21" s="26">
        <f t="array" ref="AB21">INDEX(Assumptions!$C$37:$F$37,MATCH(YEAR(AB$3),Assumptions!$C$1:$F$1,0))*IF(ISNUMBER(SEARCH("yr",Assumptions!$G$37)),1/12,1)+INDEX(Assumptions!$C$38:$F$38,MATCH(YEAR(AB$3),Assumptions!$C$1:$F$1,0))*IF(ISNUMBER(SEARCH("yr",Assumptions!$G$38)),1/12,1)+AB8*INDEX(Assumptions!$C$40:$F$40,MATCH(YEAR(AB$3),Assumptions!$C$1:$F$1,0))*IF(ISNUMBER(SEARCH("yr",Assumptions!$G$40)),1/12,1)+AB9*INDEX(Assumptions!$C$39:$F$39,MATCH(YEAR(AB$3),Assumptions!$C$1:$F$1,0))*IF(ISNUMBER(SEARCH("yr",Assumptions!$G$39)),1/12,1)+AB10*INDEX(Assumptions!$C$41:$F$41,MATCH(YEAR(AB$3),Assumptions!$C$1:$F$1,0))*IF(ISNUMBER(SEARCH("yr",Assumptions!$G$41)),1/12,1)+AB12*INDEX(Assumptions!$C$42:$F$42,MATCH(YEAR(AB$3),Assumptions!$C$1:$F$1,0))*IF(ISNUMBER(SEARCH("yr",Assumptions!$G$42)),1/12,1)+AB13*INDEX(Assumptions!$C$44:$F$44,MATCH(YEAR(AB$3),Assumptions!$C$1:$F$1,0))*IF(ISNUMBER(SEARCH("yr",Assumptions!$G$44)),1/12,1)+AB14*INDEX(Assumptions!$C$45:$F$45,MATCH(YEAR(AB$3),Assumptions!$C$1:$F$1,0))*IF(ISNUMBER(SEARCH("yr",Assumptions!$G$45)),1/12,1)</f>
        <v>51950</v>
      </c>
      <c r="AC21" s="26">
        <f t="array" ref="AC21">INDEX(Assumptions!$C$37:$F$37,MATCH(YEAR(AC$3),Assumptions!$C$1:$F$1,0))*IF(ISNUMBER(SEARCH("yr",Assumptions!$G$37)),1/12,1)+INDEX(Assumptions!$C$38:$F$38,MATCH(YEAR(AC$3),Assumptions!$C$1:$F$1,0))*IF(ISNUMBER(SEARCH("yr",Assumptions!$G$38)),1/12,1)+AC8*INDEX(Assumptions!$C$40:$F$40,MATCH(YEAR(AC$3),Assumptions!$C$1:$F$1,0))*IF(ISNUMBER(SEARCH("yr",Assumptions!$G$40)),1/12,1)+AC9*INDEX(Assumptions!$C$39:$F$39,MATCH(YEAR(AC$3),Assumptions!$C$1:$F$1,0))*IF(ISNUMBER(SEARCH("yr",Assumptions!$G$39)),1/12,1)+AC10*INDEX(Assumptions!$C$41:$F$41,MATCH(YEAR(AC$3),Assumptions!$C$1:$F$1,0))*IF(ISNUMBER(SEARCH("yr",Assumptions!$G$41)),1/12,1)+AC12*INDEX(Assumptions!$C$42:$F$42,MATCH(YEAR(AC$3),Assumptions!$C$1:$F$1,0))*IF(ISNUMBER(SEARCH("yr",Assumptions!$G$42)),1/12,1)+AC13*INDEX(Assumptions!$C$44:$F$44,MATCH(YEAR(AC$3),Assumptions!$C$1:$F$1,0))*IF(ISNUMBER(SEARCH("yr",Assumptions!$G$44)),1/12,1)+AC14*INDEX(Assumptions!$C$45:$F$45,MATCH(YEAR(AC$3),Assumptions!$C$1:$F$1,0))*IF(ISNUMBER(SEARCH("yr",Assumptions!$G$45)),1/12,1)</f>
        <v>51950</v>
      </c>
      <c r="AD21" s="26">
        <f t="array" ref="AD21">INDEX(Assumptions!$C$37:$F$37,MATCH(YEAR(AD$3),Assumptions!$C$1:$F$1,0))*IF(ISNUMBER(SEARCH("yr",Assumptions!$G$37)),1/12,1)+INDEX(Assumptions!$C$38:$F$38,MATCH(YEAR(AD$3),Assumptions!$C$1:$F$1,0))*IF(ISNUMBER(SEARCH("yr",Assumptions!$G$38)),1/12,1)+AD8*INDEX(Assumptions!$C$40:$F$40,MATCH(YEAR(AD$3),Assumptions!$C$1:$F$1,0))*IF(ISNUMBER(SEARCH("yr",Assumptions!$G$40)),1/12,1)+AD9*INDEX(Assumptions!$C$39:$F$39,MATCH(YEAR(AD$3),Assumptions!$C$1:$F$1,0))*IF(ISNUMBER(SEARCH("yr",Assumptions!$G$39)),1/12,1)+AD10*INDEX(Assumptions!$C$41:$F$41,MATCH(YEAR(AD$3),Assumptions!$C$1:$F$1,0))*IF(ISNUMBER(SEARCH("yr",Assumptions!$G$41)),1/12,1)+AD12*INDEX(Assumptions!$C$42:$F$42,MATCH(YEAR(AD$3),Assumptions!$C$1:$F$1,0))*IF(ISNUMBER(SEARCH("yr",Assumptions!$G$42)),1/12,1)+AD13*INDEX(Assumptions!$C$44:$F$44,MATCH(YEAR(AD$3),Assumptions!$C$1:$F$1,0))*IF(ISNUMBER(SEARCH("yr",Assumptions!$G$44)),1/12,1)+AD14*INDEX(Assumptions!$C$45:$F$45,MATCH(YEAR(AD$3),Assumptions!$C$1:$F$1,0))*IF(ISNUMBER(SEARCH("yr",Assumptions!$G$45)),1/12,1)</f>
        <v>70900</v>
      </c>
      <c r="AE21" s="26">
        <f t="array" ref="AE21">INDEX(Assumptions!$C$37:$F$37,MATCH(YEAR(AE$3),Assumptions!$C$1:$F$1,0))*IF(ISNUMBER(SEARCH("yr",Assumptions!$G$37)),1/12,1)+INDEX(Assumptions!$C$38:$F$38,MATCH(YEAR(AE$3),Assumptions!$C$1:$F$1,0))*IF(ISNUMBER(SEARCH("yr",Assumptions!$G$38)),1/12,1)+AE8*INDEX(Assumptions!$C$40:$F$40,MATCH(YEAR(AE$3),Assumptions!$C$1:$F$1,0))*IF(ISNUMBER(SEARCH("yr",Assumptions!$G$40)),1/12,1)+AE9*INDEX(Assumptions!$C$39:$F$39,MATCH(YEAR(AE$3),Assumptions!$C$1:$F$1,0))*IF(ISNUMBER(SEARCH("yr",Assumptions!$G$39)),1/12,1)+AE10*INDEX(Assumptions!$C$41:$F$41,MATCH(YEAR(AE$3),Assumptions!$C$1:$F$1,0))*IF(ISNUMBER(SEARCH("yr",Assumptions!$G$41)),1/12,1)+AE12*INDEX(Assumptions!$C$42:$F$42,MATCH(YEAR(AE$3),Assumptions!$C$1:$F$1,0))*IF(ISNUMBER(SEARCH("yr",Assumptions!$G$42)),1/12,1)+AE13*INDEX(Assumptions!$C$44:$F$44,MATCH(YEAR(AE$3),Assumptions!$C$1:$F$1,0))*IF(ISNUMBER(SEARCH("yr",Assumptions!$G$44)),1/12,1)+AE14*INDEX(Assumptions!$C$45:$F$45,MATCH(YEAR(AE$3),Assumptions!$C$1:$F$1,0))*IF(ISNUMBER(SEARCH("yr",Assumptions!$G$45)),1/12,1)</f>
        <v>70900</v>
      </c>
      <c r="AF21" s="26">
        <f t="array" ref="AF21">INDEX(Assumptions!$C$37:$F$37,MATCH(YEAR(AF$3),Assumptions!$C$1:$F$1,0))*IF(ISNUMBER(SEARCH("yr",Assumptions!$G$37)),1/12,1)+INDEX(Assumptions!$C$38:$F$38,MATCH(YEAR(AF$3),Assumptions!$C$1:$F$1,0))*IF(ISNUMBER(SEARCH("yr",Assumptions!$G$38)),1/12,1)+AF8*INDEX(Assumptions!$C$40:$F$40,MATCH(YEAR(AF$3),Assumptions!$C$1:$F$1,0))*IF(ISNUMBER(SEARCH("yr",Assumptions!$G$40)),1/12,1)+AF9*INDEX(Assumptions!$C$39:$F$39,MATCH(YEAR(AF$3),Assumptions!$C$1:$F$1,0))*IF(ISNUMBER(SEARCH("yr",Assumptions!$G$39)),1/12,1)+AF10*INDEX(Assumptions!$C$41:$F$41,MATCH(YEAR(AF$3),Assumptions!$C$1:$F$1,0))*IF(ISNUMBER(SEARCH("yr",Assumptions!$G$41)),1/12,1)+AF12*INDEX(Assumptions!$C$42:$F$42,MATCH(YEAR(AF$3),Assumptions!$C$1:$F$1,0))*IF(ISNUMBER(SEARCH("yr",Assumptions!$G$42)),1/12,1)+AF13*INDEX(Assumptions!$C$44:$F$44,MATCH(YEAR(AF$3),Assumptions!$C$1:$F$1,0))*IF(ISNUMBER(SEARCH("yr",Assumptions!$G$44)),1/12,1)+AF14*INDEX(Assumptions!$C$45:$F$45,MATCH(YEAR(AF$3),Assumptions!$C$1:$F$1,0))*IF(ISNUMBER(SEARCH("yr",Assumptions!$G$45)),1/12,1)</f>
        <v>70900</v>
      </c>
      <c r="AG21" s="26">
        <f t="array" ref="AG21">INDEX(Assumptions!$C$37:$F$37,MATCH(YEAR(AG$3),Assumptions!$C$1:$F$1,0))*IF(ISNUMBER(SEARCH("yr",Assumptions!$G$37)),1/12,1)+INDEX(Assumptions!$C$38:$F$38,MATCH(YEAR(AG$3),Assumptions!$C$1:$F$1,0))*IF(ISNUMBER(SEARCH("yr",Assumptions!$G$38)),1/12,1)+AG8*INDEX(Assumptions!$C$40:$F$40,MATCH(YEAR(AG$3),Assumptions!$C$1:$F$1,0))*IF(ISNUMBER(SEARCH("yr",Assumptions!$G$40)),1/12,1)+AG9*INDEX(Assumptions!$C$39:$F$39,MATCH(YEAR(AG$3),Assumptions!$C$1:$F$1,0))*IF(ISNUMBER(SEARCH("yr",Assumptions!$G$39)),1/12,1)+AG10*INDEX(Assumptions!$C$41:$F$41,MATCH(YEAR(AG$3),Assumptions!$C$1:$F$1,0))*IF(ISNUMBER(SEARCH("yr",Assumptions!$G$41)),1/12,1)+AG12*INDEX(Assumptions!$C$42:$F$42,MATCH(YEAR(AG$3),Assumptions!$C$1:$F$1,0))*IF(ISNUMBER(SEARCH("yr",Assumptions!$G$42)),1/12,1)+AG13*INDEX(Assumptions!$C$44:$F$44,MATCH(YEAR(AG$3),Assumptions!$C$1:$F$1,0))*IF(ISNUMBER(SEARCH("yr",Assumptions!$G$44)),1/12,1)+AG14*INDEX(Assumptions!$C$45:$F$45,MATCH(YEAR(AG$3),Assumptions!$C$1:$F$1,0))*IF(ISNUMBER(SEARCH("yr",Assumptions!$G$45)),1/12,1)</f>
        <v>70900</v>
      </c>
      <c r="AH21" s="26">
        <f t="array" ref="AH21">INDEX(Assumptions!$C$37:$F$37,MATCH(YEAR(AH$3),Assumptions!$C$1:$F$1,0))*IF(ISNUMBER(SEARCH("yr",Assumptions!$G$37)),1/12,1)+INDEX(Assumptions!$C$38:$F$38,MATCH(YEAR(AH$3),Assumptions!$C$1:$F$1,0))*IF(ISNUMBER(SEARCH("yr",Assumptions!$G$38)),1/12,1)+AH8*INDEX(Assumptions!$C$40:$F$40,MATCH(YEAR(AH$3),Assumptions!$C$1:$F$1,0))*IF(ISNUMBER(SEARCH("yr",Assumptions!$G$40)),1/12,1)+AH9*INDEX(Assumptions!$C$39:$F$39,MATCH(YEAR(AH$3),Assumptions!$C$1:$F$1,0))*IF(ISNUMBER(SEARCH("yr",Assumptions!$G$39)),1/12,1)+AH10*INDEX(Assumptions!$C$41:$F$41,MATCH(YEAR(AH$3),Assumptions!$C$1:$F$1,0))*IF(ISNUMBER(SEARCH("yr",Assumptions!$G$41)),1/12,1)+AH12*INDEX(Assumptions!$C$42:$F$42,MATCH(YEAR(AH$3),Assumptions!$C$1:$F$1,0))*IF(ISNUMBER(SEARCH("yr",Assumptions!$G$42)),1/12,1)+AH13*INDEX(Assumptions!$C$44:$F$44,MATCH(YEAR(AH$3),Assumptions!$C$1:$F$1,0))*IF(ISNUMBER(SEARCH("yr",Assumptions!$G$44)),1/12,1)+AH14*INDEX(Assumptions!$C$45:$F$45,MATCH(YEAR(AH$3),Assumptions!$C$1:$F$1,0))*IF(ISNUMBER(SEARCH("yr",Assumptions!$G$45)),1/12,1)</f>
        <v>70900</v>
      </c>
      <c r="AI21" s="26">
        <f t="array" ref="AI21">INDEX(Assumptions!$C$37:$F$37,MATCH(YEAR(AI$3),Assumptions!$C$1:$F$1,0))*IF(ISNUMBER(SEARCH("yr",Assumptions!$G$37)),1/12,1)+INDEX(Assumptions!$C$38:$F$38,MATCH(YEAR(AI$3),Assumptions!$C$1:$F$1,0))*IF(ISNUMBER(SEARCH("yr",Assumptions!$G$38)),1/12,1)+AI8*INDEX(Assumptions!$C$40:$F$40,MATCH(YEAR(AI$3),Assumptions!$C$1:$F$1,0))*IF(ISNUMBER(SEARCH("yr",Assumptions!$G$40)),1/12,1)+AI9*INDEX(Assumptions!$C$39:$F$39,MATCH(YEAR(AI$3),Assumptions!$C$1:$F$1,0))*IF(ISNUMBER(SEARCH("yr",Assumptions!$G$39)),1/12,1)+AI10*INDEX(Assumptions!$C$41:$F$41,MATCH(YEAR(AI$3),Assumptions!$C$1:$F$1,0))*IF(ISNUMBER(SEARCH("yr",Assumptions!$G$41)),1/12,1)+AI12*INDEX(Assumptions!$C$42:$F$42,MATCH(YEAR(AI$3),Assumptions!$C$1:$F$1,0))*IF(ISNUMBER(SEARCH("yr",Assumptions!$G$42)),1/12,1)+AI13*INDEX(Assumptions!$C$44:$F$44,MATCH(YEAR(AI$3),Assumptions!$C$1:$F$1,0))*IF(ISNUMBER(SEARCH("yr",Assumptions!$G$44)),1/12,1)+AI14*INDEX(Assumptions!$C$45:$F$45,MATCH(YEAR(AI$3),Assumptions!$C$1:$F$1,0))*IF(ISNUMBER(SEARCH("yr",Assumptions!$G$45)),1/12,1)</f>
        <v>74400</v>
      </c>
      <c r="AJ21" s="26">
        <f t="array" ref="AJ21">INDEX(Assumptions!$C$37:$F$37,MATCH(YEAR(AJ$3),Assumptions!$C$1:$F$1,0))*IF(ISNUMBER(SEARCH("yr",Assumptions!$G$37)),1/12,1)+INDEX(Assumptions!$C$38:$F$38,MATCH(YEAR(AJ$3),Assumptions!$C$1:$F$1,0))*IF(ISNUMBER(SEARCH("yr",Assumptions!$G$38)),1/12,1)+AJ8*INDEX(Assumptions!$C$40:$F$40,MATCH(YEAR(AJ$3),Assumptions!$C$1:$F$1,0))*IF(ISNUMBER(SEARCH("yr",Assumptions!$G$40)),1/12,1)+AJ9*INDEX(Assumptions!$C$39:$F$39,MATCH(YEAR(AJ$3),Assumptions!$C$1:$F$1,0))*IF(ISNUMBER(SEARCH("yr",Assumptions!$G$39)),1/12,1)+AJ10*INDEX(Assumptions!$C$41:$F$41,MATCH(YEAR(AJ$3),Assumptions!$C$1:$F$1,0))*IF(ISNUMBER(SEARCH("yr",Assumptions!$G$41)),1/12,1)+AJ12*INDEX(Assumptions!$C$42:$F$42,MATCH(YEAR(AJ$3),Assumptions!$C$1:$F$1,0))*IF(ISNUMBER(SEARCH("yr",Assumptions!$G$42)),1/12,1)+AJ13*INDEX(Assumptions!$C$44:$F$44,MATCH(YEAR(AJ$3),Assumptions!$C$1:$F$1,0))*IF(ISNUMBER(SEARCH("yr",Assumptions!$G$44)),1/12,1)+AJ14*INDEX(Assumptions!$C$45:$F$45,MATCH(YEAR(AJ$3),Assumptions!$C$1:$F$1,0))*IF(ISNUMBER(SEARCH("yr",Assumptions!$G$45)),1/12,1)</f>
        <v>74400</v>
      </c>
      <c r="AK21" s="26">
        <f t="array" ref="AK21">INDEX(Assumptions!$C$37:$F$37,MATCH(YEAR(AK$3),Assumptions!$C$1:$F$1,0))*IF(ISNUMBER(SEARCH("yr",Assumptions!$G$37)),1/12,1)+INDEX(Assumptions!$C$38:$F$38,MATCH(YEAR(AK$3),Assumptions!$C$1:$F$1,0))*IF(ISNUMBER(SEARCH("yr",Assumptions!$G$38)),1/12,1)+AK8*INDEX(Assumptions!$C$40:$F$40,MATCH(YEAR(AK$3),Assumptions!$C$1:$F$1,0))*IF(ISNUMBER(SEARCH("yr",Assumptions!$G$40)),1/12,1)+AK9*INDEX(Assumptions!$C$39:$F$39,MATCH(YEAR(AK$3),Assumptions!$C$1:$F$1,0))*IF(ISNUMBER(SEARCH("yr",Assumptions!$G$39)),1/12,1)+AK10*INDEX(Assumptions!$C$41:$F$41,MATCH(YEAR(AK$3),Assumptions!$C$1:$F$1,0))*IF(ISNUMBER(SEARCH("yr",Assumptions!$G$41)),1/12,1)+AK12*INDEX(Assumptions!$C$42:$F$42,MATCH(YEAR(AK$3),Assumptions!$C$1:$F$1,0))*IF(ISNUMBER(SEARCH("yr",Assumptions!$G$42)),1/12,1)+AK13*INDEX(Assumptions!$C$44:$F$44,MATCH(YEAR(AK$3),Assumptions!$C$1:$F$1,0))*IF(ISNUMBER(SEARCH("yr",Assumptions!$G$44)),1/12,1)+AK14*INDEX(Assumptions!$C$45:$F$45,MATCH(YEAR(AK$3),Assumptions!$C$1:$F$1,0))*IF(ISNUMBER(SEARCH("yr",Assumptions!$G$45)),1/12,1)</f>
        <v>74400</v>
      </c>
      <c r="AL21" s="26">
        <f t="array" ref="AL21">INDEX(Assumptions!$C$37:$F$37,MATCH(YEAR(AL$3),Assumptions!$C$1:$F$1,0))*IF(ISNUMBER(SEARCH("yr",Assumptions!$G$37)),1/12,1)+INDEX(Assumptions!$C$38:$F$38,MATCH(YEAR(AL$3),Assumptions!$C$1:$F$1,0))*IF(ISNUMBER(SEARCH("yr",Assumptions!$G$38)),1/12,1)+AL8*INDEX(Assumptions!$C$40:$F$40,MATCH(YEAR(AL$3),Assumptions!$C$1:$F$1,0))*IF(ISNUMBER(SEARCH("yr",Assumptions!$G$40)),1/12,1)+AL9*INDEX(Assumptions!$C$39:$F$39,MATCH(YEAR(AL$3),Assumptions!$C$1:$F$1,0))*IF(ISNUMBER(SEARCH("yr",Assumptions!$G$39)),1/12,1)+AL10*INDEX(Assumptions!$C$41:$F$41,MATCH(YEAR(AL$3),Assumptions!$C$1:$F$1,0))*IF(ISNUMBER(SEARCH("yr",Assumptions!$G$41)),1/12,1)+AL12*INDEX(Assumptions!$C$42:$F$42,MATCH(YEAR(AL$3),Assumptions!$C$1:$F$1,0))*IF(ISNUMBER(SEARCH("yr",Assumptions!$G$42)),1/12,1)+AL13*INDEX(Assumptions!$C$44:$F$44,MATCH(YEAR(AL$3),Assumptions!$C$1:$F$1,0))*IF(ISNUMBER(SEARCH("yr",Assumptions!$G$44)),1/12,1)+AL14*INDEX(Assumptions!$C$45:$F$45,MATCH(YEAR(AL$3),Assumptions!$C$1:$F$1,0))*IF(ISNUMBER(SEARCH("yr",Assumptions!$G$45)),1/12,1)</f>
        <v>74400</v>
      </c>
      <c r="AM21" s="26">
        <f t="array" ref="AM21">INDEX(Assumptions!$C$37:$F$37,MATCH(YEAR(AM$3),Assumptions!$C$1:$F$1,0))*IF(ISNUMBER(SEARCH("yr",Assumptions!$G$37)),1/12,1)+INDEX(Assumptions!$C$38:$F$38,MATCH(YEAR(AM$3),Assumptions!$C$1:$F$1,0))*IF(ISNUMBER(SEARCH("yr",Assumptions!$G$38)),1/12,1)+AM8*INDEX(Assumptions!$C$40:$F$40,MATCH(YEAR(AM$3),Assumptions!$C$1:$F$1,0))*IF(ISNUMBER(SEARCH("yr",Assumptions!$G$40)),1/12,1)+AM9*INDEX(Assumptions!$C$39:$F$39,MATCH(YEAR(AM$3),Assumptions!$C$1:$F$1,0))*IF(ISNUMBER(SEARCH("yr",Assumptions!$G$39)),1/12,1)+AM10*INDEX(Assumptions!$C$41:$F$41,MATCH(YEAR(AM$3),Assumptions!$C$1:$F$1,0))*IF(ISNUMBER(SEARCH("yr",Assumptions!$G$41)),1/12,1)+AM12*INDEX(Assumptions!$C$42:$F$42,MATCH(YEAR(AM$3),Assumptions!$C$1:$F$1,0))*IF(ISNUMBER(SEARCH("yr",Assumptions!$G$42)),1/12,1)+AM13*INDEX(Assumptions!$C$44:$F$44,MATCH(YEAR(AM$3),Assumptions!$C$1:$F$1,0))*IF(ISNUMBER(SEARCH("yr",Assumptions!$G$44)),1/12,1)+AM14*INDEX(Assumptions!$C$45:$F$45,MATCH(YEAR(AM$3),Assumptions!$C$1:$F$1,0))*IF(ISNUMBER(SEARCH("yr",Assumptions!$G$45)),1/12,1)</f>
        <v>74400</v>
      </c>
      <c r="AN21" s="26">
        <f t="array" ref="AN21">INDEX(Assumptions!$C$37:$F$37,MATCH(YEAR(AN$3),Assumptions!$C$1:$F$1,0))*IF(ISNUMBER(SEARCH("yr",Assumptions!$G$37)),1/12,1)+INDEX(Assumptions!$C$38:$F$38,MATCH(YEAR(AN$3),Assumptions!$C$1:$F$1,0))*IF(ISNUMBER(SEARCH("yr",Assumptions!$G$38)),1/12,1)+AN8*INDEX(Assumptions!$C$40:$F$40,MATCH(YEAR(AN$3),Assumptions!$C$1:$F$1,0))*IF(ISNUMBER(SEARCH("yr",Assumptions!$G$40)),1/12,1)+AN9*INDEX(Assumptions!$C$39:$F$39,MATCH(YEAR(AN$3),Assumptions!$C$1:$F$1,0))*IF(ISNUMBER(SEARCH("yr",Assumptions!$G$39)),1/12,1)+AN10*INDEX(Assumptions!$C$41:$F$41,MATCH(YEAR(AN$3),Assumptions!$C$1:$F$1,0))*IF(ISNUMBER(SEARCH("yr",Assumptions!$G$41)),1/12,1)+AN12*INDEX(Assumptions!$C$42:$F$42,MATCH(YEAR(AN$3),Assumptions!$C$1:$F$1,0))*IF(ISNUMBER(SEARCH("yr",Assumptions!$G$42)),1/12,1)+AN13*INDEX(Assumptions!$C$44:$F$44,MATCH(YEAR(AN$3),Assumptions!$C$1:$F$1,0))*IF(ISNUMBER(SEARCH("yr",Assumptions!$G$44)),1/12,1)+AN14*INDEX(Assumptions!$C$45:$F$45,MATCH(YEAR(AN$3),Assumptions!$C$1:$F$1,0))*IF(ISNUMBER(SEARCH("yr",Assumptions!$G$45)),1/12,1)</f>
        <v>74400</v>
      </c>
      <c r="AO21" s="26">
        <f t="array" ref="AO21">INDEX(Assumptions!$C$37:$F$37,MATCH(YEAR(AO$3),Assumptions!$C$1:$F$1,0))*IF(ISNUMBER(SEARCH("yr",Assumptions!$G$37)),1/12,1)+INDEX(Assumptions!$C$38:$F$38,MATCH(YEAR(AO$3),Assumptions!$C$1:$F$1,0))*IF(ISNUMBER(SEARCH("yr",Assumptions!$G$38)),1/12,1)+AO8*INDEX(Assumptions!$C$40:$F$40,MATCH(YEAR(AO$3),Assumptions!$C$1:$F$1,0))*IF(ISNUMBER(SEARCH("yr",Assumptions!$G$40)),1/12,1)+AO9*INDEX(Assumptions!$C$39:$F$39,MATCH(YEAR(AO$3),Assumptions!$C$1:$F$1,0))*IF(ISNUMBER(SEARCH("yr",Assumptions!$G$39)),1/12,1)+AO10*INDEX(Assumptions!$C$41:$F$41,MATCH(YEAR(AO$3),Assumptions!$C$1:$F$1,0))*IF(ISNUMBER(SEARCH("yr",Assumptions!$G$41)),1/12,1)+AO12*INDEX(Assumptions!$C$42:$F$42,MATCH(YEAR(AO$3),Assumptions!$C$1:$F$1,0))*IF(ISNUMBER(SEARCH("yr",Assumptions!$G$42)),1/12,1)+AO13*INDEX(Assumptions!$C$44:$F$44,MATCH(YEAR(AO$3),Assumptions!$C$1:$F$1,0))*IF(ISNUMBER(SEARCH("yr",Assumptions!$G$44)),1/12,1)+AO14*INDEX(Assumptions!$C$45:$F$45,MATCH(YEAR(AO$3),Assumptions!$C$1:$F$1,0))*IF(ISNUMBER(SEARCH("yr",Assumptions!$G$45)),1/12,1)</f>
        <v>74400</v>
      </c>
      <c r="AP21" s="26">
        <f t="array" ref="AP21">INDEX(Assumptions!$C$37:$F$37,MATCH(YEAR(AP$3),Assumptions!$C$1:$F$1,0))*IF(ISNUMBER(SEARCH("yr",Assumptions!$G$37)),1/12,1)+INDEX(Assumptions!$C$38:$F$38,MATCH(YEAR(AP$3),Assumptions!$C$1:$F$1,0))*IF(ISNUMBER(SEARCH("yr",Assumptions!$G$38)),1/12,1)+AP8*INDEX(Assumptions!$C$40:$F$40,MATCH(YEAR(AP$3),Assumptions!$C$1:$F$1,0))*IF(ISNUMBER(SEARCH("yr",Assumptions!$G$40)),1/12,1)+AP9*INDEX(Assumptions!$C$39:$F$39,MATCH(YEAR(AP$3),Assumptions!$C$1:$F$1,0))*IF(ISNUMBER(SEARCH("yr",Assumptions!$G$39)),1/12,1)+AP10*INDEX(Assumptions!$C$41:$F$41,MATCH(YEAR(AP$3),Assumptions!$C$1:$F$1,0))*IF(ISNUMBER(SEARCH("yr",Assumptions!$G$41)),1/12,1)+AP12*INDEX(Assumptions!$C$42:$F$42,MATCH(YEAR(AP$3),Assumptions!$C$1:$F$1,0))*IF(ISNUMBER(SEARCH("yr",Assumptions!$G$42)),1/12,1)+AP13*INDEX(Assumptions!$C$44:$F$44,MATCH(YEAR(AP$3),Assumptions!$C$1:$F$1,0))*IF(ISNUMBER(SEARCH("yr",Assumptions!$G$44)),1/12,1)+AP14*INDEX(Assumptions!$C$45:$F$45,MATCH(YEAR(AP$3),Assumptions!$C$1:$F$1,0))*IF(ISNUMBER(SEARCH("yr",Assumptions!$G$45)),1/12,1)</f>
        <v>82100</v>
      </c>
      <c r="AQ21" s="26">
        <f t="array" ref="AQ21">INDEX(Assumptions!$C$37:$F$37,MATCH(YEAR(AQ$3),Assumptions!$C$1:$F$1,0))*IF(ISNUMBER(SEARCH("yr",Assumptions!$G$37)),1/12,1)+INDEX(Assumptions!$C$38:$F$38,MATCH(YEAR(AQ$3),Assumptions!$C$1:$F$1,0))*IF(ISNUMBER(SEARCH("yr",Assumptions!$G$38)),1/12,1)+AQ8*INDEX(Assumptions!$C$40:$F$40,MATCH(YEAR(AQ$3),Assumptions!$C$1:$F$1,0))*IF(ISNUMBER(SEARCH("yr",Assumptions!$G$40)),1/12,1)+AQ9*INDEX(Assumptions!$C$39:$F$39,MATCH(YEAR(AQ$3),Assumptions!$C$1:$F$1,0))*IF(ISNUMBER(SEARCH("yr",Assumptions!$G$39)),1/12,1)+AQ10*INDEX(Assumptions!$C$41:$F$41,MATCH(YEAR(AQ$3),Assumptions!$C$1:$F$1,0))*IF(ISNUMBER(SEARCH("yr",Assumptions!$G$41)),1/12,1)+AQ12*INDEX(Assumptions!$C$42:$F$42,MATCH(YEAR(AQ$3),Assumptions!$C$1:$F$1,0))*IF(ISNUMBER(SEARCH("yr",Assumptions!$G$42)),1/12,1)+AQ13*INDEX(Assumptions!$C$44:$F$44,MATCH(YEAR(AQ$3),Assumptions!$C$1:$F$1,0))*IF(ISNUMBER(SEARCH("yr",Assumptions!$G$44)),1/12,1)+AQ14*INDEX(Assumptions!$C$45:$F$45,MATCH(YEAR(AQ$3),Assumptions!$C$1:$F$1,0))*IF(ISNUMBER(SEARCH("yr",Assumptions!$G$45)),1/12,1)</f>
        <v>82100</v>
      </c>
      <c r="AR21" s="26">
        <f t="array" ref="AR21">INDEX(Assumptions!$C$37:$F$37,MATCH(YEAR(AR$3),Assumptions!$C$1:$F$1,0))*IF(ISNUMBER(SEARCH("yr",Assumptions!$G$37)),1/12,1)+INDEX(Assumptions!$C$38:$F$38,MATCH(YEAR(AR$3),Assumptions!$C$1:$F$1,0))*IF(ISNUMBER(SEARCH("yr",Assumptions!$G$38)),1/12,1)+AR8*INDEX(Assumptions!$C$40:$F$40,MATCH(YEAR(AR$3),Assumptions!$C$1:$F$1,0))*IF(ISNUMBER(SEARCH("yr",Assumptions!$G$40)),1/12,1)+AR9*INDEX(Assumptions!$C$39:$F$39,MATCH(YEAR(AR$3),Assumptions!$C$1:$F$1,0))*IF(ISNUMBER(SEARCH("yr",Assumptions!$G$39)),1/12,1)+AR10*INDEX(Assumptions!$C$41:$F$41,MATCH(YEAR(AR$3),Assumptions!$C$1:$F$1,0))*IF(ISNUMBER(SEARCH("yr",Assumptions!$G$41)),1/12,1)+AR12*INDEX(Assumptions!$C$42:$F$42,MATCH(YEAR(AR$3),Assumptions!$C$1:$F$1,0))*IF(ISNUMBER(SEARCH("yr",Assumptions!$G$42)),1/12,1)+AR13*INDEX(Assumptions!$C$44:$F$44,MATCH(YEAR(AR$3),Assumptions!$C$1:$F$1,0))*IF(ISNUMBER(SEARCH("yr",Assumptions!$G$44)),1/12,1)+AR14*INDEX(Assumptions!$C$45:$F$45,MATCH(YEAR(AR$3),Assumptions!$C$1:$F$1,0))*IF(ISNUMBER(SEARCH("yr",Assumptions!$G$45)),1/12,1)</f>
        <v>82100</v>
      </c>
      <c r="AS21" s="26">
        <f t="array" ref="AS21">INDEX(Assumptions!$C$37:$F$37,MATCH(YEAR(AS$3),Assumptions!$C$1:$F$1,0))*IF(ISNUMBER(SEARCH("yr",Assumptions!$G$37)),1/12,1)+INDEX(Assumptions!$C$38:$F$38,MATCH(YEAR(AS$3),Assumptions!$C$1:$F$1,0))*IF(ISNUMBER(SEARCH("yr",Assumptions!$G$38)),1/12,1)+AS8*INDEX(Assumptions!$C$40:$F$40,MATCH(YEAR(AS$3),Assumptions!$C$1:$F$1,0))*IF(ISNUMBER(SEARCH("yr",Assumptions!$G$40)),1/12,1)+AS9*INDEX(Assumptions!$C$39:$F$39,MATCH(YEAR(AS$3),Assumptions!$C$1:$F$1,0))*IF(ISNUMBER(SEARCH("yr",Assumptions!$G$39)),1/12,1)+AS10*INDEX(Assumptions!$C$41:$F$41,MATCH(YEAR(AS$3),Assumptions!$C$1:$F$1,0))*IF(ISNUMBER(SEARCH("yr",Assumptions!$G$41)),1/12,1)+AS12*INDEX(Assumptions!$C$42:$F$42,MATCH(YEAR(AS$3),Assumptions!$C$1:$F$1,0))*IF(ISNUMBER(SEARCH("yr",Assumptions!$G$42)),1/12,1)+AS13*INDEX(Assumptions!$C$44:$F$44,MATCH(YEAR(AS$3),Assumptions!$C$1:$F$1,0))*IF(ISNUMBER(SEARCH("yr",Assumptions!$G$44)),1/12,1)+AS14*INDEX(Assumptions!$C$45:$F$45,MATCH(YEAR(AS$3),Assumptions!$C$1:$F$1,0))*IF(ISNUMBER(SEARCH("yr",Assumptions!$G$45)),1/12,1)</f>
        <v>82100</v>
      </c>
      <c r="AT21" s="26">
        <f t="array" ref="AT21">INDEX(Assumptions!$C$37:$F$37,MATCH(YEAR(AT$3),Assumptions!$C$1:$F$1,0))*IF(ISNUMBER(SEARCH("yr",Assumptions!$G$37)),1/12,1)+INDEX(Assumptions!$C$38:$F$38,MATCH(YEAR(AT$3),Assumptions!$C$1:$F$1,0))*IF(ISNUMBER(SEARCH("yr",Assumptions!$G$38)),1/12,1)+AT8*INDEX(Assumptions!$C$40:$F$40,MATCH(YEAR(AT$3),Assumptions!$C$1:$F$1,0))*IF(ISNUMBER(SEARCH("yr",Assumptions!$G$40)),1/12,1)+AT9*INDEX(Assumptions!$C$39:$F$39,MATCH(YEAR(AT$3),Assumptions!$C$1:$F$1,0))*IF(ISNUMBER(SEARCH("yr",Assumptions!$G$39)),1/12,1)+AT10*INDEX(Assumptions!$C$41:$F$41,MATCH(YEAR(AT$3),Assumptions!$C$1:$F$1,0))*IF(ISNUMBER(SEARCH("yr",Assumptions!$G$41)),1/12,1)+AT12*INDEX(Assumptions!$C$42:$F$42,MATCH(YEAR(AT$3),Assumptions!$C$1:$F$1,0))*IF(ISNUMBER(SEARCH("yr",Assumptions!$G$42)),1/12,1)+AT13*INDEX(Assumptions!$C$44:$F$44,MATCH(YEAR(AT$3),Assumptions!$C$1:$F$1,0))*IF(ISNUMBER(SEARCH("yr",Assumptions!$G$44)),1/12,1)+AT14*INDEX(Assumptions!$C$45:$F$45,MATCH(YEAR(AT$3),Assumptions!$C$1:$F$1,0))*IF(ISNUMBER(SEARCH("yr",Assumptions!$G$45)),1/12,1)</f>
        <v>87350</v>
      </c>
      <c r="AU21" s="26">
        <f t="array" ref="AU21">INDEX(Assumptions!$C$37:$F$37,MATCH(YEAR(AU$3),Assumptions!$C$1:$F$1,0))*IF(ISNUMBER(SEARCH("yr",Assumptions!$G$37)),1/12,1)+INDEX(Assumptions!$C$38:$F$38,MATCH(YEAR(AU$3),Assumptions!$C$1:$F$1,0))*IF(ISNUMBER(SEARCH("yr",Assumptions!$G$38)),1/12,1)+AU8*INDEX(Assumptions!$C$40:$F$40,MATCH(YEAR(AU$3),Assumptions!$C$1:$F$1,0))*IF(ISNUMBER(SEARCH("yr",Assumptions!$G$40)),1/12,1)+AU9*INDEX(Assumptions!$C$39:$F$39,MATCH(YEAR(AU$3),Assumptions!$C$1:$F$1,0))*IF(ISNUMBER(SEARCH("yr",Assumptions!$G$39)),1/12,1)+AU10*INDEX(Assumptions!$C$41:$F$41,MATCH(YEAR(AU$3),Assumptions!$C$1:$F$1,0))*IF(ISNUMBER(SEARCH("yr",Assumptions!$G$41)),1/12,1)+AU12*INDEX(Assumptions!$C$42:$F$42,MATCH(YEAR(AU$3),Assumptions!$C$1:$F$1,0))*IF(ISNUMBER(SEARCH("yr",Assumptions!$G$42)),1/12,1)+AU13*INDEX(Assumptions!$C$44:$F$44,MATCH(YEAR(AU$3),Assumptions!$C$1:$F$1,0))*IF(ISNUMBER(SEARCH("yr",Assumptions!$G$44)),1/12,1)+AU14*INDEX(Assumptions!$C$45:$F$45,MATCH(YEAR(AU$3),Assumptions!$C$1:$F$1,0))*IF(ISNUMBER(SEARCH("yr",Assumptions!$G$45)),1/12,1)</f>
        <v>87350</v>
      </c>
      <c r="AV21" s="26">
        <f t="array" ref="AV21">INDEX(Assumptions!$C$37:$F$37,MATCH(YEAR(AV$3),Assumptions!$C$1:$F$1,0))*IF(ISNUMBER(SEARCH("yr",Assumptions!$G$37)),1/12,1)+INDEX(Assumptions!$C$38:$F$38,MATCH(YEAR(AV$3),Assumptions!$C$1:$F$1,0))*IF(ISNUMBER(SEARCH("yr",Assumptions!$G$38)),1/12,1)+AV8*INDEX(Assumptions!$C$40:$F$40,MATCH(YEAR(AV$3),Assumptions!$C$1:$F$1,0))*IF(ISNUMBER(SEARCH("yr",Assumptions!$G$40)),1/12,1)+AV9*INDEX(Assumptions!$C$39:$F$39,MATCH(YEAR(AV$3),Assumptions!$C$1:$F$1,0))*IF(ISNUMBER(SEARCH("yr",Assumptions!$G$39)),1/12,1)+AV10*INDEX(Assumptions!$C$41:$F$41,MATCH(YEAR(AV$3),Assumptions!$C$1:$F$1,0))*IF(ISNUMBER(SEARCH("yr",Assumptions!$G$41)),1/12,1)+AV12*INDEX(Assumptions!$C$42:$F$42,MATCH(YEAR(AV$3),Assumptions!$C$1:$F$1,0))*IF(ISNUMBER(SEARCH("yr",Assumptions!$G$42)),1/12,1)+AV13*INDEX(Assumptions!$C$44:$F$44,MATCH(YEAR(AV$3),Assumptions!$C$1:$F$1,0))*IF(ISNUMBER(SEARCH("yr",Assumptions!$G$44)),1/12,1)+AV14*INDEX(Assumptions!$C$45:$F$45,MATCH(YEAR(AV$3),Assumptions!$C$1:$F$1,0))*IF(ISNUMBER(SEARCH("yr",Assumptions!$G$45)),1/12,1)</f>
        <v>87350</v>
      </c>
      <c r="AW21" s="26">
        <f t="array" ref="AW21">INDEX(Assumptions!$C$37:$F$37,MATCH(YEAR(AW$3),Assumptions!$C$1:$F$1,0))*IF(ISNUMBER(SEARCH("yr",Assumptions!$G$37)),1/12,1)+INDEX(Assumptions!$C$38:$F$38,MATCH(YEAR(AW$3),Assumptions!$C$1:$F$1,0))*IF(ISNUMBER(SEARCH("yr",Assumptions!$G$38)),1/12,1)+AW8*INDEX(Assumptions!$C$40:$F$40,MATCH(YEAR(AW$3),Assumptions!$C$1:$F$1,0))*IF(ISNUMBER(SEARCH("yr",Assumptions!$G$40)),1/12,1)+AW9*INDEX(Assumptions!$C$39:$F$39,MATCH(YEAR(AW$3),Assumptions!$C$1:$F$1,0))*IF(ISNUMBER(SEARCH("yr",Assumptions!$G$39)),1/12,1)+AW10*INDEX(Assumptions!$C$41:$F$41,MATCH(YEAR(AW$3),Assumptions!$C$1:$F$1,0))*IF(ISNUMBER(SEARCH("yr",Assumptions!$G$41)),1/12,1)+AW12*INDEX(Assumptions!$C$42:$F$42,MATCH(YEAR(AW$3),Assumptions!$C$1:$F$1,0))*IF(ISNUMBER(SEARCH("yr",Assumptions!$G$42)),1/12,1)+AW13*INDEX(Assumptions!$C$44:$F$44,MATCH(YEAR(AW$3),Assumptions!$C$1:$F$1,0))*IF(ISNUMBER(SEARCH("yr",Assumptions!$G$44)),1/12,1)+AW14*INDEX(Assumptions!$C$45:$F$45,MATCH(YEAR(AW$3),Assumptions!$C$1:$F$1,0))*IF(ISNUMBER(SEARCH("yr",Assumptions!$G$45)),1/12,1)</f>
        <v>87350</v>
      </c>
      <c r="AX21" s="26">
        <f t="array" ref="AX21">INDEX(Assumptions!$C$37:$F$37,MATCH(YEAR(AX$3),Assumptions!$C$1:$F$1,0))*IF(ISNUMBER(SEARCH("yr",Assumptions!$G$37)),1/12,1)+INDEX(Assumptions!$C$38:$F$38,MATCH(YEAR(AX$3),Assumptions!$C$1:$F$1,0))*IF(ISNUMBER(SEARCH("yr",Assumptions!$G$38)),1/12,1)+AX8*INDEX(Assumptions!$C$40:$F$40,MATCH(YEAR(AX$3),Assumptions!$C$1:$F$1,0))*IF(ISNUMBER(SEARCH("yr",Assumptions!$G$40)),1/12,1)+AX9*INDEX(Assumptions!$C$39:$F$39,MATCH(YEAR(AX$3),Assumptions!$C$1:$F$1,0))*IF(ISNUMBER(SEARCH("yr",Assumptions!$G$39)),1/12,1)+AX10*INDEX(Assumptions!$C$41:$F$41,MATCH(YEAR(AX$3),Assumptions!$C$1:$F$1,0))*IF(ISNUMBER(SEARCH("yr",Assumptions!$G$41)),1/12,1)+AX12*INDEX(Assumptions!$C$42:$F$42,MATCH(YEAR(AX$3),Assumptions!$C$1:$F$1,0))*IF(ISNUMBER(SEARCH("yr",Assumptions!$G$42)),1/12,1)+AX13*INDEX(Assumptions!$C$44:$F$44,MATCH(YEAR(AX$3),Assumptions!$C$1:$F$1,0))*IF(ISNUMBER(SEARCH("yr",Assumptions!$G$44)),1/12,1)+AX14*INDEX(Assumptions!$C$45:$F$45,MATCH(YEAR(AX$3),Assumptions!$C$1:$F$1,0))*IF(ISNUMBER(SEARCH("yr",Assumptions!$G$45)),1/12,1)</f>
        <v>91100</v>
      </c>
      <c r="AY21" s="26">
        <f t="array" ref="AY21">INDEX(Assumptions!$C$37:$F$37,MATCH(YEAR(AY$3),Assumptions!$C$1:$F$1,0))*IF(ISNUMBER(SEARCH("yr",Assumptions!$G$37)),1/12,1)+INDEX(Assumptions!$C$38:$F$38,MATCH(YEAR(AY$3),Assumptions!$C$1:$F$1,0))*IF(ISNUMBER(SEARCH("yr",Assumptions!$G$38)),1/12,1)+AY8*INDEX(Assumptions!$C$40:$F$40,MATCH(YEAR(AY$3),Assumptions!$C$1:$F$1,0))*IF(ISNUMBER(SEARCH("yr",Assumptions!$G$40)),1/12,1)+AY9*INDEX(Assumptions!$C$39:$F$39,MATCH(YEAR(AY$3),Assumptions!$C$1:$F$1,0))*IF(ISNUMBER(SEARCH("yr",Assumptions!$G$39)),1/12,1)+AY10*INDEX(Assumptions!$C$41:$F$41,MATCH(YEAR(AY$3),Assumptions!$C$1:$F$1,0))*IF(ISNUMBER(SEARCH("yr",Assumptions!$G$41)),1/12,1)+AY12*INDEX(Assumptions!$C$42:$F$42,MATCH(YEAR(AY$3),Assumptions!$C$1:$F$1,0))*IF(ISNUMBER(SEARCH("yr",Assumptions!$G$42)),1/12,1)+AY13*INDEX(Assumptions!$C$44:$F$44,MATCH(YEAR(AY$3),Assumptions!$C$1:$F$1,0))*IF(ISNUMBER(SEARCH("yr",Assumptions!$G$44)),1/12,1)+AY14*INDEX(Assumptions!$C$45:$F$45,MATCH(YEAR(AY$3),Assumptions!$C$1:$F$1,0))*IF(ISNUMBER(SEARCH("yr",Assumptions!$G$45)),1/12,1)</f>
        <v>91100</v>
      </c>
      <c r="AZ21" s="26">
        <f t="array" ref="AZ21">INDEX(Assumptions!$C$37:$F$37,MATCH(YEAR(AZ$3),Assumptions!$C$1:$F$1,0))*IF(ISNUMBER(SEARCH("yr",Assumptions!$G$37)),1/12,1)+INDEX(Assumptions!$C$38:$F$38,MATCH(YEAR(AZ$3),Assumptions!$C$1:$F$1,0))*IF(ISNUMBER(SEARCH("yr",Assumptions!$G$38)),1/12,1)+AZ8*INDEX(Assumptions!$C$40:$F$40,MATCH(YEAR(AZ$3),Assumptions!$C$1:$F$1,0))*IF(ISNUMBER(SEARCH("yr",Assumptions!$G$40)),1/12,1)+AZ9*INDEX(Assumptions!$C$39:$F$39,MATCH(YEAR(AZ$3),Assumptions!$C$1:$F$1,0))*IF(ISNUMBER(SEARCH("yr",Assumptions!$G$39)),1/12,1)+AZ10*INDEX(Assumptions!$C$41:$F$41,MATCH(YEAR(AZ$3),Assumptions!$C$1:$F$1,0))*IF(ISNUMBER(SEARCH("yr",Assumptions!$G$41)),1/12,1)+AZ12*INDEX(Assumptions!$C$42:$F$42,MATCH(YEAR(AZ$3),Assumptions!$C$1:$F$1,0))*IF(ISNUMBER(SEARCH("yr",Assumptions!$G$42)),1/12,1)+AZ13*INDEX(Assumptions!$C$44:$F$44,MATCH(YEAR(AZ$3),Assumptions!$C$1:$F$1,0))*IF(ISNUMBER(SEARCH("yr",Assumptions!$G$44)),1/12,1)+AZ14*INDEX(Assumptions!$C$45:$F$45,MATCH(YEAR(AZ$3),Assumptions!$C$1:$F$1,0))*IF(ISNUMBER(SEARCH("yr",Assumptions!$G$45)),1/12,1)</f>
        <v>91100</v>
      </c>
      <c r="BA21" s="26">
        <f t="array" ref="BA21">INDEX(Assumptions!$C$37:$F$37,MATCH(YEAR(BA$3),Assumptions!$C$1:$F$1,0))*IF(ISNUMBER(SEARCH("yr",Assumptions!$G$37)),1/12,1)+INDEX(Assumptions!$C$38:$F$38,MATCH(YEAR(BA$3),Assumptions!$C$1:$F$1,0))*IF(ISNUMBER(SEARCH("yr",Assumptions!$G$38)),1/12,1)+BA8*INDEX(Assumptions!$C$40:$F$40,MATCH(YEAR(BA$3),Assumptions!$C$1:$F$1,0))*IF(ISNUMBER(SEARCH("yr",Assumptions!$G$40)),1/12,1)+BA9*INDEX(Assumptions!$C$39:$F$39,MATCH(YEAR(BA$3),Assumptions!$C$1:$F$1,0))*IF(ISNUMBER(SEARCH("yr",Assumptions!$G$39)),1/12,1)+BA10*INDEX(Assumptions!$C$41:$F$41,MATCH(YEAR(BA$3),Assumptions!$C$1:$F$1,0))*IF(ISNUMBER(SEARCH("yr",Assumptions!$G$41)),1/12,1)+BA12*INDEX(Assumptions!$C$42:$F$42,MATCH(YEAR(BA$3),Assumptions!$C$1:$F$1,0))*IF(ISNUMBER(SEARCH("yr",Assumptions!$G$42)),1/12,1)+BA13*INDEX(Assumptions!$C$44:$F$44,MATCH(YEAR(BA$3),Assumptions!$C$1:$F$1,0))*IF(ISNUMBER(SEARCH("yr",Assumptions!$G$44)),1/12,1)+BA14*INDEX(Assumptions!$C$45:$F$45,MATCH(YEAR(BA$3),Assumptions!$C$1:$F$1,0))*IF(ISNUMBER(SEARCH("yr",Assumptions!$G$45)),1/12,1)</f>
        <v>91100</v>
      </c>
      <c r="BB21" s="26"/>
      <c r="BC21" s="26">
        <f t="shared" ref="BC21:BF21" si="9">SUMPRODUCT((YEAR($F$3:$BA$3)=BC$3)*$F21:$BA21)</f>
        <v>441000</v>
      </c>
      <c r="BD21" s="26">
        <f t="shared" si="9"/>
        <v>575400</v>
      </c>
      <c r="BE21" s="26">
        <f t="shared" si="9"/>
        <v>875300</v>
      </c>
      <c r="BF21" s="26">
        <f t="shared" si="9"/>
        <v>1042200</v>
      </c>
    </row>
    <row r="22">
      <c r="A22" s="1"/>
      <c r="B22" s="3" t="s">
        <v>136</v>
      </c>
      <c r="C22" s="1"/>
      <c r="D22" s="1"/>
      <c r="E22" s="3" t="s">
        <v>33</v>
      </c>
      <c r="F22" s="26">
        <f>Assumptions!$C$46*F21</f>
        <v>2800</v>
      </c>
      <c r="G22" s="26">
        <f>Assumptions!$C$46*G21</f>
        <v>2800</v>
      </c>
      <c r="H22" s="26">
        <f>Assumptions!$C$46*H21</f>
        <v>2800</v>
      </c>
      <c r="I22" s="26">
        <f>Assumptions!$C$46*I21</f>
        <v>2800</v>
      </c>
      <c r="J22" s="26">
        <f>Assumptions!$C$46*J21</f>
        <v>2800</v>
      </c>
      <c r="K22" s="26">
        <f>Assumptions!$C$46*K21</f>
        <v>3040</v>
      </c>
      <c r="L22" s="26">
        <f>Assumptions!$C$46*L21</f>
        <v>3040</v>
      </c>
      <c r="M22" s="26">
        <f>Assumptions!$C$46*M21</f>
        <v>3040</v>
      </c>
      <c r="N22" s="26">
        <f>Assumptions!$C$46*N21</f>
        <v>3040</v>
      </c>
      <c r="O22" s="26">
        <f>Assumptions!$C$46*O21</f>
        <v>3040</v>
      </c>
      <c r="P22" s="26">
        <f>Assumptions!$C$46*P21</f>
        <v>3040</v>
      </c>
      <c r="Q22" s="26">
        <f>Assumptions!$C$46*Q21</f>
        <v>3040</v>
      </c>
      <c r="R22" s="26">
        <f>Assumptions!$C$46*R21</f>
        <v>3516</v>
      </c>
      <c r="S22" s="26">
        <f>Assumptions!$C$46*S21</f>
        <v>3516</v>
      </c>
      <c r="T22" s="26">
        <f>Assumptions!$C$46*T21</f>
        <v>3516</v>
      </c>
      <c r="U22" s="26">
        <f>Assumptions!$C$46*U21</f>
        <v>3516</v>
      </c>
      <c r="V22" s="26">
        <f>Assumptions!$C$46*V21</f>
        <v>3516</v>
      </c>
      <c r="W22" s="26">
        <f>Assumptions!$C$46*W21</f>
        <v>3516</v>
      </c>
      <c r="X22" s="26">
        <f>Assumptions!$C$46*X21</f>
        <v>4156</v>
      </c>
      <c r="Y22" s="26">
        <f>Assumptions!$C$46*Y21</f>
        <v>4156</v>
      </c>
      <c r="Z22" s="26">
        <f>Assumptions!$C$46*Z21</f>
        <v>4156</v>
      </c>
      <c r="AA22" s="26">
        <f>Assumptions!$C$46*AA21</f>
        <v>4156</v>
      </c>
      <c r="AB22" s="26">
        <f>Assumptions!$C$46*AB21</f>
        <v>4156</v>
      </c>
      <c r="AC22" s="26">
        <f>Assumptions!$C$46*AC21</f>
        <v>4156</v>
      </c>
      <c r="AD22" s="26">
        <f>Assumptions!$C$46*AD21</f>
        <v>5672</v>
      </c>
      <c r="AE22" s="26">
        <f>Assumptions!$C$46*AE21</f>
        <v>5672</v>
      </c>
      <c r="AF22" s="26">
        <f>Assumptions!$C$46*AF21</f>
        <v>5672</v>
      </c>
      <c r="AG22" s="26">
        <f>Assumptions!$C$46*AG21</f>
        <v>5672</v>
      </c>
      <c r="AH22" s="26">
        <f>Assumptions!$C$46*AH21</f>
        <v>5672</v>
      </c>
      <c r="AI22" s="26">
        <f>Assumptions!$C$46*AI21</f>
        <v>5952</v>
      </c>
      <c r="AJ22" s="26">
        <f>Assumptions!$C$46*AJ21</f>
        <v>5952</v>
      </c>
      <c r="AK22" s="26">
        <f>Assumptions!$C$46*AK21</f>
        <v>5952</v>
      </c>
      <c r="AL22" s="26">
        <f>Assumptions!$C$46*AL21</f>
        <v>5952</v>
      </c>
      <c r="AM22" s="26">
        <f>Assumptions!$C$46*AM21</f>
        <v>5952</v>
      </c>
      <c r="AN22" s="26">
        <f>Assumptions!$C$46*AN21</f>
        <v>5952</v>
      </c>
      <c r="AO22" s="26">
        <f>Assumptions!$C$46*AO21</f>
        <v>5952</v>
      </c>
      <c r="AP22" s="26">
        <f>Assumptions!$C$46*AP21</f>
        <v>6568</v>
      </c>
      <c r="AQ22" s="26">
        <f>Assumptions!$C$46*AQ21</f>
        <v>6568</v>
      </c>
      <c r="AR22" s="26">
        <f>Assumptions!$C$46*AR21</f>
        <v>6568</v>
      </c>
      <c r="AS22" s="26">
        <f>Assumptions!$C$46*AS21</f>
        <v>6568</v>
      </c>
      <c r="AT22" s="26">
        <f>Assumptions!$C$46*AT21</f>
        <v>6988</v>
      </c>
      <c r="AU22" s="26">
        <f>Assumptions!$C$46*AU21</f>
        <v>6988</v>
      </c>
      <c r="AV22" s="26">
        <f>Assumptions!$C$46*AV21</f>
        <v>6988</v>
      </c>
      <c r="AW22" s="26">
        <f>Assumptions!$C$46*AW21</f>
        <v>6988</v>
      </c>
      <c r="AX22" s="26">
        <f>Assumptions!$C$46*AX21</f>
        <v>7288</v>
      </c>
      <c r="AY22" s="26">
        <f>Assumptions!$C$46*AY21</f>
        <v>7288</v>
      </c>
      <c r="AZ22" s="26">
        <f>Assumptions!$C$46*AZ21</f>
        <v>7288</v>
      </c>
      <c r="BA22" s="26">
        <f>Assumptions!$C$46*BA21</f>
        <v>7288</v>
      </c>
      <c r="BB22" s="26"/>
      <c r="BC22" s="26">
        <f t="shared" ref="BC22:BF22" si="10">SUMPRODUCT((YEAR($F$3:$BA$3)=BC$3)*$F22:$BA22)</f>
        <v>35280</v>
      </c>
      <c r="BD22" s="26">
        <f t="shared" si="10"/>
        <v>46032</v>
      </c>
      <c r="BE22" s="26">
        <f t="shared" si="10"/>
        <v>70024</v>
      </c>
      <c r="BF22" s="26">
        <f t="shared" si="10"/>
        <v>83376</v>
      </c>
    </row>
    <row r="23">
      <c r="A23" s="1"/>
      <c r="B23" s="3" t="s">
        <v>137</v>
      </c>
      <c r="C23" s="1"/>
      <c r="D23" s="1"/>
      <c r="E23" s="3" t="s">
        <v>33</v>
      </c>
      <c r="F23" s="26">
        <f>Assumptions!$C$47*(F21+F22)</f>
        <v>7182</v>
      </c>
      <c r="G23" s="26">
        <f>Assumptions!$C$47*(G21+G22)</f>
        <v>7182</v>
      </c>
      <c r="H23" s="26">
        <f>Assumptions!$C$47*(H21+H22)</f>
        <v>7182</v>
      </c>
      <c r="I23" s="26">
        <f>Assumptions!$C$47*(I21+I22)</f>
        <v>7182</v>
      </c>
      <c r="J23" s="26">
        <f>Assumptions!$C$47*(J21+J22)</f>
        <v>7182</v>
      </c>
      <c r="K23" s="26">
        <f>Assumptions!$C$47*(K21+K22)</f>
        <v>7797.6</v>
      </c>
      <c r="L23" s="26">
        <f>Assumptions!$C$47*(L21+L22)</f>
        <v>7797.6</v>
      </c>
      <c r="M23" s="26">
        <f>Assumptions!$C$47*(M21+M22)</f>
        <v>7797.6</v>
      </c>
      <c r="N23" s="26">
        <f>Assumptions!$C$47*(N21+N22)</f>
        <v>7797.6</v>
      </c>
      <c r="O23" s="26">
        <f>Assumptions!$C$47*(O21+O22)</f>
        <v>7797.6</v>
      </c>
      <c r="P23" s="26">
        <f>Assumptions!$C$47*(P21+P22)</f>
        <v>7797.6</v>
      </c>
      <c r="Q23" s="26">
        <f>Assumptions!$C$47*(Q21+Q22)</f>
        <v>7797.6</v>
      </c>
      <c r="R23" s="26">
        <f>Assumptions!$C$47*(R21+R22)</f>
        <v>9018.54</v>
      </c>
      <c r="S23" s="26">
        <f>Assumptions!$C$47*(S21+S22)</f>
        <v>9018.54</v>
      </c>
      <c r="T23" s="26">
        <f>Assumptions!$C$47*(T21+T22)</f>
        <v>9018.54</v>
      </c>
      <c r="U23" s="26">
        <f>Assumptions!$C$47*(U21+U22)</f>
        <v>9018.54</v>
      </c>
      <c r="V23" s="26">
        <f>Assumptions!$C$47*(V21+V22)</f>
        <v>9018.54</v>
      </c>
      <c r="W23" s="26">
        <f>Assumptions!$C$47*(W21+W22)</f>
        <v>9018.54</v>
      </c>
      <c r="X23" s="26">
        <f>Assumptions!$C$47*(X21+X22)</f>
        <v>10660.14</v>
      </c>
      <c r="Y23" s="26">
        <f>Assumptions!$C$47*(Y21+Y22)</f>
        <v>10660.14</v>
      </c>
      <c r="Z23" s="26">
        <f>Assumptions!$C$47*(Z21+Z22)</f>
        <v>10660.14</v>
      </c>
      <c r="AA23" s="26">
        <f>Assumptions!$C$47*(AA21+AA22)</f>
        <v>10660.14</v>
      </c>
      <c r="AB23" s="26">
        <f>Assumptions!$C$47*(AB21+AB22)</f>
        <v>10660.14</v>
      </c>
      <c r="AC23" s="26">
        <f>Assumptions!$C$47*(AC21+AC22)</f>
        <v>10660.14</v>
      </c>
      <c r="AD23" s="26">
        <f>Assumptions!$C$47*(AD21+AD22)</f>
        <v>14548.68</v>
      </c>
      <c r="AE23" s="26">
        <f>Assumptions!$C$47*(AE21+AE22)</f>
        <v>14548.68</v>
      </c>
      <c r="AF23" s="26">
        <f>Assumptions!$C$47*(AF21+AF22)</f>
        <v>14548.68</v>
      </c>
      <c r="AG23" s="26">
        <f>Assumptions!$C$47*(AG21+AG22)</f>
        <v>14548.68</v>
      </c>
      <c r="AH23" s="26">
        <f>Assumptions!$C$47*(AH21+AH22)</f>
        <v>14548.68</v>
      </c>
      <c r="AI23" s="26">
        <f>Assumptions!$C$47*(AI21+AI22)</f>
        <v>15266.88</v>
      </c>
      <c r="AJ23" s="26">
        <f>Assumptions!$C$47*(AJ21+AJ22)</f>
        <v>15266.88</v>
      </c>
      <c r="AK23" s="26">
        <f>Assumptions!$C$47*(AK21+AK22)</f>
        <v>15266.88</v>
      </c>
      <c r="AL23" s="26">
        <f>Assumptions!$C$47*(AL21+AL22)</f>
        <v>15266.88</v>
      </c>
      <c r="AM23" s="26">
        <f>Assumptions!$C$47*(AM21+AM22)</f>
        <v>15266.88</v>
      </c>
      <c r="AN23" s="26">
        <f>Assumptions!$C$47*(AN21+AN22)</f>
        <v>15266.88</v>
      </c>
      <c r="AO23" s="26">
        <f>Assumptions!$C$47*(AO21+AO22)</f>
        <v>15266.88</v>
      </c>
      <c r="AP23" s="26">
        <f>Assumptions!$C$47*(AP21+AP22)</f>
        <v>16846.92</v>
      </c>
      <c r="AQ23" s="26">
        <f>Assumptions!$C$47*(AQ21+AQ22)</f>
        <v>16846.92</v>
      </c>
      <c r="AR23" s="26">
        <f>Assumptions!$C$47*(AR21+AR22)</f>
        <v>16846.92</v>
      </c>
      <c r="AS23" s="26">
        <f>Assumptions!$C$47*(AS21+AS22)</f>
        <v>16846.92</v>
      </c>
      <c r="AT23" s="26">
        <f>Assumptions!$C$47*(AT21+AT22)</f>
        <v>17924.22</v>
      </c>
      <c r="AU23" s="26">
        <f>Assumptions!$C$47*(AU21+AU22)</f>
        <v>17924.22</v>
      </c>
      <c r="AV23" s="26">
        <f>Assumptions!$C$47*(AV21+AV22)</f>
        <v>17924.22</v>
      </c>
      <c r="AW23" s="26">
        <f>Assumptions!$C$47*(AW21+AW22)</f>
        <v>17924.22</v>
      </c>
      <c r="AX23" s="26">
        <f>Assumptions!$C$47*(AX21+AX22)</f>
        <v>18693.72</v>
      </c>
      <c r="AY23" s="26">
        <f>Assumptions!$C$47*(AY21+AY22)</f>
        <v>18693.72</v>
      </c>
      <c r="AZ23" s="26">
        <f>Assumptions!$C$47*(AZ21+AZ22)</f>
        <v>18693.72</v>
      </c>
      <c r="BA23" s="26">
        <f>Assumptions!$C$47*(BA21+BA22)</f>
        <v>18693.72</v>
      </c>
      <c r="BB23" s="26"/>
      <c r="BC23" s="26">
        <f t="shared" ref="BC23:BF23" si="11">SUMPRODUCT((YEAR($F$3:$BA$3)=BC$3)*$F23:$BA23)</f>
        <v>90493.2</v>
      </c>
      <c r="BD23" s="26">
        <f t="shared" si="11"/>
        <v>118072.08</v>
      </c>
      <c r="BE23" s="26">
        <f t="shared" si="11"/>
        <v>179611.56</v>
      </c>
      <c r="BF23" s="26">
        <f t="shared" si="11"/>
        <v>213859.44</v>
      </c>
    </row>
    <row r="24">
      <c r="A24" s="1"/>
      <c r="B24" s="3" t="s">
        <v>126</v>
      </c>
      <c r="C24" s="1"/>
      <c r="D24" s="1"/>
      <c r="E24" s="3" t="s">
        <v>33</v>
      </c>
      <c r="F24" s="26">
        <f t="array" ref="F24">INDEX(Assumptions!$C$43:$F$43,MATCH(YEAR(F$3),Assumptions!$C$1:$F$1,0))*IF(ISNUMBER(SEARCH("yr",Assumptions!$G$43)),1/12,1)</f>
        <v>6500</v>
      </c>
      <c r="G24" s="26">
        <f t="array" ref="G24">INDEX(Assumptions!$C$43:$F$43,MATCH(YEAR(G$3),Assumptions!$C$1:$F$1,0))*IF(ISNUMBER(SEARCH("yr",Assumptions!$G$43)),1/12,1)</f>
        <v>6500</v>
      </c>
      <c r="H24" s="26">
        <f t="array" ref="H24">INDEX(Assumptions!$C$43:$F$43,MATCH(YEAR(H$3),Assumptions!$C$1:$F$1,0))*IF(ISNUMBER(SEARCH("yr",Assumptions!$G$43)),1/12,1)</f>
        <v>6500</v>
      </c>
      <c r="I24" s="26">
        <f t="array" ref="I24">INDEX(Assumptions!$C$43:$F$43,MATCH(YEAR(I$3),Assumptions!$C$1:$F$1,0))*IF(ISNUMBER(SEARCH("yr",Assumptions!$G$43)),1/12,1)</f>
        <v>6500</v>
      </c>
      <c r="J24" s="26">
        <f t="array" ref="J24">INDEX(Assumptions!$C$43:$F$43,MATCH(YEAR(J$3),Assumptions!$C$1:$F$1,0))*IF(ISNUMBER(SEARCH("yr",Assumptions!$G$43)),1/12,1)</f>
        <v>6500</v>
      </c>
      <c r="K24" s="26">
        <f t="array" ref="K24">INDEX(Assumptions!$C$43:$F$43,MATCH(YEAR(K$3),Assumptions!$C$1:$F$1,0))*IF(ISNUMBER(SEARCH("yr",Assumptions!$G$43)),1/12,1)</f>
        <v>6500</v>
      </c>
      <c r="L24" s="26">
        <f t="array" ref="L24">INDEX(Assumptions!$C$43:$F$43,MATCH(YEAR(L$3),Assumptions!$C$1:$F$1,0))*IF(ISNUMBER(SEARCH("yr",Assumptions!$G$43)),1/12,1)</f>
        <v>6500</v>
      </c>
      <c r="M24" s="26">
        <f t="array" ref="M24">INDEX(Assumptions!$C$43:$F$43,MATCH(YEAR(M$3),Assumptions!$C$1:$F$1,0))*IF(ISNUMBER(SEARCH("yr",Assumptions!$G$43)),1/12,1)</f>
        <v>6500</v>
      </c>
      <c r="N24" s="26">
        <f t="array" ref="N24">INDEX(Assumptions!$C$43:$F$43,MATCH(YEAR(N$3),Assumptions!$C$1:$F$1,0))*IF(ISNUMBER(SEARCH("yr",Assumptions!$G$43)),1/12,1)</f>
        <v>6500</v>
      </c>
      <c r="O24" s="26">
        <f t="array" ref="O24">INDEX(Assumptions!$C$43:$F$43,MATCH(YEAR(O$3),Assumptions!$C$1:$F$1,0))*IF(ISNUMBER(SEARCH("yr",Assumptions!$G$43)),1/12,1)</f>
        <v>6500</v>
      </c>
      <c r="P24" s="26">
        <f t="array" ref="P24">INDEX(Assumptions!$C$43:$F$43,MATCH(YEAR(P$3),Assumptions!$C$1:$F$1,0))*IF(ISNUMBER(SEARCH("yr",Assumptions!$G$43)),1/12,1)</f>
        <v>6500</v>
      </c>
      <c r="Q24" s="26">
        <f t="array" ref="Q24">INDEX(Assumptions!$C$43:$F$43,MATCH(YEAR(Q$3),Assumptions!$C$1:$F$1,0))*IF(ISNUMBER(SEARCH("yr",Assumptions!$G$43)),1/12,1)</f>
        <v>6500</v>
      </c>
      <c r="R24" s="26">
        <f t="array" ref="R24">INDEX(Assumptions!$C$43:$F$43,MATCH(YEAR(R$3),Assumptions!$C$1:$F$1,0))*IF(ISNUMBER(SEARCH("yr",Assumptions!$G$43)),1/12,1)</f>
        <v>7000</v>
      </c>
      <c r="S24" s="26">
        <f t="array" ref="S24">INDEX(Assumptions!$C$43:$F$43,MATCH(YEAR(S$3),Assumptions!$C$1:$F$1,0))*IF(ISNUMBER(SEARCH("yr",Assumptions!$G$43)),1/12,1)</f>
        <v>7000</v>
      </c>
      <c r="T24" s="26">
        <f t="array" ref="T24">INDEX(Assumptions!$C$43:$F$43,MATCH(YEAR(T$3),Assumptions!$C$1:$F$1,0))*IF(ISNUMBER(SEARCH("yr",Assumptions!$G$43)),1/12,1)</f>
        <v>7000</v>
      </c>
      <c r="U24" s="26">
        <f t="array" ref="U24">INDEX(Assumptions!$C$43:$F$43,MATCH(YEAR(U$3),Assumptions!$C$1:$F$1,0))*IF(ISNUMBER(SEARCH("yr",Assumptions!$G$43)),1/12,1)</f>
        <v>7000</v>
      </c>
      <c r="V24" s="26">
        <f t="array" ref="V24">INDEX(Assumptions!$C$43:$F$43,MATCH(YEAR(V$3),Assumptions!$C$1:$F$1,0))*IF(ISNUMBER(SEARCH("yr",Assumptions!$G$43)),1/12,1)</f>
        <v>7000</v>
      </c>
      <c r="W24" s="26">
        <f t="array" ref="W24">INDEX(Assumptions!$C$43:$F$43,MATCH(YEAR(W$3),Assumptions!$C$1:$F$1,0))*IF(ISNUMBER(SEARCH("yr",Assumptions!$G$43)),1/12,1)</f>
        <v>7000</v>
      </c>
      <c r="X24" s="26">
        <f t="array" ref="X24">INDEX(Assumptions!$C$43:$F$43,MATCH(YEAR(X$3),Assumptions!$C$1:$F$1,0))*IF(ISNUMBER(SEARCH("yr",Assumptions!$G$43)),1/12,1)</f>
        <v>7000</v>
      </c>
      <c r="Y24" s="26">
        <f t="array" ref="Y24">INDEX(Assumptions!$C$43:$F$43,MATCH(YEAR(Y$3),Assumptions!$C$1:$F$1,0))*IF(ISNUMBER(SEARCH("yr",Assumptions!$G$43)),1/12,1)</f>
        <v>7000</v>
      </c>
      <c r="Z24" s="26">
        <f t="array" ref="Z24">INDEX(Assumptions!$C$43:$F$43,MATCH(YEAR(Z$3),Assumptions!$C$1:$F$1,0))*IF(ISNUMBER(SEARCH("yr",Assumptions!$G$43)),1/12,1)</f>
        <v>7000</v>
      </c>
      <c r="AA24" s="26">
        <f t="array" ref="AA24">INDEX(Assumptions!$C$43:$F$43,MATCH(YEAR(AA$3),Assumptions!$C$1:$F$1,0))*IF(ISNUMBER(SEARCH("yr",Assumptions!$G$43)),1/12,1)</f>
        <v>7000</v>
      </c>
      <c r="AB24" s="26">
        <f t="array" ref="AB24">INDEX(Assumptions!$C$43:$F$43,MATCH(YEAR(AB$3),Assumptions!$C$1:$F$1,0))*IF(ISNUMBER(SEARCH("yr",Assumptions!$G$43)),1/12,1)</f>
        <v>7000</v>
      </c>
      <c r="AC24" s="26">
        <f t="array" ref="AC24">INDEX(Assumptions!$C$43:$F$43,MATCH(YEAR(AC$3),Assumptions!$C$1:$F$1,0))*IF(ISNUMBER(SEARCH("yr",Assumptions!$G$43)),1/12,1)</f>
        <v>7000</v>
      </c>
      <c r="AD24" s="26">
        <f t="array" ref="AD24">INDEX(Assumptions!$C$43:$F$43,MATCH(YEAR(AD$3),Assumptions!$C$1:$F$1,0))*IF(ISNUMBER(SEARCH("yr",Assumptions!$G$43)),1/12,1)</f>
        <v>7500</v>
      </c>
      <c r="AE24" s="26">
        <f t="array" ref="AE24">INDEX(Assumptions!$C$43:$F$43,MATCH(YEAR(AE$3),Assumptions!$C$1:$F$1,0))*IF(ISNUMBER(SEARCH("yr",Assumptions!$G$43)),1/12,1)</f>
        <v>7500</v>
      </c>
      <c r="AF24" s="26">
        <f t="array" ref="AF24">INDEX(Assumptions!$C$43:$F$43,MATCH(YEAR(AF$3),Assumptions!$C$1:$F$1,0))*IF(ISNUMBER(SEARCH("yr",Assumptions!$G$43)),1/12,1)</f>
        <v>7500</v>
      </c>
      <c r="AG24" s="26">
        <f t="array" ref="AG24">INDEX(Assumptions!$C$43:$F$43,MATCH(YEAR(AG$3),Assumptions!$C$1:$F$1,0))*IF(ISNUMBER(SEARCH("yr",Assumptions!$G$43)),1/12,1)</f>
        <v>7500</v>
      </c>
      <c r="AH24" s="26">
        <f t="array" ref="AH24">INDEX(Assumptions!$C$43:$F$43,MATCH(YEAR(AH$3),Assumptions!$C$1:$F$1,0))*IF(ISNUMBER(SEARCH("yr",Assumptions!$G$43)),1/12,1)</f>
        <v>7500</v>
      </c>
      <c r="AI24" s="26">
        <f t="array" ref="AI24">INDEX(Assumptions!$C$43:$F$43,MATCH(YEAR(AI$3),Assumptions!$C$1:$F$1,0))*IF(ISNUMBER(SEARCH("yr",Assumptions!$G$43)),1/12,1)</f>
        <v>7500</v>
      </c>
      <c r="AJ24" s="26">
        <f t="array" ref="AJ24">INDEX(Assumptions!$C$43:$F$43,MATCH(YEAR(AJ$3),Assumptions!$C$1:$F$1,0))*IF(ISNUMBER(SEARCH("yr",Assumptions!$G$43)),1/12,1)</f>
        <v>7500</v>
      </c>
      <c r="AK24" s="26">
        <f t="array" ref="AK24">INDEX(Assumptions!$C$43:$F$43,MATCH(YEAR(AK$3),Assumptions!$C$1:$F$1,0))*IF(ISNUMBER(SEARCH("yr",Assumptions!$G$43)),1/12,1)</f>
        <v>7500</v>
      </c>
      <c r="AL24" s="26">
        <f t="array" ref="AL24">INDEX(Assumptions!$C$43:$F$43,MATCH(YEAR(AL$3),Assumptions!$C$1:$F$1,0))*IF(ISNUMBER(SEARCH("yr",Assumptions!$G$43)),1/12,1)</f>
        <v>7500</v>
      </c>
      <c r="AM24" s="26">
        <f t="array" ref="AM24">INDEX(Assumptions!$C$43:$F$43,MATCH(YEAR(AM$3),Assumptions!$C$1:$F$1,0))*IF(ISNUMBER(SEARCH("yr",Assumptions!$G$43)),1/12,1)</f>
        <v>7500</v>
      </c>
      <c r="AN24" s="26">
        <f t="array" ref="AN24">INDEX(Assumptions!$C$43:$F$43,MATCH(YEAR(AN$3),Assumptions!$C$1:$F$1,0))*IF(ISNUMBER(SEARCH("yr",Assumptions!$G$43)),1/12,1)</f>
        <v>7500</v>
      </c>
      <c r="AO24" s="26">
        <f t="array" ref="AO24">INDEX(Assumptions!$C$43:$F$43,MATCH(YEAR(AO$3),Assumptions!$C$1:$F$1,0))*IF(ISNUMBER(SEARCH("yr",Assumptions!$G$43)),1/12,1)</f>
        <v>7500</v>
      </c>
      <c r="AP24" s="26">
        <f t="array" ref="AP24">INDEX(Assumptions!$C$43:$F$43,MATCH(YEAR(AP$3),Assumptions!$C$1:$F$1,0))*IF(ISNUMBER(SEARCH("yr",Assumptions!$G$43)),1/12,1)</f>
        <v>8000</v>
      </c>
      <c r="AQ24" s="26">
        <f t="array" ref="AQ24">INDEX(Assumptions!$C$43:$F$43,MATCH(YEAR(AQ$3),Assumptions!$C$1:$F$1,0))*IF(ISNUMBER(SEARCH("yr",Assumptions!$G$43)),1/12,1)</f>
        <v>8000</v>
      </c>
      <c r="AR24" s="26">
        <f t="array" ref="AR24">INDEX(Assumptions!$C$43:$F$43,MATCH(YEAR(AR$3),Assumptions!$C$1:$F$1,0))*IF(ISNUMBER(SEARCH("yr",Assumptions!$G$43)),1/12,1)</f>
        <v>8000</v>
      </c>
      <c r="AS24" s="26">
        <f t="array" ref="AS24">INDEX(Assumptions!$C$43:$F$43,MATCH(YEAR(AS$3),Assumptions!$C$1:$F$1,0))*IF(ISNUMBER(SEARCH("yr",Assumptions!$G$43)),1/12,1)</f>
        <v>8000</v>
      </c>
      <c r="AT24" s="26">
        <f t="array" ref="AT24">INDEX(Assumptions!$C$43:$F$43,MATCH(YEAR(AT$3),Assumptions!$C$1:$F$1,0))*IF(ISNUMBER(SEARCH("yr",Assumptions!$G$43)),1/12,1)</f>
        <v>8000</v>
      </c>
      <c r="AU24" s="26">
        <f t="array" ref="AU24">INDEX(Assumptions!$C$43:$F$43,MATCH(YEAR(AU$3),Assumptions!$C$1:$F$1,0))*IF(ISNUMBER(SEARCH("yr",Assumptions!$G$43)),1/12,1)</f>
        <v>8000</v>
      </c>
      <c r="AV24" s="26">
        <f t="array" ref="AV24">INDEX(Assumptions!$C$43:$F$43,MATCH(YEAR(AV$3),Assumptions!$C$1:$F$1,0))*IF(ISNUMBER(SEARCH("yr",Assumptions!$G$43)),1/12,1)</f>
        <v>8000</v>
      </c>
      <c r="AW24" s="26">
        <f t="array" ref="AW24">INDEX(Assumptions!$C$43:$F$43,MATCH(YEAR(AW$3),Assumptions!$C$1:$F$1,0))*IF(ISNUMBER(SEARCH("yr",Assumptions!$G$43)),1/12,1)</f>
        <v>8000</v>
      </c>
      <c r="AX24" s="26">
        <f t="array" ref="AX24">INDEX(Assumptions!$C$43:$F$43,MATCH(YEAR(AX$3),Assumptions!$C$1:$F$1,0))*IF(ISNUMBER(SEARCH("yr",Assumptions!$G$43)),1/12,1)</f>
        <v>8000</v>
      </c>
      <c r="AY24" s="26">
        <f t="array" ref="AY24">INDEX(Assumptions!$C$43:$F$43,MATCH(YEAR(AY$3),Assumptions!$C$1:$F$1,0))*IF(ISNUMBER(SEARCH("yr",Assumptions!$G$43)),1/12,1)</f>
        <v>8000</v>
      </c>
      <c r="AZ24" s="26">
        <f t="array" ref="AZ24">INDEX(Assumptions!$C$43:$F$43,MATCH(YEAR(AZ$3),Assumptions!$C$1:$F$1,0))*IF(ISNUMBER(SEARCH("yr",Assumptions!$G$43)),1/12,1)</f>
        <v>8000</v>
      </c>
      <c r="BA24" s="26">
        <f t="array" ref="BA24">INDEX(Assumptions!$C$43:$F$43,MATCH(YEAR(BA$3),Assumptions!$C$1:$F$1,0))*IF(ISNUMBER(SEARCH("yr",Assumptions!$G$43)),1/12,1)</f>
        <v>8000</v>
      </c>
      <c r="BB24" s="26"/>
      <c r="BC24" s="26">
        <f t="shared" ref="BC24:BF24" si="12">SUMPRODUCT((YEAR($F$3:$BA$3)=BC$3)*$F24:$BA24)</f>
        <v>78000</v>
      </c>
      <c r="BD24" s="26">
        <f t="shared" si="12"/>
        <v>84000</v>
      </c>
      <c r="BE24" s="26">
        <f t="shared" si="12"/>
        <v>90000</v>
      </c>
      <c r="BF24" s="26">
        <f t="shared" si="12"/>
        <v>96000</v>
      </c>
    </row>
    <row r="25">
      <c r="A25" s="1"/>
      <c r="B25" s="3" t="s">
        <v>138</v>
      </c>
      <c r="C25" s="1"/>
      <c r="D25" s="1"/>
      <c r="E25" s="3" t="s">
        <v>33</v>
      </c>
      <c r="F25" s="26">
        <f t="array" ref="F25">'Revenue forecast'!F35*(1-Assumptions!$C$31*Assumptions!$C$33)*Assumptions!$C$34*(0.9+0.1*(Assumptions!$C$31+INDEX(Assumptions!$C$32:$F$32,MATCH(YEAR(F$3),Assumptions!$C$1:$F$1,0))))</f>
        <v>0</v>
      </c>
      <c r="G25" s="26">
        <f t="array" ref="G25">'Revenue forecast'!G35*(1-Assumptions!$C$31*Assumptions!$C$33)*Assumptions!$C$34*(0.9+0.1*(Assumptions!$C$31+INDEX(Assumptions!$C$32:$F$32,MATCH(YEAR(G$3),Assumptions!$C$1:$F$1,0))))</f>
        <v>35797.5</v>
      </c>
      <c r="H25" s="26">
        <f t="array" ref="H25">'Revenue forecast'!H35*(1-Assumptions!$C$31*Assumptions!$C$33)*Assumptions!$C$34*(0.9+0.1*(Assumptions!$C$31+INDEX(Assumptions!$C$32:$F$32,MATCH(YEAR(H$3),Assumptions!$C$1:$F$1,0))))</f>
        <v>0</v>
      </c>
      <c r="I25" s="26">
        <f t="array" ref="I25">'Revenue forecast'!I35*(1-Assumptions!$C$31*Assumptions!$C$33)*Assumptions!$C$34*(0.9+0.1*(Assumptions!$C$31+INDEX(Assumptions!$C$32:$F$32,MATCH(YEAR(I$3),Assumptions!$C$1:$F$1,0))))</f>
        <v>0</v>
      </c>
      <c r="J25" s="26">
        <f t="array" ref="J25">'Revenue forecast'!J35*(1-Assumptions!$C$31*Assumptions!$C$33)*Assumptions!$C$34*(0.9+0.1*(Assumptions!$C$31+INDEX(Assumptions!$C$32:$F$32,MATCH(YEAR(J$3),Assumptions!$C$1:$F$1,0))))</f>
        <v>0</v>
      </c>
      <c r="K25" s="26">
        <f t="array" ref="K25">'Revenue forecast'!K35*(1-Assumptions!$C$31*Assumptions!$C$33)*Assumptions!$C$34*(0.9+0.1*(Assumptions!$C$31+INDEX(Assumptions!$C$32:$F$32,MATCH(YEAR(K$3),Assumptions!$C$1:$F$1,0))))</f>
        <v>7159.5</v>
      </c>
      <c r="L25" s="26">
        <f t="array" ref="L25">'Revenue forecast'!L35*(1-Assumptions!$C$31*Assumptions!$C$33)*Assumptions!$C$34*(0.9+0.1*(Assumptions!$C$31+INDEX(Assumptions!$C$32:$F$32,MATCH(YEAR(L$3),Assumptions!$C$1:$F$1,0))))</f>
        <v>7159.5</v>
      </c>
      <c r="M25" s="26">
        <f t="array" ref="M25">'Revenue forecast'!M35*(1-Assumptions!$C$31*Assumptions!$C$33)*Assumptions!$C$34*(0.9+0.1*(Assumptions!$C$31+INDEX(Assumptions!$C$32:$F$32,MATCH(YEAR(M$3),Assumptions!$C$1:$F$1,0))))</f>
        <v>7159.5</v>
      </c>
      <c r="N25" s="26">
        <f t="array" ref="N25">'Revenue forecast'!N35*(1-Assumptions!$C$31*Assumptions!$C$33)*Assumptions!$C$34*(0.9+0.1*(Assumptions!$C$31+INDEX(Assumptions!$C$32:$F$32,MATCH(YEAR(N$3),Assumptions!$C$1:$F$1,0))))</f>
        <v>50116.5</v>
      </c>
      <c r="O25" s="26">
        <f t="array" ref="O25">'Revenue forecast'!O35*(1-Assumptions!$C$31*Assumptions!$C$33)*Assumptions!$C$34*(0.9+0.1*(Assumptions!$C$31+INDEX(Assumptions!$C$32:$F$32,MATCH(YEAR(O$3),Assumptions!$C$1:$F$1,0))))</f>
        <v>0</v>
      </c>
      <c r="P25" s="26">
        <f t="array" ref="P25">'Revenue forecast'!P35*(1-Assumptions!$C$31*Assumptions!$C$33)*Assumptions!$C$34*(0.9+0.1*(Assumptions!$C$31+INDEX(Assumptions!$C$32:$F$32,MATCH(YEAR(P$3),Assumptions!$C$1:$F$1,0))))</f>
        <v>7159.5</v>
      </c>
      <c r="Q25" s="26">
        <f t="array" ref="Q25">'Revenue forecast'!Q35*(1-Assumptions!$C$31*Assumptions!$C$33)*Assumptions!$C$34*(0.9+0.1*(Assumptions!$C$31+INDEX(Assumptions!$C$32:$F$32,MATCH(YEAR(Q$3),Assumptions!$C$1:$F$1,0))))</f>
        <v>50116.5</v>
      </c>
      <c r="R25" s="26">
        <f t="array" ref="R25">'Revenue forecast'!R35*(1-Assumptions!$C$31*Assumptions!$C$33)*Assumptions!$C$34*(0.9+0.1*(Assumptions!$C$31+INDEX(Assumptions!$C$32:$F$32,MATCH(YEAR(R$3),Assumptions!$C$1:$F$1,0))))</f>
        <v>84915.74</v>
      </c>
      <c r="S25" s="26">
        <f t="array" ref="S25">'Revenue forecast'!S35*(1-Assumptions!$C$31*Assumptions!$C$33)*Assumptions!$C$34*(0.9+0.1*(Assumptions!$C$31+INDEX(Assumptions!$C$32:$F$32,MATCH(YEAR(S$3),Assumptions!$C$1:$F$1,0))))</f>
        <v>12561.5</v>
      </c>
      <c r="T25" s="26">
        <f t="array" ref="T25">'Revenue forecast'!T35*(1-Assumptions!$C$31*Assumptions!$C$33)*Assumptions!$C$34*(0.9+0.1*(Assumptions!$C$31+INDEX(Assumptions!$C$32:$F$32,MATCH(YEAR(T$3),Assumptions!$C$1:$F$1,0))))</f>
        <v>12561.5</v>
      </c>
      <c r="U25" s="26">
        <f t="array" ref="U25">'Revenue forecast'!U35*(1-Assumptions!$C$31*Assumptions!$C$33)*Assumptions!$C$34*(0.9+0.1*(Assumptions!$C$31+INDEX(Assumptions!$C$32:$F$32,MATCH(YEAR(U$3),Assumptions!$C$1:$F$1,0))))</f>
        <v>12561.5</v>
      </c>
      <c r="V25" s="26">
        <f t="array" ref="V25">'Revenue forecast'!V35*(1-Assumptions!$C$31*Assumptions!$C$33)*Assumptions!$C$34*(0.9+0.1*(Assumptions!$C$31+INDEX(Assumptions!$C$32:$F$32,MATCH(YEAR(V$3),Assumptions!$C$1:$F$1,0))))</f>
        <v>84915.74</v>
      </c>
      <c r="W25" s="26">
        <f t="array" ref="W25">'Revenue forecast'!W35*(1-Assumptions!$C$31*Assumptions!$C$33)*Assumptions!$C$34*(0.9+0.1*(Assumptions!$C$31+INDEX(Assumptions!$C$32:$F$32,MATCH(YEAR(W$3),Assumptions!$C$1:$F$1,0))))</f>
        <v>12561.5</v>
      </c>
      <c r="X25" s="26">
        <f t="array" ref="X25">'Revenue forecast'!X35*(1-Assumptions!$C$31*Assumptions!$C$33)*Assumptions!$C$34*(0.9+0.1*(Assumptions!$C$31+INDEX(Assumptions!$C$32:$F$32,MATCH(YEAR(X$3),Assumptions!$C$1:$F$1,0))))</f>
        <v>12561.5</v>
      </c>
      <c r="Y25" s="26">
        <f t="array" ref="Y25">'Revenue forecast'!Y35*(1-Assumptions!$C$31*Assumptions!$C$33)*Assumptions!$C$34*(0.9+0.1*(Assumptions!$C$31+INDEX(Assumptions!$C$32:$F$32,MATCH(YEAR(Y$3),Assumptions!$C$1:$F$1,0))))</f>
        <v>84915.74</v>
      </c>
      <c r="Z25" s="26">
        <f t="array" ref="Z25">'Revenue forecast'!Z35*(1-Assumptions!$C$31*Assumptions!$C$33)*Assumptions!$C$34*(0.9+0.1*(Assumptions!$C$31+INDEX(Assumptions!$C$32:$F$32,MATCH(YEAR(Z$3),Assumptions!$C$1:$F$1,0))))</f>
        <v>12561.5</v>
      </c>
      <c r="AA25" s="26">
        <f t="array" ref="AA25">'Revenue forecast'!AA35*(1-Assumptions!$C$31*Assumptions!$C$33)*Assumptions!$C$34*(0.9+0.1*(Assumptions!$C$31+INDEX(Assumptions!$C$32:$F$32,MATCH(YEAR(AA$3),Assumptions!$C$1:$F$1,0))))</f>
        <v>84915.74</v>
      </c>
      <c r="AB25" s="26">
        <f t="array" ref="AB25">'Revenue forecast'!AB35*(1-Assumptions!$C$31*Assumptions!$C$33)*Assumptions!$C$34*(0.9+0.1*(Assumptions!$C$31+INDEX(Assumptions!$C$32:$F$32,MATCH(YEAR(AB$3),Assumptions!$C$1:$F$1,0))))</f>
        <v>84915.74</v>
      </c>
      <c r="AC25" s="26">
        <f t="array" ref="AC25">'Revenue forecast'!AC35*(1-Assumptions!$C$31*Assumptions!$C$33)*Assumptions!$C$34*(0.9+0.1*(Assumptions!$C$31+INDEX(Assumptions!$C$32:$F$32,MATCH(YEAR(AC$3),Assumptions!$C$1:$F$1,0))))</f>
        <v>12561.5</v>
      </c>
      <c r="AD25" s="26">
        <f t="array" ref="AD25">'Revenue forecast'!AD35*(1-Assumptions!$C$31*Assumptions!$C$33)*Assumptions!$C$34*(0.9+0.1*(Assumptions!$C$31+INDEX(Assumptions!$C$32:$F$32,MATCH(YEAR(AD$3),Assumptions!$C$1:$F$1,0))))</f>
        <v>128894.976</v>
      </c>
      <c r="AE25" s="26">
        <f t="array" ref="AE25">'Revenue forecast'!AE35*(1-Assumptions!$C$31*Assumptions!$C$33)*Assumptions!$C$34*(0.9+0.1*(Assumptions!$C$31+INDEX(Assumptions!$C$32:$F$32,MATCH(YEAR(AE$3),Assumptions!$C$1:$F$1,0))))</f>
        <v>128894.976</v>
      </c>
      <c r="AF25" s="26">
        <f t="array" ref="AF25">'Revenue forecast'!AF35*(1-Assumptions!$C$31*Assumptions!$C$33)*Assumptions!$C$34*(0.9+0.1*(Assumptions!$C$31+INDEX(Assumptions!$C$32:$F$32,MATCH(YEAR(AF$3),Assumptions!$C$1:$F$1,0))))</f>
        <v>20139.84</v>
      </c>
      <c r="AG25" s="26">
        <f t="array" ref="AG25">'Revenue forecast'!AG35*(1-Assumptions!$C$31*Assumptions!$C$33)*Assumptions!$C$34*(0.9+0.1*(Assumptions!$C$31+INDEX(Assumptions!$C$32:$F$32,MATCH(YEAR(AG$3),Assumptions!$C$1:$F$1,0))))</f>
        <v>128894.976</v>
      </c>
      <c r="AH25" s="26">
        <f t="array" ref="AH25">'Revenue forecast'!AH35*(1-Assumptions!$C$31*Assumptions!$C$33)*Assumptions!$C$34*(0.9+0.1*(Assumptions!$C$31+INDEX(Assumptions!$C$32:$F$32,MATCH(YEAR(AH$3),Assumptions!$C$1:$F$1,0))))</f>
        <v>128894.976</v>
      </c>
      <c r="AI25" s="26">
        <f t="array" ref="AI25">'Revenue forecast'!AI35*(1-Assumptions!$C$31*Assumptions!$C$33)*Assumptions!$C$34*(0.9+0.1*(Assumptions!$C$31+INDEX(Assumptions!$C$32:$F$32,MATCH(YEAR(AI$3),Assumptions!$C$1:$F$1,0))))</f>
        <v>20139.84</v>
      </c>
      <c r="AJ25" s="26">
        <f t="array" ref="AJ25">'Revenue forecast'!AJ35*(1-Assumptions!$C$31*Assumptions!$C$33)*Assumptions!$C$34*(0.9+0.1*(Assumptions!$C$31+INDEX(Assumptions!$C$32:$F$32,MATCH(YEAR(AJ$3),Assumptions!$C$1:$F$1,0))))</f>
        <v>149034.816</v>
      </c>
      <c r="AK25" s="26">
        <f t="array" ref="AK25">'Revenue forecast'!AK35*(1-Assumptions!$C$31*Assumptions!$C$33)*Assumptions!$C$34*(0.9+0.1*(Assumptions!$C$31+INDEX(Assumptions!$C$32:$F$32,MATCH(YEAR(AK$3),Assumptions!$C$1:$F$1,0))))</f>
        <v>128894.976</v>
      </c>
      <c r="AL25" s="26">
        <f t="array" ref="AL25">'Revenue forecast'!AL35*(1-Assumptions!$C$31*Assumptions!$C$33)*Assumptions!$C$34*(0.9+0.1*(Assumptions!$C$31+INDEX(Assumptions!$C$32:$F$32,MATCH(YEAR(AL$3),Assumptions!$C$1:$F$1,0))))</f>
        <v>20139.84</v>
      </c>
      <c r="AM25" s="26">
        <f t="array" ref="AM25">'Revenue forecast'!AM35*(1-Assumptions!$C$31*Assumptions!$C$33)*Assumptions!$C$34*(0.9+0.1*(Assumptions!$C$31+INDEX(Assumptions!$C$32:$F$32,MATCH(YEAR(AM$3),Assumptions!$C$1:$F$1,0))))</f>
        <v>149034.816</v>
      </c>
      <c r="AN25" s="26">
        <f t="array" ref="AN25">'Revenue forecast'!AN35*(1-Assumptions!$C$31*Assumptions!$C$33)*Assumptions!$C$34*(0.9+0.1*(Assumptions!$C$31+INDEX(Assumptions!$C$32:$F$32,MATCH(YEAR(AN$3),Assumptions!$C$1:$F$1,0))))</f>
        <v>128894.976</v>
      </c>
      <c r="AO25" s="26">
        <f t="array" ref="AO25">'Revenue forecast'!AO35*(1-Assumptions!$C$31*Assumptions!$C$33)*Assumptions!$C$34*(0.9+0.1*(Assumptions!$C$31+INDEX(Assumptions!$C$32:$F$32,MATCH(YEAR(AO$3),Assumptions!$C$1:$F$1,0))))</f>
        <v>20139.84</v>
      </c>
      <c r="AP25" s="26">
        <f t="array" ref="AP25">'Revenue forecast'!AP35*(1-Assumptions!$C$31*Assumptions!$C$33)*Assumptions!$C$34*(0.9+0.1*(Assumptions!$C$31+INDEX(Assumptions!$C$32:$F$32,MATCH(YEAR(AP$3),Assumptions!$C$1:$F$1,0))))</f>
        <v>371912.16</v>
      </c>
      <c r="AQ25" s="26">
        <f t="array" ref="AQ25">'Revenue forecast'!AQ35*(1-Assumptions!$C$31*Assumptions!$C$33)*Assumptions!$C$34*(0.9+0.1*(Assumptions!$C$31+INDEX(Assumptions!$C$32:$F$32,MATCH(YEAR(AQ$3),Assumptions!$C$1:$F$1,0))))</f>
        <v>185956.08</v>
      </c>
      <c r="AR25" s="26">
        <f t="array" ref="AR25">'Revenue forecast'!AR35*(1-Assumptions!$C$31*Assumptions!$C$33)*Assumptions!$C$34*(0.9+0.1*(Assumptions!$C$31+INDEX(Assumptions!$C$32:$F$32,MATCH(YEAR(AR$3),Assumptions!$C$1:$F$1,0))))</f>
        <v>69192.96</v>
      </c>
      <c r="AS25" s="26">
        <f t="array" ref="AS25">'Revenue forecast'!AS35*(1-Assumptions!$C$31*Assumptions!$C$33)*Assumptions!$C$34*(0.9+0.1*(Assumptions!$C$31+INDEX(Assumptions!$C$32:$F$32,MATCH(YEAR(AS$3),Assumptions!$C$1:$F$1,0))))</f>
        <v>185956.08</v>
      </c>
      <c r="AT25" s="26">
        <f t="array" ref="AT25">'Revenue forecast'!AT35*(1-Assumptions!$C$31*Assumptions!$C$33)*Assumptions!$C$34*(0.9+0.1*(Assumptions!$C$31+INDEX(Assumptions!$C$32:$F$32,MATCH(YEAR(AT$3),Assumptions!$C$1:$F$1,0))))</f>
        <v>34596.48</v>
      </c>
      <c r="AU25" s="26">
        <f t="array" ref="AU25">'Revenue forecast'!AU35*(1-Assumptions!$C$31*Assumptions!$C$33)*Assumptions!$C$34*(0.9+0.1*(Assumptions!$C$31+INDEX(Assumptions!$C$32:$F$32,MATCH(YEAR(AU$3),Assumptions!$C$1:$F$1,0))))</f>
        <v>185956.08</v>
      </c>
      <c r="AV25" s="26">
        <f t="array" ref="AV25">'Revenue forecast'!AV35*(1-Assumptions!$C$31*Assumptions!$C$33)*Assumptions!$C$34*(0.9+0.1*(Assumptions!$C$31+INDEX(Assumptions!$C$32:$F$32,MATCH(YEAR(AV$3),Assumptions!$C$1:$F$1,0))))</f>
        <v>220552.56</v>
      </c>
      <c r="AW25" s="26">
        <f t="array" ref="AW25">'Revenue forecast'!AW35*(1-Assumptions!$C$31*Assumptions!$C$33)*Assumptions!$C$34*(0.9+0.1*(Assumptions!$C$31+INDEX(Assumptions!$C$32:$F$32,MATCH(YEAR(AW$3),Assumptions!$C$1:$F$1,0))))</f>
        <v>337315.68</v>
      </c>
      <c r="AX25" s="26">
        <f t="array" ref="AX25">'Revenue forecast'!AX35*(1-Assumptions!$C$31*Assumptions!$C$33)*Assumptions!$C$34*(0.9+0.1*(Assumptions!$C$31+INDEX(Assumptions!$C$32:$F$32,MATCH(YEAR(AX$3),Assumptions!$C$1:$F$1,0))))</f>
        <v>34596.48</v>
      </c>
      <c r="AY25" s="26">
        <f t="array" ref="AY25">'Revenue forecast'!AY35*(1-Assumptions!$C$31*Assumptions!$C$33)*Assumptions!$C$34*(0.9+0.1*(Assumptions!$C$31+INDEX(Assumptions!$C$32:$F$32,MATCH(YEAR(AY$3),Assumptions!$C$1:$F$1,0))))</f>
        <v>337315.68</v>
      </c>
      <c r="AZ25" s="26">
        <f t="array" ref="AZ25">'Revenue forecast'!AZ35*(1-Assumptions!$C$31*Assumptions!$C$33)*Assumptions!$C$34*(0.9+0.1*(Assumptions!$C$31+INDEX(Assumptions!$C$32:$F$32,MATCH(YEAR(AZ$3),Assumptions!$C$1:$F$1,0))))</f>
        <v>220552.56</v>
      </c>
      <c r="BA25" s="26">
        <f t="array" ref="BA25">'Revenue forecast'!BA35*(1-Assumptions!$C$31*Assumptions!$C$33)*Assumptions!$C$34*(0.9+0.1*(Assumptions!$C$31+INDEX(Assumptions!$C$32:$F$32,MATCH(YEAR(BA$3),Assumptions!$C$1:$F$1,0))))</f>
        <v>337315.68</v>
      </c>
      <c r="BB25" s="26"/>
      <c r="BC25" s="26">
        <f t="shared" ref="BC25:BF25" si="13">SUMPRODUCT((YEAR($F$3:$BA$3)=BC$3)*$F25:$BA25)</f>
        <v>164668.5</v>
      </c>
      <c r="BD25" s="26">
        <f t="shared" si="13"/>
        <v>512509.2</v>
      </c>
      <c r="BE25" s="26">
        <f t="shared" si="13"/>
        <v>1151998.848</v>
      </c>
      <c r="BF25" s="26">
        <f t="shared" si="13"/>
        <v>2521218.48</v>
      </c>
    </row>
    <row r="26">
      <c r="A26" s="1"/>
      <c r="B26" s="3" t="s">
        <v>139</v>
      </c>
      <c r="C26" s="1"/>
      <c r="D26" s="1"/>
      <c r="E26" s="3" t="s">
        <v>33</v>
      </c>
      <c r="F26" s="9">
        <v>0.0</v>
      </c>
      <c r="G26" s="9">
        <v>0.0</v>
      </c>
      <c r="H26" s="9">
        <v>0.0</v>
      </c>
      <c r="I26" s="9">
        <v>0.0</v>
      </c>
      <c r="J26" s="9">
        <v>0.0</v>
      </c>
      <c r="K26" s="9">
        <v>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9">
        <v>0.0</v>
      </c>
      <c r="R26" s="9">
        <v>0.0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A26" s="9">
        <v>0.0</v>
      </c>
      <c r="AB26" s="9">
        <v>0.0</v>
      </c>
      <c r="AC26" s="9">
        <v>0.0</v>
      </c>
      <c r="AD26" s="9">
        <v>0.0</v>
      </c>
      <c r="AE26" s="9">
        <v>0.0</v>
      </c>
      <c r="AF26" s="9">
        <v>0.0</v>
      </c>
      <c r="AG26" s="9">
        <v>0.0</v>
      </c>
      <c r="AH26" s="9">
        <v>0.0</v>
      </c>
      <c r="AI26" s="9">
        <v>0.0</v>
      </c>
      <c r="AJ26" s="9">
        <v>0.0</v>
      </c>
      <c r="AK26" s="9">
        <v>0.0</v>
      </c>
      <c r="AL26" s="9">
        <v>0.0</v>
      </c>
      <c r="AM26" s="9">
        <v>0.0</v>
      </c>
      <c r="AN26" s="9">
        <v>0.0</v>
      </c>
      <c r="AO26" s="9">
        <v>0.0</v>
      </c>
      <c r="AP26" s="9">
        <v>0.0</v>
      </c>
      <c r="AQ26" s="9">
        <v>0.0</v>
      </c>
      <c r="AR26" s="9">
        <v>0.0</v>
      </c>
      <c r="AS26" s="9">
        <v>0.0</v>
      </c>
      <c r="AT26" s="9">
        <v>0.0</v>
      </c>
      <c r="AU26" s="9">
        <v>0.0</v>
      </c>
      <c r="AV26" s="9">
        <v>0.0</v>
      </c>
      <c r="AW26" s="9">
        <v>0.0</v>
      </c>
      <c r="AX26" s="9">
        <v>0.0</v>
      </c>
      <c r="AY26" s="9">
        <v>0.0</v>
      </c>
      <c r="AZ26" s="9">
        <v>0.0</v>
      </c>
      <c r="BA26" s="9">
        <v>0.0</v>
      </c>
      <c r="BB26" s="26"/>
      <c r="BC26" s="26">
        <f t="shared" ref="BC26:BF26" si="14">SUMPRODUCT((YEAR($F$3:$BA$3)=BC$3)*$F26:$BA26)</f>
        <v>0</v>
      </c>
      <c r="BD26" s="26">
        <f t="shared" si="14"/>
        <v>0</v>
      </c>
      <c r="BE26" s="26">
        <f t="shared" si="14"/>
        <v>0</v>
      </c>
      <c r="BF26" s="26">
        <f t="shared" si="14"/>
        <v>0</v>
      </c>
    </row>
    <row r="27">
      <c r="A27" s="1"/>
      <c r="B27" s="3" t="s">
        <v>140</v>
      </c>
      <c r="C27" s="1"/>
      <c r="D27" s="1"/>
      <c r="E27" s="3" t="s">
        <v>33</v>
      </c>
      <c r="F27" s="9">
        <v>267.0</v>
      </c>
      <c r="G27" s="9">
        <v>267.0</v>
      </c>
      <c r="H27" s="9">
        <v>267.0</v>
      </c>
      <c r="I27" s="9">
        <v>267.0</v>
      </c>
      <c r="J27" s="9">
        <v>267.0</v>
      </c>
      <c r="K27" s="9">
        <v>267.0</v>
      </c>
      <c r="L27" s="9">
        <v>267.0</v>
      </c>
      <c r="M27" s="9">
        <v>267.0</v>
      </c>
      <c r="N27" s="9">
        <v>267.0</v>
      </c>
      <c r="O27" s="9">
        <v>267.0</v>
      </c>
      <c r="P27" s="9">
        <v>267.0</v>
      </c>
      <c r="Q27" s="9">
        <v>267.0</v>
      </c>
      <c r="R27" s="9">
        <v>267.0</v>
      </c>
      <c r="S27" s="9">
        <v>267.0</v>
      </c>
      <c r="T27" s="9">
        <v>267.0</v>
      </c>
      <c r="U27" s="9">
        <v>267.0</v>
      </c>
      <c r="V27" s="9">
        <v>267.0</v>
      </c>
      <c r="W27" s="9">
        <v>267.0</v>
      </c>
      <c r="X27" s="9">
        <v>267.0</v>
      </c>
      <c r="Y27" s="9">
        <v>267.0</v>
      </c>
      <c r="Z27" s="9">
        <v>267.0</v>
      </c>
      <c r="AA27" s="9">
        <v>267.0</v>
      </c>
      <c r="AB27" s="9">
        <v>267.0</v>
      </c>
      <c r="AC27" s="9">
        <v>267.0</v>
      </c>
      <c r="AD27" s="9">
        <v>267.0</v>
      </c>
      <c r="AE27" s="9">
        <v>267.0</v>
      </c>
      <c r="AF27" s="9">
        <v>267.0</v>
      </c>
      <c r="AG27" s="9">
        <v>267.0</v>
      </c>
      <c r="AH27" s="9">
        <v>267.0</v>
      </c>
      <c r="AI27" s="9">
        <v>267.0</v>
      </c>
      <c r="AJ27" s="9">
        <v>267.0</v>
      </c>
      <c r="AK27" s="9">
        <v>267.0</v>
      </c>
      <c r="AL27" s="9">
        <v>267.0</v>
      </c>
      <c r="AM27" s="9">
        <v>267.0</v>
      </c>
      <c r="AN27" s="9">
        <v>267.0</v>
      </c>
      <c r="AO27" s="9">
        <v>267.0</v>
      </c>
      <c r="AP27" s="9">
        <v>267.0</v>
      </c>
      <c r="AQ27" s="9">
        <v>267.0</v>
      </c>
      <c r="AR27" s="9">
        <v>267.0</v>
      </c>
      <c r="AS27" s="9">
        <v>267.0</v>
      </c>
      <c r="AT27" s="9">
        <v>267.0</v>
      </c>
      <c r="AU27" s="9">
        <v>267.0</v>
      </c>
      <c r="AV27" s="9">
        <v>267.0</v>
      </c>
      <c r="AW27" s="9">
        <v>267.0</v>
      </c>
      <c r="AX27" s="9">
        <v>267.0</v>
      </c>
      <c r="AY27" s="9">
        <v>267.0</v>
      </c>
      <c r="AZ27" s="9">
        <v>267.0</v>
      </c>
      <c r="BA27" s="9">
        <v>267.0</v>
      </c>
      <c r="BB27" s="26"/>
      <c r="BC27" s="26">
        <f t="shared" ref="BC27:BF27" si="15">SUMPRODUCT((YEAR($F$3:$BA$3)=BC$3)*$F27:$BA27)</f>
        <v>3204</v>
      </c>
      <c r="BD27" s="26">
        <f t="shared" si="15"/>
        <v>3204</v>
      </c>
      <c r="BE27" s="26">
        <f t="shared" si="15"/>
        <v>3204</v>
      </c>
      <c r="BF27" s="26">
        <f t="shared" si="15"/>
        <v>3204</v>
      </c>
    </row>
    <row r="28">
      <c r="A28" s="1"/>
      <c r="B28" s="48" t="s">
        <v>141</v>
      </c>
      <c r="C28" s="49"/>
      <c r="D28" s="49"/>
      <c r="E28" s="48" t="s">
        <v>33</v>
      </c>
      <c r="F28" s="50">
        <f t="shared" ref="F28:BA28" si="16">SUM(F21:F27)</f>
        <v>51749</v>
      </c>
      <c r="G28" s="50">
        <f t="shared" si="16"/>
        <v>87546.5</v>
      </c>
      <c r="H28" s="50">
        <f t="shared" si="16"/>
        <v>51749</v>
      </c>
      <c r="I28" s="50">
        <f t="shared" si="16"/>
        <v>51749</v>
      </c>
      <c r="J28" s="50">
        <f t="shared" si="16"/>
        <v>51749</v>
      </c>
      <c r="K28" s="50">
        <f t="shared" si="16"/>
        <v>62764.1</v>
      </c>
      <c r="L28" s="50">
        <f t="shared" si="16"/>
        <v>62764.1</v>
      </c>
      <c r="M28" s="50">
        <f t="shared" si="16"/>
        <v>62764.1</v>
      </c>
      <c r="N28" s="50">
        <f t="shared" si="16"/>
        <v>105721.1</v>
      </c>
      <c r="O28" s="50">
        <f t="shared" si="16"/>
        <v>55604.6</v>
      </c>
      <c r="P28" s="50">
        <f t="shared" si="16"/>
        <v>62764.1</v>
      </c>
      <c r="Q28" s="50">
        <f t="shared" si="16"/>
        <v>105721.1</v>
      </c>
      <c r="R28" s="50">
        <f t="shared" si="16"/>
        <v>148667.28</v>
      </c>
      <c r="S28" s="50">
        <f t="shared" si="16"/>
        <v>76313.04</v>
      </c>
      <c r="T28" s="50">
        <f t="shared" si="16"/>
        <v>76313.04</v>
      </c>
      <c r="U28" s="50">
        <f t="shared" si="16"/>
        <v>76313.04</v>
      </c>
      <c r="V28" s="50">
        <f t="shared" si="16"/>
        <v>148667.28</v>
      </c>
      <c r="W28" s="50">
        <f t="shared" si="16"/>
        <v>76313.04</v>
      </c>
      <c r="X28" s="50">
        <f t="shared" si="16"/>
        <v>86594.64</v>
      </c>
      <c r="Y28" s="50">
        <f t="shared" si="16"/>
        <v>158948.88</v>
      </c>
      <c r="Z28" s="50">
        <f t="shared" si="16"/>
        <v>86594.64</v>
      </c>
      <c r="AA28" s="50">
        <f t="shared" si="16"/>
        <v>158948.88</v>
      </c>
      <c r="AB28" s="50">
        <f t="shared" si="16"/>
        <v>158948.88</v>
      </c>
      <c r="AC28" s="50">
        <f t="shared" si="16"/>
        <v>86594.64</v>
      </c>
      <c r="AD28" s="50">
        <f t="shared" si="16"/>
        <v>227782.656</v>
      </c>
      <c r="AE28" s="50">
        <f t="shared" si="16"/>
        <v>227782.656</v>
      </c>
      <c r="AF28" s="50">
        <f t="shared" si="16"/>
        <v>119027.52</v>
      </c>
      <c r="AG28" s="50">
        <f t="shared" si="16"/>
        <v>227782.656</v>
      </c>
      <c r="AH28" s="50">
        <f t="shared" si="16"/>
        <v>227782.656</v>
      </c>
      <c r="AI28" s="50">
        <f t="shared" si="16"/>
        <v>123525.72</v>
      </c>
      <c r="AJ28" s="50">
        <f t="shared" si="16"/>
        <v>252420.696</v>
      </c>
      <c r="AK28" s="50">
        <f t="shared" si="16"/>
        <v>232280.856</v>
      </c>
      <c r="AL28" s="50">
        <f t="shared" si="16"/>
        <v>123525.72</v>
      </c>
      <c r="AM28" s="50">
        <f t="shared" si="16"/>
        <v>252420.696</v>
      </c>
      <c r="AN28" s="50">
        <f t="shared" si="16"/>
        <v>232280.856</v>
      </c>
      <c r="AO28" s="50">
        <f t="shared" si="16"/>
        <v>123525.72</v>
      </c>
      <c r="AP28" s="50">
        <f t="shared" si="16"/>
        <v>485694.08</v>
      </c>
      <c r="AQ28" s="50">
        <f t="shared" si="16"/>
        <v>299738</v>
      </c>
      <c r="AR28" s="50">
        <f t="shared" si="16"/>
        <v>182974.88</v>
      </c>
      <c r="AS28" s="50">
        <f t="shared" si="16"/>
        <v>299738</v>
      </c>
      <c r="AT28" s="50">
        <f t="shared" si="16"/>
        <v>155125.7</v>
      </c>
      <c r="AU28" s="50">
        <f t="shared" si="16"/>
        <v>306485.3</v>
      </c>
      <c r="AV28" s="50">
        <f t="shared" si="16"/>
        <v>341081.78</v>
      </c>
      <c r="AW28" s="50">
        <f t="shared" si="16"/>
        <v>457844.9</v>
      </c>
      <c r="AX28" s="50">
        <f t="shared" si="16"/>
        <v>159945.2</v>
      </c>
      <c r="AY28" s="50">
        <f t="shared" si="16"/>
        <v>462664.4</v>
      </c>
      <c r="AZ28" s="50">
        <f t="shared" si="16"/>
        <v>345901.28</v>
      </c>
      <c r="BA28" s="50">
        <f t="shared" si="16"/>
        <v>462664.4</v>
      </c>
      <c r="BB28" s="50"/>
      <c r="BC28" s="50">
        <f t="shared" ref="BC28:BF28" si="17">SUMPRODUCT((YEAR($F$3:$BA$3)=BC$3)*$F28:$BA28)</f>
        <v>812645.7</v>
      </c>
      <c r="BD28" s="50">
        <f t="shared" si="17"/>
        <v>1339217.28</v>
      </c>
      <c r="BE28" s="50">
        <f t="shared" si="17"/>
        <v>2370138.408</v>
      </c>
      <c r="BF28" s="50">
        <f t="shared" si="17"/>
        <v>3959857.92</v>
      </c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142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92</v>
      </c>
      <c r="F3" s="47">
        <v>46388.0</v>
      </c>
      <c r="G3" s="47">
        <v>46419.0</v>
      </c>
      <c r="H3" s="47">
        <v>46447.0</v>
      </c>
      <c r="I3" s="47">
        <v>46478.0</v>
      </c>
      <c r="J3" s="47">
        <v>46508.0</v>
      </c>
      <c r="K3" s="47">
        <v>46539.0</v>
      </c>
      <c r="L3" s="47">
        <v>46569.0</v>
      </c>
      <c r="M3" s="47">
        <v>46600.0</v>
      </c>
      <c r="N3" s="47">
        <v>46631.0</v>
      </c>
      <c r="O3" s="47">
        <v>46661.0</v>
      </c>
      <c r="P3" s="47">
        <v>46692.0</v>
      </c>
      <c r="Q3" s="47">
        <v>46722.0</v>
      </c>
      <c r="R3" s="47">
        <v>46753.0</v>
      </c>
      <c r="S3" s="47">
        <v>46784.0</v>
      </c>
      <c r="T3" s="47">
        <v>46813.0</v>
      </c>
      <c r="U3" s="47">
        <v>46844.0</v>
      </c>
      <c r="V3" s="47">
        <v>46874.0</v>
      </c>
      <c r="W3" s="47">
        <v>46905.0</v>
      </c>
      <c r="X3" s="47">
        <v>46935.0</v>
      </c>
      <c r="Y3" s="47">
        <v>46966.0</v>
      </c>
      <c r="Z3" s="47">
        <v>46997.0</v>
      </c>
      <c r="AA3" s="47">
        <v>47027.0</v>
      </c>
      <c r="AB3" s="47">
        <v>47058.0</v>
      </c>
      <c r="AC3" s="47">
        <v>47088.0</v>
      </c>
      <c r="AD3" s="47">
        <v>47119.0</v>
      </c>
      <c r="AE3" s="47">
        <v>47150.0</v>
      </c>
      <c r="AF3" s="47">
        <v>47178.0</v>
      </c>
      <c r="AG3" s="47">
        <v>47209.0</v>
      </c>
      <c r="AH3" s="47">
        <v>47239.0</v>
      </c>
      <c r="AI3" s="47">
        <v>47270.0</v>
      </c>
      <c r="AJ3" s="47">
        <v>47300.0</v>
      </c>
      <c r="AK3" s="47">
        <v>47331.0</v>
      </c>
      <c r="AL3" s="47">
        <v>47362.0</v>
      </c>
      <c r="AM3" s="47">
        <v>47392.0</v>
      </c>
      <c r="AN3" s="47">
        <v>47423.0</v>
      </c>
      <c r="AO3" s="47">
        <v>47453.0</v>
      </c>
      <c r="AP3" s="47">
        <v>47484.0</v>
      </c>
      <c r="AQ3" s="47">
        <v>47515.0</v>
      </c>
      <c r="AR3" s="47">
        <v>47543.0</v>
      </c>
      <c r="AS3" s="47">
        <v>47574.0</v>
      </c>
      <c r="AT3" s="47">
        <v>47604.0</v>
      </c>
      <c r="AU3" s="47">
        <v>47635.0</v>
      </c>
      <c r="AV3" s="47">
        <v>47665.0</v>
      </c>
      <c r="AW3" s="47">
        <v>47696.0</v>
      </c>
      <c r="AX3" s="47">
        <v>47727.0</v>
      </c>
      <c r="AY3" s="47">
        <v>47757.0</v>
      </c>
      <c r="AZ3" s="47">
        <v>47788.0</v>
      </c>
      <c r="BA3" s="47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143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144</v>
      </c>
      <c r="C7" s="1"/>
      <c r="D7" s="1"/>
      <c r="E7" s="3" t="s">
        <v>33</v>
      </c>
      <c r="F7" s="26">
        <f>Personnel!F17*Assumptions!$C$56*IF(ISNUMBER(SEARCH("yr",Assumptions!$G$56)),1/12,1)</f>
        <v>5400</v>
      </c>
      <c r="G7" s="26">
        <f>Personnel!G17*Assumptions!$C$56*IF(ISNUMBER(SEARCH("yr",Assumptions!$G$56)),1/12,1)</f>
        <v>5400</v>
      </c>
      <c r="H7" s="26">
        <f>Personnel!H17*Assumptions!$C$56*IF(ISNUMBER(SEARCH("yr",Assumptions!$G$56)),1/12,1)</f>
        <v>5400</v>
      </c>
      <c r="I7" s="26">
        <f>Personnel!I17*Assumptions!$C$56*IF(ISNUMBER(SEARCH("yr",Assumptions!$G$56)),1/12,1)</f>
        <v>5400</v>
      </c>
      <c r="J7" s="26">
        <f>Personnel!J17*Assumptions!$C$56*IF(ISNUMBER(SEARCH("yr",Assumptions!$G$56)),1/12,1)</f>
        <v>5400</v>
      </c>
      <c r="K7" s="26">
        <f>Personnel!K17*Assumptions!$C$56*IF(ISNUMBER(SEARCH("yr",Assumptions!$G$56)),1/12,1)</f>
        <v>6000</v>
      </c>
      <c r="L7" s="26">
        <f>Personnel!L17*Assumptions!$C$56*IF(ISNUMBER(SEARCH("yr",Assumptions!$G$56)),1/12,1)</f>
        <v>6000</v>
      </c>
      <c r="M7" s="26">
        <f>Personnel!M17*Assumptions!$C$56*IF(ISNUMBER(SEARCH("yr",Assumptions!$G$56)),1/12,1)</f>
        <v>6000</v>
      </c>
      <c r="N7" s="26">
        <f>Personnel!N17*Assumptions!$C$56*IF(ISNUMBER(SEARCH("yr",Assumptions!$G$56)),1/12,1)</f>
        <v>6000</v>
      </c>
      <c r="O7" s="26">
        <f>Personnel!O17*Assumptions!$C$56*IF(ISNUMBER(SEARCH("yr",Assumptions!$G$56)),1/12,1)</f>
        <v>6000</v>
      </c>
      <c r="P7" s="26">
        <f>Personnel!P17*Assumptions!$C$56*IF(ISNUMBER(SEARCH("yr",Assumptions!$G$56)),1/12,1)</f>
        <v>6000</v>
      </c>
      <c r="Q7" s="26">
        <f>Personnel!Q17*Assumptions!$C$56*IF(ISNUMBER(SEARCH("yr",Assumptions!$G$56)),1/12,1)</f>
        <v>6000</v>
      </c>
      <c r="R7" s="26">
        <f>Personnel!R17*Assumptions!$C$56*IF(ISNUMBER(SEARCH("yr",Assumptions!$G$56)),1/12,1)</f>
        <v>6000</v>
      </c>
      <c r="S7" s="26">
        <f>Personnel!S17*Assumptions!$C$56*IF(ISNUMBER(SEARCH("yr",Assumptions!$G$56)),1/12,1)</f>
        <v>6000</v>
      </c>
      <c r="T7" s="26">
        <f>Personnel!T17*Assumptions!$C$56*IF(ISNUMBER(SEARCH("yr",Assumptions!$G$56)),1/12,1)</f>
        <v>6000</v>
      </c>
      <c r="U7" s="26">
        <f>Personnel!U17*Assumptions!$C$56*IF(ISNUMBER(SEARCH("yr",Assumptions!$G$56)),1/12,1)</f>
        <v>6000</v>
      </c>
      <c r="V7" s="26">
        <f>Personnel!V17*Assumptions!$C$56*IF(ISNUMBER(SEARCH("yr",Assumptions!$G$56)),1/12,1)</f>
        <v>6000</v>
      </c>
      <c r="W7" s="26">
        <f>Personnel!W17*Assumptions!$C$56*IF(ISNUMBER(SEARCH("yr",Assumptions!$G$56)),1/12,1)</f>
        <v>6000</v>
      </c>
      <c r="X7" s="26">
        <f>Personnel!X17*Assumptions!$C$56*IF(ISNUMBER(SEARCH("yr",Assumptions!$G$56)),1/12,1)</f>
        <v>7200</v>
      </c>
      <c r="Y7" s="26">
        <f>Personnel!Y17*Assumptions!$C$56*IF(ISNUMBER(SEARCH("yr",Assumptions!$G$56)),1/12,1)</f>
        <v>7200</v>
      </c>
      <c r="Z7" s="26">
        <f>Personnel!Z17*Assumptions!$C$56*IF(ISNUMBER(SEARCH("yr",Assumptions!$G$56)),1/12,1)</f>
        <v>7200</v>
      </c>
      <c r="AA7" s="26">
        <f>Personnel!AA17*Assumptions!$C$56*IF(ISNUMBER(SEARCH("yr",Assumptions!$G$56)),1/12,1)</f>
        <v>7200</v>
      </c>
      <c r="AB7" s="26">
        <f>Personnel!AB17*Assumptions!$C$56*IF(ISNUMBER(SEARCH("yr",Assumptions!$G$56)),1/12,1)</f>
        <v>7200</v>
      </c>
      <c r="AC7" s="26">
        <f>Personnel!AC17*Assumptions!$C$56*IF(ISNUMBER(SEARCH("yr",Assumptions!$G$56)),1/12,1)</f>
        <v>7200</v>
      </c>
      <c r="AD7" s="26">
        <f>Personnel!AD17*Assumptions!$C$56*IF(ISNUMBER(SEARCH("yr",Assumptions!$G$56)),1/12,1)</f>
        <v>8400</v>
      </c>
      <c r="AE7" s="26">
        <f>Personnel!AE17*Assumptions!$C$56*IF(ISNUMBER(SEARCH("yr",Assumptions!$G$56)),1/12,1)</f>
        <v>8400</v>
      </c>
      <c r="AF7" s="26">
        <f>Personnel!AF17*Assumptions!$C$56*IF(ISNUMBER(SEARCH("yr",Assumptions!$G$56)),1/12,1)</f>
        <v>8400</v>
      </c>
      <c r="AG7" s="26">
        <f>Personnel!AG17*Assumptions!$C$56*IF(ISNUMBER(SEARCH("yr",Assumptions!$G$56)),1/12,1)</f>
        <v>8400</v>
      </c>
      <c r="AH7" s="26">
        <f>Personnel!AH17*Assumptions!$C$56*IF(ISNUMBER(SEARCH("yr",Assumptions!$G$56)),1/12,1)</f>
        <v>8400</v>
      </c>
      <c r="AI7" s="26">
        <f>Personnel!AI17*Assumptions!$C$56*IF(ISNUMBER(SEARCH("yr",Assumptions!$G$56)),1/12,1)</f>
        <v>9000</v>
      </c>
      <c r="AJ7" s="26">
        <f>Personnel!AJ17*Assumptions!$C$56*IF(ISNUMBER(SEARCH("yr",Assumptions!$G$56)),1/12,1)</f>
        <v>9000</v>
      </c>
      <c r="AK7" s="26">
        <f>Personnel!AK17*Assumptions!$C$56*IF(ISNUMBER(SEARCH("yr",Assumptions!$G$56)),1/12,1)</f>
        <v>9000</v>
      </c>
      <c r="AL7" s="26">
        <f>Personnel!AL17*Assumptions!$C$56*IF(ISNUMBER(SEARCH("yr",Assumptions!$G$56)),1/12,1)</f>
        <v>9000</v>
      </c>
      <c r="AM7" s="26">
        <f>Personnel!AM17*Assumptions!$C$56*IF(ISNUMBER(SEARCH("yr",Assumptions!$G$56)),1/12,1)</f>
        <v>9000</v>
      </c>
      <c r="AN7" s="26">
        <f>Personnel!AN17*Assumptions!$C$56*IF(ISNUMBER(SEARCH("yr",Assumptions!$G$56)),1/12,1)</f>
        <v>9000</v>
      </c>
      <c r="AO7" s="26">
        <f>Personnel!AO17*Assumptions!$C$56*IF(ISNUMBER(SEARCH("yr",Assumptions!$G$56)),1/12,1)</f>
        <v>9000</v>
      </c>
      <c r="AP7" s="26">
        <f>Personnel!AP17*Assumptions!$C$56*IF(ISNUMBER(SEARCH("yr",Assumptions!$G$56)),1/12,1)</f>
        <v>9000</v>
      </c>
      <c r="AQ7" s="26">
        <f>Personnel!AQ17*Assumptions!$C$56*IF(ISNUMBER(SEARCH("yr",Assumptions!$G$56)),1/12,1)</f>
        <v>9000</v>
      </c>
      <c r="AR7" s="26">
        <f>Personnel!AR17*Assumptions!$C$56*IF(ISNUMBER(SEARCH("yr",Assumptions!$G$56)),1/12,1)</f>
        <v>9000</v>
      </c>
      <c r="AS7" s="26">
        <f>Personnel!AS17*Assumptions!$C$56*IF(ISNUMBER(SEARCH("yr",Assumptions!$G$56)),1/12,1)</f>
        <v>9000</v>
      </c>
      <c r="AT7" s="26">
        <f>Personnel!AT17*Assumptions!$C$56*IF(ISNUMBER(SEARCH("yr",Assumptions!$G$56)),1/12,1)</f>
        <v>9600</v>
      </c>
      <c r="AU7" s="26">
        <f>Personnel!AU17*Assumptions!$C$56*IF(ISNUMBER(SEARCH("yr",Assumptions!$G$56)),1/12,1)</f>
        <v>9600</v>
      </c>
      <c r="AV7" s="26">
        <f>Personnel!AV17*Assumptions!$C$56*IF(ISNUMBER(SEARCH("yr",Assumptions!$G$56)),1/12,1)</f>
        <v>9600</v>
      </c>
      <c r="AW7" s="26">
        <f>Personnel!AW17*Assumptions!$C$56*IF(ISNUMBER(SEARCH("yr",Assumptions!$G$56)),1/12,1)</f>
        <v>9600</v>
      </c>
      <c r="AX7" s="26">
        <f>Personnel!AX17*Assumptions!$C$56*IF(ISNUMBER(SEARCH("yr",Assumptions!$G$56)),1/12,1)</f>
        <v>10200</v>
      </c>
      <c r="AY7" s="26">
        <f>Personnel!AY17*Assumptions!$C$56*IF(ISNUMBER(SEARCH("yr",Assumptions!$G$56)),1/12,1)</f>
        <v>10200</v>
      </c>
      <c r="AZ7" s="26">
        <f>Personnel!AZ17*Assumptions!$C$56*IF(ISNUMBER(SEARCH("yr",Assumptions!$G$56)),1/12,1)</f>
        <v>10200</v>
      </c>
      <c r="BA7" s="26">
        <f>Personnel!BA17*Assumptions!$C$56*IF(ISNUMBER(SEARCH("yr",Assumptions!$G$56)),1/12,1)</f>
        <v>10200</v>
      </c>
      <c r="BB7" s="26"/>
      <c r="BC7" s="26">
        <f t="shared" ref="BC7:BF7" si="1">SUMPRODUCT((YEAR($F$3:$BA$3)=BC$3)*$F7:$BA7)</f>
        <v>69000</v>
      </c>
      <c r="BD7" s="26">
        <f t="shared" si="1"/>
        <v>79200</v>
      </c>
      <c r="BE7" s="26">
        <f t="shared" si="1"/>
        <v>105000</v>
      </c>
      <c r="BF7" s="26">
        <f t="shared" si="1"/>
        <v>115200</v>
      </c>
    </row>
    <row r="8">
      <c r="A8" s="1"/>
      <c r="B8" s="3" t="s">
        <v>145</v>
      </c>
      <c r="C8" s="1"/>
      <c r="D8" s="1"/>
      <c r="E8" s="3" t="s">
        <v>33</v>
      </c>
      <c r="F8" s="26">
        <f>IF(Personnel!F18&gt;=16,Assumptions!$F$58,IF(Personnel!F18&gt;=10,Assumptions!$E$58,IF(Personnel!F18&gt;=7,Assumptions!$D$58,Assumptions!$C$58)))*IF(ISNUMBER(SEARCH("yr",Assumptions!$G$58)),1/12,1)+Personnel!F17*Assumptions!$C$57*IF(ISNUMBER(SEARCH("yr",Assumptions!$G$57)),1/12,1)</f>
        <v>4413.333333</v>
      </c>
      <c r="G8" s="26">
        <f>IF(Personnel!G18&gt;=16,Assumptions!$F$58,IF(Personnel!G18&gt;=10,Assumptions!$E$58,IF(Personnel!G18&gt;=7,Assumptions!$D$58,Assumptions!$C$58)))*IF(ISNUMBER(SEARCH("yr",Assumptions!$G$58)),1/12,1)+Personnel!G17*Assumptions!$C$57*IF(ISNUMBER(SEARCH("yr",Assumptions!$G$57)),1/12,1)</f>
        <v>4413.333333</v>
      </c>
      <c r="H8" s="26">
        <f>IF(Personnel!H18&gt;=16,Assumptions!$F$58,IF(Personnel!H18&gt;=10,Assumptions!$E$58,IF(Personnel!H18&gt;=7,Assumptions!$D$58,Assumptions!$C$58)))*IF(ISNUMBER(SEARCH("yr",Assumptions!$G$58)),1/12,1)+Personnel!H17*Assumptions!$C$57*IF(ISNUMBER(SEARCH("yr",Assumptions!$G$57)),1/12,1)</f>
        <v>4413.333333</v>
      </c>
      <c r="I8" s="26">
        <f>IF(Personnel!I18&gt;=16,Assumptions!$F$58,IF(Personnel!I18&gt;=10,Assumptions!$E$58,IF(Personnel!I18&gt;=7,Assumptions!$D$58,Assumptions!$C$58)))*IF(ISNUMBER(SEARCH("yr",Assumptions!$G$58)),1/12,1)+Personnel!I17*Assumptions!$C$57*IF(ISNUMBER(SEARCH("yr",Assumptions!$G$57)),1/12,1)</f>
        <v>4413.333333</v>
      </c>
      <c r="J8" s="26">
        <f>IF(Personnel!J18&gt;=16,Assumptions!$F$58,IF(Personnel!J18&gt;=10,Assumptions!$E$58,IF(Personnel!J18&gt;=7,Assumptions!$D$58,Assumptions!$C$58)))*IF(ISNUMBER(SEARCH("yr",Assumptions!$G$58)),1/12,1)+Personnel!J17*Assumptions!$C$57*IF(ISNUMBER(SEARCH("yr",Assumptions!$G$57)),1/12,1)</f>
        <v>4413.333333</v>
      </c>
      <c r="K8" s="26">
        <f>IF(Personnel!K18&gt;=16,Assumptions!$F$58,IF(Personnel!K18&gt;=10,Assumptions!$E$58,IF(Personnel!K18&gt;=7,Assumptions!$D$58,Assumptions!$C$58)))*IF(ISNUMBER(SEARCH("yr",Assumptions!$G$58)),1/12,1)+Personnel!K17*Assumptions!$C$57*IF(ISNUMBER(SEARCH("yr",Assumptions!$G$57)),1/12,1)</f>
        <v>4533.333333</v>
      </c>
      <c r="L8" s="26">
        <f>IF(Personnel!L18&gt;=16,Assumptions!$F$58,IF(Personnel!L18&gt;=10,Assumptions!$E$58,IF(Personnel!L18&gt;=7,Assumptions!$D$58,Assumptions!$C$58)))*IF(ISNUMBER(SEARCH("yr",Assumptions!$G$58)),1/12,1)+Personnel!L17*Assumptions!$C$57*IF(ISNUMBER(SEARCH("yr",Assumptions!$G$57)),1/12,1)</f>
        <v>4533.333333</v>
      </c>
      <c r="M8" s="26">
        <f>IF(Personnel!M18&gt;=16,Assumptions!$F$58,IF(Personnel!M18&gt;=10,Assumptions!$E$58,IF(Personnel!M18&gt;=7,Assumptions!$D$58,Assumptions!$C$58)))*IF(ISNUMBER(SEARCH("yr",Assumptions!$G$58)),1/12,1)+Personnel!M17*Assumptions!$C$57*IF(ISNUMBER(SEARCH("yr",Assumptions!$G$57)),1/12,1)</f>
        <v>4533.333333</v>
      </c>
      <c r="N8" s="26">
        <f>IF(Personnel!N18&gt;=16,Assumptions!$F$58,IF(Personnel!N18&gt;=10,Assumptions!$E$58,IF(Personnel!N18&gt;=7,Assumptions!$D$58,Assumptions!$C$58)))*IF(ISNUMBER(SEARCH("yr",Assumptions!$G$58)),1/12,1)+Personnel!N17*Assumptions!$C$57*IF(ISNUMBER(SEARCH("yr",Assumptions!$G$57)),1/12,1)</f>
        <v>4533.333333</v>
      </c>
      <c r="O8" s="26">
        <f>IF(Personnel!O18&gt;=16,Assumptions!$F$58,IF(Personnel!O18&gt;=10,Assumptions!$E$58,IF(Personnel!O18&gt;=7,Assumptions!$D$58,Assumptions!$C$58)))*IF(ISNUMBER(SEARCH("yr",Assumptions!$G$58)),1/12,1)+Personnel!O17*Assumptions!$C$57*IF(ISNUMBER(SEARCH("yr",Assumptions!$G$57)),1/12,1)</f>
        <v>4533.333333</v>
      </c>
      <c r="P8" s="26">
        <f>IF(Personnel!P18&gt;=16,Assumptions!$F$58,IF(Personnel!P18&gt;=10,Assumptions!$E$58,IF(Personnel!P18&gt;=7,Assumptions!$D$58,Assumptions!$C$58)))*IF(ISNUMBER(SEARCH("yr",Assumptions!$G$58)),1/12,1)+Personnel!P17*Assumptions!$C$57*IF(ISNUMBER(SEARCH("yr",Assumptions!$G$57)),1/12,1)</f>
        <v>4533.333333</v>
      </c>
      <c r="Q8" s="26">
        <f>IF(Personnel!Q18&gt;=16,Assumptions!$F$58,IF(Personnel!Q18&gt;=10,Assumptions!$E$58,IF(Personnel!Q18&gt;=7,Assumptions!$D$58,Assumptions!$C$58)))*IF(ISNUMBER(SEARCH("yr",Assumptions!$G$58)),1/12,1)+Personnel!Q17*Assumptions!$C$57*IF(ISNUMBER(SEARCH("yr",Assumptions!$G$57)),1/12,1)</f>
        <v>4533.333333</v>
      </c>
      <c r="R8" s="26">
        <f>IF(Personnel!R18&gt;=16,Assumptions!$F$58,IF(Personnel!R18&gt;=10,Assumptions!$E$58,IF(Personnel!R18&gt;=7,Assumptions!$D$58,Assumptions!$C$58)))*IF(ISNUMBER(SEARCH("yr",Assumptions!$G$58)),1/12,1)+Personnel!R17*Assumptions!$C$57*IF(ISNUMBER(SEARCH("yr",Assumptions!$G$57)),1/12,1)</f>
        <v>4533.333333</v>
      </c>
      <c r="S8" s="26">
        <f>IF(Personnel!S18&gt;=16,Assumptions!$F$58,IF(Personnel!S18&gt;=10,Assumptions!$E$58,IF(Personnel!S18&gt;=7,Assumptions!$D$58,Assumptions!$C$58)))*IF(ISNUMBER(SEARCH("yr",Assumptions!$G$58)),1/12,1)+Personnel!S17*Assumptions!$C$57*IF(ISNUMBER(SEARCH("yr",Assumptions!$G$57)),1/12,1)</f>
        <v>4533.333333</v>
      </c>
      <c r="T8" s="26">
        <f>IF(Personnel!T18&gt;=16,Assumptions!$F$58,IF(Personnel!T18&gt;=10,Assumptions!$E$58,IF(Personnel!T18&gt;=7,Assumptions!$D$58,Assumptions!$C$58)))*IF(ISNUMBER(SEARCH("yr",Assumptions!$G$58)),1/12,1)+Personnel!T17*Assumptions!$C$57*IF(ISNUMBER(SEARCH("yr",Assumptions!$G$57)),1/12,1)</f>
        <v>4533.333333</v>
      </c>
      <c r="U8" s="26">
        <f>IF(Personnel!U18&gt;=16,Assumptions!$F$58,IF(Personnel!U18&gt;=10,Assumptions!$E$58,IF(Personnel!U18&gt;=7,Assumptions!$D$58,Assumptions!$C$58)))*IF(ISNUMBER(SEARCH("yr",Assumptions!$G$58)),1/12,1)+Personnel!U17*Assumptions!$C$57*IF(ISNUMBER(SEARCH("yr",Assumptions!$G$57)),1/12,1)</f>
        <v>4533.333333</v>
      </c>
      <c r="V8" s="26">
        <f>IF(Personnel!V18&gt;=16,Assumptions!$F$58,IF(Personnel!V18&gt;=10,Assumptions!$E$58,IF(Personnel!V18&gt;=7,Assumptions!$D$58,Assumptions!$C$58)))*IF(ISNUMBER(SEARCH("yr",Assumptions!$G$58)),1/12,1)+Personnel!V17*Assumptions!$C$57*IF(ISNUMBER(SEARCH("yr",Assumptions!$G$57)),1/12,1)</f>
        <v>4533.333333</v>
      </c>
      <c r="W8" s="26">
        <f>IF(Personnel!W18&gt;=16,Assumptions!$F$58,IF(Personnel!W18&gt;=10,Assumptions!$E$58,IF(Personnel!W18&gt;=7,Assumptions!$D$58,Assumptions!$C$58)))*IF(ISNUMBER(SEARCH("yr",Assumptions!$G$58)),1/12,1)+Personnel!W17*Assumptions!$C$57*IF(ISNUMBER(SEARCH("yr",Assumptions!$G$57)),1/12,1)</f>
        <v>4533.333333</v>
      </c>
      <c r="X8" s="26">
        <f>IF(Personnel!X18&gt;=16,Assumptions!$F$58,IF(Personnel!X18&gt;=10,Assumptions!$E$58,IF(Personnel!X18&gt;=7,Assumptions!$D$58,Assumptions!$C$58)))*IF(ISNUMBER(SEARCH("yr",Assumptions!$G$58)),1/12,1)+Personnel!X17*Assumptions!$C$57*IF(ISNUMBER(SEARCH("yr",Assumptions!$G$57)),1/12,1)</f>
        <v>6440</v>
      </c>
      <c r="Y8" s="26">
        <f>IF(Personnel!Y18&gt;=16,Assumptions!$F$58,IF(Personnel!Y18&gt;=10,Assumptions!$E$58,IF(Personnel!Y18&gt;=7,Assumptions!$D$58,Assumptions!$C$58)))*IF(ISNUMBER(SEARCH("yr",Assumptions!$G$58)),1/12,1)+Personnel!Y17*Assumptions!$C$57*IF(ISNUMBER(SEARCH("yr",Assumptions!$G$57)),1/12,1)</f>
        <v>6440</v>
      </c>
      <c r="Z8" s="26">
        <f>IF(Personnel!Z18&gt;=16,Assumptions!$F$58,IF(Personnel!Z18&gt;=10,Assumptions!$E$58,IF(Personnel!Z18&gt;=7,Assumptions!$D$58,Assumptions!$C$58)))*IF(ISNUMBER(SEARCH("yr",Assumptions!$G$58)),1/12,1)+Personnel!Z17*Assumptions!$C$57*IF(ISNUMBER(SEARCH("yr",Assumptions!$G$57)),1/12,1)</f>
        <v>6440</v>
      </c>
      <c r="AA8" s="26">
        <f>IF(Personnel!AA18&gt;=16,Assumptions!$F$58,IF(Personnel!AA18&gt;=10,Assumptions!$E$58,IF(Personnel!AA18&gt;=7,Assumptions!$D$58,Assumptions!$C$58)))*IF(ISNUMBER(SEARCH("yr",Assumptions!$G$58)),1/12,1)+Personnel!AA17*Assumptions!$C$57*IF(ISNUMBER(SEARCH("yr",Assumptions!$G$57)),1/12,1)</f>
        <v>6440</v>
      </c>
      <c r="AB8" s="26">
        <f>IF(Personnel!AB18&gt;=16,Assumptions!$F$58,IF(Personnel!AB18&gt;=10,Assumptions!$E$58,IF(Personnel!AB18&gt;=7,Assumptions!$D$58,Assumptions!$C$58)))*IF(ISNUMBER(SEARCH("yr",Assumptions!$G$58)),1/12,1)+Personnel!AB17*Assumptions!$C$57*IF(ISNUMBER(SEARCH("yr",Assumptions!$G$57)),1/12,1)</f>
        <v>6440</v>
      </c>
      <c r="AC8" s="26">
        <f>IF(Personnel!AC18&gt;=16,Assumptions!$F$58,IF(Personnel!AC18&gt;=10,Assumptions!$E$58,IF(Personnel!AC18&gt;=7,Assumptions!$D$58,Assumptions!$C$58)))*IF(ISNUMBER(SEARCH("yr",Assumptions!$G$58)),1/12,1)+Personnel!AC17*Assumptions!$C$57*IF(ISNUMBER(SEARCH("yr",Assumptions!$G$57)),1/12,1)</f>
        <v>6440</v>
      </c>
      <c r="AD8" s="26">
        <f>IF(Personnel!AD18&gt;=16,Assumptions!$F$58,IF(Personnel!AD18&gt;=10,Assumptions!$E$58,IF(Personnel!AD18&gt;=7,Assumptions!$D$58,Assumptions!$C$58)))*IF(ISNUMBER(SEARCH("yr",Assumptions!$G$58)),1/12,1)+Personnel!AD17*Assumptions!$C$57*IF(ISNUMBER(SEARCH("yr",Assumptions!$G$57)),1/12,1)</f>
        <v>6680</v>
      </c>
      <c r="AE8" s="26">
        <f>IF(Personnel!AE18&gt;=16,Assumptions!$F$58,IF(Personnel!AE18&gt;=10,Assumptions!$E$58,IF(Personnel!AE18&gt;=7,Assumptions!$D$58,Assumptions!$C$58)))*IF(ISNUMBER(SEARCH("yr",Assumptions!$G$58)),1/12,1)+Personnel!AE17*Assumptions!$C$57*IF(ISNUMBER(SEARCH("yr",Assumptions!$G$57)),1/12,1)</f>
        <v>6680</v>
      </c>
      <c r="AF8" s="26">
        <f>IF(Personnel!AF18&gt;=16,Assumptions!$F$58,IF(Personnel!AF18&gt;=10,Assumptions!$E$58,IF(Personnel!AF18&gt;=7,Assumptions!$D$58,Assumptions!$C$58)))*IF(ISNUMBER(SEARCH("yr",Assumptions!$G$58)),1/12,1)+Personnel!AF17*Assumptions!$C$57*IF(ISNUMBER(SEARCH("yr",Assumptions!$G$57)),1/12,1)</f>
        <v>6680</v>
      </c>
      <c r="AG8" s="26">
        <f>IF(Personnel!AG18&gt;=16,Assumptions!$F$58,IF(Personnel!AG18&gt;=10,Assumptions!$E$58,IF(Personnel!AG18&gt;=7,Assumptions!$D$58,Assumptions!$C$58)))*IF(ISNUMBER(SEARCH("yr",Assumptions!$G$58)),1/12,1)+Personnel!AG17*Assumptions!$C$57*IF(ISNUMBER(SEARCH("yr",Assumptions!$G$57)),1/12,1)</f>
        <v>6680</v>
      </c>
      <c r="AH8" s="26">
        <f>IF(Personnel!AH18&gt;=16,Assumptions!$F$58,IF(Personnel!AH18&gt;=10,Assumptions!$E$58,IF(Personnel!AH18&gt;=7,Assumptions!$D$58,Assumptions!$C$58)))*IF(ISNUMBER(SEARCH("yr",Assumptions!$G$58)),1/12,1)+Personnel!AH17*Assumptions!$C$57*IF(ISNUMBER(SEARCH("yr",Assumptions!$G$57)),1/12,1)</f>
        <v>6680</v>
      </c>
      <c r="AI8" s="26">
        <f>IF(Personnel!AI18&gt;=16,Assumptions!$F$58,IF(Personnel!AI18&gt;=10,Assumptions!$E$58,IF(Personnel!AI18&gt;=7,Assumptions!$D$58,Assumptions!$C$58)))*IF(ISNUMBER(SEARCH("yr",Assumptions!$G$58)),1/12,1)+Personnel!AI17*Assumptions!$C$57*IF(ISNUMBER(SEARCH("yr",Assumptions!$G$57)),1/12,1)</f>
        <v>6800</v>
      </c>
      <c r="AJ8" s="26">
        <f>IF(Personnel!AJ18&gt;=16,Assumptions!$F$58,IF(Personnel!AJ18&gt;=10,Assumptions!$E$58,IF(Personnel!AJ18&gt;=7,Assumptions!$D$58,Assumptions!$C$58)))*IF(ISNUMBER(SEARCH("yr",Assumptions!$G$58)),1/12,1)+Personnel!AJ17*Assumptions!$C$57*IF(ISNUMBER(SEARCH("yr",Assumptions!$G$57)),1/12,1)</f>
        <v>6800</v>
      </c>
      <c r="AK8" s="26">
        <f>IF(Personnel!AK18&gt;=16,Assumptions!$F$58,IF(Personnel!AK18&gt;=10,Assumptions!$E$58,IF(Personnel!AK18&gt;=7,Assumptions!$D$58,Assumptions!$C$58)))*IF(ISNUMBER(SEARCH("yr",Assumptions!$G$58)),1/12,1)+Personnel!AK17*Assumptions!$C$57*IF(ISNUMBER(SEARCH("yr",Assumptions!$G$57)),1/12,1)</f>
        <v>6800</v>
      </c>
      <c r="AL8" s="26">
        <f>IF(Personnel!AL18&gt;=16,Assumptions!$F$58,IF(Personnel!AL18&gt;=10,Assumptions!$E$58,IF(Personnel!AL18&gt;=7,Assumptions!$D$58,Assumptions!$C$58)))*IF(ISNUMBER(SEARCH("yr",Assumptions!$G$58)),1/12,1)+Personnel!AL17*Assumptions!$C$57*IF(ISNUMBER(SEARCH("yr",Assumptions!$G$57)),1/12,1)</f>
        <v>6800</v>
      </c>
      <c r="AM8" s="26">
        <f>IF(Personnel!AM18&gt;=16,Assumptions!$F$58,IF(Personnel!AM18&gt;=10,Assumptions!$E$58,IF(Personnel!AM18&gt;=7,Assumptions!$D$58,Assumptions!$C$58)))*IF(ISNUMBER(SEARCH("yr",Assumptions!$G$58)),1/12,1)+Personnel!AM17*Assumptions!$C$57*IF(ISNUMBER(SEARCH("yr",Assumptions!$G$57)),1/12,1)</f>
        <v>6800</v>
      </c>
      <c r="AN8" s="26">
        <f>IF(Personnel!AN18&gt;=16,Assumptions!$F$58,IF(Personnel!AN18&gt;=10,Assumptions!$E$58,IF(Personnel!AN18&gt;=7,Assumptions!$D$58,Assumptions!$C$58)))*IF(ISNUMBER(SEARCH("yr",Assumptions!$G$58)),1/12,1)+Personnel!AN17*Assumptions!$C$57*IF(ISNUMBER(SEARCH("yr",Assumptions!$G$57)),1/12,1)</f>
        <v>6800</v>
      </c>
      <c r="AO8" s="26">
        <f>IF(Personnel!AO18&gt;=16,Assumptions!$F$58,IF(Personnel!AO18&gt;=10,Assumptions!$E$58,IF(Personnel!AO18&gt;=7,Assumptions!$D$58,Assumptions!$C$58)))*IF(ISNUMBER(SEARCH("yr",Assumptions!$G$58)),1/12,1)+Personnel!AO17*Assumptions!$C$57*IF(ISNUMBER(SEARCH("yr",Assumptions!$G$57)),1/12,1)</f>
        <v>6800</v>
      </c>
      <c r="AP8" s="26">
        <f>IF(Personnel!AP18&gt;=16,Assumptions!$F$58,IF(Personnel!AP18&gt;=10,Assumptions!$E$58,IF(Personnel!AP18&gt;=7,Assumptions!$D$58,Assumptions!$C$58)))*IF(ISNUMBER(SEARCH("yr",Assumptions!$G$58)),1/12,1)+Personnel!AP17*Assumptions!$C$57*IF(ISNUMBER(SEARCH("yr",Assumptions!$G$57)),1/12,1)</f>
        <v>6800</v>
      </c>
      <c r="AQ8" s="26">
        <f>IF(Personnel!AQ18&gt;=16,Assumptions!$F$58,IF(Personnel!AQ18&gt;=10,Assumptions!$E$58,IF(Personnel!AQ18&gt;=7,Assumptions!$D$58,Assumptions!$C$58)))*IF(ISNUMBER(SEARCH("yr",Assumptions!$G$58)),1/12,1)+Personnel!AQ17*Assumptions!$C$57*IF(ISNUMBER(SEARCH("yr",Assumptions!$G$57)),1/12,1)</f>
        <v>6800</v>
      </c>
      <c r="AR8" s="26">
        <f>IF(Personnel!AR18&gt;=16,Assumptions!$F$58,IF(Personnel!AR18&gt;=10,Assumptions!$E$58,IF(Personnel!AR18&gt;=7,Assumptions!$D$58,Assumptions!$C$58)))*IF(ISNUMBER(SEARCH("yr",Assumptions!$G$58)),1/12,1)+Personnel!AR17*Assumptions!$C$57*IF(ISNUMBER(SEARCH("yr",Assumptions!$G$57)),1/12,1)</f>
        <v>6800</v>
      </c>
      <c r="AS8" s="26">
        <f>IF(Personnel!AS18&gt;=16,Assumptions!$F$58,IF(Personnel!AS18&gt;=10,Assumptions!$E$58,IF(Personnel!AS18&gt;=7,Assumptions!$D$58,Assumptions!$C$58)))*IF(ISNUMBER(SEARCH("yr",Assumptions!$G$58)),1/12,1)+Personnel!AS17*Assumptions!$C$57*IF(ISNUMBER(SEARCH("yr",Assumptions!$G$57)),1/12,1)</f>
        <v>6800</v>
      </c>
      <c r="AT8" s="26">
        <f>IF(Personnel!AT18&gt;=16,Assumptions!$F$58,IF(Personnel!AT18&gt;=10,Assumptions!$E$58,IF(Personnel!AT18&gt;=7,Assumptions!$D$58,Assumptions!$C$58)))*IF(ISNUMBER(SEARCH("yr",Assumptions!$G$58)),1/12,1)+Personnel!AT17*Assumptions!$C$57*IF(ISNUMBER(SEARCH("yr",Assumptions!$G$57)),1/12,1)</f>
        <v>6920</v>
      </c>
      <c r="AU8" s="26">
        <f>IF(Personnel!AU18&gt;=16,Assumptions!$F$58,IF(Personnel!AU18&gt;=10,Assumptions!$E$58,IF(Personnel!AU18&gt;=7,Assumptions!$D$58,Assumptions!$C$58)))*IF(ISNUMBER(SEARCH("yr",Assumptions!$G$58)),1/12,1)+Personnel!AU17*Assumptions!$C$57*IF(ISNUMBER(SEARCH("yr",Assumptions!$G$57)),1/12,1)</f>
        <v>6920</v>
      </c>
      <c r="AV8" s="26">
        <f>IF(Personnel!AV18&gt;=16,Assumptions!$F$58,IF(Personnel!AV18&gt;=10,Assumptions!$E$58,IF(Personnel!AV18&gt;=7,Assumptions!$D$58,Assumptions!$C$58)))*IF(ISNUMBER(SEARCH("yr",Assumptions!$G$58)),1/12,1)+Personnel!AV17*Assumptions!$C$57*IF(ISNUMBER(SEARCH("yr",Assumptions!$G$57)),1/12,1)</f>
        <v>6920</v>
      </c>
      <c r="AW8" s="26">
        <f>IF(Personnel!AW18&gt;=16,Assumptions!$F$58,IF(Personnel!AW18&gt;=10,Assumptions!$E$58,IF(Personnel!AW18&gt;=7,Assumptions!$D$58,Assumptions!$C$58)))*IF(ISNUMBER(SEARCH("yr",Assumptions!$G$58)),1/12,1)+Personnel!AW17*Assumptions!$C$57*IF(ISNUMBER(SEARCH("yr",Assumptions!$G$57)),1/12,1)</f>
        <v>6920</v>
      </c>
      <c r="AX8" s="26">
        <f>IF(Personnel!AX18&gt;=16,Assumptions!$F$58,IF(Personnel!AX18&gt;=10,Assumptions!$E$58,IF(Personnel!AX18&gt;=7,Assumptions!$D$58,Assumptions!$C$58)))*IF(ISNUMBER(SEARCH("yr",Assumptions!$G$58)),1/12,1)+Personnel!AX17*Assumptions!$C$57*IF(ISNUMBER(SEARCH("yr",Assumptions!$G$57)),1/12,1)</f>
        <v>7040</v>
      </c>
      <c r="AY8" s="26">
        <f>IF(Personnel!AY18&gt;=16,Assumptions!$F$58,IF(Personnel!AY18&gt;=10,Assumptions!$E$58,IF(Personnel!AY18&gt;=7,Assumptions!$D$58,Assumptions!$C$58)))*IF(ISNUMBER(SEARCH("yr",Assumptions!$G$58)),1/12,1)+Personnel!AY17*Assumptions!$C$57*IF(ISNUMBER(SEARCH("yr",Assumptions!$G$57)),1/12,1)</f>
        <v>7040</v>
      </c>
      <c r="AZ8" s="26">
        <f>IF(Personnel!AZ18&gt;=16,Assumptions!$F$58,IF(Personnel!AZ18&gt;=10,Assumptions!$E$58,IF(Personnel!AZ18&gt;=7,Assumptions!$D$58,Assumptions!$C$58)))*IF(ISNUMBER(SEARCH("yr",Assumptions!$G$58)),1/12,1)+Personnel!AZ17*Assumptions!$C$57*IF(ISNUMBER(SEARCH("yr",Assumptions!$G$57)),1/12,1)</f>
        <v>7040</v>
      </c>
      <c r="BA8" s="26">
        <f>IF(Personnel!BA18&gt;=16,Assumptions!$F$58,IF(Personnel!BA18&gt;=10,Assumptions!$E$58,IF(Personnel!BA18&gt;=7,Assumptions!$D$58,Assumptions!$C$58)))*IF(ISNUMBER(SEARCH("yr",Assumptions!$G$58)),1/12,1)+Personnel!BA17*Assumptions!$C$57*IF(ISNUMBER(SEARCH("yr",Assumptions!$G$57)),1/12,1)</f>
        <v>7040</v>
      </c>
      <c r="BB8" s="26"/>
      <c r="BC8" s="26">
        <f t="shared" ref="BC8:BF8" si="2">SUMPRODUCT((YEAR($F$3:$BA$3)=BC$3)*$F8:$BA8)</f>
        <v>53800</v>
      </c>
      <c r="BD8" s="26">
        <f t="shared" si="2"/>
        <v>65840</v>
      </c>
      <c r="BE8" s="26">
        <f t="shared" si="2"/>
        <v>81000</v>
      </c>
      <c r="BF8" s="26">
        <f t="shared" si="2"/>
        <v>83040</v>
      </c>
    </row>
    <row r="9">
      <c r="A9" s="1"/>
      <c r="B9" s="3" t="s">
        <v>146</v>
      </c>
      <c r="C9" s="1"/>
      <c r="D9" s="1"/>
      <c r="E9" s="3" t="s">
        <v>33</v>
      </c>
      <c r="F9" s="26">
        <f>Personnel!F17*Assumptions!$C$59*IF(ISNUMBER(SEARCH("yr",Assumptions!$G$59)),1/12,1)</f>
        <v>360</v>
      </c>
      <c r="G9" s="26">
        <f>Personnel!G17*Assumptions!$C$59*IF(ISNUMBER(SEARCH("yr",Assumptions!$G$59)),1/12,1)</f>
        <v>360</v>
      </c>
      <c r="H9" s="26">
        <f>Personnel!H17*Assumptions!$C$59*IF(ISNUMBER(SEARCH("yr",Assumptions!$G$59)),1/12,1)</f>
        <v>360</v>
      </c>
      <c r="I9" s="26">
        <f>Personnel!I17*Assumptions!$C$59*IF(ISNUMBER(SEARCH("yr",Assumptions!$G$59)),1/12,1)</f>
        <v>360</v>
      </c>
      <c r="J9" s="26">
        <f>Personnel!J17*Assumptions!$C$59*IF(ISNUMBER(SEARCH("yr",Assumptions!$G$59)),1/12,1)</f>
        <v>360</v>
      </c>
      <c r="K9" s="26">
        <f>Personnel!K17*Assumptions!$C$59*IF(ISNUMBER(SEARCH("yr",Assumptions!$G$59)),1/12,1)</f>
        <v>400</v>
      </c>
      <c r="L9" s="26">
        <f>Personnel!L17*Assumptions!$C$59*IF(ISNUMBER(SEARCH("yr",Assumptions!$G$59)),1/12,1)</f>
        <v>400</v>
      </c>
      <c r="M9" s="26">
        <f>Personnel!M17*Assumptions!$C$59*IF(ISNUMBER(SEARCH("yr",Assumptions!$G$59)),1/12,1)</f>
        <v>400</v>
      </c>
      <c r="N9" s="26">
        <f>Personnel!N17*Assumptions!$C$59*IF(ISNUMBER(SEARCH("yr",Assumptions!$G$59)),1/12,1)</f>
        <v>400</v>
      </c>
      <c r="O9" s="26">
        <f>Personnel!O17*Assumptions!$C$59*IF(ISNUMBER(SEARCH("yr",Assumptions!$G$59)),1/12,1)</f>
        <v>400</v>
      </c>
      <c r="P9" s="26">
        <f>Personnel!P17*Assumptions!$C$59*IF(ISNUMBER(SEARCH("yr",Assumptions!$G$59)),1/12,1)</f>
        <v>400</v>
      </c>
      <c r="Q9" s="26">
        <f>Personnel!Q17*Assumptions!$C$59*IF(ISNUMBER(SEARCH("yr",Assumptions!$G$59)),1/12,1)</f>
        <v>400</v>
      </c>
      <c r="R9" s="26">
        <f>Personnel!R17*Assumptions!$C$59*IF(ISNUMBER(SEARCH("yr",Assumptions!$G$59)),1/12,1)</f>
        <v>400</v>
      </c>
      <c r="S9" s="26">
        <f>Personnel!S17*Assumptions!$C$59*IF(ISNUMBER(SEARCH("yr",Assumptions!$G$59)),1/12,1)</f>
        <v>400</v>
      </c>
      <c r="T9" s="26">
        <f>Personnel!T17*Assumptions!$C$59*IF(ISNUMBER(SEARCH("yr",Assumptions!$G$59)),1/12,1)</f>
        <v>400</v>
      </c>
      <c r="U9" s="26">
        <f>Personnel!U17*Assumptions!$C$59*IF(ISNUMBER(SEARCH("yr",Assumptions!$G$59)),1/12,1)</f>
        <v>400</v>
      </c>
      <c r="V9" s="26">
        <f>Personnel!V17*Assumptions!$C$59*IF(ISNUMBER(SEARCH("yr",Assumptions!$G$59)),1/12,1)</f>
        <v>400</v>
      </c>
      <c r="W9" s="26">
        <f>Personnel!W17*Assumptions!$C$59*IF(ISNUMBER(SEARCH("yr",Assumptions!$G$59)),1/12,1)</f>
        <v>400</v>
      </c>
      <c r="X9" s="26">
        <f>Personnel!X17*Assumptions!$C$59*IF(ISNUMBER(SEARCH("yr",Assumptions!$G$59)),1/12,1)</f>
        <v>480</v>
      </c>
      <c r="Y9" s="26">
        <f>Personnel!Y17*Assumptions!$C$59*IF(ISNUMBER(SEARCH("yr",Assumptions!$G$59)),1/12,1)</f>
        <v>480</v>
      </c>
      <c r="Z9" s="26">
        <f>Personnel!Z17*Assumptions!$C$59*IF(ISNUMBER(SEARCH("yr",Assumptions!$G$59)),1/12,1)</f>
        <v>480</v>
      </c>
      <c r="AA9" s="26">
        <f>Personnel!AA17*Assumptions!$C$59*IF(ISNUMBER(SEARCH("yr",Assumptions!$G$59)),1/12,1)</f>
        <v>480</v>
      </c>
      <c r="AB9" s="26">
        <f>Personnel!AB17*Assumptions!$C$59*IF(ISNUMBER(SEARCH("yr",Assumptions!$G$59)),1/12,1)</f>
        <v>480</v>
      </c>
      <c r="AC9" s="26">
        <f>Personnel!AC17*Assumptions!$C$59*IF(ISNUMBER(SEARCH("yr",Assumptions!$G$59)),1/12,1)</f>
        <v>480</v>
      </c>
      <c r="AD9" s="26">
        <f>Personnel!AD17*Assumptions!$C$59*IF(ISNUMBER(SEARCH("yr",Assumptions!$G$59)),1/12,1)</f>
        <v>560</v>
      </c>
      <c r="AE9" s="26">
        <f>Personnel!AE17*Assumptions!$C$59*IF(ISNUMBER(SEARCH("yr",Assumptions!$G$59)),1/12,1)</f>
        <v>560</v>
      </c>
      <c r="AF9" s="26">
        <f>Personnel!AF17*Assumptions!$C$59*IF(ISNUMBER(SEARCH("yr",Assumptions!$G$59)),1/12,1)</f>
        <v>560</v>
      </c>
      <c r="AG9" s="26">
        <f>Personnel!AG17*Assumptions!$C$59*IF(ISNUMBER(SEARCH("yr",Assumptions!$G$59)),1/12,1)</f>
        <v>560</v>
      </c>
      <c r="AH9" s="26">
        <f>Personnel!AH17*Assumptions!$C$59*IF(ISNUMBER(SEARCH("yr",Assumptions!$G$59)),1/12,1)</f>
        <v>560</v>
      </c>
      <c r="AI9" s="26">
        <f>Personnel!AI17*Assumptions!$C$59*IF(ISNUMBER(SEARCH("yr",Assumptions!$G$59)),1/12,1)</f>
        <v>600</v>
      </c>
      <c r="AJ9" s="26">
        <f>Personnel!AJ17*Assumptions!$C$59*IF(ISNUMBER(SEARCH("yr",Assumptions!$G$59)),1/12,1)</f>
        <v>600</v>
      </c>
      <c r="AK9" s="26">
        <f>Personnel!AK17*Assumptions!$C$59*IF(ISNUMBER(SEARCH("yr",Assumptions!$G$59)),1/12,1)</f>
        <v>600</v>
      </c>
      <c r="AL9" s="26">
        <f>Personnel!AL17*Assumptions!$C$59*IF(ISNUMBER(SEARCH("yr",Assumptions!$G$59)),1/12,1)</f>
        <v>600</v>
      </c>
      <c r="AM9" s="26">
        <f>Personnel!AM17*Assumptions!$C$59*IF(ISNUMBER(SEARCH("yr",Assumptions!$G$59)),1/12,1)</f>
        <v>600</v>
      </c>
      <c r="AN9" s="26">
        <f>Personnel!AN17*Assumptions!$C$59*IF(ISNUMBER(SEARCH("yr",Assumptions!$G$59)),1/12,1)</f>
        <v>600</v>
      </c>
      <c r="AO9" s="26">
        <f>Personnel!AO17*Assumptions!$C$59*IF(ISNUMBER(SEARCH("yr",Assumptions!$G$59)),1/12,1)</f>
        <v>600</v>
      </c>
      <c r="AP9" s="26">
        <f>Personnel!AP17*Assumptions!$C$59*IF(ISNUMBER(SEARCH("yr",Assumptions!$G$59)),1/12,1)</f>
        <v>600</v>
      </c>
      <c r="AQ9" s="26">
        <f>Personnel!AQ17*Assumptions!$C$59*IF(ISNUMBER(SEARCH("yr",Assumptions!$G$59)),1/12,1)</f>
        <v>600</v>
      </c>
      <c r="AR9" s="26">
        <f>Personnel!AR17*Assumptions!$C$59*IF(ISNUMBER(SEARCH("yr",Assumptions!$G$59)),1/12,1)</f>
        <v>600</v>
      </c>
      <c r="AS9" s="26">
        <f>Personnel!AS17*Assumptions!$C$59*IF(ISNUMBER(SEARCH("yr",Assumptions!$G$59)),1/12,1)</f>
        <v>600</v>
      </c>
      <c r="AT9" s="26">
        <f>Personnel!AT17*Assumptions!$C$59*IF(ISNUMBER(SEARCH("yr",Assumptions!$G$59)),1/12,1)</f>
        <v>640</v>
      </c>
      <c r="AU9" s="26">
        <f>Personnel!AU17*Assumptions!$C$59*IF(ISNUMBER(SEARCH("yr",Assumptions!$G$59)),1/12,1)</f>
        <v>640</v>
      </c>
      <c r="AV9" s="26">
        <f>Personnel!AV17*Assumptions!$C$59*IF(ISNUMBER(SEARCH("yr",Assumptions!$G$59)),1/12,1)</f>
        <v>640</v>
      </c>
      <c r="AW9" s="26">
        <f>Personnel!AW17*Assumptions!$C$59*IF(ISNUMBER(SEARCH("yr",Assumptions!$G$59)),1/12,1)</f>
        <v>640</v>
      </c>
      <c r="AX9" s="26">
        <f>Personnel!AX17*Assumptions!$C$59*IF(ISNUMBER(SEARCH("yr",Assumptions!$G$59)),1/12,1)</f>
        <v>680</v>
      </c>
      <c r="AY9" s="26">
        <f>Personnel!AY17*Assumptions!$C$59*IF(ISNUMBER(SEARCH("yr",Assumptions!$G$59)),1/12,1)</f>
        <v>680</v>
      </c>
      <c r="AZ9" s="26">
        <f>Personnel!AZ17*Assumptions!$C$59*IF(ISNUMBER(SEARCH("yr",Assumptions!$G$59)),1/12,1)</f>
        <v>680</v>
      </c>
      <c r="BA9" s="26">
        <f>Personnel!BA17*Assumptions!$C$59*IF(ISNUMBER(SEARCH("yr",Assumptions!$G$59)),1/12,1)</f>
        <v>680</v>
      </c>
      <c r="BB9" s="26"/>
      <c r="BC9" s="26">
        <f t="shared" ref="BC9:BF9" si="3">SUMPRODUCT((YEAR($F$3:$BA$3)=BC$3)*$F9:$BA9)</f>
        <v>4600</v>
      </c>
      <c r="BD9" s="26">
        <f t="shared" si="3"/>
        <v>5280</v>
      </c>
      <c r="BE9" s="26">
        <f t="shared" si="3"/>
        <v>7000</v>
      </c>
      <c r="BF9" s="26">
        <f t="shared" si="3"/>
        <v>7680</v>
      </c>
    </row>
    <row r="10">
      <c r="A10" s="1"/>
      <c r="B10" s="3" t="s">
        <v>147</v>
      </c>
      <c r="C10" s="1"/>
      <c r="D10" s="1"/>
      <c r="E10" s="3" t="s">
        <v>33</v>
      </c>
      <c r="F10" s="26">
        <f t="array" ref="F10">INDEX(Assumptions!$C$61:$F$61,MATCH(YEAR(F$3),Assumptions!$C$1:$F$1,0))*IF(ISNUMBER(SEARCH("yr",Assumptions!$G$61)),1/12,1)</f>
        <v>250</v>
      </c>
      <c r="G10" s="26">
        <f t="array" ref="G10">INDEX(Assumptions!$C$61:$F$61,MATCH(YEAR(G$3),Assumptions!$C$1:$F$1,0))*IF(ISNUMBER(SEARCH("yr",Assumptions!$G$61)),1/12,1)</f>
        <v>250</v>
      </c>
      <c r="H10" s="26">
        <f t="array" ref="H10">INDEX(Assumptions!$C$61:$F$61,MATCH(YEAR(H$3),Assumptions!$C$1:$F$1,0))*IF(ISNUMBER(SEARCH("yr",Assumptions!$G$61)),1/12,1)</f>
        <v>250</v>
      </c>
      <c r="I10" s="26">
        <f t="array" ref="I10">INDEX(Assumptions!$C$61:$F$61,MATCH(YEAR(I$3),Assumptions!$C$1:$F$1,0))*IF(ISNUMBER(SEARCH("yr",Assumptions!$G$61)),1/12,1)</f>
        <v>250</v>
      </c>
      <c r="J10" s="26">
        <f t="array" ref="J10">INDEX(Assumptions!$C$61:$F$61,MATCH(YEAR(J$3),Assumptions!$C$1:$F$1,0))*IF(ISNUMBER(SEARCH("yr",Assumptions!$G$61)),1/12,1)</f>
        <v>250</v>
      </c>
      <c r="K10" s="26">
        <f t="array" ref="K10">INDEX(Assumptions!$C$61:$F$61,MATCH(YEAR(K$3),Assumptions!$C$1:$F$1,0))*IF(ISNUMBER(SEARCH("yr",Assumptions!$G$61)),1/12,1)</f>
        <v>250</v>
      </c>
      <c r="L10" s="26">
        <f t="array" ref="L10">INDEX(Assumptions!$C$61:$F$61,MATCH(YEAR(L$3),Assumptions!$C$1:$F$1,0))*IF(ISNUMBER(SEARCH("yr",Assumptions!$G$61)),1/12,1)</f>
        <v>250</v>
      </c>
      <c r="M10" s="26">
        <f t="array" ref="M10">INDEX(Assumptions!$C$61:$F$61,MATCH(YEAR(M$3),Assumptions!$C$1:$F$1,0))*IF(ISNUMBER(SEARCH("yr",Assumptions!$G$61)),1/12,1)</f>
        <v>250</v>
      </c>
      <c r="N10" s="26">
        <f t="array" ref="N10">INDEX(Assumptions!$C$61:$F$61,MATCH(YEAR(N$3),Assumptions!$C$1:$F$1,0))*IF(ISNUMBER(SEARCH("yr",Assumptions!$G$61)),1/12,1)</f>
        <v>250</v>
      </c>
      <c r="O10" s="26">
        <f t="array" ref="O10">INDEX(Assumptions!$C$61:$F$61,MATCH(YEAR(O$3),Assumptions!$C$1:$F$1,0))*IF(ISNUMBER(SEARCH("yr",Assumptions!$G$61)),1/12,1)</f>
        <v>250</v>
      </c>
      <c r="P10" s="26">
        <f t="array" ref="P10">INDEX(Assumptions!$C$61:$F$61,MATCH(YEAR(P$3),Assumptions!$C$1:$F$1,0))*IF(ISNUMBER(SEARCH("yr",Assumptions!$G$61)),1/12,1)</f>
        <v>250</v>
      </c>
      <c r="Q10" s="26">
        <f t="array" ref="Q10">INDEX(Assumptions!$C$61:$F$61,MATCH(YEAR(Q$3),Assumptions!$C$1:$F$1,0))*IF(ISNUMBER(SEARCH("yr",Assumptions!$G$61)),1/12,1)</f>
        <v>250</v>
      </c>
      <c r="R10" s="26">
        <f t="array" ref="R10">INDEX(Assumptions!$C$61:$F$61,MATCH(YEAR(R$3),Assumptions!$C$1:$F$1,0))*IF(ISNUMBER(SEARCH("yr",Assumptions!$G$61)),1/12,1)</f>
        <v>333.3333333</v>
      </c>
      <c r="S10" s="26">
        <f t="array" ref="S10">INDEX(Assumptions!$C$61:$F$61,MATCH(YEAR(S$3),Assumptions!$C$1:$F$1,0))*IF(ISNUMBER(SEARCH("yr",Assumptions!$G$61)),1/12,1)</f>
        <v>333.3333333</v>
      </c>
      <c r="T10" s="26">
        <f t="array" ref="T10">INDEX(Assumptions!$C$61:$F$61,MATCH(YEAR(T$3),Assumptions!$C$1:$F$1,0))*IF(ISNUMBER(SEARCH("yr",Assumptions!$G$61)),1/12,1)</f>
        <v>333.3333333</v>
      </c>
      <c r="U10" s="26">
        <f t="array" ref="U10">INDEX(Assumptions!$C$61:$F$61,MATCH(YEAR(U$3),Assumptions!$C$1:$F$1,0))*IF(ISNUMBER(SEARCH("yr",Assumptions!$G$61)),1/12,1)</f>
        <v>333.3333333</v>
      </c>
      <c r="V10" s="26">
        <f t="array" ref="V10">INDEX(Assumptions!$C$61:$F$61,MATCH(YEAR(V$3),Assumptions!$C$1:$F$1,0))*IF(ISNUMBER(SEARCH("yr",Assumptions!$G$61)),1/12,1)</f>
        <v>333.3333333</v>
      </c>
      <c r="W10" s="26">
        <f t="array" ref="W10">INDEX(Assumptions!$C$61:$F$61,MATCH(YEAR(W$3),Assumptions!$C$1:$F$1,0))*IF(ISNUMBER(SEARCH("yr",Assumptions!$G$61)),1/12,1)</f>
        <v>333.3333333</v>
      </c>
      <c r="X10" s="26">
        <f t="array" ref="X10">INDEX(Assumptions!$C$61:$F$61,MATCH(YEAR(X$3),Assumptions!$C$1:$F$1,0))*IF(ISNUMBER(SEARCH("yr",Assumptions!$G$61)),1/12,1)</f>
        <v>333.3333333</v>
      </c>
      <c r="Y10" s="26">
        <f t="array" ref="Y10">INDEX(Assumptions!$C$61:$F$61,MATCH(YEAR(Y$3),Assumptions!$C$1:$F$1,0))*IF(ISNUMBER(SEARCH("yr",Assumptions!$G$61)),1/12,1)</f>
        <v>333.3333333</v>
      </c>
      <c r="Z10" s="26">
        <f t="array" ref="Z10">INDEX(Assumptions!$C$61:$F$61,MATCH(YEAR(Z$3),Assumptions!$C$1:$F$1,0))*IF(ISNUMBER(SEARCH("yr",Assumptions!$G$61)),1/12,1)</f>
        <v>333.3333333</v>
      </c>
      <c r="AA10" s="26">
        <f t="array" ref="AA10">INDEX(Assumptions!$C$61:$F$61,MATCH(YEAR(AA$3),Assumptions!$C$1:$F$1,0))*IF(ISNUMBER(SEARCH("yr",Assumptions!$G$61)),1/12,1)</f>
        <v>333.3333333</v>
      </c>
      <c r="AB10" s="26">
        <f t="array" ref="AB10">INDEX(Assumptions!$C$61:$F$61,MATCH(YEAR(AB$3),Assumptions!$C$1:$F$1,0))*IF(ISNUMBER(SEARCH("yr",Assumptions!$G$61)),1/12,1)</f>
        <v>333.3333333</v>
      </c>
      <c r="AC10" s="26">
        <f t="array" ref="AC10">INDEX(Assumptions!$C$61:$F$61,MATCH(YEAR(AC$3),Assumptions!$C$1:$F$1,0))*IF(ISNUMBER(SEARCH("yr",Assumptions!$G$61)),1/12,1)</f>
        <v>333.3333333</v>
      </c>
      <c r="AD10" s="26">
        <f t="array" ref="AD10">INDEX(Assumptions!$C$61:$F$61,MATCH(YEAR(AD$3),Assumptions!$C$1:$F$1,0))*IF(ISNUMBER(SEARCH("yr",Assumptions!$G$61)),1/12,1)</f>
        <v>416.6666667</v>
      </c>
      <c r="AE10" s="26">
        <f t="array" ref="AE10">INDEX(Assumptions!$C$61:$F$61,MATCH(YEAR(AE$3),Assumptions!$C$1:$F$1,0))*IF(ISNUMBER(SEARCH("yr",Assumptions!$G$61)),1/12,1)</f>
        <v>416.6666667</v>
      </c>
      <c r="AF10" s="26">
        <f t="array" ref="AF10">INDEX(Assumptions!$C$61:$F$61,MATCH(YEAR(AF$3),Assumptions!$C$1:$F$1,0))*IF(ISNUMBER(SEARCH("yr",Assumptions!$G$61)),1/12,1)</f>
        <v>416.6666667</v>
      </c>
      <c r="AG10" s="26">
        <f t="array" ref="AG10">INDEX(Assumptions!$C$61:$F$61,MATCH(YEAR(AG$3),Assumptions!$C$1:$F$1,0))*IF(ISNUMBER(SEARCH("yr",Assumptions!$G$61)),1/12,1)</f>
        <v>416.6666667</v>
      </c>
      <c r="AH10" s="26">
        <f t="array" ref="AH10">INDEX(Assumptions!$C$61:$F$61,MATCH(YEAR(AH$3),Assumptions!$C$1:$F$1,0))*IF(ISNUMBER(SEARCH("yr",Assumptions!$G$61)),1/12,1)</f>
        <v>416.6666667</v>
      </c>
      <c r="AI10" s="26">
        <f t="array" ref="AI10">INDEX(Assumptions!$C$61:$F$61,MATCH(YEAR(AI$3),Assumptions!$C$1:$F$1,0))*IF(ISNUMBER(SEARCH("yr",Assumptions!$G$61)),1/12,1)</f>
        <v>416.6666667</v>
      </c>
      <c r="AJ10" s="26">
        <f t="array" ref="AJ10">INDEX(Assumptions!$C$61:$F$61,MATCH(YEAR(AJ$3),Assumptions!$C$1:$F$1,0))*IF(ISNUMBER(SEARCH("yr",Assumptions!$G$61)),1/12,1)</f>
        <v>416.6666667</v>
      </c>
      <c r="AK10" s="26">
        <f t="array" ref="AK10">INDEX(Assumptions!$C$61:$F$61,MATCH(YEAR(AK$3),Assumptions!$C$1:$F$1,0))*IF(ISNUMBER(SEARCH("yr",Assumptions!$G$61)),1/12,1)</f>
        <v>416.6666667</v>
      </c>
      <c r="AL10" s="26">
        <f t="array" ref="AL10">INDEX(Assumptions!$C$61:$F$61,MATCH(YEAR(AL$3),Assumptions!$C$1:$F$1,0))*IF(ISNUMBER(SEARCH("yr",Assumptions!$G$61)),1/12,1)</f>
        <v>416.6666667</v>
      </c>
      <c r="AM10" s="26">
        <f t="array" ref="AM10">INDEX(Assumptions!$C$61:$F$61,MATCH(YEAR(AM$3),Assumptions!$C$1:$F$1,0))*IF(ISNUMBER(SEARCH("yr",Assumptions!$G$61)),1/12,1)</f>
        <v>416.6666667</v>
      </c>
      <c r="AN10" s="26">
        <f t="array" ref="AN10">INDEX(Assumptions!$C$61:$F$61,MATCH(YEAR(AN$3),Assumptions!$C$1:$F$1,0))*IF(ISNUMBER(SEARCH("yr",Assumptions!$G$61)),1/12,1)</f>
        <v>416.6666667</v>
      </c>
      <c r="AO10" s="26">
        <f t="array" ref="AO10">INDEX(Assumptions!$C$61:$F$61,MATCH(YEAR(AO$3),Assumptions!$C$1:$F$1,0))*IF(ISNUMBER(SEARCH("yr",Assumptions!$G$61)),1/12,1)</f>
        <v>416.6666667</v>
      </c>
      <c r="AP10" s="26">
        <f t="array" ref="AP10">INDEX(Assumptions!$C$61:$F$61,MATCH(YEAR(AP$3),Assumptions!$C$1:$F$1,0))*IF(ISNUMBER(SEARCH("yr",Assumptions!$G$61)),1/12,1)</f>
        <v>500</v>
      </c>
      <c r="AQ10" s="26">
        <f t="array" ref="AQ10">INDEX(Assumptions!$C$61:$F$61,MATCH(YEAR(AQ$3),Assumptions!$C$1:$F$1,0))*IF(ISNUMBER(SEARCH("yr",Assumptions!$G$61)),1/12,1)</f>
        <v>500</v>
      </c>
      <c r="AR10" s="26">
        <f t="array" ref="AR10">INDEX(Assumptions!$C$61:$F$61,MATCH(YEAR(AR$3),Assumptions!$C$1:$F$1,0))*IF(ISNUMBER(SEARCH("yr",Assumptions!$G$61)),1/12,1)</f>
        <v>500</v>
      </c>
      <c r="AS10" s="26">
        <f t="array" ref="AS10">INDEX(Assumptions!$C$61:$F$61,MATCH(YEAR(AS$3),Assumptions!$C$1:$F$1,0))*IF(ISNUMBER(SEARCH("yr",Assumptions!$G$61)),1/12,1)</f>
        <v>500</v>
      </c>
      <c r="AT10" s="26">
        <f t="array" ref="AT10">INDEX(Assumptions!$C$61:$F$61,MATCH(YEAR(AT$3),Assumptions!$C$1:$F$1,0))*IF(ISNUMBER(SEARCH("yr",Assumptions!$G$61)),1/12,1)</f>
        <v>500</v>
      </c>
      <c r="AU10" s="26">
        <f t="array" ref="AU10">INDEX(Assumptions!$C$61:$F$61,MATCH(YEAR(AU$3),Assumptions!$C$1:$F$1,0))*IF(ISNUMBER(SEARCH("yr",Assumptions!$G$61)),1/12,1)</f>
        <v>500</v>
      </c>
      <c r="AV10" s="26">
        <f t="array" ref="AV10">INDEX(Assumptions!$C$61:$F$61,MATCH(YEAR(AV$3),Assumptions!$C$1:$F$1,0))*IF(ISNUMBER(SEARCH("yr",Assumptions!$G$61)),1/12,1)</f>
        <v>500</v>
      </c>
      <c r="AW10" s="26">
        <f t="array" ref="AW10">INDEX(Assumptions!$C$61:$F$61,MATCH(YEAR(AW$3),Assumptions!$C$1:$F$1,0))*IF(ISNUMBER(SEARCH("yr",Assumptions!$G$61)),1/12,1)</f>
        <v>500</v>
      </c>
      <c r="AX10" s="26">
        <f t="array" ref="AX10">INDEX(Assumptions!$C$61:$F$61,MATCH(YEAR(AX$3),Assumptions!$C$1:$F$1,0))*IF(ISNUMBER(SEARCH("yr",Assumptions!$G$61)),1/12,1)</f>
        <v>500</v>
      </c>
      <c r="AY10" s="26">
        <f t="array" ref="AY10">INDEX(Assumptions!$C$61:$F$61,MATCH(YEAR(AY$3),Assumptions!$C$1:$F$1,0))*IF(ISNUMBER(SEARCH("yr",Assumptions!$G$61)),1/12,1)</f>
        <v>500</v>
      </c>
      <c r="AZ10" s="26">
        <f t="array" ref="AZ10">INDEX(Assumptions!$C$61:$F$61,MATCH(YEAR(AZ$3),Assumptions!$C$1:$F$1,0))*IF(ISNUMBER(SEARCH("yr",Assumptions!$G$61)),1/12,1)</f>
        <v>500</v>
      </c>
      <c r="BA10" s="26">
        <f t="array" ref="BA10">INDEX(Assumptions!$C$61:$F$61,MATCH(YEAR(BA$3),Assumptions!$C$1:$F$1,0))*IF(ISNUMBER(SEARCH("yr",Assumptions!$G$61)),1/12,1)</f>
        <v>500</v>
      </c>
      <c r="BB10" s="26"/>
      <c r="BC10" s="26">
        <f t="shared" ref="BC10:BF10" si="4">SUMPRODUCT((YEAR($F$3:$BA$3)=BC$3)*$F10:$BA10)</f>
        <v>3000</v>
      </c>
      <c r="BD10" s="26">
        <f t="shared" si="4"/>
        <v>4000</v>
      </c>
      <c r="BE10" s="26">
        <f t="shared" si="4"/>
        <v>5000</v>
      </c>
      <c r="BF10" s="26">
        <f t="shared" si="4"/>
        <v>6000</v>
      </c>
    </row>
    <row r="11">
      <c r="A11" s="1"/>
      <c r="B11" s="3" t="s">
        <v>148</v>
      </c>
      <c r="C11" s="1"/>
      <c r="D11" s="1"/>
      <c r="E11" s="3" t="s">
        <v>33</v>
      </c>
      <c r="F11" s="26">
        <f t="array" ref="F11">INDEX(Assumptions!$C$62:$F$62,MATCH(YEAR(F$3),Assumptions!$C$1:$F$1,0))*IF(ISNUMBER(SEARCH("yr",Assumptions!$G$62)),1/12,1)</f>
        <v>500</v>
      </c>
      <c r="G11" s="26">
        <f t="array" ref="G11">INDEX(Assumptions!$C$62:$F$62,MATCH(YEAR(G$3),Assumptions!$C$1:$F$1,0))*IF(ISNUMBER(SEARCH("yr",Assumptions!$G$62)),1/12,1)</f>
        <v>500</v>
      </c>
      <c r="H11" s="26">
        <f t="array" ref="H11">INDEX(Assumptions!$C$62:$F$62,MATCH(YEAR(H$3),Assumptions!$C$1:$F$1,0))*IF(ISNUMBER(SEARCH("yr",Assumptions!$G$62)),1/12,1)</f>
        <v>500</v>
      </c>
      <c r="I11" s="26">
        <f t="array" ref="I11">INDEX(Assumptions!$C$62:$F$62,MATCH(YEAR(I$3),Assumptions!$C$1:$F$1,0))*IF(ISNUMBER(SEARCH("yr",Assumptions!$G$62)),1/12,1)</f>
        <v>500</v>
      </c>
      <c r="J11" s="26">
        <f t="array" ref="J11">INDEX(Assumptions!$C$62:$F$62,MATCH(YEAR(J$3),Assumptions!$C$1:$F$1,0))*IF(ISNUMBER(SEARCH("yr",Assumptions!$G$62)),1/12,1)</f>
        <v>500</v>
      </c>
      <c r="K11" s="26">
        <f t="array" ref="K11">INDEX(Assumptions!$C$62:$F$62,MATCH(YEAR(K$3),Assumptions!$C$1:$F$1,0))*IF(ISNUMBER(SEARCH("yr",Assumptions!$G$62)),1/12,1)</f>
        <v>500</v>
      </c>
      <c r="L11" s="26">
        <f t="array" ref="L11">INDEX(Assumptions!$C$62:$F$62,MATCH(YEAR(L$3),Assumptions!$C$1:$F$1,0))*IF(ISNUMBER(SEARCH("yr",Assumptions!$G$62)),1/12,1)</f>
        <v>500</v>
      </c>
      <c r="M11" s="26">
        <f t="array" ref="M11">INDEX(Assumptions!$C$62:$F$62,MATCH(YEAR(M$3),Assumptions!$C$1:$F$1,0))*IF(ISNUMBER(SEARCH("yr",Assumptions!$G$62)),1/12,1)</f>
        <v>500</v>
      </c>
      <c r="N11" s="26">
        <f t="array" ref="N11">INDEX(Assumptions!$C$62:$F$62,MATCH(YEAR(N$3),Assumptions!$C$1:$F$1,0))*IF(ISNUMBER(SEARCH("yr",Assumptions!$G$62)),1/12,1)</f>
        <v>500</v>
      </c>
      <c r="O11" s="26">
        <f t="array" ref="O11">INDEX(Assumptions!$C$62:$F$62,MATCH(YEAR(O$3),Assumptions!$C$1:$F$1,0))*IF(ISNUMBER(SEARCH("yr",Assumptions!$G$62)),1/12,1)</f>
        <v>500</v>
      </c>
      <c r="P11" s="26">
        <f t="array" ref="P11">INDEX(Assumptions!$C$62:$F$62,MATCH(YEAR(P$3),Assumptions!$C$1:$F$1,0))*IF(ISNUMBER(SEARCH("yr",Assumptions!$G$62)),1/12,1)</f>
        <v>500</v>
      </c>
      <c r="Q11" s="26">
        <f t="array" ref="Q11">INDEX(Assumptions!$C$62:$F$62,MATCH(YEAR(Q$3),Assumptions!$C$1:$F$1,0))*IF(ISNUMBER(SEARCH("yr",Assumptions!$G$62)),1/12,1)</f>
        <v>500</v>
      </c>
      <c r="R11" s="26">
        <f t="array" ref="R11">INDEX(Assumptions!$C$62:$F$62,MATCH(YEAR(R$3),Assumptions!$C$1:$F$1,0))*IF(ISNUMBER(SEARCH("yr",Assumptions!$G$62)),1/12,1)</f>
        <v>541.6666667</v>
      </c>
      <c r="S11" s="26">
        <f t="array" ref="S11">INDEX(Assumptions!$C$62:$F$62,MATCH(YEAR(S$3),Assumptions!$C$1:$F$1,0))*IF(ISNUMBER(SEARCH("yr",Assumptions!$G$62)),1/12,1)</f>
        <v>541.6666667</v>
      </c>
      <c r="T11" s="26">
        <f t="array" ref="T11">INDEX(Assumptions!$C$62:$F$62,MATCH(YEAR(T$3),Assumptions!$C$1:$F$1,0))*IF(ISNUMBER(SEARCH("yr",Assumptions!$G$62)),1/12,1)</f>
        <v>541.6666667</v>
      </c>
      <c r="U11" s="26">
        <f t="array" ref="U11">INDEX(Assumptions!$C$62:$F$62,MATCH(YEAR(U$3),Assumptions!$C$1:$F$1,0))*IF(ISNUMBER(SEARCH("yr",Assumptions!$G$62)),1/12,1)</f>
        <v>541.6666667</v>
      </c>
      <c r="V11" s="26">
        <f t="array" ref="V11">INDEX(Assumptions!$C$62:$F$62,MATCH(YEAR(V$3),Assumptions!$C$1:$F$1,0))*IF(ISNUMBER(SEARCH("yr",Assumptions!$G$62)),1/12,1)</f>
        <v>541.6666667</v>
      </c>
      <c r="W11" s="26">
        <f t="array" ref="W11">INDEX(Assumptions!$C$62:$F$62,MATCH(YEAR(W$3),Assumptions!$C$1:$F$1,0))*IF(ISNUMBER(SEARCH("yr",Assumptions!$G$62)),1/12,1)</f>
        <v>541.6666667</v>
      </c>
      <c r="X11" s="26">
        <f t="array" ref="X11">INDEX(Assumptions!$C$62:$F$62,MATCH(YEAR(X$3),Assumptions!$C$1:$F$1,0))*IF(ISNUMBER(SEARCH("yr",Assumptions!$G$62)),1/12,1)</f>
        <v>541.6666667</v>
      </c>
      <c r="Y11" s="26">
        <f t="array" ref="Y11">INDEX(Assumptions!$C$62:$F$62,MATCH(YEAR(Y$3),Assumptions!$C$1:$F$1,0))*IF(ISNUMBER(SEARCH("yr",Assumptions!$G$62)),1/12,1)</f>
        <v>541.6666667</v>
      </c>
      <c r="Z11" s="26">
        <f t="array" ref="Z11">INDEX(Assumptions!$C$62:$F$62,MATCH(YEAR(Z$3),Assumptions!$C$1:$F$1,0))*IF(ISNUMBER(SEARCH("yr",Assumptions!$G$62)),1/12,1)</f>
        <v>541.6666667</v>
      </c>
      <c r="AA11" s="26">
        <f t="array" ref="AA11">INDEX(Assumptions!$C$62:$F$62,MATCH(YEAR(AA$3),Assumptions!$C$1:$F$1,0))*IF(ISNUMBER(SEARCH("yr",Assumptions!$G$62)),1/12,1)</f>
        <v>541.6666667</v>
      </c>
      <c r="AB11" s="26">
        <f t="array" ref="AB11">INDEX(Assumptions!$C$62:$F$62,MATCH(YEAR(AB$3),Assumptions!$C$1:$F$1,0))*IF(ISNUMBER(SEARCH("yr",Assumptions!$G$62)),1/12,1)</f>
        <v>541.6666667</v>
      </c>
      <c r="AC11" s="26">
        <f t="array" ref="AC11">INDEX(Assumptions!$C$62:$F$62,MATCH(YEAR(AC$3),Assumptions!$C$1:$F$1,0))*IF(ISNUMBER(SEARCH("yr",Assumptions!$G$62)),1/12,1)</f>
        <v>541.6666667</v>
      </c>
      <c r="AD11" s="26">
        <f t="array" ref="AD11">INDEX(Assumptions!$C$62:$F$62,MATCH(YEAR(AD$3),Assumptions!$C$1:$F$1,0))*IF(ISNUMBER(SEARCH("yr",Assumptions!$G$62)),1/12,1)</f>
        <v>583.3333333</v>
      </c>
      <c r="AE11" s="26">
        <f t="array" ref="AE11">INDEX(Assumptions!$C$62:$F$62,MATCH(YEAR(AE$3),Assumptions!$C$1:$F$1,0))*IF(ISNUMBER(SEARCH("yr",Assumptions!$G$62)),1/12,1)</f>
        <v>583.3333333</v>
      </c>
      <c r="AF11" s="26">
        <f t="array" ref="AF11">INDEX(Assumptions!$C$62:$F$62,MATCH(YEAR(AF$3),Assumptions!$C$1:$F$1,0))*IF(ISNUMBER(SEARCH("yr",Assumptions!$G$62)),1/12,1)</f>
        <v>583.3333333</v>
      </c>
      <c r="AG11" s="26">
        <f t="array" ref="AG11">INDEX(Assumptions!$C$62:$F$62,MATCH(YEAR(AG$3),Assumptions!$C$1:$F$1,0))*IF(ISNUMBER(SEARCH("yr",Assumptions!$G$62)),1/12,1)</f>
        <v>583.3333333</v>
      </c>
      <c r="AH11" s="26">
        <f t="array" ref="AH11">INDEX(Assumptions!$C$62:$F$62,MATCH(YEAR(AH$3),Assumptions!$C$1:$F$1,0))*IF(ISNUMBER(SEARCH("yr",Assumptions!$G$62)),1/12,1)</f>
        <v>583.3333333</v>
      </c>
      <c r="AI11" s="26">
        <f t="array" ref="AI11">INDEX(Assumptions!$C$62:$F$62,MATCH(YEAR(AI$3),Assumptions!$C$1:$F$1,0))*IF(ISNUMBER(SEARCH("yr",Assumptions!$G$62)),1/12,1)</f>
        <v>583.3333333</v>
      </c>
      <c r="AJ11" s="26">
        <f t="array" ref="AJ11">INDEX(Assumptions!$C$62:$F$62,MATCH(YEAR(AJ$3),Assumptions!$C$1:$F$1,0))*IF(ISNUMBER(SEARCH("yr",Assumptions!$G$62)),1/12,1)</f>
        <v>583.3333333</v>
      </c>
      <c r="AK11" s="26">
        <f t="array" ref="AK11">INDEX(Assumptions!$C$62:$F$62,MATCH(YEAR(AK$3),Assumptions!$C$1:$F$1,0))*IF(ISNUMBER(SEARCH("yr",Assumptions!$G$62)),1/12,1)</f>
        <v>583.3333333</v>
      </c>
      <c r="AL11" s="26">
        <f t="array" ref="AL11">INDEX(Assumptions!$C$62:$F$62,MATCH(YEAR(AL$3),Assumptions!$C$1:$F$1,0))*IF(ISNUMBER(SEARCH("yr",Assumptions!$G$62)),1/12,1)</f>
        <v>583.3333333</v>
      </c>
      <c r="AM11" s="26">
        <f t="array" ref="AM11">INDEX(Assumptions!$C$62:$F$62,MATCH(YEAR(AM$3),Assumptions!$C$1:$F$1,0))*IF(ISNUMBER(SEARCH("yr",Assumptions!$G$62)),1/12,1)</f>
        <v>583.3333333</v>
      </c>
      <c r="AN11" s="26">
        <f t="array" ref="AN11">INDEX(Assumptions!$C$62:$F$62,MATCH(YEAR(AN$3),Assumptions!$C$1:$F$1,0))*IF(ISNUMBER(SEARCH("yr",Assumptions!$G$62)),1/12,1)</f>
        <v>583.3333333</v>
      </c>
      <c r="AO11" s="26">
        <f t="array" ref="AO11">INDEX(Assumptions!$C$62:$F$62,MATCH(YEAR(AO$3),Assumptions!$C$1:$F$1,0))*IF(ISNUMBER(SEARCH("yr",Assumptions!$G$62)),1/12,1)</f>
        <v>583.3333333</v>
      </c>
      <c r="AP11" s="26">
        <f t="array" ref="AP11">INDEX(Assumptions!$C$62:$F$62,MATCH(YEAR(AP$3),Assumptions!$C$1:$F$1,0))*IF(ISNUMBER(SEARCH("yr",Assumptions!$G$62)),1/12,1)</f>
        <v>625</v>
      </c>
      <c r="AQ11" s="26">
        <f t="array" ref="AQ11">INDEX(Assumptions!$C$62:$F$62,MATCH(YEAR(AQ$3),Assumptions!$C$1:$F$1,0))*IF(ISNUMBER(SEARCH("yr",Assumptions!$G$62)),1/12,1)</f>
        <v>625</v>
      </c>
      <c r="AR11" s="26">
        <f t="array" ref="AR11">INDEX(Assumptions!$C$62:$F$62,MATCH(YEAR(AR$3),Assumptions!$C$1:$F$1,0))*IF(ISNUMBER(SEARCH("yr",Assumptions!$G$62)),1/12,1)</f>
        <v>625</v>
      </c>
      <c r="AS11" s="26">
        <f t="array" ref="AS11">INDEX(Assumptions!$C$62:$F$62,MATCH(YEAR(AS$3),Assumptions!$C$1:$F$1,0))*IF(ISNUMBER(SEARCH("yr",Assumptions!$G$62)),1/12,1)</f>
        <v>625</v>
      </c>
      <c r="AT11" s="26">
        <f t="array" ref="AT11">INDEX(Assumptions!$C$62:$F$62,MATCH(YEAR(AT$3),Assumptions!$C$1:$F$1,0))*IF(ISNUMBER(SEARCH("yr",Assumptions!$G$62)),1/12,1)</f>
        <v>625</v>
      </c>
      <c r="AU11" s="26">
        <f t="array" ref="AU11">INDEX(Assumptions!$C$62:$F$62,MATCH(YEAR(AU$3),Assumptions!$C$1:$F$1,0))*IF(ISNUMBER(SEARCH("yr",Assumptions!$G$62)),1/12,1)</f>
        <v>625</v>
      </c>
      <c r="AV11" s="26">
        <f t="array" ref="AV11">INDEX(Assumptions!$C$62:$F$62,MATCH(YEAR(AV$3),Assumptions!$C$1:$F$1,0))*IF(ISNUMBER(SEARCH("yr",Assumptions!$G$62)),1/12,1)</f>
        <v>625</v>
      </c>
      <c r="AW11" s="26">
        <f t="array" ref="AW11">INDEX(Assumptions!$C$62:$F$62,MATCH(YEAR(AW$3),Assumptions!$C$1:$F$1,0))*IF(ISNUMBER(SEARCH("yr",Assumptions!$G$62)),1/12,1)</f>
        <v>625</v>
      </c>
      <c r="AX11" s="26">
        <f t="array" ref="AX11">INDEX(Assumptions!$C$62:$F$62,MATCH(YEAR(AX$3),Assumptions!$C$1:$F$1,0))*IF(ISNUMBER(SEARCH("yr",Assumptions!$G$62)),1/12,1)</f>
        <v>625</v>
      </c>
      <c r="AY11" s="26">
        <f t="array" ref="AY11">INDEX(Assumptions!$C$62:$F$62,MATCH(YEAR(AY$3),Assumptions!$C$1:$F$1,0))*IF(ISNUMBER(SEARCH("yr",Assumptions!$G$62)),1/12,1)</f>
        <v>625</v>
      </c>
      <c r="AZ11" s="26">
        <f t="array" ref="AZ11">INDEX(Assumptions!$C$62:$F$62,MATCH(YEAR(AZ$3),Assumptions!$C$1:$F$1,0))*IF(ISNUMBER(SEARCH("yr",Assumptions!$G$62)),1/12,1)</f>
        <v>625</v>
      </c>
      <c r="BA11" s="26">
        <f t="array" ref="BA11">INDEX(Assumptions!$C$62:$F$62,MATCH(YEAR(BA$3),Assumptions!$C$1:$F$1,0))*IF(ISNUMBER(SEARCH("yr",Assumptions!$G$62)),1/12,1)</f>
        <v>625</v>
      </c>
      <c r="BB11" s="26"/>
      <c r="BC11" s="26">
        <f t="shared" ref="BC11:BF11" si="5">SUMPRODUCT((YEAR($F$3:$BA$3)=BC$3)*$F11:$BA11)</f>
        <v>6000</v>
      </c>
      <c r="BD11" s="26">
        <f t="shared" si="5"/>
        <v>6500</v>
      </c>
      <c r="BE11" s="26">
        <f t="shared" si="5"/>
        <v>7000</v>
      </c>
      <c r="BF11" s="26">
        <f t="shared" si="5"/>
        <v>7500</v>
      </c>
    </row>
    <row r="12">
      <c r="A12" s="1"/>
      <c r="B12" s="3" t="s">
        <v>149</v>
      </c>
      <c r="C12" s="1"/>
      <c r="D12" s="1"/>
      <c r="E12" s="3" t="s">
        <v>33</v>
      </c>
      <c r="F12" s="26">
        <f>Personnel!F17*Assumptions!$C$60*IF(ISNUMBER(SEARCH("yr",Assumptions!$G$60)),1/12,1)</f>
        <v>900</v>
      </c>
      <c r="G12" s="26">
        <f>Personnel!G17*Assumptions!$C$60*IF(ISNUMBER(SEARCH("yr",Assumptions!$G$60)),1/12,1)</f>
        <v>900</v>
      </c>
      <c r="H12" s="26">
        <f>Personnel!H17*Assumptions!$C$60*IF(ISNUMBER(SEARCH("yr",Assumptions!$G$60)),1/12,1)</f>
        <v>900</v>
      </c>
      <c r="I12" s="26">
        <f>Personnel!I17*Assumptions!$C$60*IF(ISNUMBER(SEARCH("yr",Assumptions!$G$60)),1/12,1)</f>
        <v>900</v>
      </c>
      <c r="J12" s="26">
        <f>Personnel!J17*Assumptions!$C$60*IF(ISNUMBER(SEARCH("yr",Assumptions!$G$60)),1/12,1)</f>
        <v>900</v>
      </c>
      <c r="K12" s="26">
        <f>Personnel!K17*Assumptions!$C$60*IF(ISNUMBER(SEARCH("yr",Assumptions!$G$60)),1/12,1)</f>
        <v>1000</v>
      </c>
      <c r="L12" s="26">
        <f>Personnel!L17*Assumptions!$C$60*IF(ISNUMBER(SEARCH("yr",Assumptions!$G$60)),1/12,1)</f>
        <v>1000</v>
      </c>
      <c r="M12" s="26">
        <f>Personnel!M17*Assumptions!$C$60*IF(ISNUMBER(SEARCH("yr",Assumptions!$G$60)),1/12,1)</f>
        <v>1000</v>
      </c>
      <c r="N12" s="26">
        <f>Personnel!N17*Assumptions!$C$60*IF(ISNUMBER(SEARCH("yr",Assumptions!$G$60)),1/12,1)</f>
        <v>1000</v>
      </c>
      <c r="O12" s="26">
        <f>Personnel!O17*Assumptions!$C$60*IF(ISNUMBER(SEARCH("yr",Assumptions!$G$60)),1/12,1)</f>
        <v>1000</v>
      </c>
      <c r="P12" s="26">
        <f>Personnel!P17*Assumptions!$C$60*IF(ISNUMBER(SEARCH("yr",Assumptions!$G$60)),1/12,1)</f>
        <v>1000</v>
      </c>
      <c r="Q12" s="26">
        <f>Personnel!Q17*Assumptions!$C$60*IF(ISNUMBER(SEARCH("yr",Assumptions!$G$60)),1/12,1)</f>
        <v>1000</v>
      </c>
      <c r="R12" s="26">
        <f>Personnel!R17*Assumptions!$C$60*IF(ISNUMBER(SEARCH("yr",Assumptions!$G$60)),1/12,1)</f>
        <v>1000</v>
      </c>
      <c r="S12" s="26">
        <f>Personnel!S17*Assumptions!$C$60*IF(ISNUMBER(SEARCH("yr",Assumptions!$G$60)),1/12,1)</f>
        <v>1000</v>
      </c>
      <c r="T12" s="26">
        <f>Personnel!T17*Assumptions!$C$60*IF(ISNUMBER(SEARCH("yr",Assumptions!$G$60)),1/12,1)</f>
        <v>1000</v>
      </c>
      <c r="U12" s="26">
        <f>Personnel!U17*Assumptions!$C$60*IF(ISNUMBER(SEARCH("yr",Assumptions!$G$60)),1/12,1)</f>
        <v>1000</v>
      </c>
      <c r="V12" s="26">
        <f>Personnel!V17*Assumptions!$C$60*IF(ISNUMBER(SEARCH("yr",Assumptions!$G$60)),1/12,1)</f>
        <v>1000</v>
      </c>
      <c r="W12" s="26">
        <f>Personnel!W17*Assumptions!$C$60*IF(ISNUMBER(SEARCH("yr",Assumptions!$G$60)),1/12,1)</f>
        <v>1000</v>
      </c>
      <c r="X12" s="26">
        <f>Personnel!X17*Assumptions!$C$60*IF(ISNUMBER(SEARCH("yr",Assumptions!$G$60)),1/12,1)</f>
        <v>1200</v>
      </c>
      <c r="Y12" s="26">
        <f>Personnel!Y17*Assumptions!$C$60*IF(ISNUMBER(SEARCH("yr",Assumptions!$G$60)),1/12,1)</f>
        <v>1200</v>
      </c>
      <c r="Z12" s="26">
        <f>Personnel!Z17*Assumptions!$C$60*IF(ISNUMBER(SEARCH("yr",Assumptions!$G$60)),1/12,1)</f>
        <v>1200</v>
      </c>
      <c r="AA12" s="26">
        <f>Personnel!AA17*Assumptions!$C$60*IF(ISNUMBER(SEARCH("yr",Assumptions!$G$60)),1/12,1)</f>
        <v>1200</v>
      </c>
      <c r="AB12" s="26">
        <f>Personnel!AB17*Assumptions!$C$60*IF(ISNUMBER(SEARCH("yr",Assumptions!$G$60)),1/12,1)</f>
        <v>1200</v>
      </c>
      <c r="AC12" s="26">
        <f>Personnel!AC17*Assumptions!$C$60*IF(ISNUMBER(SEARCH("yr",Assumptions!$G$60)),1/12,1)</f>
        <v>1200</v>
      </c>
      <c r="AD12" s="26">
        <f>Personnel!AD17*Assumptions!$C$60*IF(ISNUMBER(SEARCH("yr",Assumptions!$G$60)),1/12,1)</f>
        <v>1400</v>
      </c>
      <c r="AE12" s="26">
        <f>Personnel!AE17*Assumptions!$C$60*IF(ISNUMBER(SEARCH("yr",Assumptions!$G$60)),1/12,1)</f>
        <v>1400</v>
      </c>
      <c r="AF12" s="26">
        <f>Personnel!AF17*Assumptions!$C$60*IF(ISNUMBER(SEARCH("yr",Assumptions!$G$60)),1/12,1)</f>
        <v>1400</v>
      </c>
      <c r="AG12" s="26">
        <f>Personnel!AG17*Assumptions!$C$60*IF(ISNUMBER(SEARCH("yr",Assumptions!$G$60)),1/12,1)</f>
        <v>1400</v>
      </c>
      <c r="AH12" s="26">
        <f>Personnel!AH17*Assumptions!$C$60*IF(ISNUMBER(SEARCH("yr",Assumptions!$G$60)),1/12,1)</f>
        <v>1400</v>
      </c>
      <c r="AI12" s="26">
        <f>Personnel!AI17*Assumptions!$C$60*IF(ISNUMBER(SEARCH("yr",Assumptions!$G$60)),1/12,1)</f>
        <v>1500</v>
      </c>
      <c r="AJ12" s="26">
        <f>Personnel!AJ17*Assumptions!$C$60*IF(ISNUMBER(SEARCH("yr",Assumptions!$G$60)),1/12,1)</f>
        <v>1500</v>
      </c>
      <c r="AK12" s="26">
        <f>Personnel!AK17*Assumptions!$C$60*IF(ISNUMBER(SEARCH("yr",Assumptions!$G$60)),1/12,1)</f>
        <v>1500</v>
      </c>
      <c r="AL12" s="26">
        <f>Personnel!AL17*Assumptions!$C$60*IF(ISNUMBER(SEARCH("yr",Assumptions!$G$60)),1/12,1)</f>
        <v>1500</v>
      </c>
      <c r="AM12" s="26">
        <f>Personnel!AM17*Assumptions!$C$60*IF(ISNUMBER(SEARCH("yr",Assumptions!$G$60)),1/12,1)</f>
        <v>1500</v>
      </c>
      <c r="AN12" s="26">
        <f>Personnel!AN17*Assumptions!$C$60*IF(ISNUMBER(SEARCH("yr",Assumptions!$G$60)),1/12,1)</f>
        <v>1500</v>
      </c>
      <c r="AO12" s="26">
        <f>Personnel!AO17*Assumptions!$C$60*IF(ISNUMBER(SEARCH("yr",Assumptions!$G$60)),1/12,1)</f>
        <v>1500</v>
      </c>
      <c r="AP12" s="26">
        <f>Personnel!AP17*Assumptions!$C$60*IF(ISNUMBER(SEARCH("yr",Assumptions!$G$60)),1/12,1)</f>
        <v>1500</v>
      </c>
      <c r="AQ12" s="26">
        <f>Personnel!AQ17*Assumptions!$C$60*IF(ISNUMBER(SEARCH("yr",Assumptions!$G$60)),1/12,1)</f>
        <v>1500</v>
      </c>
      <c r="AR12" s="26">
        <f>Personnel!AR17*Assumptions!$C$60*IF(ISNUMBER(SEARCH("yr",Assumptions!$G$60)),1/12,1)</f>
        <v>1500</v>
      </c>
      <c r="AS12" s="26">
        <f>Personnel!AS17*Assumptions!$C$60*IF(ISNUMBER(SEARCH("yr",Assumptions!$G$60)),1/12,1)</f>
        <v>1500</v>
      </c>
      <c r="AT12" s="26">
        <f>Personnel!AT17*Assumptions!$C$60*IF(ISNUMBER(SEARCH("yr",Assumptions!$G$60)),1/12,1)</f>
        <v>1600</v>
      </c>
      <c r="AU12" s="26">
        <f>Personnel!AU17*Assumptions!$C$60*IF(ISNUMBER(SEARCH("yr",Assumptions!$G$60)),1/12,1)</f>
        <v>1600</v>
      </c>
      <c r="AV12" s="26">
        <f>Personnel!AV17*Assumptions!$C$60*IF(ISNUMBER(SEARCH("yr",Assumptions!$G$60)),1/12,1)</f>
        <v>1600</v>
      </c>
      <c r="AW12" s="26">
        <f>Personnel!AW17*Assumptions!$C$60*IF(ISNUMBER(SEARCH("yr",Assumptions!$G$60)),1/12,1)</f>
        <v>1600</v>
      </c>
      <c r="AX12" s="26">
        <f>Personnel!AX17*Assumptions!$C$60*IF(ISNUMBER(SEARCH("yr",Assumptions!$G$60)),1/12,1)</f>
        <v>1700</v>
      </c>
      <c r="AY12" s="26">
        <f>Personnel!AY17*Assumptions!$C$60*IF(ISNUMBER(SEARCH("yr",Assumptions!$G$60)),1/12,1)</f>
        <v>1700</v>
      </c>
      <c r="AZ12" s="26">
        <f>Personnel!AZ17*Assumptions!$C$60*IF(ISNUMBER(SEARCH("yr",Assumptions!$G$60)),1/12,1)</f>
        <v>1700</v>
      </c>
      <c r="BA12" s="26">
        <f>Personnel!BA17*Assumptions!$C$60*IF(ISNUMBER(SEARCH("yr",Assumptions!$G$60)),1/12,1)</f>
        <v>1700</v>
      </c>
      <c r="BB12" s="26"/>
      <c r="BC12" s="26">
        <f t="shared" ref="BC12:BF12" si="6">SUMPRODUCT((YEAR($F$3:$BA$3)=BC$3)*$F12:$BA12)</f>
        <v>11500</v>
      </c>
      <c r="BD12" s="26">
        <f t="shared" si="6"/>
        <v>13200</v>
      </c>
      <c r="BE12" s="26">
        <f t="shared" si="6"/>
        <v>17500</v>
      </c>
      <c r="BF12" s="26">
        <f t="shared" si="6"/>
        <v>19200</v>
      </c>
    </row>
    <row r="13">
      <c r="A13" s="1"/>
      <c r="B13" s="3" t="s">
        <v>150</v>
      </c>
      <c r="C13" s="1"/>
      <c r="D13" s="1"/>
      <c r="E13" s="3" t="s">
        <v>33</v>
      </c>
      <c r="F13" s="26">
        <f>'Revenue forecast'!F28*Assumptions!$C$23+Assumptions!$C$24</f>
        <v>580</v>
      </c>
      <c r="G13" s="26">
        <f>'Revenue forecast'!G28*Assumptions!$C$23+Assumptions!$C$24</f>
        <v>620</v>
      </c>
      <c r="H13" s="26">
        <f>'Revenue forecast'!H28*Assumptions!$C$23+Assumptions!$C$24</f>
        <v>640</v>
      </c>
      <c r="I13" s="26">
        <f>'Revenue forecast'!I28*Assumptions!$C$23+Assumptions!$C$24</f>
        <v>659.2630612</v>
      </c>
      <c r="J13" s="26">
        <f>'Revenue forecast'!J28*Assumptions!$C$23+Assumptions!$C$24</f>
        <v>678.5396994</v>
      </c>
      <c r="K13" s="26">
        <f>'Revenue forecast'!K28*Assumptions!$C$23+Assumptions!$C$24</f>
        <v>717.461195</v>
      </c>
      <c r="L13" s="26">
        <f>'Revenue forecast'!L28*Assumptions!$C$23+Assumptions!$C$24</f>
        <v>736.0340909</v>
      </c>
      <c r="M13" s="26">
        <f>'Revenue forecast'!M28*Assumptions!$C$23+Assumptions!$C$24</f>
        <v>754.2648097</v>
      </c>
      <c r="N13" s="26">
        <f>'Revenue forecast'!N28*Assumptions!$C$23+Assumptions!$C$24</f>
        <v>772.1596554</v>
      </c>
      <c r="O13" s="26">
        <f>'Revenue forecast'!O28*Assumptions!$C$23+Assumptions!$C$24</f>
        <v>809.3563466</v>
      </c>
      <c r="P13" s="26">
        <f>'Revenue forecast'!P28*Assumptions!$C$23+Assumptions!$C$24</f>
        <v>826.6046844</v>
      </c>
      <c r="Q13" s="26">
        <f>'Revenue forecast'!Q28*Assumptions!$C$23+Assumptions!$C$24</f>
        <v>843.535248</v>
      </c>
      <c r="R13" s="26">
        <f>'Revenue forecast'!R28*Assumptions!$C$23+Assumptions!$C$24</f>
        <v>879.7854224</v>
      </c>
      <c r="S13" s="26">
        <f>'Revenue forecast'!S28*Assumptions!$C$23+Assumptions!$C$24</f>
        <v>895.3677428</v>
      </c>
      <c r="T13" s="26">
        <f>'Revenue forecast'!T28*Assumptions!$C$23+Assumptions!$C$24</f>
        <v>930.6629828</v>
      </c>
      <c r="U13" s="26">
        <f>'Revenue forecast'!U28*Assumptions!$C$23+Assumptions!$C$24</f>
        <v>965.6764315</v>
      </c>
      <c r="V13" s="26">
        <f>'Revenue forecast'!V28*Assumptions!$C$23+Assumptions!$C$24</f>
        <v>980.4132803</v>
      </c>
      <c r="W13" s="26">
        <f>'Revenue forecast'!W28*Assumptions!$C$23+Assumptions!$C$24</f>
        <v>1014.510156</v>
      </c>
      <c r="X13" s="26">
        <f>'Revenue forecast'!X28*Assumptions!$C$23+Assumptions!$C$24</f>
        <v>1048.347318</v>
      </c>
      <c r="Y13" s="26">
        <f>'Revenue forecast'!Y28*Assumptions!$C$23+Assumptions!$C$24</f>
        <v>1061.929552</v>
      </c>
      <c r="Z13" s="26">
        <f>'Revenue forecast'!Z28*Assumptions!$C$23+Assumptions!$C$24</f>
        <v>1094.893084</v>
      </c>
      <c r="AA13" s="26">
        <f>'Revenue forecast'!AA28*Assumptions!$C$23+Assumptions!$C$24</f>
        <v>1127.617783</v>
      </c>
      <c r="AB13" s="26">
        <f>'Revenue forecast'!AB28*Assumptions!$C$23+Assumptions!$C$24</f>
        <v>1139.739579</v>
      </c>
      <c r="AC13" s="26">
        <f>'Revenue forecast'!AC28*Assumptions!$C$23+Assumptions!$C$24</f>
        <v>1171.269581</v>
      </c>
      <c r="AD13" s="26">
        <f>'Revenue forecast'!AD28*Assumptions!$C$23+Assumptions!$C$24</f>
        <v>1262.58716</v>
      </c>
      <c r="AE13" s="26">
        <f>'Revenue forecast'!AE28*Assumptions!$C$23+Assumptions!$C$24</f>
        <v>1351.570629</v>
      </c>
      <c r="AF13" s="26">
        <f>'Revenue forecast'!AF28*Assumptions!$C$23+Assumptions!$C$24</f>
        <v>1438.282075</v>
      </c>
      <c r="AG13" s="26">
        <f>'Revenue forecast'!AG28*Assumptions!$C$23+Assumptions!$C$24</f>
        <v>1523.150356</v>
      </c>
      <c r="AH13" s="26">
        <f>'Revenue forecast'!AH28*Assumptions!$C$23+Assumptions!$C$24</f>
        <v>1605.858942</v>
      </c>
      <c r="AI13" s="26">
        <f>'Revenue forecast'!AI28*Assumptions!$C$23+Assumptions!$C$24</f>
        <v>1706.46508</v>
      </c>
      <c r="AJ13" s="26">
        <f>'Revenue forecast'!AJ28*Assumptions!$C$23+Assumptions!$C$24</f>
        <v>1785.392922</v>
      </c>
      <c r="AK13" s="26">
        <f>'Revenue forecast'!AK28*Assumptions!$C$23+Assumptions!$C$24</f>
        <v>1861.952899</v>
      </c>
      <c r="AL13" s="26">
        <f>'Revenue forecast'!AL28*Assumptions!$C$23+Assumptions!$C$24</f>
        <v>1936.573073</v>
      </c>
      <c r="AM13" s="26">
        <f>'Revenue forecast'!AM28*Assumptions!$C$23+Assumptions!$C$24</f>
        <v>2009.673152</v>
      </c>
      <c r="AN13" s="26">
        <f>'Revenue forecast'!AN28*Assumptions!$C$23+Assumptions!$C$24</f>
        <v>2080.55925</v>
      </c>
      <c r="AO13" s="26">
        <f>'Revenue forecast'!AO28*Assumptions!$C$23+Assumptions!$C$24</f>
        <v>2149.655231</v>
      </c>
      <c r="AP13" s="26">
        <f>'Revenue forecast'!AP28*Assumptions!$C$23+Assumptions!$C$24</f>
        <v>2257.376724</v>
      </c>
      <c r="AQ13" s="26">
        <f>'Revenue forecast'!AQ28*Assumptions!$C$23+Assumptions!$C$24</f>
        <v>2342.071697</v>
      </c>
      <c r="AR13" s="26">
        <f>'Revenue forecast'!AR28*Assumptions!$C$23+Assumptions!$C$24</f>
        <v>2444.552569</v>
      </c>
      <c r="AS13" s="26">
        <f>'Revenue forecast'!AS28*Assumptions!$C$23+Assumptions!$C$24</f>
        <v>2524.879276</v>
      </c>
      <c r="AT13" s="26">
        <f>'Revenue forecast'!AT28*Assumptions!$C$23+Assumptions!$C$24</f>
        <v>2623.110089</v>
      </c>
      <c r="AU13" s="26">
        <f>'Revenue forecast'!AU28*Assumptions!$C$23+Assumptions!$C$24</f>
        <v>2699.670132</v>
      </c>
      <c r="AV13" s="26">
        <f>'Revenue forecast'!AV28*Assumptions!$C$23+Assumptions!$C$24</f>
        <v>2794.239228</v>
      </c>
      <c r="AW13" s="26">
        <f>'Revenue forecast'!AW28*Assumptions!$C$23+Assumptions!$C$24</f>
        <v>2866.502587</v>
      </c>
      <c r="AX13" s="26">
        <f>'Revenue forecast'!AX28*Assumptions!$C$23+Assumptions!$C$24</f>
        <v>2956.519188</v>
      </c>
      <c r="AY13" s="26">
        <f>'Revenue forecast'!AY28*Assumptions!$C$23+Assumptions!$C$24</f>
        <v>3025.083381</v>
      </c>
      <c r="AZ13" s="26">
        <f>'Revenue forecast'!AZ28*Assumptions!$C$23+Assumptions!$C$24</f>
        <v>3111.500535</v>
      </c>
      <c r="BA13" s="26">
        <f>'Revenue forecast'!BA28*Assumptions!$C$23+Assumptions!$C$24</f>
        <v>3175.825298</v>
      </c>
      <c r="BB13" s="26"/>
      <c r="BC13" s="26">
        <f t="shared" ref="BC13:BF13" si="7">SUMPRODUCT((YEAR($F$3:$BA$3)=BC$3)*$F13:$BA13)</f>
        <v>8637.218791</v>
      </c>
      <c r="BD13" s="26">
        <f t="shared" si="7"/>
        <v>12310.21291</v>
      </c>
      <c r="BE13" s="26">
        <f t="shared" si="7"/>
        <v>20711.72077</v>
      </c>
      <c r="BF13" s="26">
        <f t="shared" si="7"/>
        <v>32821.3307</v>
      </c>
    </row>
    <row r="14">
      <c r="A14" s="1"/>
      <c r="B14" s="3" t="s">
        <v>151</v>
      </c>
      <c r="C14" s="1"/>
      <c r="D14" s="1"/>
      <c r="E14" s="3" t="s">
        <v>33</v>
      </c>
      <c r="F14" s="26">
        <f>Assumptions!$C$64*IF(ISNUMBER(SEARCH("yr",Assumptions!$G$64)),1/12,1)</f>
        <v>140</v>
      </c>
      <c r="G14" s="26">
        <f>Assumptions!$C$64*IF(ISNUMBER(SEARCH("yr",Assumptions!$G$64)),1/12,1)</f>
        <v>140</v>
      </c>
      <c r="H14" s="26">
        <f>Assumptions!$C$64*IF(ISNUMBER(SEARCH("yr",Assumptions!$G$64)),1/12,1)</f>
        <v>140</v>
      </c>
      <c r="I14" s="26">
        <f>Assumptions!$C$64*IF(ISNUMBER(SEARCH("yr",Assumptions!$G$64)),1/12,1)</f>
        <v>140</v>
      </c>
      <c r="J14" s="26">
        <f>Assumptions!$C$64*IF(ISNUMBER(SEARCH("yr",Assumptions!$G$64)),1/12,1)</f>
        <v>140</v>
      </c>
      <c r="K14" s="26">
        <f>Assumptions!$C$64*IF(ISNUMBER(SEARCH("yr",Assumptions!$G$64)),1/12,1)</f>
        <v>140</v>
      </c>
      <c r="L14" s="26">
        <f>Assumptions!$C$64*IF(ISNUMBER(SEARCH("yr",Assumptions!$G$64)),1/12,1)</f>
        <v>140</v>
      </c>
      <c r="M14" s="26">
        <f>Assumptions!$C$64*IF(ISNUMBER(SEARCH("yr",Assumptions!$G$64)),1/12,1)</f>
        <v>140</v>
      </c>
      <c r="N14" s="26">
        <f>Assumptions!$C$64*IF(ISNUMBER(SEARCH("yr",Assumptions!$G$64)),1/12,1)</f>
        <v>140</v>
      </c>
      <c r="O14" s="26">
        <f>Assumptions!$C$64*IF(ISNUMBER(SEARCH("yr",Assumptions!$G$64)),1/12,1)</f>
        <v>140</v>
      </c>
      <c r="P14" s="26">
        <f>Assumptions!$C$64*IF(ISNUMBER(SEARCH("yr",Assumptions!$G$64)),1/12,1)</f>
        <v>140</v>
      </c>
      <c r="Q14" s="26">
        <f>Assumptions!$C$64*IF(ISNUMBER(SEARCH("yr",Assumptions!$G$64)),1/12,1)</f>
        <v>140</v>
      </c>
      <c r="R14" s="26">
        <f>Assumptions!$C$64*IF(ISNUMBER(SEARCH("yr",Assumptions!$G$64)),1/12,1)</f>
        <v>140</v>
      </c>
      <c r="S14" s="26">
        <f>Assumptions!$C$64*IF(ISNUMBER(SEARCH("yr",Assumptions!$G$64)),1/12,1)</f>
        <v>140</v>
      </c>
      <c r="T14" s="26">
        <f>Assumptions!$C$64*IF(ISNUMBER(SEARCH("yr",Assumptions!$G$64)),1/12,1)</f>
        <v>140</v>
      </c>
      <c r="U14" s="26">
        <f>Assumptions!$C$64*IF(ISNUMBER(SEARCH("yr",Assumptions!$G$64)),1/12,1)</f>
        <v>140</v>
      </c>
      <c r="V14" s="26">
        <f>Assumptions!$C$64*IF(ISNUMBER(SEARCH("yr",Assumptions!$G$64)),1/12,1)</f>
        <v>140</v>
      </c>
      <c r="W14" s="26">
        <f>Assumptions!$C$64*IF(ISNUMBER(SEARCH("yr",Assumptions!$G$64)),1/12,1)</f>
        <v>140</v>
      </c>
      <c r="X14" s="26">
        <f>Assumptions!$C$64*IF(ISNUMBER(SEARCH("yr",Assumptions!$G$64)),1/12,1)</f>
        <v>140</v>
      </c>
      <c r="Y14" s="26">
        <f>Assumptions!$C$64*IF(ISNUMBER(SEARCH("yr",Assumptions!$G$64)),1/12,1)</f>
        <v>140</v>
      </c>
      <c r="Z14" s="26">
        <f>Assumptions!$C$64*IF(ISNUMBER(SEARCH("yr",Assumptions!$G$64)),1/12,1)</f>
        <v>140</v>
      </c>
      <c r="AA14" s="26">
        <f>Assumptions!$C$64*IF(ISNUMBER(SEARCH("yr",Assumptions!$G$64)),1/12,1)</f>
        <v>140</v>
      </c>
      <c r="AB14" s="26">
        <f>Assumptions!$C$64*IF(ISNUMBER(SEARCH("yr",Assumptions!$G$64)),1/12,1)</f>
        <v>140</v>
      </c>
      <c r="AC14" s="26">
        <f>Assumptions!$C$64*IF(ISNUMBER(SEARCH("yr",Assumptions!$G$64)),1/12,1)</f>
        <v>140</v>
      </c>
      <c r="AD14" s="26">
        <f>Assumptions!$C$64*IF(ISNUMBER(SEARCH("yr",Assumptions!$G$64)),1/12,1)</f>
        <v>140</v>
      </c>
      <c r="AE14" s="26">
        <f>Assumptions!$C$64*IF(ISNUMBER(SEARCH("yr",Assumptions!$G$64)),1/12,1)</f>
        <v>140</v>
      </c>
      <c r="AF14" s="26">
        <f>Assumptions!$C$64*IF(ISNUMBER(SEARCH("yr",Assumptions!$G$64)),1/12,1)</f>
        <v>140</v>
      </c>
      <c r="AG14" s="26">
        <f>Assumptions!$C$64*IF(ISNUMBER(SEARCH("yr",Assumptions!$G$64)),1/12,1)</f>
        <v>140</v>
      </c>
      <c r="AH14" s="26">
        <f>Assumptions!$C$64*IF(ISNUMBER(SEARCH("yr",Assumptions!$G$64)),1/12,1)</f>
        <v>140</v>
      </c>
      <c r="AI14" s="26">
        <f>Assumptions!$C$64*IF(ISNUMBER(SEARCH("yr",Assumptions!$G$64)),1/12,1)</f>
        <v>140</v>
      </c>
      <c r="AJ14" s="26">
        <f>Assumptions!$C$64*IF(ISNUMBER(SEARCH("yr",Assumptions!$G$64)),1/12,1)</f>
        <v>140</v>
      </c>
      <c r="AK14" s="26">
        <f>Assumptions!$C$64*IF(ISNUMBER(SEARCH("yr",Assumptions!$G$64)),1/12,1)</f>
        <v>140</v>
      </c>
      <c r="AL14" s="26">
        <f>Assumptions!$C$64*IF(ISNUMBER(SEARCH("yr",Assumptions!$G$64)),1/12,1)</f>
        <v>140</v>
      </c>
      <c r="AM14" s="26">
        <f>Assumptions!$C$64*IF(ISNUMBER(SEARCH("yr",Assumptions!$G$64)),1/12,1)</f>
        <v>140</v>
      </c>
      <c r="AN14" s="26">
        <f>Assumptions!$C$64*IF(ISNUMBER(SEARCH("yr",Assumptions!$G$64)),1/12,1)</f>
        <v>140</v>
      </c>
      <c r="AO14" s="26">
        <f>Assumptions!$C$64*IF(ISNUMBER(SEARCH("yr",Assumptions!$G$64)),1/12,1)</f>
        <v>140</v>
      </c>
      <c r="AP14" s="26">
        <f>Assumptions!$C$64*IF(ISNUMBER(SEARCH("yr",Assumptions!$G$64)),1/12,1)</f>
        <v>140</v>
      </c>
      <c r="AQ14" s="26">
        <f>Assumptions!$C$64*IF(ISNUMBER(SEARCH("yr",Assumptions!$G$64)),1/12,1)</f>
        <v>140</v>
      </c>
      <c r="AR14" s="26">
        <f>Assumptions!$C$64*IF(ISNUMBER(SEARCH("yr",Assumptions!$G$64)),1/12,1)</f>
        <v>140</v>
      </c>
      <c r="AS14" s="26">
        <f>Assumptions!$C$64*IF(ISNUMBER(SEARCH("yr",Assumptions!$G$64)),1/12,1)</f>
        <v>140</v>
      </c>
      <c r="AT14" s="26">
        <f>Assumptions!$C$64*IF(ISNUMBER(SEARCH("yr",Assumptions!$G$64)),1/12,1)</f>
        <v>140</v>
      </c>
      <c r="AU14" s="26">
        <f>Assumptions!$C$64*IF(ISNUMBER(SEARCH("yr",Assumptions!$G$64)),1/12,1)</f>
        <v>140</v>
      </c>
      <c r="AV14" s="26">
        <f>Assumptions!$C$64*IF(ISNUMBER(SEARCH("yr",Assumptions!$G$64)),1/12,1)</f>
        <v>140</v>
      </c>
      <c r="AW14" s="26">
        <f>Assumptions!$C$64*IF(ISNUMBER(SEARCH("yr",Assumptions!$G$64)),1/12,1)</f>
        <v>140</v>
      </c>
      <c r="AX14" s="26">
        <f>Assumptions!$C$64*IF(ISNUMBER(SEARCH("yr",Assumptions!$G$64)),1/12,1)</f>
        <v>140</v>
      </c>
      <c r="AY14" s="26">
        <f>Assumptions!$C$64*IF(ISNUMBER(SEARCH("yr",Assumptions!$G$64)),1/12,1)</f>
        <v>140</v>
      </c>
      <c r="AZ14" s="26">
        <f>Assumptions!$C$64*IF(ISNUMBER(SEARCH("yr",Assumptions!$G$64)),1/12,1)</f>
        <v>140</v>
      </c>
      <c r="BA14" s="26">
        <f>Assumptions!$C$64*IF(ISNUMBER(SEARCH("yr",Assumptions!$G$64)),1/12,1)</f>
        <v>140</v>
      </c>
      <c r="BB14" s="26"/>
      <c r="BC14" s="26">
        <f t="shared" ref="BC14:BF14" si="8">SUMPRODUCT((YEAR($F$3:$BA$3)=BC$3)*$F14:$BA14)</f>
        <v>1680</v>
      </c>
      <c r="BD14" s="26">
        <f t="shared" si="8"/>
        <v>1680</v>
      </c>
      <c r="BE14" s="26">
        <f t="shared" si="8"/>
        <v>1680</v>
      </c>
      <c r="BF14" s="26">
        <f t="shared" si="8"/>
        <v>1680</v>
      </c>
    </row>
    <row r="15">
      <c r="A15" s="1"/>
      <c r="B15" s="3" t="s">
        <v>152</v>
      </c>
      <c r="C15" s="1"/>
      <c r="D15" s="1"/>
      <c r="E15" s="3" t="s">
        <v>33</v>
      </c>
      <c r="F15" s="26">
        <f>Assumptions!$C$63*IF(ISNUMBER(SEARCH("yr",Assumptions!$G$63)),1/12,1)</f>
        <v>1307</v>
      </c>
      <c r="G15" s="26">
        <f>Assumptions!$C$63*IF(ISNUMBER(SEARCH("yr",Assumptions!$G$63)),1/12,1)</f>
        <v>1307</v>
      </c>
      <c r="H15" s="26">
        <f>Assumptions!$C$63*IF(ISNUMBER(SEARCH("yr",Assumptions!$G$63)),1/12,1)</f>
        <v>1307</v>
      </c>
      <c r="I15" s="26">
        <f>Assumptions!$C$63*IF(ISNUMBER(SEARCH("yr",Assumptions!$G$63)),1/12,1)</f>
        <v>1307</v>
      </c>
      <c r="J15" s="26">
        <f>Assumptions!$C$63*IF(ISNUMBER(SEARCH("yr",Assumptions!$G$63)),1/12,1)</f>
        <v>1307</v>
      </c>
      <c r="K15" s="26">
        <f>Assumptions!$C$63*IF(ISNUMBER(SEARCH("yr",Assumptions!$G$63)),1/12,1)</f>
        <v>1307</v>
      </c>
      <c r="L15" s="26">
        <f>Assumptions!$C$63*IF(ISNUMBER(SEARCH("yr",Assumptions!$G$63)),1/12,1)</f>
        <v>1307</v>
      </c>
      <c r="M15" s="26">
        <f>Assumptions!$C$63*IF(ISNUMBER(SEARCH("yr",Assumptions!$G$63)),1/12,1)</f>
        <v>1307</v>
      </c>
      <c r="N15" s="26">
        <f>Assumptions!$C$63*IF(ISNUMBER(SEARCH("yr",Assumptions!$G$63)),1/12,1)</f>
        <v>1307</v>
      </c>
      <c r="O15" s="26">
        <f>Assumptions!$C$63*IF(ISNUMBER(SEARCH("yr",Assumptions!$G$63)),1/12,1)</f>
        <v>1307</v>
      </c>
      <c r="P15" s="26">
        <f>Assumptions!$C$63*IF(ISNUMBER(SEARCH("yr",Assumptions!$G$63)),1/12,1)</f>
        <v>1307</v>
      </c>
      <c r="Q15" s="26">
        <f>Assumptions!$C$63*IF(ISNUMBER(SEARCH("yr",Assumptions!$G$63)),1/12,1)</f>
        <v>1307</v>
      </c>
      <c r="R15" s="26">
        <f>Assumptions!$C$63*IF(ISNUMBER(SEARCH("yr",Assumptions!$G$63)),1/12,1)</f>
        <v>1307</v>
      </c>
      <c r="S15" s="26">
        <f>Assumptions!$C$63*IF(ISNUMBER(SEARCH("yr",Assumptions!$G$63)),1/12,1)</f>
        <v>1307</v>
      </c>
      <c r="T15" s="26">
        <f>Assumptions!$C$63*IF(ISNUMBER(SEARCH("yr",Assumptions!$G$63)),1/12,1)</f>
        <v>1307</v>
      </c>
      <c r="U15" s="26">
        <f>Assumptions!$C$63*IF(ISNUMBER(SEARCH("yr",Assumptions!$G$63)),1/12,1)</f>
        <v>1307</v>
      </c>
      <c r="V15" s="26">
        <f>Assumptions!$C$63*IF(ISNUMBER(SEARCH("yr",Assumptions!$G$63)),1/12,1)</f>
        <v>1307</v>
      </c>
      <c r="W15" s="26">
        <f>Assumptions!$C$63*IF(ISNUMBER(SEARCH("yr",Assumptions!$G$63)),1/12,1)</f>
        <v>1307</v>
      </c>
      <c r="X15" s="26">
        <f>Assumptions!$C$63*IF(ISNUMBER(SEARCH("yr",Assumptions!$G$63)),1/12,1)</f>
        <v>1307</v>
      </c>
      <c r="Y15" s="26">
        <f>Assumptions!$C$63*IF(ISNUMBER(SEARCH("yr",Assumptions!$G$63)),1/12,1)</f>
        <v>1307</v>
      </c>
      <c r="Z15" s="26">
        <f>Assumptions!$C$63*IF(ISNUMBER(SEARCH("yr",Assumptions!$G$63)),1/12,1)</f>
        <v>1307</v>
      </c>
      <c r="AA15" s="26">
        <f>Assumptions!$C$63*IF(ISNUMBER(SEARCH("yr",Assumptions!$G$63)),1/12,1)</f>
        <v>1307</v>
      </c>
      <c r="AB15" s="26">
        <f>Assumptions!$C$63*IF(ISNUMBER(SEARCH("yr",Assumptions!$G$63)),1/12,1)</f>
        <v>1307</v>
      </c>
      <c r="AC15" s="26">
        <f>Assumptions!$C$63*IF(ISNUMBER(SEARCH("yr",Assumptions!$G$63)),1/12,1)</f>
        <v>1307</v>
      </c>
      <c r="AD15" s="26">
        <f>Assumptions!$C$63*IF(ISNUMBER(SEARCH("yr",Assumptions!$G$63)),1/12,1)</f>
        <v>1307</v>
      </c>
      <c r="AE15" s="26">
        <f>Assumptions!$C$63*IF(ISNUMBER(SEARCH("yr",Assumptions!$G$63)),1/12,1)</f>
        <v>1307</v>
      </c>
      <c r="AF15" s="26">
        <f>Assumptions!$C$63*IF(ISNUMBER(SEARCH("yr",Assumptions!$G$63)),1/12,1)</f>
        <v>1307</v>
      </c>
      <c r="AG15" s="26">
        <f>Assumptions!$C$63*IF(ISNUMBER(SEARCH("yr",Assumptions!$G$63)),1/12,1)</f>
        <v>1307</v>
      </c>
      <c r="AH15" s="26">
        <f>Assumptions!$C$63*IF(ISNUMBER(SEARCH("yr",Assumptions!$G$63)),1/12,1)</f>
        <v>1307</v>
      </c>
      <c r="AI15" s="26">
        <f>Assumptions!$C$63*IF(ISNUMBER(SEARCH("yr",Assumptions!$G$63)),1/12,1)</f>
        <v>1307</v>
      </c>
      <c r="AJ15" s="26">
        <f>Assumptions!$C$63*IF(ISNUMBER(SEARCH("yr",Assumptions!$G$63)),1/12,1)</f>
        <v>1307</v>
      </c>
      <c r="AK15" s="26">
        <f>Assumptions!$C$63*IF(ISNUMBER(SEARCH("yr",Assumptions!$G$63)),1/12,1)</f>
        <v>1307</v>
      </c>
      <c r="AL15" s="26">
        <f>Assumptions!$C$63*IF(ISNUMBER(SEARCH("yr",Assumptions!$G$63)),1/12,1)</f>
        <v>1307</v>
      </c>
      <c r="AM15" s="26">
        <f>Assumptions!$C$63*IF(ISNUMBER(SEARCH("yr",Assumptions!$G$63)),1/12,1)</f>
        <v>1307</v>
      </c>
      <c r="AN15" s="26">
        <f>Assumptions!$C$63*IF(ISNUMBER(SEARCH("yr",Assumptions!$G$63)),1/12,1)</f>
        <v>1307</v>
      </c>
      <c r="AO15" s="26">
        <f>Assumptions!$C$63*IF(ISNUMBER(SEARCH("yr",Assumptions!$G$63)),1/12,1)</f>
        <v>1307</v>
      </c>
      <c r="AP15" s="26">
        <f>Assumptions!$C$63*IF(ISNUMBER(SEARCH("yr",Assumptions!$G$63)),1/12,1)</f>
        <v>1307</v>
      </c>
      <c r="AQ15" s="26">
        <f>Assumptions!$C$63*IF(ISNUMBER(SEARCH("yr",Assumptions!$G$63)),1/12,1)</f>
        <v>1307</v>
      </c>
      <c r="AR15" s="26">
        <f>Assumptions!$C$63*IF(ISNUMBER(SEARCH("yr",Assumptions!$G$63)),1/12,1)</f>
        <v>1307</v>
      </c>
      <c r="AS15" s="26">
        <f>Assumptions!$C$63*IF(ISNUMBER(SEARCH("yr",Assumptions!$G$63)),1/12,1)</f>
        <v>1307</v>
      </c>
      <c r="AT15" s="26">
        <f>Assumptions!$C$63*IF(ISNUMBER(SEARCH("yr",Assumptions!$G$63)),1/12,1)</f>
        <v>1307</v>
      </c>
      <c r="AU15" s="26">
        <f>Assumptions!$C$63*IF(ISNUMBER(SEARCH("yr",Assumptions!$G$63)),1/12,1)</f>
        <v>1307</v>
      </c>
      <c r="AV15" s="26">
        <f>Assumptions!$C$63*IF(ISNUMBER(SEARCH("yr",Assumptions!$G$63)),1/12,1)</f>
        <v>1307</v>
      </c>
      <c r="AW15" s="26">
        <f>Assumptions!$C$63*IF(ISNUMBER(SEARCH("yr",Assumptions!$G$63)),1/12,1)</f>
        <v>1307</v>
      </c>
      <c r="AX15" s="26">
        <f>Assumptions!$C$63*IF(ISNUMBER(SEARCH("yr",Assumptions!$G$63)),1/12,1)</f>
        <v>1307</v>
      </c>
      <c r="AY15" s="26">
        <f>Assumptions!$C$63*IF(ISNUMBER(SEARCH("yr",Assumptions!$G$63)),1/12,1)</f>
        <v>1307</v>
      </c>
      <c r="AZ15" s="26">
        <f>Assumptions!$C$63*IF(ISNUMBER(SEARCH("yr",Assumptions!$G$63)),1/12,1)</f>
        <v>1307</v>
      </c>
      <c r="BA15" s="26">
        <f>Assumptions!$C$63*IF(ISNUMBER(SEARCH("yr",Assumptions!$G$63)),1/12,1)</f>
        <v>1307</v>
      </c>
      <c r="BB15" s="26"/>
      <c r="BC15" s="26">
        <f t="shared" ref="BC15:BF15" si="9">SUMPRODUCT((YEAR($F$3:$BA$3)=BC$3)*$F15:$BA15)</f>
        <v>15684</v>
      </c>
      <c r="BD15" s="26">
        <f t="shared" si="9"/>
        <v>15684</v>
      </c>
      <c r="BE15" s="26">
        <f t="shared" si="9"/>
        <v>15684</v>
      </c>
      <c r="BF15" s="26">
        <f t="shared" si="9"/>
        <v>15684</v>
      </c>
    </row>
    <row r="16">
      <c r="A16" s="1"/>
      <c r="B16" s="48" t="s">
        <v>153</v>
      </c>
      <c r="C16" s="49"/>
      <c r="D16" s="49"/>
      <c r="E16" s="48" t="s">
        <v>33</v>
      </c>
      <c r="F16" s="50">
        <f t="shared" ref="F16:BA16" si="10">SUM(F7:F15)</f>
        <v>13850.33333</v>
      </c>
      <c r="G16" s="50">
        <f t="shared" si="10"/>
        <v>13890.33333</v>
      </c>
      <c r="H16" s="50">
        <f t="shared" si="10"/>
        <v>13910.33333</v>
      </c>
      <c r="I16" s="50">
        <f t="shared" si="10"/>
        <v>13929.59639</v>
      </c>
      <c r="J16" s="50">
        <f t="shared" si="10"/>
        <v>13948.87303</v>
      </c>
      <c r="K16" s="50">
        <f t="shared" si="10"/>
        <v>14847.79453</v>
      </c>
      <c r="L16" s="50">
        <f t="shared" si="10"/>
        <v>14866.36742</v>
      </c>
      <c r="M16" s="50">
        <f t="shared" si="10"/>
        <v>14884.59814</v>
      </c>
      <c r="N16" s="50">
        <f t="shared" si="10"/>
        <v>14902.49299</v>
      </c>
      <c r="O16" s="50">
        <f t="shared" si="10"/>
        <v>14939.68968</v>
      </c>
      <c r="P16" s="50">
        <f t="shared" si="10"/>
        <v>14956.93802</v>
      </c>
      <c r="Q16" s="50">
        <f t="shared" si="10"/>
        <v>14973.86858</v>
      </c>
      <c r="R16" s="50">
        <f t="shared" si="10"/>
        <v>15135.11876</v>
      </c>
      <c r="S16" s="50">
        <f t="shared" si="10"/>
        <v>15150.70108</v>
      </c>
      <c r="T16" s="50">
        <f t="shared" si="10"/>
        <v>15185.99632</v>
      </c>
      <c r="U16" s="50">
        <f t="shared" si="10"/>
        <v>15221.00976</v>
      </c>
      <c r="V16" s="50">
        <f t="shared" si="10"/>
        <v>15235.74661</v>
      </c>
      <c r="W16" s="50">
        <f t="shared" si="10"/>
        <v>15269.84349</v>
      </c>
      <c r="X16" s="50">
        <f t="shared" si="10"/>
        <v>18690.34732</v>
      </c>
      <c r="Y16" s="50">
        <f t="shared" si="10"/>
        <v>18703.92955</v>
      </c>
      <c r="Z16" s="50">
        <f t="shared" si="10"/>
        <v>18736.89308</v>
      </c>
      <c r="AA16" s="50">
        <f t="shared" si="10"/>
        <v>18769.61778</v>
      </c>
      <c r="AB16" s="50">
        <f t="shared" si="10"/>
        <v>18781.73958</v>
      </c>
      <c r="AC16" s="50">
        <f t="shared" si="10"/>
        <v>18813.26958</v>
      </c>
      <c r="AD16" s="50">
        <f t="shared" si="10"/>
        <v>20749.58716</v>
      </c>
      <c r="AE16" s="50">
        <f t="shared" si="10"/>
        <v>20838.57063</v>
      </c>
      <c r="AF16" s="50">
        <f t="shared" si="10"/>
        <v>20925.28208</v>
      </c>
      <c r="AG16" s="50">
        <f t="shared" si="10"/>
        <v>21010.15036</v>
      </c>
      <c r="AH16" s="50">
        <f t="shared" si="10"/>
        <v>21092.85894</v>
      </c>
      <c r="AI16" s="50">
        <f t="shared" si="10"/>
        <v>22053.46508</v>
      </c>
      <c r="AJ16" s="50">
        <f t="shared" si="10"/>
        <v>22132.39292</v>
      </c>
      <c r="AK16" s="50">
        <f t="shared" si="10"/>
        <v>22208.9529</v>
      </c>
      <c r="AL16" s="50">
        <f t="shared" si="10"/>
        <v>22283.57307</v>
      </c>
      <c r="AM16" s="50">
        <f t="shared" si="10"/>
        <v>22356.67315</v>
      </c>
      <c r="AN16" s="50">
        <f t="shared" si="10"/>
        <v>22427.55925</v>
      </c>
      <c r="AO16" s="50">
        <f t="shared" si="10"/>
        <v>22496.65523</v>
      </c>
      <c r="AP16" s="50">
        <f t="shared" si="10"/>
        <v>22729.37672</v>
      </c>
      <c r="AQ16" s="50">
        <f t="shared" si="10"/>
        <v>22814.0717</v>
      </c>
      <c r="AR16" s="50">
        <f t="shared" si="10"/>
        <v>22916.55257</v>
      </c>
      <c r="AS16" s="50">
        <f t="shared" si="10"/>
        <v>22996.87928</v>
      </c>
      <c r="AT16" s="50">
        <f t="shared" si="10"/>
        <v>23955.11009</v>
      </c>
      <c r="AU16" s="50">
        <f t="shared" si="10"/>
        <v>24031.67013</v>
      </c>
      <c r="AV16" s="50">
        <f t="shared" si="10"/>
        <v>24126.23923</v>
      </c>
      <c r="AW16" s="50">
        <f t="shared" si="10"/>
        <v>24198.50259</v>
      </c>
      <c r="AX16" s="50">
        <f t="shared" si="10"/>
        <v>25148.51919</v>
      </c>
      <c r="AY16" s="50">
        <f t="shared" si="10"/>
        <v>25217.08338</v>
      </c>
      <c r="AZ16" s="50">
        <f t="shared" si="10"/>
        <v>25303.50053</v>
      </c>
      <c r="BA16" s="50">
        <f t="shared" si="10"/>
        <v>25367.8253</v>
      </c>
      <c r="BB16" s="50"/>
      <c r="BC16" s="50">
        <f t="shared" ref="BC16:BF16" si="11">SUMPRODUCT((YEAR($F$3:$BA$3)=BC$3)*$F16:$BA16)</f>
        <v>173901.2188</v>
      </c>
      <c r="BD16" s="50">
        <f t="shared" si="11"/>
        <v>203694.2129</v>
      </c>
      <c r="BE16" s="50">
        <f t="shared" si="11"/>
        <v>260575.7208</v>
      </c>
      <c r="BF16" s="50">
        <f t="shared" si="11"/>
        <v>288805.3307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Row="1"/>
  <cols>
    <col customWidth="1" min="2" max="2" width="42.38"/>
  </cols>
  <sheetData>
    <row r="1">
      <c r="A1" s="1"/>
      <c r="B1" s="2" t="s">
        <v>154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1"/>
      <c r="C2" s="47">
        <v>46388.0</v>
      </c>
      <c r="D2" s="47">
        <v>46419.0</v>
      </c>
      <c r="E2" s="47">
        <v>46447.0</v>
      </c>
      <c r="F2" s="47">
        <v>46478.0</v>
      </c>
      <c r="G2" s="47">
        <v>46508.0</v>
      </c>
      <c r="H2" s="47">
        <v>46539.0</v>
      </c>
      <c r="I2" s="47">
        <v>46569.0</v>
      </c>
      <c r="J2" s="47">
        <v>46600.0</v>
      </c>
      <c r="K2" s="47">
        <v>46631.0</v>
      </c>
      <c r="L2" s="47">
        <v>46661.0</v>
      </c>
      <c r="M2" s="47">
        <v>46692.0</v>
      </c>
      <c r="N2" s="47">
        <v>46722.0</v>
      </c>
      <c r="O2" s="47">
        <v>46753.0</v>
      </c>
      <c r="P2" s="47">
        <v>46784.0</v>
      </c>
      <c r="Q2" s="47">
        <v>46813.0</v>
      </c>
      <c r="R2" s="47">
        <v>46844.0</v>
      </c>
      <c r="S2" s="47">
        <v>46874.0</v>
      </c>
      <c r="T2" s="47">
        <v>46905.0</v>
      </c>
      <c r="U2" s="47">
        <v>46935.0</v>
      </c>
      <c r="V2" s="47">
        <v>46966.0</v>
      </c>
      <c r="W2" s="47">
        <v>46997.0</v>
      </c>
      <c r="X2" s="47">
        <v>47027.0</v>
      </c>
      <c r="Y2" s="47">
        <v>47058.0</v>
      </c>
      <c r="Z2" s="47">
        <v>47088.0</v>
      </c>
      <c r="AA2" s="47">
        <v>47119.0</v>
      </c>
      <c r="AB2" s="47">
        <v>47150.0</v>
      </c>
      <c r="AC2" s="47">
        <v>47178.0</v>
      </c>
      <c r="AD2" s="47">
        <v>47209.0</v>
      </c>
      <c r="AE2" s="47">
        <v>47239.0</v>
      </c>
      <c r="AF2" s="47">
        <v>47270.0</v>
      </c>
      <c r="AG2" s="47">
        <v>47300.0</v>
      </c>
      <c r="AH2" s="47">
        <v>47331.0</v>
      </c>
      <c r="AI2" s="47">
        <v>47362.0</v>
      </c>
      <c r="AJ2" s="47">
        <v>47392.0</v>
      </c>
      <c r="AK2" s="47">
        <v>47423.0</v>
      </c>
      <c r="AL2" s="47">
        <v>47453.0</v>
      </c>
      <c r="AM2" s="47">
        <v>47484.0</v>
      </c>
      <c r="AN2" s="47">
        <v>47515.0</v>
      </c>
      <c r="AO2" s="47">
        <v>47543.0</v>
      </c>
      <c r="AP2" s="47">
        <v>47574.0</v>
      </c>
      <c r="AQ2" s="47">
        <v>47604.0</v>
      </c>
      <c r="AR2" s="47">
        <v>47635.0</v>
      </c>
      <c r="AS2" s="47">
        <v>47665.0</v>
      </c>
      <c r="AT2" s="47">
        <v>47696.0</v>
      </c>
      <c r="AU2" s="47">
        <v>47727.0</v>
      </c>
      <c r="AV2" s="47">
        <v>47757.0</v>
      </c>
      <c r="AW2" s="47">
        <v>47788.0</v>
      </c>
      <c r="AX2" s="47">
        <v>47818.0</v>
      </c>
      <c r="AY2" s="1"/>
      <c r="AZ2" s="4">
        <v>2027.0</v>
      </c>
      <c r="BA2" s="4">
        <v>2028.0</v>
      </c>
      <c r="BB2" s="4">
        <v>2029.0</v>
      </c>
      <c r="BC2" s="4">
        <v>2030.0</v>
      </c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6" t="s">
        <v>155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1"/>
      <c r="BE4" s="1"/>
      <c r="BF4" s="1"/>
    </row>
    <row r="5">
      <c r="A5" s="1"/>
      <c r="B5" s="3" t="s">
        <v>156</v>
      </c>
      <c r="C5" s="26">
        <f>'Revenue forecast'!F34</f>
        <v>26000</v>
      </c>
      <c r="D5" s="26">
        <f>'Revenue forecast'!G34</f>
        <v>40000</v>
      </c>
      <c r="E5" s="26">
        <f>'Revenue forecast'!H34</f>
        <v>33500</v>
      </c>
      <c r="F5" s="26">
        <f>'Revenue forecast'!I34</f>
        <v>40000</v>
      </c>
      <c r="G5" s="26">
        <f>'Revenue forecast'!J34</f>
        <v>41000</v>
      </c>
      <c r="H5" s="26">
        <f>'Revenue forecast'!K34</f>
        <v>48500</v>
      </c>
      <c r="I5" s="26">
        <f>'Revenue forecast'!L34</f>
        <v>48500</v>
      </c>
      <c r="J5" s="26">
        <f>'Revenue forecast'!M34</f>
        <v>48500</v>
      </c>
      <c r="K5" s="26">
        <f>'Revenue forecast'!N34</f>
        <v>41000</v>
      </c>
      <c r="L5" s="26">
        <f>'Revenue forecast'!O34</f>
        <v>55000</v>
      </c>
      <c r="M5" s="26">
        <f>'Revenue forecast'!P34</f>
        <v>55000</v>
      </c>
      <c r="N5" s="26">
        <f>'Revenue forecast'!Q34</f>
        <v>47500</v>
      </c>
      <c r="O5" s="26">
        <f>'Revenue forecast'!R34</f>
        <v>51000</v>
      </c>
      <c r="P5" s="26">
        <f>'Revenue forecast'!S34</f>
        <v>51000</v>
      </c>
      <c r="Q5" s="26">
        <f>'Revenue forecast'!T34</f>
        <v>59000</v>
      </c>
      <c r="R5" s="26">
        <f>'Revenue forecast'!U34</f>
        <v>67000</v>
      </c>
      <c r="S5" s="26">
        <f>'Revenue forecast'!V34</f>
        <v>59000</v>
      </c>
      <c r="T5" s="26">
        <f>'Revenue forecast'!W34</f>
        <v>67000</v>
      </c>
      <c r="U5" s="26">
        <f>'Revenue forecast'!X34</f>
        <v>75000</v>
      </c>
      <c r="V5" s="26">
        <f>'Revenue forecast'!Y34</f>
        <v>67000</v>
      </c>
      <c r="W5" s="26">
        <f>'Revenue forecast'!Z34</f>
        <v>75000</v>
      </c>
      <c r="X5" s="26">
        <f>'Revenue forecast'!AA34</f>
        <v>75000</v>
      </c>
      <c r="Y5" s="26">
        <f>'Revenue forecast'!AB34</f>
        <v>67000</v>
      </c>
      <c r="Z5" s="26">
        <f>'Revenue forecast'!AC34</f>
        <v>75000</v>
      </c>
      <c r="AA5" s="26">
        <f>'Revenue forecast'!AD34</f>
        <v>77500</v>
      </c>
      <c r="AB5" s="26">
        <f>'Revenue forecast'!AE34</f>
        <v>77000</v>
      </c>
      <c r="AC5" s="26">
        <f>'Revenue forecast'!AF34</f>
        <v>85000</v>
      </c>
      <c r="AD5" s="26">
        <f>'Revenue forecast'!AG34</f>
        <v>85000</v>
      </c>
      <c r="AE5" s="26">
        <f>'Revenue forecast'!AH34</f>
        <v>84500</v>
      </c>
      <c r="AF5" s="26">
        <f>'Revenue forecast'!AI34</f>
        <v>100500</v>
      </c>
      <c r="AG5" s="26">
        <f>'Revenue forecast'!AJ34</f>
        <v>93000</v>
      </c>
      <c r="AH5" s="26">
        <f>'Revenue forecast'!AK34</f>
        <v>92500</v>
      </c>
      <c r="AI5" s="26">
        <f>'Revenue forecast'!AL34</f>
        <v>100500</v>
      </c>
      <c r="AJ5" s="26">
        <f>'Revenue forecast'!AM34</f>
        <v>92500</v>
      </c>
      <c r="AK5" s="26">
        <f>'Revenue forecast'!AN34</f>
        <v>92500</v>
      </c>
      <c r="AL5" s="26">
        <f>'Revenue forecast'!AO34</f>
        <v>100500</v>
      </c>
      <c r="AM5" s="26">
        <f>'Revenue forecast'!AP34</f>
        <v>99000</v>
      </c>
      <c r="AN5" s="26">
        <f>'Revenue forecast'!AQ34</f>
        <v>98500</v>
      </c>
      <c r="AO5" s="26">
        <f>'Revenue forecast'!AR34</f>
        <v>107500</v>
      </c>
      <c r="AP5" s="26">
        <f>'Revenue forecast'!AS34</f>
        <v>107500</v>
      </c>
      <c r="AQ5" s="26">
        <f>'Revenue forecast'!AT34</f>
        <v>124500</v>
      </c>
      <c r="AR5" s="26">
        <f>'Revenue forecast'!AU34</f>
        <v>124000</v>
      </c>
      <c r="AS5" s="26">
        <f>'Revenue forecast'!AV34</f>
        <v>124500</v>
      </c>
      <c r="AT5" s="26">
        <f>'Revenue forecast'!AW34</f>
        <v>116000</v>
      </c>
      <c r="AU5" s="26">
        <f>'Revenue forecast'!AX34</f>
        <v>133000</v>
      </c>
      <c r="AV5" s="26">
        <f>'Revenue forecast'!AY34</f>
        <v>124000</v>
      </c>
      <c r="AW5" s="26">
        <f>'Revenue forecast'!AZ34</f>
        <v>124500</v>
      </c>
      <c r="AX5" s="26">
        <f>'Revenue forecast'!BA34</f>
        <v>116000</v>
      </c>
      <c r="AY5" s="26"/>
      <c r="AZ5" s="26">
        <f t="shared" ref="AZ5:BC5" si="1">SUMPRODUCT((YEAR($C$2:$AX$2)=AZ$2)*$C5:$AX5)</f>
        <v>524500</v>
      </c>
      <c r="BA5" s="26">
        <f t="shared" si="1"/>
        <v>788000</v>
      </c>
      <c r="BB5" s="26">
        <f t="shared" si="1"/>
        <v>1081000</v>
      </c>
      <c r="BC5" s="26">
        <f t="shared" si="1"/>
        <v>1399000</v>
      </c>
      <c r="BD5" s="1"/>
      <c r="BE5" s="1"/>
      <c r="BF5" s="1"/>
    </row>
    <row r="6">
      <c r="A6" s="1"/>
      <c r="B6" s="3" t="s">
        <v>157</v>
      </c>
      <c r="C6" s="26">
        <f>'Revenue forecast'!F35</f>
        <v>0</v>
      </c>
      <c r="D6" s="26">
        <f>'Revenue forecast'!G35</f>
        <v>100000</v>
      </c>
      <c r="E6" s="26">
        <f>'Revenue forecast'!H35</f>
        <v>0</v>
      </c>
      <c r="F6" s="26">
        <f>'Revenue forecast'!I35</f>
        <v>0</v>
      </c>
      <c r="G6" s="26">
        <f>'Revenue forecast'!J35</f>
        <v>0</v>
      </c>
      <c r="H6" s="26">
        <f>'Revenue forecast'!K35</f>
        <v>20000</v>
      </c>
      <c r="I6" s="26">
        <f>'Revenue forecast'!L35</f>
        <v>20000</v>
      </c>
      <c r="J6" s="26">
        <f>'Revenue forecast'!M35</f>
        <v>20000</v>
      </c>
      <c r="K6" s="26">
        <f>'Revenue forecast'!N35</f>
        <v>140000</v>
      </c>
      <c r="L6" s="26">
        <f>'Revenue forecast'!O35</f>
        <v>0</v>
      </c>
      <c r="M6" s="26">
        <f>'Revenue forecast'!P35</f>
        <v>20000</v>
      </c>
      <c r="N6" s="26">
        <f>'Revenue forecast'!Q35</f>
        <v>140000</v>
      </c>
      <c r="O6" s="26">
        <f>'Revenue forecast'!R35</f>
        <v>236600</v>
      </c>
      <c r="P6" s="26">
        <f>'Revenue forecast'!S35</f>
        <v>35000</v>
      </c>
      <c r="Q6" s="26">
        <f>'Revenue forecast'!T35</f>
        <v>35000</v>
      </c>
      <c r="R6" s="26">
        <f>'Revenue forecast'!U35</f>
        <v>35000</v>
      </c>
      <c r="S6" s="26">
        <f>'Revenue forecast'!V35</f>
        <v>236600</v>
      </c>
      <c r="T6" s="26">
        <f>'Revenue forecast'!W35</f>
        <v>35000</v>
      </c>
      <c r="U6" s="26">
        <f>'Revenue forecast'!X35</f>
        <v>35000</v>
      </c>
      <c r="V6" s="26">
        <f>'Revenue forecast'!Y35</f>
        <v>236600</v>
      </c>
      <c r="W6" s="26">
        <f>'Revenue forecast'!Z35</f>
        <v>35000</v>
      </c>
      <c r="X6" s="26">
        <f>'Revenue forecast'!AA35</f>
        <v>236600</v>
      </c>
      <c r="Y6" s="26">
        <f>'Revenue forecast'!AB35</f>
        <v>236600</v>
      </c>
      <c r="Z6" s="26">
        <f>'Revenue forecast'!AC35</f>
        <v>35000</v>
      </c>
      <c r="AA6" s="26">
        <f>'Revenue forecast'!AD35</f>
        <v>358400</v>
      </c>
      <c r="AB6" s="26">
        <f>'Revenue forecast'!AE35</f>
        <v>358400</v>
      </c>
      <c r="AC6" s="26">
        <f>'Revenue forecast'!AF35</f>
        <v>56000</v>
      </c>
      <c r="AD6" s="26">
        <f>'Revenue forecast'!AG35</f>
        <v>358400</v>
      </c>
      <c r="AE6" s="26">
        <f>'Revenue forecast'!AH35</f>
        <v>358400</v>
      </c>
      <c r="AF6" s="26">
        <f>'Revenue forecast'!AI35</f>
        <v>56000</v>
      </c>
      <c r="AG6" s="26">
        <f>'Revenue forecast'!AJ35</f>
        <v>414400</v>
      </c>
      <c r="AH6" s="26">
        <f>'Revenue forecast'!AK35</f>
        <v>358400</v>
      </c>
      <c r="AI6" s="26">
        <f>'Revenue forecast'!AL35</f>
        <v>56000</v>
      </c>
      <c r="AJ6" s="26">
        <f>'Revenue forecast'!AM35</f>
        <v>414400</v>
      </c>
      <c r="AK6" s="26">
        <f>'Revenue forecast'!AN35</f>
        <v>358400</v>
      </c>
      <c r="AL6" s="26">
        <f>'Revenue forecast'!AO35</f>
        <v>56000</v>
      </c>
      <c r="AM6" s="26">
        <f>'Revenue forecast'!AP35</f>
        <v>1032000</v>
      </c>
      <c r="AN6" s="26">
        <f>'Revenue forecast'!AQ35</f>
        <v>516000</v>
      </c>
      <c r="AO6" s="26">
        <f>'Revenue forecast'!AR35</f>
        <v>192000</v>
      </c>
      <c r="AP6" s="26">
        <f>'Revenue forecast'!AS35</f>
        <v>516000</v>
      </c>
      <c r="AQ6" s="26">
        <f>'Revenue forecast'!AT35</f>
        <v>96000</v>
      </c>
      <c r="AR6" s="26">
        <f>'Revenue forecast'!AU35</f>
        <v>516000</v>
      </c>
      <c r="AS6" s="26">
        <f>'Revenue forecast'!AV35</f>
        <v>612000</v>
      </c>
      <c r="AT6" s="26">
        <f>'Revenue forecast'!AW35</f>
        <v>936000</v>
      </c>
      <c r="AU6" s="26">
        <f>'Revenue forecast'!AX35</f>
        <v>96000</v>
      </c>
      <c r="AV6" s="26">
        <f>'Revenue forecast'!AY35</f>
        <v>936000</v>
      </c>
      <c r="AW6" s="26">
        <f>'Revenue forecast'!AZ35</f>
        <v>612000</v>
      </c>
      <c r="AX6" s="26">
        <f>'Revenue forecast'!BA35</f>
        <v>936000</v>
      </c>
      <c r="AY6" s="26"/>
      <c r="AZ6" s="26">
        <f t="shared" ref="AZ6:BC6" si="2">SUMPRODUCT((YEAR($C$2:$AX$2)=AZ$2)*$C6:$AX6)</f>
        <v>460000</v>
      </c>
      <c r="BA6" s="26">
        <f t="shared" si="2"/>
        <v>1428000</v>
      </c>
      <c r="BB6" s="26">
        <f t="shared" si="2"/>
        <v>3203200</v>
      </c>
      <c r="BC6" s="26">
        <f t="shared" si="2"/>
        <v>6996000</v>
      </c>
      <c r="BD6" s="1"/>
      <c r="BE6" s="1"/>
      <c r="BF6" s="1"/>
    </row>
    <row r="7">
      <c r="A7" s="1"/>
      <c r="B7" s="3" t="s">
        <v>145</v>
      </c>
      <c r="C7" s="62">
        <f>'Revenue forecast'!F36</f>
        <v>2000</v>
      </c>
      <c r="D7" s="62">
        <f>'Revenue forecast'!G36</f>
        <v>3000</v>
      </c>
      <c r="E7" s="62">
        <f>'Revenue forecast'!H36</f>
        <v>3500</v>
      </c>
      <c r="F7" s="62">
        <f>'Revenue forecast'!I36</f>
        <v>3981.57653</v>
      </c>
      <c r="G7" s="62">
        <f>'Revenue forecast'!J36</f>
        <v>4463.492484</v>
      </c>
      <c r="H7" s="62">
        <f>'Revenue forecast'!K36</f>
        <v>5436.529874</v>
      </c>
      <c r="I7" s="62">
        <f>'Revenue forecast'!L36</f>
        <v>5900.852274</v>
      </c>
      <c r="J7" s="62">
        <f>'Revenue forecast'!M36</f>
        <v>6356.620244</v>
      </c>
      <c r="K7" s="62">
        <f>'Revenue forecast'!N36</f>
        <v>6803.991386</v>
      </c>
      <c r="L7" s="62">
        <f>'Revenue forecast'!O36</f>
        <v>7733.908664</v>
      </c>
      <c r="M7" s="62">
        <f>'Revenue forecast'!P36</f>
        <v>8165.117109</v>
      </c>
      <c r="N7" s="62">
        <f>'Revenue forecast'!Q36</f>
        <v>8588.381199</v>
      </c>
      <c r="O7" s="62">
        <f>'Revenue forecast'!R36</f>
        <v>9494.63556</v>
      </c>
      <c r="P7" s="62">
        <f>'Revenue forecast'!S36</f>
        <v>9884.193571</v>
      </c>
      <c r="Q7" s="62">
        <f>'Revenue forecast'!T36</f>
        <v>10766.57457</v>
      </c>
      <c r="R7" s="62">
        <f>'Revenue forecast'!U36</f>
        <v>11641.91079</v>
      </c>
      <c r="S7" s="62">
        <f>'Revenue forecast'!V36</f>
        <v>12010.33201</v>
      </c>
      <c r="T7" s="62">
        <f>'Revenue forecast'!W36</f>
        <v>12862.75389</v>
      </c>
      <c r="U7" s="62">
        <f>'Revenue forecast'!X36</f>
        <v>13708.68295</v>
      </c>
      <c r="V7" s="62">
        <f>'Revenue forecast'!Y36</f>
        <v>14048.23879</v>
      </c>
      <c r="W7" s="62">
        <f>'Revenue forecast'!Z36</f>
        <v>14872.3271</v>
      </c>
      <c r="X7" s="62">
        <f>'Revenue forecast'!AA36</f>
        <v>15690.44457</v>
      </c>
      <c r="Y7" s="62">
        <f>'Revenue forecast'!AB36</f>
        <v>15993.48949</v>
      </c>
      <c r="Z7" s="62">
        <f>'Revenue forecast'!AC36</f>
        <v>16781.73953</v>
      </c>
      <c r="AA7" s="62">
        <f>'Revenue forecast'!AD36</f>
        <v>19064.679</v>
      </c>
      <c r="AB7" s="62">
        <f>'Revenue forecast'!AE36</f>
        <v>21289.26572</v>
      </c>
      <c r="AC7" s="62">
        <f>'Revenue forecast'!AF36</f>
        <v>23457.05189</v>
      </c>
      <c r="AD7" s="62">
        <f>'Revenue forecast'!AG36</f>
        <v>25578.75889</v>
      </c>
      <c r="AE7" s="62">
        <f>'Revenue forecast'!AH36</f>
        <v>27646.47354</v>
      </c>
      <c r="AF7" s="62">
        <f>'Revenue forecast'!AI36</f>
        <v>30161.62701</v>
      </c>
      <c r="AG7" s="62">
        <f>'Revenue forecast'!AJ36</f>
        <v>32134.82306</v>
      </c>
      <c r="AH7" s="62">
        <f>'Revenue forecast'!AK36</f>
        <v>34048.82248</v>
      </c>
      <c r="AI7" s="62">
        <f>'Revenue forecast'!AL36</f>
        <v>35914.32682</v>
      </c>
      <c r="AJ7" s="62">
        <f>'Revenue forecast'!AM36</f>
        <v>37741.8288</v>
      </c>
      <c r="AK7" s="62">
        <f>'Revenue forecast'!AN36</f>
        <v>39513.98124</v>
      </c>
      <c r="AL7" s="62">
        <f>'Revenue forecast'!AO36</f>
        <v>41241.38078</v>
      </c>
      <c r="AM7" s="62">
        <f>'Revenue forecast'!AP36</f>
        <v>43934.41811</v>
      </c>
      <c r="AN7" s="62">
        <f>'Revenue forecast'!AQ36</f>
        <v>46051.79242</v>
      </c>
      <c r="AO7" s="62">
        <f>'Revenue forecast'!AR36</f>
        <v>48613.81422</v>
      </c>
      <c r="AP7" s="62">
        <f>'Revenue forecast'!AS36</f>
        <v>50621.98189</v>
      </c>
      <c r="AQ7" s="62">
        <f>'Revenue forecast'!AT36</f>
        <v>53077.75223</v>
      </c>
      <c r="AR7" s="62">
        <f>'Revenue forecast'!AU36</f>
        <v>54991.75331</v>
      </c>
      <c r="AS7" s="62">
        <f>'Revenue forecast'!AV36</f>
        <v>57355.98071</v>
      </c>
      <c r="AT7" s="62">
        <f>'Revenue forecast'!AW36</f>
        <v>59162.56466</v>
      </c>
      <c r="AU7" s="62">
        <f>'Revenue forecast'!AX36</f>
        <v>61412.97969</v>
      </c>
      <c r="AV7" s="62">
        <f>'Revenue forecast'!AY36</f>
        <v>63127.08452</v>
      </c>
      <c r="AW7" s="62">
        <f>'Revenue forecast'!AZ36</f>
        <v>65287.51336</v>
      </c>
      <c r="AX7" s="62">
        <f>'Revenue forecast'!BA36</f>
        <v>66895.63244</v>
      </c>
      <c r="AY7" s="62"/>
      <c r="AZ7" s="62">
        <f t="shared" ref="AZ7:BC7" si="3">SUMPRODUCT((YEAR($C$2:$AX$2)=AZ$2)*$C7:$AX7)</f>
        <v>65930.46976</v>
      </c>
      <c r="BA7" s="62">
        <f t="shared" si="3"/>
        <v>157755.3228</v>
      </c>
      <c r="BB7" s="62">
        <f t="shared" si="3"/>
        <v>367793.0192</v>
      </c>
      <c r="BC7" s="62">
        <f t="shared" si="3"/>
        <v>670533.2676</v>
      </c>
      <c r="BD7" s="1"/>
      <c r="BE7" s="1"/>
      <c r="BF7" s="1"/>
    </row>
    <row r="8">
      <c r="A8" s="1"/>
      <c r="B8" s="3" t="s">
        <v>114</v>
      </c>
      <c r="C8" s="26">
        <f>'Revenue forecast'!F38</f>
        <v>-1950</v>
      </c>
      <c r="D8" s="26">
        <f>'Revenue forecast'!G38</f>
        <v>-10500</v>
      </c>
      <c r="E8" s="26">
        <f>'Revenue forecast'!H38</f>
        <v>-2512.5</v>
      </c>
      <c r="F8" s="26">
        <f>'Revenue forecast'!I38</f>
        <v>-3000</v>
      </c>
      <c r="G8" s="26">
        <f>'Revenue forecast'!J38</f>
        <v>-3075</v>
      </c>
      <c r="H8" s="26">
        <f>'Revenue forecast'!K38</f>
        <v>-5137.5</v>
      </c>
      <c r="I8" s="26">
        <f>'Revenue forecast'!L38</f>
        <v>-5137.5</v>
      </c>
      <c r="J8" s="26">
        <f>'Revenue forecast'!M38</f>
        <v>-5137.5</v>
      </c>
      <c r="K8" s="26">
        <f>'Revenue forecast'!N38</f>
        <v>-13575</v>
      </c>
      <c r="L8" s="26">
        <f>'Revenue forecast'!O38</f>
        <v>-4125</v>
      </c>
      <c r="M8" s="26">
        <f>'Revenue forecast'!P38</f>
        <v>-5625</v>
      </c>
      <c r="N8" s="26">
        <f>'Revenue forecast'!Q38</f>
        <v>-14062.5</v>
      </c>
      <c r="O8" s="26">
        <f>'Revenue forecast'!R38</f>
        <v>-21570</v>
      </c>
      <c r="P8" s="26">
        <f>'Revenue forecast'!S38</f>
        <v>-6450</v>
      </c>
      <c r="Q8" s="26">
        <f>'Revenue forecast'!T38</f>
        <v>-7050</v>
      </c>
      <c r="R8" s="26">
        <f>'Revenue forecast'!U38</f>
        <v>-7650</v>
      </c>
      <c r="S8" s="26">
        <f>'Revenue forecast'!V38</f>
        <v>-22170</v>
      </c>
      <c r="T8" s="26">
        <f>'Revenue forecast'!W38</f>
        <v>-7650</v>
      </c>
      <c r="U8" s="26">
        <f>'Revenue forecast'!X38</f>
        <v>-8250</v>
      </c>
      <c r="V8" s="26">
        <f>'Revenue forecast'!Y38</f>
        <v>-22770</v>
      </c>
      <c r="W8" s="26">
        <f>'Revenue forecast'!Z38</f>
        <v>-8250</v>
      </c>
      <c r="X8" s="26">
        <f>'Revenue forecast'!AA38</f>
        <v>-23370</v>
      </c>
      <c r="Y8" s="26">
        <f>'Revenue forecast'!AB38</f>
        <v>-22770</v>
      </c>
      <c r="Z8" s="26">
        <f>'Revenue forecast'!AC38</f>
        <v>-8250</v>
      </c>
      <c r="AA8" s="26">
        <f>'Revenue forecast'!AD38</f>
        <v>-32692.5</v>
      </c>
      <c r="AB8" s="26">
        <f>'Revenue forecast'!AE38</f>
        <v>-32655</v>
      </c>
      <c r="AC8" s="26">
        <f>'Revenue forecast'!AF38</f>
        <v>-10575</v>
      </c>
      <c r="AD8" s="26">
        <f>'Revenue forecast'!AG38</f>
        <v>-33255</v>
      </c>
      <c r="AE8" s="26">
        <f>'Revenue forecast'!AH38</f>
        <v>-33217.5</v>
      </c>
      <c r="AF8" s="26">
        <f>'Revenue forecast'!AI38</f>
        <v>-11737.5</v>
      </c>
      <c r="AG8" s="26">
        <f>'Revenue forecast'!AJ38</f>
        <v>-38055</v>
      </c>
      <c r="AH8" s="26">
        <f>'Revenue forecast'!AK38</f>
        <v>-33817.5</v>
      </c>
      <c r="AI8" s="26">
        <f>'Revenue forecast'!AL38</f>
        <v>-11737.5</v>
      </c>
      <c r="AJ8" s="26">
        <f>'Revenue forecast'!AM38</f>
        <v>-38017.5</v>
      </c>
      <c r="AK8" s="26">
        <f>'Revenue forecast'!AN38</f>
        <v>-33817.5</v>
      </c>
      <c r="AL8" s="26">
        <f>'Revenue forecast'!AO38</f>
        <v>-11737.5</v>
      </c>
      <c r="AM8" s="26">
        <f>'Revenue forecast'!AP38</f>
        <v>-84825</v>
      </c>
      <c r="AN8" s="26">
        <f>'Revenue forecast'!AQ38</f>
        <v>-46087.5</v>
      </c>
      <c r="AO8" s="26">
        <f>'Revenue forecast'!AR38</f>
        <v>-22462.5</v>
      </c>
      <c r="AP8" s="26">
        <f>'Revenue forecast'!AS38</f>
        <v>-46762.5</v>
      </c>
      <c r="AQ8" s="26">
        <f>'Revenue forecast'!AT38</f>
        <v>-16537.5</v>
      </c>
      <c r="AR8" s="26">
        <f>'Revenue forecast'!AU38</f>
        <v>-48000</v>
      </c>
      <c r="AS8" s="26">
        <f>'Revenue forecast'!AV38</f>
        <v>-55237.5</v>
      </c>
      <c r="AT8" s="26">
        <f>'Revenue forecast'!AW38</f>
        <v>-78900</v>
      </c>
      <c r="AU8" s="26">
        <f>'Revenue forecast'!AX38</f>
        <v>-17175</v>
      </c>
      <c r="AV8" s="26">
        <f>'Revenue forecast'!AY38</f>
        <v>-79500</v>
      </c>
      <c r="AW8" s="26">
        <f>'Revenue forecast'!AZ38</f>
        <v>-55237.5</v>
      </c>
      <c r="AX8" s="26">
        <f>'Revenue forecast'!BA38</f>
        <v>-78900</v>
      </c>
      <c r="AY8" s="26"/>
      <c r="AZ8" s="26">
        <f t="shared" ref="AZ8:BC8" si="4">SUMPRODUCT((YEAR($C$2:$AX$2)=AZ$2)*$C8:$AX8)</f>
        <v>-73837.5</v>
      </c>
      <c r="BA8" s="26">
        <f t="shared" si="4"/>
        <v>-166200</v>
      </c>
      <c r="BB8" s="26">
        <f t="shared" si="4"/>
        <v>-321315</v>
      </c>
      <c r="BC8" s="26">
        <f t="shared" si="4"/>
        <v>-629625</v>
      </c>
      <c r="BD8" s="1"/>
      <c r="BE8" s="1"/>
      <c r="BF8" s="1"/>
    </row>
    <row r="9">
      <c r="A9" s="1"/>
      <c r="B9" s="48" t="s">
        <v>158</v>
      </c>
      <c r="C9" s="50">
        <f t="shared" ref="C9:AX9" si="5">C5+C6+C7+C8</f>
        <v>26050</v>
      </c>
      <c r="D9" s="50">
        <f t="shared" si="5"/>
        <v>132500</v>
      </c>
      <c r="E9" s="50">
        <f t="shared" si="5"/>
        <v>34487.5</v>
      </c>
      <c r="F9" s="50">
        <f t="shared" si="5"/>
        <v>40981.57653</v>
      </c>
      <c r="G9" s="50">
        <f t="shared" si="5"/>
        <v>42388.49248</v>
      </c>
      <c r="H9" s="50">
        <f t="shared" si="5"/>
        <v>68799.02987</v>
      </c>
      <c r="I9" s="50">
        <f t="shared" si="5"/>
        <v>69263.35227</v>
      </c>
      <c r="J9" s="50">
        <f t="shared" si="5"/>
        <v>69719.12024</v>
      </c>
      <c r="K9" s="50">
        <f t="shared" si="5"/>
        <v>174228.9914</v>
      </c>
      <c r="L9" s="50">
        <f t="shared" si="5"/>
        <v>58608.90866</v>
      </c>
      <c r="M9" s="50">
        <f t="shared" si="5"/>
        <v>77540.11711</v>
      </c>
      <c r="N9" s="50">
        <f t="shared" si="5"/>
        <v>182025.8812</v>
      </c>
      <c r="O9" s="50">
        <f t="shared" si="5"/>
        <v>275524.6356</v>
      </c>
      <c r="P9" s="50">
        <f t="shared" si="5"/>
        <v>89434.19357</v>
      </c>
      <c r="Q9" s="50">
        <f t="shared" si="5"/>
        <v>97716.57457</v>
      </c>
      <c r="R9" s="50">
        <f t="shared" si="5"/>
        <v>105991.9108</v>
      </c>
      <c r="S9" s="50">
        <f t="shared" si="5"/>
        <v>285440.332</v>
      </c>
      <c r="T9" s="50">
        <f t="shared" si="5"/>
        <v>107212.7539</v>
      </c>
      <c r="U9" s="50">
        <f t="shared" si="5"/>
        <v>115458.6829</v>
      </c>
      <c r="V9" s="50">
        <f t="shared" si="5"/>
        <v>294878.2388</v>
      </c>
      <c r="W9" s="50">
        <f t="shared" si="5"/>
        <v>116622.3271</v>
      </c>
      <c r="X9" s="50">
        <f t="shared" si="5"/>
        <v>303920.4446</v>
      </c>
      <c r="Y9" s="50">
        <f t="shared" si="5"/>
        <v>296823.4895</v>
      </c>
      <c r="Z9" s="50">
        <f t="shared" si="5"/>
        <v>118531.7395</v>
      </c>
      <c r="AA9" s="50">
        <f t="shared" si="5"/>
        <v>422272.179</v>
      </c>
      <c r="AB9" s="50">
        <f t="shared" si="5"/>
        <v>424034.2657</v>
      </c>
      <c r="AC9" s="50">
        <f t="shared" si="5"/>
        <v>153882.0519</v>
      </c>
      <c r="AD9" s="50">
        <f t="shared" si="5"/>
        <v>435723.7589</v>
      </c>
      <c r="AE9" s="50">
        <f t="shared" si="5"/>
        <v>437328.9735</v>
      </c>
      <c r="AF9" s="50">
        <f t="shared" si="5"/>
        <v>174924.127</v>
      </c>
      <c r="AG9" s="50">
        <f t="shared" si="5"/>
        <v>501479.8231</v>
      </c>
      <c r="AH9" s="50">
        <f t="shared" si="5"/>
        <v>451131.3225</v>
      </c>
      <c r="AI9" s="50">
        <f t="shared" si="5"/>
        <v>180676.8268</v>
      </c>
      <c r="AJ9" s="50">
        <f t="shared" si="5"/>
        <v>506624.3288</v>
      </c>
      <c r="AK9" s="50">
        <f t="shared" si="5"/>
        <v>456596.4812</v>
      </c>
      <c r="AL9" s="50">
        <f t="shared" si="5"/>
        <v>186003.8808</v>
      </c>
      <c r="AM9" s="50">
        <f t="shared" si="5"/>
        <v>1090109.418</v>
      </c>
      <c r="AN9" s="50">
        <f t="shared" si="5"/>
        <v>614464.2924</v>
      </c>
      <c r="AO9" s="50">
        <f t="shared" si="5"/>
        <v>325651.3142</v>
      </c>
      <c r="AP9" s="50">
        <f t="shared" si="5"/>
        <v>627359.4819</v>
      </c>
      <c r="AQ9" s="50">
        <f t="shared" si="5"/>
        <v>257040.2522</v>
      </c>
      <c r="AR9" s="50">
        <f t="shared" si="5"/>
        <v>646991.7533</v>
      </c>
      <c r="AS9" s="50">
        <f t="shared" si="5"/>
        <v>738618.4807</v>
      </c>
      <c r="AT9" s="50">
        <f t="shared" si="5"/>
        <v>1032262.565</v>
      </c>
      <c r="AU9" s="50">
        <f t="shared" si="5"/>
        <v>273237.9797</v>
      </c>
      <c r="AV9" s="50">
        <f t="shared" si="5"/>
        <v>1043627.085</v>
      </c>
      <c r="AW9" s="50">
        <f t="shared" si="5"/>
        <v>746550.0134</v>
      </c>
      <c r="AX9" s="50">
        <f t="shared" si="5"/>
        <v>1039995.632</v>
      </c>
      <c r="AY9" s="50"/>
      <c r="AZ9" s="50">
        <f t="shared" ref="AZ9:BC9" si="6">AZ5+AZ6+AZ7+AZ8</f>
        <v>976592.9698</v>
      </c>
      <c r="BA9" s="50">
        <f t="shared" si="6"/>
        <v>2207555.323</v>
      </c>
      <c r="BB9" s="50">
        <f t="shared" si="6"/>
        <v>4330678.019</v>
      </c>
      <c r="BC9" s="50">
        <f t="shared" si="6"/>
        <v>8435908.268</v>
      </c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6" t="s">
        <v>159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1"/>
      <c r="BE11" s="1"/>
      <c r="BF11" s="1"/>
    </row>
    <row r="12">
      <c r="A12" s="1"/>
      <c r="B12" s="3" t="s">
        <v>135</v>
      </c>
      <c r="C12" s="26">
        <f>Personnel!F21+Personnel!F24</f>
        <v>41500</v>
      </c>
      <c r="D12" s="26">
        <f>Personnel!G21+Personnel!G24</f>
        <v>41500</v>
      </c>
      <c r="E12" s="26">
        <f>Personnel!H21+Personnel!H24</f>
        <v>41500</v>
      </c>
      <c r="F12" s="26">
        <f>Personnel!I21+Personnel!I24</f>
        <v>41500</v>
      </c>
      <c r="G12" s="26">
        <f>Personnel!J21+Personnel!J24</f>
        <v>41500</v>
      </c>
      <c r="H12" s="26">
        <f>Personnel!K21+Personnel!K24</f>
        <v>44500</v>
      </c>
      <c r="I12" s="26">
        <f>Personnel!L21+Personnel!L24</f>
        <v>44500</v>
      </c>
      <c r="J12" s="26">
        <f>Personnel!M21+Personnel!M24</f>
        <v>44500</v>
      </c>
      <c r="K12" s="26">
        <f>Personnel!N21+Personnel!N24</f>
        <v>44500</v>
      </c>
      <c r="L12" s="26">
        <f>Personnel!O21+Personnel!O24</f>
        <v>44500</v>
      </c>
      <c r="M12" s="26">
        <f>Personnel!P21+Personnel!P24</f>
        <v>44500</v>
      </c>
      <c r="N12" s="26">
        <f>Personnel!Q21+Personnel!Q24</f>
        <v>44500</v>
      </c>
      <c r="O12" s="26">
        <f>Personnel!R21+Personnel!R24</f>
        <v>50950</v>
      </c>
      <c r="P12" s="26">
        <f>Personnel!S21+Personnel!S24</f>
        <v>50950</v>
      </c>
      <c r="Q12" s="26">
        <f>Personnel!T21+Personnel!T24</f>
        <v>50950</v>
      </c>
      <c r="R12" s="26">
        <f>Personnel!U21+Personnel!U24</f>
        <v>50950</v>
      </c>
      <c r="S12" s="26">
        <f>Personnel!V21+Personnel!V24</f>
        <v>50950</v>
      </c>
      <c r="T12" s="26">
        <f>Personnel!W21+Personnel!W24</f>
        <v>50950</v>
      </c>
      <c r="U12" s="26">
        <f>Personnel!X21+Personnel!X24</f>
        <v>58950</v>
      </c>
      <c r="V12" s="26">
        <f>Personnel!Y21+Personnel!Y24</f>
        <v>58950</v>
      </c>
      <c r="W12" s="26">
        <f>Personnel!Z21+Personnel!Z24</f>
        <v>58950</v>
      </c>
      <c r="X12" s="26">
        <f>Personnel!AA21+Personnel!AA24</f>
        <v>58950</v>
      </c>
      <c r="Y12" s="26">
        <f>Personnel!AB21+Personnel!AB24</f>
        <v>58950</v>
      </c>
      <c r="Z12" s="26">
        <f>Personnel!AC21+Personnel!AC24</f>
        <v>58950</v>
      </c>
      <c r="AA12" s="26">
        <f>Personnel!AD21+Personnel!AD24</f>
        <v>78400</v>
      </c>
      <c r="AB12" s="26">
        <f>Personnel!AE21+Personnel!AE24</f>
        <v>78400</v>
      </c>
      <c r="AC12" s="26">
        <f>Personnel!AF21+Personnel!AF24</f>
        <v>78400</v>
      </c>
      <c r="AD12" s="26">
        <f>Personnel!AG21+Personnel!AG24</f>
        <v>78400</v>
      </c>
      <c r="AE12" s="26">
        <f>Personnel!AH21+Personnel!AH24</f>
        <v>78400</v>
      </c>
      <c r="AF12" s="26">
        <f>Personnel!AI21+Personnel!AI24</f>
        <v>81900</v>
      </c>
      <c r="AG12" s="26">
        <f>Personnel!AJ21+Personnel!AJ24</f>
        <v>81900</v>
      </c>
      <c r="AH12" s="26">
        <f>Personnel!AK21+Personnel!AK24</f>
        <v>81900</v>
      </c>
      <c r="AI12" s="26">
        <f>Personnel!AL21+Personnel!AL24</f>
        <v>81900</v>
      </c>
      <c r="AJ12" s="26">
        <f>Personnel!AM21+Personnel!AM24</f>
        <v>81900</v>
      </c>
      <c r="AK12" s="26">
        <f>Personnel!AN21+Personnel!AN24</f>
        <v>81900</v>
      </c>
      <c r="AL12" s="26">
        <f>Personnel!AO21+Personnel!AO24</f>
        <v>81900</v>
      </c>
      <c r="AM12" s="26">
        <f>Personnel!AP21+Personnel!AP24</f>
        <v>90100</v>
      </c>
      <c r="AN12" s="26">
        <f>Personnel!AQ21+Personnel!AQ24</f>
        <v>90100</v>
      </c>
      <c r="AO12" s="26">
        <f>Personnel!AR21+Personnel!AR24</f>
        <v>90100</v>
      </c>
      <c r="AP12" s="26">
        <f>Personnel!AS21+Personnel!AS24</f>
        <v>90100</v>
      </c>
      <c r="AQ12" s="26">
        <f>Personnel!AT21+Personnel!AT24</f>
        <v>95350</v>
      </c>
      <c r="AR12" s="26">
        <f>Personnel!AU21+Personnel!AU24</f>
        <v>95350</v>
      </c>
      <c r="AS12" s="26">
        <f>Personnel!AV21+Personnel!AV24</f>
        <v>95350</v>
      </c>
      <c r="AT12" s="26">
        <f>Personnel!AW21+Personnel!AW24</f>
        <v>95350</v>
      </c>
      <c r="AU12" s="26">
        <f>Personnel!AX21+Personnel!AX24</f>
        <v>99100</v>
      </c>
      <c r="AV12" s="26">
        <f>Personnel!AY21+Personnel!AY24</f>
        <v>99100</v>
      </c>
      <c r="AW12" s="26">
        <f>Personnel!AZ21+Personnel!AZ24</f>
        <v>99100</v>
      </c>
      <c r="AX12" s="26">
        <f>Personnel!BA21+Personnel!BA24</f>
        <v>99100</v>
      </c>
      <c r="AY12" s="26"/>
      <c r="AZ12" s="26">
        <f t="shared" ref="AZ12:BC12" si="7">SUMPRODUCT((YEAR($C$2:$AX$2)=AZ$2)*$C12:$AX12)</f>
        <v>519000</v>
      </c>
      <c r="BA12" s="26">
        <f t="shared" si="7"/>
        <v>659400</v>
      </c>
      <c r="BB12" s="26">
        <f t="shared" si="7"/>
        <v>965300</v>
      </c>
      <c r="BC12" s="26">
        <f t="shared" si="7"/>
        <v>1138200</v>
      </c>
      <c r="BD12" s="1"/>
      <c r="BE12" s="1"/>
      <c r="BF12" s="1"/>
    </row>
    <row r="13">
      <c r="A13" s="1"/>
      <c r="B13" s="3" t="s">
        <v>160</v>
      </c>
      <c r="C13" s="26">
        <f>Personnel!F25</f>
        <v>0</v>
      </c>
      <c r="D13" s="26">
        <f>Personnel!G25</f>
        <v>35797.5</v>
      </c>
      <c r="E13" s="26">
        <f>Personnel!H25</f>
        <v>0</v>
      </c>
      <c r="F13" s="26">
        <f>Personnel!I25</f>
        <v>0</v>
      </c>
      <c r="G13" s="26">
        <f>Personnel!J25</f>
        <v>0</v>
      </c>
      <c r="H13" s="26">
        <f>Personnel!K25</f>
        <v>7159.5</v>
      </c>
      <c r="I13" s="26">
        <f>Personnel!L25</f>
        <v>7159.5</v>
      </c>
      <c r="J13" s="26">
        <f>Personnel!M25</f>
        <v>7159.5</v>
      </c>
      <c r="K13" s="26">
        <f>Personnel!N25</f>
        <v>50116.5</v>
      </c>
      <c r="L13" s="26">
        <f>Personnel!O25</f>
        <v>0</v>
      </c>
      <c r="M13" s="26">
        <f>Personnel!P25</f>
        <v>7159.5</v>
      </c>
      <c r="N13" s="26">
        <f>Personnel!Q25</f>
        <v>50116.5</v>
      </c>
      <c r="O13" s="26">
        <f>Personnel!R25</f>
        <v>84915.74</v>
      </c>
      <c r="P13" s="26">
        <f>Personnel!S25</f>
        <v>12561.5</v>
      </c>
      <c r="Q13" s="26">
        <f>Personnel!T25</f>
        <v>12561.5</v>
      </c>
      <c r="R13" s="26">
        <f>Personnel!U25</f>
        <v>12561.5</v>
      </c>
      <c r="S13" s="26">
        <f>Personnel!V25</f>
        <v>84915.74</v>
      </c>
      <c r="T13" s="26">
        <f>Personnel!W25</f>
        <v>12561.5</v>
      </c>
      <c r="U13" s="26">
        <f>Personnel!X25</f>
        <v>12561.5</v>
      </c>
      <c r="V13" s="26">
        <f>Personnel!Y25</f>
        <v>84915.74</v>
      </c>
      <c r="W13" s="26">
        <f>Personnel!Z25</f>
        <v>12561.5</v>
      </c>
      <c r="X13" s="26">
        <f>Personnel!AA25</f>
        <v>84915.74</v>
      </c>
      <c r="Y13" s="26">
        <f>Personnel!AB25</f>
        <v>84915.74</v>
      </c>
      <c r="Z13" s="26">
        <f>Personnel!AC25</f>
        <v>12561.5</v>
      </c>
      <c r="AA13" s="26">
        <f>Personnel!AD25</f>
        <v>128894.976</v>
      </c>
      <c r="AB13" s="26">
        <f>Personnel!AE25</f>
        <v>128894.976</v>
      </c>
      <c r="AC13" s="26">
        <f>Personnel!AF25</f>
        <v>20139.84</v>
      </c>
      <c r="AD13" s="26">
        <f>Personnel!AG25</f>
        <v>128894.976</v>
      </c>
      <c r="AE13" s="26">
        <f>Personnel!AH25</f>
        <v>128894.976</v>
      </c>
      <c r="AF13" s="26">
        <f>Personnel!AI25</f>
        <v>20139.84</v>
      </c>
      <c r="AG13" s="26">
        <f>Personnel!AJ25</f>
        <v>149034.816</v>
      </c>
      <c r="AH13" s="26">
        <f>Personnel!AK25</f>
        <v>128894.976</v>
      </c>
      <c r="AI13" s="26">
        <f>Personnel!AL25</f>
        <v>20139.84</v>
      </c>
      <c r="AJ13" s="26">
        <f>Personnel!AM25</f>
        <v>149034.816</v>
      </c>
      <c r="AK13" s="26">
        <f>Personnel!AN25</f>
        <v>128894.976</v>
      </c>
      <c r="AL13" s="26">
        <f>Personnel!AO25</f>
        <v>20139.84</v>
      </c>
      <c r="AM13" s="26">
        <f>Personnel!AP25</f>
        <v>371912.16</v>
      </c>
      <c r="AN13" s="26">
        <f>Personnel!AQ25</f>
        <v>185956.08</v>
      </c>
      <c r="AO13" s="26">
        <f>Personnel!AR25</f>
        <v>69192.96</v>
      </c>
      <c r="AP13" s="26">
        <f>Personnel!AS25</f>
        <v>185956.08</v>
      </c>
      <c r="AQ13" s="26">
        <f>Personnel!AT25</f>
        <v>34596.48</v>
      </c>
      <c r="AR13" s="26">
        <f>Personnel!AU25</f>
        <v>185956.08</v>
      </c>
      <c r="AS13" s="26">
        <f>Personnel!AV25</f>
        <v>220552.56</v>
      </c>
      <c r="AT13" s="26">
        <f>Personnel!AW25</f>
        <v>337315.68</v>
      </c>
      <c r="AU13" s="26">
        <f>Personnel!AX25</f>
        <v>34596.48</v>
      </c>
      <c r="AV13" s="26">
        <f>Personnel!AY25</f>
        <v>337315.68</v>
      </c>
      <c r="AW13" s="26">
        <f>Personnel!AZ25</f>
        <v>220552.56</v>
      </c>
      <c r="AX13" s="26">
        <f>Personnel!BA25</f>
        <v>337315.68</v>
      </c>
      <c r="AY13" s="26"/>
      <c r="AZ13" s="26">
        <f t="shared" ref="AZ13:BC13" si="8">SUMPRODUCT((YEAR($C$2:$AX$2)=AZ$2)*$C13:$AX13)</f>
        <v>164668.5</v>
      </c>
      <c r="BA13" s="26">
        <f t="shared" si="8"/>
        <v>512509.2</v>
      </c>
      <c r="BB13" s="26">
        <f t="shared" si="8"/>
        <v>1151998.848</v>
      </c>
      <c r="BC13" s="26">
        <f t="shared" si="8"/>
        <v>2521218.48</v>
      </c>
      <c r="BD13" s="1"/>
      <c r="BE13" s="1"/>
      <c r="BF13" s="1"/>
    </row>
    <row r="14" collapsed="1">
      <c r="A14" s="1"/>
      <c r="B14" s="3" t="s">
        <v>137</v>
      </c>
      <c r="C14" s="26">
        <f>Personnel!F22+Personnel!F23</f>
        <v>9982</v>
      </c>
      <c r="D14" s="26">
        <f>Personnel!G22+Personnel!G23</f>
        <v>9982</v>
      </c>
      <c r="E14" s="26">
        <f>Personnel!H22+Personnel!H23</f>
        <v>9982</v>
      </c>
      <c r="F14" s="26">
        <f>Personnel!I22+Personnel!I23</f>
        <v>9982</v>
      </c>
      <c r="G14" s="26">
        <f>Personnel!J22+Personnel!J23</f>
        <v>9982</v>
      </c>
      <c r="H14" s="26">
        <f>Personnel!K22+Personnel!K23</f>
        <v>10837.6</v>
      </c>
      <c r="I14" s="26">
        <f>Personnel!L22+Personnel!L23</f>
        <v>10837.6</v>
      </c>
      <c r="J14" s="26">
        <f>Personnel!M22+Personnel!M23</f>
        <v>10837.6</v>
      </c>
      <c r="K14" s="26">
        <f>Personnel!N22+Personnel!N23</f>
        <v>10837.6</v>
      </c>
      <c r="L14" s="26">
        <f>Personnel!O22+Personnel!O23</f>
        <v>10837.6</v>
      </c>
      <c r="M14" s="26">
        <f>Personnel!P22+Personnel!P23</f>
        <v>10837.6</v>
      </c>
      <c r="N14" s="26">
        <f>Personnel!Q22+Personnel!Q23</f>
        <v>10837.6</v>
      </c>
      <c r="O14" s="26">
        <f>Personnel!R22+Personnel!R23</f>
        <v>12534.54</v>
      </c>
      <c r="P14" s="26">
        <f>Personnel!S22+Personnel!S23</f>
        <v>12534.54</v>
      </c>
      <c r="Q14" s="26">
        <f>Personnel!T22+Personnel!T23</f>
        <v>12534.54</v>
      </c>
      <c r="R14" s="26">
        <f>Personnel!U22+Personnel!U23</f>
        <v>12534.54</v>
      </c>
      <c r="S14" s="26">
        <f>Personnel!V22+Personnel!V23</f>
        <v>12534.54</v>
      </c>
      <c r="T14" s="26">
        <f>Personnel!W22+Personnel!W23</f>
        <v>12534.54</v>
      </c>
      <c r="U14" s="26">
        <f>Personnel!X22+Personnel!X23</f>
        <v>14816.14</v>
      </c>
      <c r="V14" s="26">
        <f>Personnel!Y22+Personnel!Y23</f>
        <v>14816.14</v>
      </c>
      <c r="W14" s="26">
        <f>Personnel!Z22+Personnel!Z23</f>
        <v>14816.14</v>
      </c>
      <c r="X14" s="26">
        <f>Personnel!AA22+Personnel!AA23</f>
        <v>14816.14</v>
      </c>
      <c r="Y14" s="26">
        <f>Personnel!AB22+Personnel!AB23</f>
        <v>14816.14</v>
      </c>
      <c r="Z14" s="26">
        <f>Personnel!AC22+Personnel!AC23</f>
        <v>14816.14</v>
      </c>
      <c r="AA14" s="26">
        <f>Personnel!AD22+Personnel!AD23</f>
        <v>20220.68</v>
      </c>
      <c r="AB14" s="26">
        <f>Personnel!AE22+Personnel!AE23</f>
        <v>20220.68</v>
      </c>
      <c r="AC14" s="26">
        <f>Personnel!AF22+Personnel!AF23</f>
        <v>20220.68</v>
      </c>
      <c r="AD14" s="26">
        <f>Personnel!AG22+Personnel!AG23</f>
        <v>20220.68</v>
      </c>
      <c r="AE14" s="26">
        <f>Personnel!AH22+Personnel!AH23</f>
        <v>20220.68</v>
      </c>
      <c r="AF14" s="26">
        <f>Personnel!AI22+Personnel!AI23</f>
        <v>21218.88</v>
      </c>
      <c r="AG14" s="26">
        <f>Personnel!AJ22+Personnel!AJ23</f>
        <v>21218.88</v>
      </c>
      <c r="AH14" s="26">
        <f>Personnel!AK22+Personnel!AK23</f>
        <v>21218.88</v>
      </c>
      <c r="AI14" s="26">
        <f>Personnel!AL22+Personnel!AL23</f>
        <v>21218.88</v>
      </c>
      <c r="AJ14" s="26">
        <f>Personnel!AM22+Personnel!AM23</f>
        <v>21218.88</v>
      </c>
      <c r="AK14" s="26">
        <f>Personnel!AN22+Personnel!AN23</f>
        <v>21218.88</v>
      </c>
      <c r="AL14" s="26">
        <f>Personnel!AO22+Personnel!AO23</f>
        <v>21218.88</v>
      </c>
      <c r="AM14" s="26">
        <f>Personnel!AP22+Personnel!AP23</f>
        <v>23414.92</v>
      </c>
      <c r="AN14" s="26">
        <f>Personnel!AQ22+Personnel!AQ23</f>
        <v>23414.92</v>
      </c>
      <c r="AO14" s="26">
        <f>Personnel!AR22+Personnel!AR23</f>
        <v>23414.92</v>
      </c>
      <c r="AP14" s="26">
        <f>Personnel!AS22+Personnel!AS23</f>
        <v>23414.92</v>
      </c>
      <c r="AQ14" s="26">
        <f>Personnel!AT22+Personnel!AT23</f>
        <v>24912.22</v>
      </c>
      <c r="AR14" s="26">
        <f>Personnel!AU22+Personnel!AU23</f>
        <v>24912.22</v>
      </c>
      <c r="AS14" s="26">
        <f>Personnel!AV22+Personnel!AV23</f>
        <v>24912.22</v>
      </c>
      <c r="AT14" s="26">
        <f>Personnel!AW22+Personnel!AW23</f>
        <v>24912.22</v>
      </c>
      <c r="AU14" s="26">
        <f>Personnel!AX22+Personnel!AX23</f>
        <v>25981.72</v>
      </c>
      <c r="AV14" s="26">
        <f>Personnel!AY22+Personnel!AY23</f>
        <v>25981.72</v>
      </c>
      <c r="AW14" s="26">
        <f>Personnel!AZ22+Personnel!AZ23</f>
        <v>25981.72</v>
      </c>
      <c r="AX14" s="26">
        <f>Personnel!BA22+Personnel!BA23</f>
        <v>25981.72</v>
      </c>
      <c r="AY14" s="26"/>
      <c r="AZ14" s="26">
        <f t="shared" ref="AZ14:BC14" si="9">SUMPRODUCT((YEAR($C$2:$AX$2)=AZ$2)*$C14:$AX14)</f>
        <v>125773.2</v>
      </c>
      <c r="BA14" s="26">
        <f t="shared" si="9"/>
        <v>164104.08</v>
      </c>
      <c r="BB14" s="26">
        <f t="shared" si="9"/>
        <v>249635.56</v>
      </c>
      <c r="BC14" s="26">
        <f t="shared" si="9"/>
        <v>297235.44</v>
      </c>
      <c r="BD14" s="1"/>
      <c r="BE14" s="1"/>
      <c r="BF14" s="1"/>
    </row>
    <row r="15" hidden="1" outlineLevel="1">
      <c r="A15" s="1"/>
      <c r="B15" s="3" t="s">
        <v>161</v>
      </c>
      <c r="C15" s="26">
        <f>Personnel!F26</f>
        <v>0</v>
      </c>
      <c r="D15" s="26">
        <f>Personnel!G26</f>
        <v>0</v>
      </c>
      <c r="E15" s="26">
        <f>Personnel!H26</f>
        <v>0</v>
      </c>
      <c r="F15" s="26">
        <f>Personnel!I26</f>
        <v>0</v>
      </c>
      <c r="G15" s="26">
        <f>Personnel!J26</f>
        <v>0</v>
      </c>
      <c r="H15" s="26">
        <f>Personnel!K26</f>
        <v>0</v>
      </c>
      <c r="I15" s="26">
        <f>Personnel!L26</f>
        <v>0</v>
      </c>
      <c r="J15" s="26">
        <f>Personnel!M26</f>
        <v>0</v>
      </c>
      <c r="K15" s="26">
        <f>Personnel!N26</f>
        <v>0</v>
      </c>
      <c r="L15" s="26">
        <f>Personnel!O26</f>
        <v>0</v>
      </c>
      <c r="M15" s="26">
        <f>Personnel!P26</f>
        <v>0</v>
      </c>
      <c r="N15" s="26">
        <f>Personnel!Q26</f>
        <v>0</v>
      </c>
      <c r="O15" s="26">
        <f>Personnel!R26</f>
        <v>0</v>
      </c>
      <c r="P15" s="26">
        <f>Personnel!S26</f>
        <v>0</v>
      </c>
      <c r="Q15" s="26">
        <f>Personnel!T26</f>
        <v>0</v>
      </c>
      <c r="R15" s="26">
        <f>Personnel!U26</f>
        <v>0</v>
      </c>
      <c r="S15" s="26">
        <f>Personnel!V26</f>
        <v>0</v>
      </c>
      <c r="T15" s="26">
        <f>Personnel!W26</f>
        <v>0</v>
      </c>
      <c r="U15" s="26">
        <f>Personnel!X26</f>
        <v>0</v>
      </c>
      <c r="V15" s="26">
        <f>Personnel!Y26</f>
        <v>0</v>
      </c>
      <c r="W15" s="26">
        <f>Personnel!Z26</f>
        <v>0</v>
      </c>
      <c r="X15" s="26">
        <f>Personnel!AA26</f>
        <v>0</v>
      </c>
      <c r="Y15" s="26">
        <f>Personnel!AB26</f>
        <v>0</v>
      </c>
      <c r="Z15" s="26">
        <f>Personnel!AC26</f>
        <v>0</v>
      </c>
      <c r="AA15" s="26">
        <f>Personnel!AD26</f>
        <v>0</v>
      </c>
      <c r="AB15" s="26">
        <f>Personnel!AE26</f>
        <v>0</v>
      </c>
      <c r="AC15" s="26">
        <f>Personnel!AF26</f>
        <v>0</v>
      </c>
      <c r="AD15" s="26">
        <f>Personnel!AG26</f>
        <v>0</v>
      </c>
      <c r="AE15" s="26">
        <f>Personnel!AH26</f>
        <v>0</v>
      </c>
      <c r="AF15" s="26">
        <f>Personnel!AI26</f>
        <v>0</v>
      </c>
      <c r="AG15" s="26">
        <f>Personnel!AJ26</f>
        <v>0</v>
      </c>
      <c r="AH15" s="26">
        <f>Personnel!AK26</f>
        <v>0</v>
      </c>
      <c r="AI15" s="26">
        <f>Personnel!AL26</f>
        <v>0</v>
      </c>
      <c r="AJ15" s="26">
        <f>Personnel!AM26</f>
        <v>0</v>
      </c>
      <c r="AK15" s="26">
        <f>Personnel!AN26</f>
        <v>0</v>
      </c>
      <c r="AL15" s="26">
        <f>Personnel!AO26</f>
        <v>0</v>
      </c>
      <c r="AM15" s="26">
        <f>Personnel!AP26</f>
        <v>0</v>
      </c>
      <c r="AN15" s="26">
        <f>Personnel!AQ26</f>
        <v>0</v>
      </c>
      <c r="AO15" s="26">
        <f>Personnel!AR26</f>
        <v>0</v>
      </c>
      <c r="AP15" s="26">
        <f>Personnel!AS26</f>
        <v>0</v>
      </c>
      <c r="AQ15" s="26">
        <f>Personnel!AT26</f>
        <v>0</v>
      </c>
      <c r="AR15" s="26">
        <f>Personnel!AU26</f>
        <v>0</v>
      </c>
      <c r="AS15" s="26">
        <f>Personnel!AV26</f>
        <v>0</v>
      </c>
      <c r="AT15" s="26">
        <f>Personnel!AW26</f>
        <v>0</v>
      </c>
      <c r="AU15" s="26">
        <f>Personnel!AX26</f>
        <v>0</v>
      </c>
      <c r="AV15" s="26">
        <f>Personnel!AY26</f>
        <v>0</v>
      </c>
      <c r="AW15" s="26">
        <f>Personnel!AZ26</f>
        <v>0</v>
      </c>
      <c r="AX15" s="26">
        <f>Personnel!BA26</f>
        <v>0</v>
      </c>
      <c r="AY15" s="26"/>
      <c r="AZ15" s="26">
        <f t="shared" ref="AZ15:BC15" si="10">SUMPRODUCT((YEAR($C$2:$AX$2)=AZ$2)*$C15:$AX15)</f>
        <v>0</v>
      </c>
      <c r="BA15" s="26">
        <f t="shared" si="10"/>
        <v>0</v>
      </c>
      <c r="BB15" s="26">
        <f t="shared" si="10"/>
        <v>0</v>
      </c>
      <c r="BC15" s="26">
        <f t="shared" si="10"/>
        <v>0</v>
      </c>
      <c r="BD15" s="1"/>
      <c r="BE15" s="1"/>
      <c r="BF15" s="1"/>
    </row>
    <row r="16" hidden="1" outlineLevel="1">
      <c r="A16" s="1"/>
      <c r="B16" s="3" t="s">
        <v>162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0.0</v>
      </c>
      <c r="AO16" s="9">
        <v>0.0</v>
      </c>
      <c r="AP16" s="9">
        <v>0.0</v>
      </c>
      <c r="AQ16" s="9">
        <v>0.0</v>
      </c>
      <c r="AR16" s="9">
        <v>0.0</v>
      </c>
      <c r="AS16" s="9">
        <v>0.0</v>
      </c>
      <c r="AT16" s="9">
        <v>0.0</v>
      </c>
      <c r="AU16" s="9">
        <v>0.0</v>
      </c>
      <c r="AV16" s="9">
        <v>0.0</v>
      </c>
      <c r="AW16" s="9">
        <v>0.0</v>
      </c>
      <c r="AX16" s="9">
        <v>0.0</v>
      </c>
      <c r="AY16" s="26"/>
      <c r="AZ16" s="26">
        <f t="shared" ref="AZ16:BC16" si="11">SUMPRODUCT((YEAR($C$2:$AX$2)=AZ$2)*$C16:$AX16)</f>
        <v>0</v>
      </c>
      <c r="BA16" s="26">
        <f t="shared" si="11"/>
        <v>0</v>
      </c>
      <c r="BB16" s="26">
        <f t="shared" si="11"/>
        <v>0</v>
      </c>
      <c r="BC16" s="26">
        <f t="shared" si="11"/>
        <v>0</v>
      </c>
      <c r="BD16" s="1"/>
      <c r="BE16" s="1"/>
      <c r="BF16" s="1"/>
    </row>
    <row r="17">
      <c r="A17" s="1"/>
      <c r="B17" s="3" t="s">
        <v>140</v>
      </c>
      <c r="C17" s="26">
        <f>Personnel!F27</f>
        <v>267</v>
      </c>
      <c r="D17" s="26">
        <f>Personnel!G27</f>
        <v>267</v>
      </c>
      <c r="E17" s="26">
        <f>Personnel!H27</f>
        <v>267</v>
      </c>
      <c r="F17" s="26">
        <f>Personnel!I27</f>
        <v>267</v>
      </c>
      <c r="G17" s="26">
        <f>Personnel!J27</f>
        <v>267</v>
      </c>
      <c r="H17" s="26">
        <f>Personnel!K27</f>
        <v>267</v>
      </c>
      <c r="I17" s="26">
        <f>Personnel!L27</f>
        <v>267</v>
      </c>
      <c r="J17" s="26">
        <f>Personnel!M27</f>
        <v>267</v>
      </c>
      <c r="K17" s="26">
        <f>Personnel!N27</f>
        <v>267</v>
      </c>
      <c r="L17" s="26">
        <f>Personnel!O27</f>
        <v>267</v>
      </c>
      <c r="M17" s="26">
        <f>Personnel!P27</f>
        <v>267</v>
      </c>
      <c r="N17" s="26">
        <f>Personnel!Q27</f>
        <v>267</v>
      </c>
      <c r="O17" s="26">
        <f>Personnel!R27</f>
        <v>267</v>
      </c>
      <c r="P17" s="26">
        <f>Personnel!S27</f>
        <v>267</v>
      </c>
      <c r="Q17" s="26">
        <f>Personnel!T27</f>
        <v>267</v>
      </c>
      <c r="R17" s="26">
        <f>Personnel!U27</f>
        <v>267</v>
      </c>
      <c r="S17" s="26">
        <f>Personnel!V27</f>
        <v>267</v>
      </c>
      <c r="T17" s="26">
        <f>Personnel!W27</f>
        <v>267</v>
      </c>
      <c r="U17" s="26">
        <f>Personnel!X27</f>
        <v>267</v>
      </c>
      <c r="V17" s="26">
        <f>Personnel!Y27</f>
        <v>267</v>
      </c>
      <c r="W17" s="26">
        <f>Personnel!Z27</f>
        <v>267</v>
      </c>
      <c r="X17" s="26">
        <f>Personnel!AA27</f>
        <v>267</v>
      </c>
      <c r="Y17" s="26">
        <f>Personnel!AB27</f>
        <v>267</v>
      </c>
      <c r="Z17" s="26">
        <f>Personnel!AC27</f>
        <v>267</v>
      </c>
      <c r="AA17" s="26">
        <f>Personnel!AD27</f>
        <v>267</v>
      </c>
      <c r="AB17" s="26">
        <f>Personnel!AE27</f>
        <v>267</v>
      </c>
      <c r="AC17" s="26">
        <f>Personnel!AF27</f>
        <v>267</v>
      </c>
      <c r="AD17" s="26">
        <f>Personnel!AG27</f>
        <v>267</v>
      </c>
      <c r="AE17" s="26">
        <f>Personnel!AH27</f>
        <v>267</v>
      </c>
      <c r="AF17" s="26">
        <f>Personnel!AI27</f>
        <v>267</v>
      </c>
      <c r="AG17" s="26">
        <f>Personnel!AJ27</f>
        <v>267</v>
      </c>
      <c r="AH17" s="26">
        <f>Personnel!AK27</f>
        <v>267</v>
      </c>
      <c r="AI17" s="26">
        <f>Personnel!AL27</f>
        <v>267</v>
      </c>
      <c r="AJ17" s="26">
        <f>Personnel!AM27</f>
        <v>267</v>
      </c>
      <c r="AK17" s="26">
        <f>Personnel!AN27</f>
        <v>267</v>
      </c>
      <c r="AL17" s="26">
        <f>Personnel!AO27</f>
        <v>267</v>
      </c>
      <c r="AM17" s="26">
        <f>Personnel!AP27</f>
        <v>267</v>
      </c>
      <c r="AN17" s="26">
        <f>Personnel!AQ27</f>
        <v>267</v>
      </c>
      <c r="AO17" s="26">
        <f>Personnel!AR27</f>
        <v>267</v>
      </c>
      <c r="AP17" s="26">
        <f>Personnel!AS27</f>
        <v>267</v>
      </c>
      <c r="AQ17" s="26">
        <f>Personnel!AT27</f>
        <v>267</v>
      </c>
      <c r="AR17" s="26">
        <f>Personnel!AU27</f>
        <v>267</v>
      </c>
      <c r="AS17" s="26">
        <f>Personnel!AV27</f>
        <v>267</v>
      </c>
      <c r="AT17" s="26">
        <f>Personnel!AW27</f>
        <v>267</v>
      </c>
      <c r="AU17" s="26">
        <f>Personnel!AX27</f>
        <v>267</v>
      </c>
      <c r="AV17" s="26">
        <f>Personnel!AY27</f>
        <v>267</v>
      </c>
      <c r="AW17" s="26">
        <f>Personnel!AZ27</f>
        <v>267</v>
      </c>
      <c r="AX17" s="26">
        <f>Personnel!BA27</f>
        <v>267</v>
      </c>
      <c r="AY17" s="26"/>
      <c r="AZ17" s="26">
        <f t="shared" ref="AZ17:BC17" si="12">SUMPRODUCT((YEAR($C$2:$AX$2)=AZ$2)*$C17:$AX17)</f>
        <v>3204</v>
      </c>
      <c r="BA17" s="26">
        <f t="shared" si="12"/>
        <v>3204</v>
      </c>
      <c r="BB17" s="26">
        <f t="shared" si="12"/>
        <v>3204</v>
      </c>
      <c r="BC17" s="26">
        <f t="shared" si="12"/>
        <v>3204</v>
      </c>
      <c r="BD17" s="1"/>
      <c r="BE17" s="1"/>
      <c r="BF17" s="1"/>
    </row>
    <row r="18">
      <c r="A18" s="1"/>
      <c r="B18" s="48" t="s">
        <v>141</v>
      </c>
      <c r="C18" s="50">
        <f t="shared" ref="C18:AX18" si="13">SUM(C12:C17)</f>
        <v>51749</v>
      </c>
      <c r="D18" s="50">
        <f t="shared" si="13"/>
        <v>87546.5</v>
      </c>
      <c r="E18" s="50">
        <f t="shared" si="13"/>
        <v>51749</v>
      </c>
      <c r="F18" s="50">
        <f t="shared" si="13"/>
        <v>51749</v>
      </c>
      <c r="G18" s="50">
        <f t="shared" si="13"/>
        <v>51749</v>
      </c>
      <c r="H18" s="50">
        <f t="shared" si="13"/>
        <v>62764.1</v>
      </c>
      <c r="I18" s="50">
        <f t="shared" si="13"/>
        <v>62764.1</v>
      </c>
      <c r="J18" s="50">
        <f t="shared" si="13"/>
        <v>62764.1</v>
      </c>
      <c r="K18" s="50">
        <f t="shared" si="13"/>
        <v>105721.1</v>
      </c>
      <c r="L18" s="50">
        <f t="shared" si="13"/>
        <v>55604.6</v>
      </c>
      <c r="M18" s="50">
        <f t="shared" si="13"/>
        <v>62764.1</v>
      </c>
      <c r="N18" s="50">
        <f t="shared" si="13"/>
        <v>105721.1</v>
      </c>
      <c r="O18" s="50">
        <f t="shared" si="13"/>
        <v>148667.28</v>
      </c>
      <c r="P18" s="50">
        <f t="shared" si="13"/>
        <v>76313.04</v>
      </c>
      <c r="Q18" s="50">
        <f t="shared" si="13"/>
        <v>76313.04</v>
      </c>
      <c r="R18" s="50">
        <f t="shared" si="13"/>
        <v>76313.04</v>
      </c>
      <c r="S18" s="50">
        <f t="shared" si="13"/>
        <v>148667.28</v>
      </c>
      <c r="T18" s="50">
        <f t="shared" si="13"/>
        <v>76313.04</v>
      </c>
      <c r="U18" s="50">
        <f t="shared" si="13"/>
        <v>86594.64</v>
      </c>
      <c r="V18" s="50">
        <f t="shared" si="13"/>
        <v>158948.88</v>
      </c>
      <c r="W18" s="50">
        <f t="shared" si="13"/>
        <v>86594.64</v>
      </c>
      <c r="X18" s="50">
        <f t="shared" si="13"/>
        <v>158948.88</v>
      </c>
      <c r="Y18" s="50">
        <f t="shared" si="13"/>
        <v>158948.88</v>
      </c>
      <c r="Z18" s="50">
        <f t="shared" si="13"/>
        <v>86594.64</v>
      </c>
      <c r="AA18" s="50">
        <f t="shared" si="13"/>
        <v>227782.656</v>
      </c>
      <c r="AB18" s="50">
        <f t="shared" si="13"/>
        <v>227782.656</v>
      </c>
      <c r="AC18" s="50">
        <f t="shared" si="13"/>
        <v>119027.52</v>
      </c>
      <c r="AD18" s="50">
        <f t="shared" si="13"/>
        <v>227782.656</v>
      </c>
      <c r="AE18" s="50">
        <f t="shared" si="13"/>
        <v>227782.656</v>
      </c>
      <c r="AF18" s="50">
        <f t="shared" si="13"/>
        <v>123525.72</v>
      </c>
      <c r="AG18" s="50">
        <f t="shared" si="13"/>
        <v>252420.696</v>
      </c>
      <c r="AH18" s="50">
        <f t="shared" si="13"/>
        <v>232280.856</v>
      </c>
      <c r="AI18" s="50">
        <f t="shared" si="13"/>
        <v>123525.72</v>
      </c>
      <c r="AJ18" s="50">
        <f t="shared" si="13"/>
        <v>252420.696</v>
      </c>
      <c r="AK18" s="50">
        <f t="shared" si="13"/>
        <v>232280.856</v>
      </c>
      <c r="AL18" s="50">
        <f t="shared" si="13"/>
        <v>123525.72</v>
      </c>
      <c r="AM18" s="50">
        <f t="shared" si="13"/>
        <v>485694.08</v>
      </c>
      <c r="AN18" s="50">
        <f t="shared" si="13"/>
        <v>299738</v>
      </c>
      <c r="AO18" s="50">
        <f t="shared" si="13"/>
        <v>182974.88</v>
      </c>
      <c r="AP18" s="50">
        <f t="shared" si="13"/>
        <v>299738</v>
      </c>
      <c r="AQ18" s="50">
        <f t="shared" si="13"/>
        <v>155125.7</v>
      </c>
      <c r="AR18" s="50">
        <f t="shared" si="13"/>
        <v>306485.3</v>
      </c>
      <c r="AS18" s="50">
        <f t="shared" si="13"/>
        <v>341081.78</v>
      </c>
      <c r="AT18" s="50">
        <f t="shared" si="13"/>
        <v>457844.9</v>
      </c>
      <c r="AU18" s="50">
        <f t="shared" si="13"/>
        <v>159945.2</v>
      </c>
      <c r="AV18" s="50">
        <f t="shared" si="13"/>
        <v>462664.4</v>
      </c>
      <c r="AW18" s="50">
        <f t="shared" si="13"/>
        <v>345901.28</v>
      </c>
      <c r="AX18" s="50">
        <f t="shared" si="13"/>
        <v>462664.4</v>
      </c>
      <c r="AY18" s="50"/>
      <c r="AZ18" s="50">
        <f t="shared" ref="AZ18:BC18" si="14">SUMPRODUCT((YEAR($C$2:$AX$2)=AZ$2)*$C18:$AX18)</f>
        <v>812645.7</v>
      </c>
      <c r="BA18" s="50">
        <f t="shared" si="14"/>
        <v>1339217.28</v>
      </c>
      <c r="BB18" s="50">
        <f t="shared" si="14"/>
        <v>2370138.408</v>
      </c>
      <c r="BC18" s="50">
        <f t="shared" si="14"/>
        <v>3959857.92</v>
      </c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48" t="s">
        <v>163</v>
      </c>
      <c r="C20" s="50">
        <f t="shared" ref="C20:AX20" si="15">C9-C18</f>
        <v>-25699</v>
      </c>
      <c r="D20" s="50">
        <f t="shared" si="15"/>
        <v>44953.5</v>
      </c>
      <c r="E20" s="50">
        <f t="shared" si="15"/>
        <v>-17261.5</v>
      </c>
      <c r="F20" s="50">
        <f t="shared" si="15"/>
        <v>-10767.42347</v>
      </c>
      <c r="G20" s="50">
        <f t="shared" si="15"/>
        <v>-9360.507516</v>
      </c>
      <c r="H20" s="50">
        <f t="shared" si="15"/>
        <v>6034.929874</v>
      </c>
      <c r="I20" s="50">
        <f t="shared" si="15"/>
        <v>6499.252274</v>
      </c>
      <c r="J20" s="50">
        <f t="shared" si="15"/>
        <v>6955.020244</v>
      </c>
      <c r="K20" s="50">
        <f t="shared" si="15"/>
        <v>68507.89139</v>
      </c>
      <c r="L20" s="50">
        <f t="shared" si="15"/>
        <v>3004.308664</v>
      </c>
      <c r="M20" s="50">
        <f t="shared" si="15"/>
        <v>14776.01711</v>
      </c>
      <c r="N20" s="50">
        <f t="shared" si="15"/>
        <v>76304.7812</v>
      </c>
      <c r="O20" s="50">
        <f t="shared" si="15"/>
        <v>126857.3556</v>
      </c>
      <c r="P20" s="50">
        <f t="shared" si="15"/>
        <v>13121.15357</v>
      </c>
      <c r="Q20" s="50">
        <f t="shared" si="15"/>
        <v>21403.53457</v>
      </c>
      <c r="R20" s="50">
        <f t="shared" si="15"/>
        <v>29678.87079</v>
      </c>
      <c r="S20" s="50">
        <f t="shared" si="15"/>
        <v>136773.052</v>
      </c>
      <c r="T20" s="50">
        <f t="shared" si="15"/>
        <v>30899.71389</v>
      </c>
      <c r="U20" s="50">
        <f t="shared" si="15"/>
        <v>28864.04295</v>
      </c>
      <c r="V20" s="50">
        <f t="shared" si="15"/>
        <v>135929.3588</v>
      </c>
      <c r="W20" s="50">
        <f t="shared" si="15"/>
        <v>30027.6871</v>
      </c>
      <c r="X20" s="50">
        <f t="shared" si="15"/>
        <v>144971.5646</v>
      </c>
      <c r="Y20" s="50">
        <f t="shared" si="15"/>
        <v>137874.6095</v>
      </c>
      <c r="Z20" s="50">
        <f t="shared" si="15"/>
        <v>31937.09953</v>
      </c>
      <c r="AA20" s="50">
        <f t="shared" si="15"/>
        <v>194489.523</v>
      </c>
      <c r="AB20" s="50">
        <f t="shared" si="15"/>
        <v>196251.6097</v>
      </c>
      <c r="AC20" s="50">
        <f t="shared" si="15"/>
        <v>34854.53189</v>
      </c>
      <c r="AD20" s="50">
        <f t="shared" si="15"/>
        <v>207941.1029</v>
      </c>
      <c r="AE20" s="50">
        <f t="shared" si="15"/>
        <v>209546.3175</v>
      </c>
      <c r="AF20" s="50">
        <f t="shared" si="15"/>
        <v>51398.40701</v>
      </c>
      <c r="AG20" s="50">
        <f t="shared" si="15"/>
        <v>249059.1271</v>
      </c>
      <c r="AH20" s="50">
        <f t="shared" si="15"/>
        <v>218850.4665</v>
      </c>
      <c r="AI20" s="50">
        <f t="shared" si="15"/>
        <v>57151.10682</v>
      </c>
      <c r="AJ20" s="50">
        <f t="shared" si="15"/>
        <v>254203.6328</v>
      </c>
      <c r="AK20" s="50">
        <f t="shared" si="15"/>
        <v>224315.6252</v>
      </c>
      <c r="AL20" s="50">
        <f t="shared" si="15"/>
        <v>62478.16078</v>
      </c>
      <c r="AM20" s="50">
        <f t="shared" si="15"/>
        <v>604415.3381</v>
      </c>
      <c r="AN20" s="50">
        <f t="shared" si="15"/>
        <v>314726.2924</v>
      </c>
      <c r="AO20" s="50">
        <f t="shared" si="15"/>
        <v>142676.4342</v>
      </c>
      <c r="AP20" s="50">
        <f t="shared" si="15"/>
        <v>327621.4819</v>
      </c>
      <c r="AQ20" s="50">
        <f t="shared" si="15"/>
        <v>101914.5522</v>
      </c>
      <c r="AR20" s="50">
        <f t="shared" si="15"/>
        <v>340506.4533</v>
      </c>
      <c r="AS20" s="50">
        <f t="shared" si="15"/>
        <v>397536.7007</v>
      </c>
      <c r="AT20" s="50">
        <f t="shared" si="15"/>
        <v>574417.6647</v>
      </c>
      <c r="AU20" s="50">
        <f t="shared" si="15"/>
        <v>113292.7797</v>
      </c>
      <c r="AV20" s="50">
        <f t="shared" si="15"/>
        <v>580962.6845</v>
      </c>
      <c r="AW20" s="50">
        <f t="shared" si="15"/>
        <v>400648.7334</v>
      </c>
      <c r="AX20" s="50">
        <f t="shared" si="15"/>
        <v>577331.2324</v>
      </c>
      <c r="AY20" s="50"/>
      <c r="AZ20" s="50">
        <f t="shared" ref="AZ20:BC20" si="16">SUMPRODUCT((YEAR($C$2:$AX$2)=AZ$2)*$C20:$AX20)</f>
        <v>163947.2698</v>
      </c>
      <c r="BA20" s="50">
        <f t="shared" si="16"/>
        <v>868338.0428</v>
      </c>
      <c r="BB20" s="50">
        <f t="shared" si="16"/>
        <v>1960539.611</v>
      </c>
      <c r="BC20" s="50">
        <f t="shared" si="16"/>
        <v>4476050.348</v>
      </c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6" t="s">
        <v>164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"/>
      <c r="BE22" s="1"/>
      <c r="BF22" s="1"/>
    </row>
    <row r="23">
      <c r="A23" s="1"/>
      <c r="B23" s="3" t="s">
        <v>144</v>
      </c>
      <c r="C23" s="26">
        <f>OPEX!F7</f>
        <v>5400</v>
      </c>
      <c r="D23" s="26">
        <f>OPEX!G7</f>
        <v>5400</v>
      </c>
      <c r="E23" s="26">
        <f>OPEX!H7</f>
        <v>5400</v>
      </c>
      <c r="F23" s="26">
        <f>OPEX!I7</f>
        <v>5400</v>
      </c>
      <c r="G23" s="26">
        <f>OPEX!J7</f>
        <v>5400</v>
      </c>
      <c r="H23" s="26">
        <f>OPEX!K7</f>
        <v>6000</v>
      </c>
      <c r="I23" s="26">
        <f>OPEX!L7</f>
        <v>6000</v>
      </c>
      <c r="J23" s="26">
        <f>OPEX!M7</f>
        <v>6000</v>
      </c>
      <c r="K23" s="26">
        <f>OPEX!N7</f>
        <v>6000</v>
      </c>
      <c r="L23" s="26">
        <f>OPEX!O7</f>
        <v>6000</v>
      </c>
      <c r="M23" s="26">
        <f>OPEX!P7</f>
        <v>6000</v>
      </c>
      <c r="N23" s="26">
        <f>OPEX!Q7</f>
        <v>6000</v>
      </c>
      <c r="O23" s="26">
        <f>OPEX!R7</f>
        <v>6000</v>
      </c>
      <c r="P23" s="26">
        <f>OPEX!S7</f>
        <v>6000</v>
      </c>
      <c r="Q23" s="26">
        <f>OPEX!T7</f>
        <v>6000</v>
      </c>
      <c r="R23" s="26">
        <f>OPEX!U7</f>
        <v>6000</v>
      </c>
      <c r="S23" s="26">
        <f>OPEX!V7</f>
        <v>6000</v>
      </c>
      <c r="T23" s="26">
        <f>OPEX!W7</f>
        <v>6000</v>
      </c>
      <c r="U23" s="26">
        <f>OPEX!X7</f>
        <v>7200</v>
      </c>
      <c r="V23" s="26">
        <f>OPEX!Y7</f>
        <v>7200</v>
      </c>
      <c r="W23" s="26">
        <f>OPEX!Z7</f>
        <v>7200</v>
      </c>
      <c r="X23" s="26">
        <f>OPEX!AA7</f>
        <v>7200</v>
      </c>
      <c r="Y23" s="26">
        <f>OPEX!AB7</f>
        <v>7200</v>
      </c>
      <c r="Z23" s="26">
        <f>OPEX!AC7</f>
        <v>7200</v>
      </c>
      <c r="AA23" s="26">
        <f>OPEX!AD7</f>
        <v>8400</v>
      </c>
      <c r="AB23" s="26">
        <f>OPEX!AE7</f>
        <v>8400</v>
      </c>
      <c r="AC23" s="26">
        <f>OPEX!AF7</f>
        <v>8400</v>
      </c>
      <c r="AD23" s="26">
        <f>OPEX!AG7</f>
        <v>8400</v>
      </c>
      <c r="AE23" s="26">
        <f>OPEX!AH7</f>
        <v>8400</v>
      </c>
      <c r="AF23" s="26">
        <f>OPEX!AI7</f>
        <v>9000</v>
      </c>
      <c r="AG23" s="26">
        <f>OPEX!AJ7</f>
        <v>9000</v>
      </c>
      <c r="AH23" s="26">
        <f>OPEX!AK7</f>
        <v>9000</v>
      </c>
      <c r="AI23" s="26">
        <f>OPEX!AL7</f>
        <v>9000</v>
      </c>
      <c r="AJ23" s="26">
        <f>OPEX!AM7</f>
        <v>9000</v>
      </c>
      <c r="AK23" s="26">
        <f>OPEX!AN7</f>
        <v>9000</v>
      </c>
      <c r="AL23" s="26">
        <f>OPEX!AO7</f>
        <v>9000</v>
      </c>
      <c r="AM23" s="26">
        <f>OPEX!AP7</f>
        <v>9000</v>
      </c>
      <c r="AN23" s="26">
        <f>OPEX!AQ7</f>
        <v>9000</v>
      </c>
      <c r="AO23" s="26">
        <f>OPEX!AR7</f>
        <v>9000</v>
      </c>
      <c r="AP23" s="26">
        <f>OPEX!AS7</f>
        <v>9000</v>
      </c>
      <c r="AQ23" s="26">
        <f>OPEX!AT7</f>
        <v>9600</v>
      </c>
      <c r="AR23" s="26">
        <f>OPEX!AU7</f>
        <v>9600</v>
      </c>
      <c r="AS23" s="26">
        <f>OPEX!AV7</f>
        <v>9600</v>
      </c>
      <c r="AT23" s="26">
        <f>OPEX!AW7</f>
        <v>9600</v>
      </c>
      <c r="AU23" s="26">
        <f>OPEX!AX7</f>
        <v>10200</v>
      </c>
      <c r="AV23" s="26">
        <f>OPEX!AY7</f>
        <v>10200</v>
      </c>
      <c r="AW23" s="26">
        <f>OPEX!AZ7</f>
        <v>10200</v>
      </c>
      <c r="AX23" s="26">
        <f>OPEX!BA7</f>
        <v>10200</v>
      </c>
      <c r="AY23" s="26"/>
      <c r="AZ23" s="26">
        <f t="shared" ref="AZ23:BC23" si="17">SUMPRODUCT((YEAR($C$2:$AX$2)=AZ$2)*$C23:$AX23)</f>
        <v>69000</v>
      </c>
      <c r="BA23" s="26">
        <f t="shared" si="17"/>
        <v>79200</v>
      </c>
      <c r="BB23" s="26">
        <f t="shared" si="17"/>
        <v>105000</v>
      </c>
      <c r="BC23" s="26">
        <f t="shared" si="17"/>
        <v>115200</v>
      </c>
      <c r="BD23" s="1"/>
      <c r="BE23" s="1"/>
      <c r="BF23" s="1"/>
    </row>
    <row r="24">
      <c r="A24" s="1"/>
      <c r="B24" s="3" t="s">
        <v>145</v>
      </c>
      <c r="C24" s="26">
        <f>OPEX!F8</f>
        <v>4413.333333</v>
      </c>
      <c r="D24" s="26">
        <f>OPEX!G8</f>
        <v>4413.333333</v>
      </c>
      <c r="E24" s="26">
        <f>OPEX!H8</f>
        <v>4413.333333</v>
      </c>
      <c r="F24" s="26">
        <f>OPEX!I8</f>
        <v>4413.333333</v>
      </c>
      <c r="G24" s="26">
        <f>OPEX!J8</f>
        <v>4413.333333</v>
      </c>
      <c r="H24" s="26">
        <f>OPEX!K8</f>
        <v>4533.333333</v>
      </c>
      <c r="I24" s="26">
        <f>OPEX!L8</f>
        <v>4533.333333</v>
      </c>
      <c r="J24" s="26">
        <f>OPEX!M8</f>
        <v>4533.333333</v>
      </c>
      <c r="K24" s="26">
        <f>OPEX!N8</f>
        <v>4533.333333</v>
      </c>
      <c r="L24" s="26">
        <f>OPEX!O8</f>
        <v>4533.333333</v>
      </c>
      <c r="M24" s="26">
        <f>OPEX!P8</f>
        <v>4533.333333</v>
      </c>
      <c r="N24" s="26">
        <f>OPEX!Q8</f>
        <v>4533.333333</v>
      </c>
      <c r="O24" s="26">
        <f>OPEX!R8</f>
        <v>4533.333333</v>
      </c>
      <c r="P24" s="26">
        <f>OPEX!S8</f>
        <v>4533.333333</v>
      </c>
      <c r="Q24" s="26">
        <f>OPEX!T8</f>
        <v>4533.333333</v>
      </c>
      <c r="R24" s="26">
        <f>OPEX!U8</f>
        <v>4533.333333</v>
      </c>
      <c r="S24" s="26">
        <f>OPEX!V8</f>
        <v>4533.333333</v>
      </c>
      <c r="T24" s="26">
        <f>OPEX!W8</f>
        <v>4533.333333</v>
      </c>
      <c r="U24" s="26">
        <f>OPEX!X8</f>
        <v>6440</v>
      </c>
      <c r="V24" s="26">
        <f>OPEX!Y8</f>
        <v>6440</v>
      </c>
      <c r="W24" s="26">
        <f>OPEX!Z8</f>
        <v>6440</v>
      </c>
      <c r="X24" s="26">
        <f>OPEX!AA8</f>
        <v>6440</v>
      </c>
      <c r="Y24" s="26">
        <f>OPEX!AB8</f>
        <v>6440</v>
      </c>
      <c r="Z24" s="26">
        <f>OPEX!AC8</f>
        <v>6440</v>
      </c>
      <c r="AA24" s="26">
        <f>OPEX!AD8</f>
        <v>6680</v>
      </c>
      <c r="AB24" s="26">
        <f>OPEX!AE8</f>
        <v>6680</v>
      </c>
      <c r="AC24" s="26">
        <f>OPEX!AF8</f>
        <v>6680</v>
      </c>
      <c r="AD24" s="26">
        <f>OPEX!AG8</f>
        <v>6680</v>
      </c>
      <c r="AE24" s="26">
        <f>OPEX!AH8</f>
        <v>6680</v>
      </c>
      <c r="AF24" s="26">
        <f>OPEX!AI8</f>
        <v>6800</v>
      </c>
      <c r="AG24" s="26">
        <f>OPEX!AJ8</f>
        <v>6800</v>
      </c>
      <c r="AH24" s="26">
        <f>OPEX!AK8</f>
        <v>6800</v>
      </c>
      <c r="AI24" s="26">
        <f>OPEX!AL8</f>
        <v>6800</v>
      </c>
      <c r="AJ24" s="26">
        <f>OPEX!AM8</f>
        <v>6800</v>
      </c>
      <c r="AK24" s="26">
        <f>OPEX!AN8</f>
        <v>6800</v>
      </c>
      <c r="AL24" s="26">
        <f>OPEX!AO8</f>
        <v>6800</v>
      </c>
      <c r="AM24" s="26">
        <f>OPEX!AP8</f>
        <v>6800</v>
      </c>
      <c r="AN24" s="26">
        <f>OPEX!AQ8</f>
        <v>6800</v>
      </c>
      <c r="AO24" s="26">
        <f>OPEX!AR8</f>
        <v>6800</v>
      </c>
      <c r="AP24" s="26">
        <f>OPEX!AS8</f>
        <v>6800</v>
      </c>
      <c r="AQ24" s="26">
        <f>OPEX!AT8</f>
        <v>6920</v>
      </c>
      <c r="AR24" s="26">
        <f>OPEX!AU8</f>
        <v>6920</v>
      </c>
      <c r="AS24" s="26">
        <f>OPEX!AV8</f>
        <v>6920</v>
      </c>
      <c r="AT24" s="26">
        <f>OPEX!AW8</f>
        <v>6920</v>
      </c>
      <c r="AU24" s="26">
        <f>OPEX!AX8</f>
        <v>7040</v>
      </c>
      <c r="AV24" s="26">
        <f>OPEX!AY8</f>
        <v>7040</v>
      </c>
      <c r="AW24" s="26">
        <f>OPEX!AZ8</f>
        <v>7040</v>
      </c>
      <c r="AX24" s="26">
        <f>OPEX!BA8</f>
        <v>7040</v>
      </c>
      <c r="AY24" s="26"/>
      <c r="AZ24" s="26">
        <f t="shared" ref="AZ24:BC24" si="18">SUMPRODUCT((YEAR($C$2:$AX$2)=AZ$2)*$C24:$AX24)</f>
        <v>53800</v>
      </c>
      <c r="BA24" s="26">
        <f t="shared" si="18"/>
        <v>65840</v>
      </c>
      <c r="BB24" s="26">
        <f t="shared" si="18"/>
        <v>81000</v>
      </c>
      <c r="BC24" s="26">
        <f t="shared" si="18"/>
        <v>83040</v>
      </c>
      <c r="BD24" s="1"/>
      <c r="BE24" s="1"/>
      <c r="BF24" s="1"/>
    </row>
    <row r="25">
      <c r="A25" s="1"/>
      <c r="B25" s="3" t="s">
        <v>165</v>
      </c>
      <c r="C25" s="26">
        <f>OPEX!F9</f>
        <v>360</v>
      </c>
      <c r="D25" s="26">
        <f>OPEX!G9</f>
        <v>360</v>
      </c>
      <c r="E25" s="26">
        <f>OPEX!H9</f>
        <v>360</v>
      </c>
      <c r="F25" s="26">
        <f>OPEX!I9</f>
        <v>360</v>
      </c>
      <c r="G25" s="26">
        <f>OPEX!J9</f>
        <v>360</v>
      </c>
      <c r="H25" s="26">
        <f>OPEX!K9</f>
        <v>400</v>
      </c>
      <c r="I25" s="26">
        <f>OPEX!L9</f>
        <v>400</v>
      </c>
      <c r="J25" s="26">
        <f>OPEX!M9</f>
        <v>400</v>
      </c>
      <c r="K25" s="26">
        <f>OPEX!N9</f>
        <v>400</v>
      </c>
      <c r="L25" s="26">
        <f>OPEX!O9</f>
        <v>400</v>
      </c>
      <c r="M25" s="26">
        <f>OPEX!P9</f>
        <v>400</v>
      </c>
      <c r="N25" s="26">
        <f>OPEX!Q9</f>
        <v>400</v>
      </c>
      <c r="O25" s="26">
        <f>OPEX!R9</f>
        <v>400</v>
      </c>
      <c r="P25" s="26">
        <f>OPEX!S9</f>
        <v>400</v>
      </c>
      <c r="Q25" s="26">
        <f>OPEX!T9</f>
        <v>400</v>
      </c>
      <c r="R25" s="26">
        <f>OPEX!U9</f>
        <v>400</v>
      </c>
      <c r="S25" s="26">
        <f>OPEX!V9</f>
        <v>400</v>
      </c>
      <c r="T25" s="26">
        <f>OPEX!W9</f>
        <v>400</v>
      </c>
      <c r="U25" s="26">
        <f>OPEX!X9</f>
        <v>480</v>
      </c>
      <c r="V25" s="26">
        <f>OPEX!Y9</f>
        <v>480</v>
      </c>
      <c r="W25" s="26">
        <f>OPEX!Z9</f>
        <v>480</v>
      </c>
      <c r="X25" s="26">
        <f>OPEX!AA9</f>
        <v>480</v>
      </c>
      <c r="Y25" s="26">
        <f>OPEX!AB9</f>
        <v>480</v>
      </c>
      <c r="Z25" s="26">
        <f>OPEX!AC9</f>
        <v>480</v>
      </c>
      <c r="AA25" s="26">
        <f>OPEX!AD9</f>
        <v>560</v>
      </c>
      <c r="AB25" s="26">
        <f>OPEX!AE9</f>
        <v>560</v>
      </c>
      <c r="AC25" s="26">
        <f>OPEX!AF9</f>
        <v>560</v>
      </c>
      <c r="AD25" s="26">
        <f>OPEX!AG9</f>
        <v>560</v>
      </c>
      <c r="AE25" s="26">
        <f>OPEX!AH9</f>
        <v>560</v>
      </c>
      <c r="AF25" s="26">
        <f>OPEX!AI9</f>
        <v>600</v>
      </c>
      <c r="AG25" s="26">
        <f>OPEX!AJ9</f>
        <v>600</v>
      </c>
      <c r="AH25" s="26">
        <f>OPEX!AK9</f>
        <v>600</v>
      </c>
      <c r="AI25" s="26">
        <f>OPEX!AL9</f>
        <v>600</v>
      </c>
      <c r="AJ25" s="26">
        <f>OPEX!AM9</f>
        <v>600</v>
      </c>
      <c r="AK25" s="26">
        <f>OPEX!AN9</f>
        <v>600</v>
      </c>
      <c r="AL25" s="26">
        <f>OPEX!AO9</f>
        <v>600</v>
      </c>
      <c r="AM25" s="26">
        <f>OPEX!AP9</f>
        <v>600</v>
      </c>
      <c r="AN25" s="26">
        <f>OPEX!AQ9</f>
        <v>600</v>
      </c>
      <c r="AO25" s="26">
        <f>OPEX!AR9</f>
        <v>600</v>
      </c>
      <c r="AP25" s="26">
        <f>OPEX!AS9</f>
        <v>600</v>
      </c>
      <c r="AQ25" s="26">
        <f>OPEX!AT9</f>
        <v>640</v>
      </c>
      <c r="AR25" s="26">
        <f>OPEX!AU9</f>
        <v>640</v>
      </c>
      <c r="AS25" s="26">
        <f>OPEX!AV9</f>
        <v>640</v>
      </c>
      <c r="AT25" s="26">
        <f>OPEX!AW9</f>
        <v>640</v>
      </c>
      <c r="AU25" s="26">
        <f>OPEX!AX9</f>
        <v>680</v>
      </c>
      <c r="AV25" s="26">
        <f>OPEX!AY9</f>
        <v>680</v>
      </c>
      <c r="AW25" s="26">
        <f>OPEX!AZ9</f>
        <v>680</v>
      </c>
      <c r="AX25" s="26">
        <f>OPEX!BA9</f>
        <v>680</v>
      </c>
      <c r="AY25" s="26"/>
      <c r="AZ25" s="26">
        <f t="shared" ref="AZ25:BC25" si="19">SUMPRODUCT((YEAR($C$2:$AX$2)=AZ$2)*$C25:$AX25)</f>
        <v>4600</v>
      </c>
      <c r="BA25" s="26">
        <f t="shared" si="19"/>
        <v>5280</v>
      </c>
      <c r="BB25" s="26">
        <f t="shared" si="19"/>
        <v>7000</v>
      </c>
      <c r="BC25" s="26">
        <f t="shared" si="19"/>
        <v>7680</v>
      </c>
      <c r="BD25" s="1"/>
      <c r="BE25" s="1"/>
      <c r="BF25" s="1"/>
    </row>
    <row r="26">
      <c r="A26" s="1"/>
      <c r="B26" s="3" t="s">
        <v>147</v>
      </c>
      <c r="C26" s="26">
        <f>OPEX!F10</f>
        <v>250</v>
      </c>
      <c r="D26" s="26">
        <f>OPEX!G10</f>
        <v>250</v>
      </c>
      <c r="E26" s="26">
        <f>OPEX!H10</f>
        <v>250</v>
      </c>
      <c r="F26" s="26">
        <f>OPEX!I10</f>
        <v>250</v>
      </c>
      <c r="G26" s="26">
        <f>OPEX!J10</f>
        <v>250</v>
      </c>
      <c r="H26" s="26">
        <f>OPEX!K10</f>
        <v>250</v>
      </c>
      <c r="I26" s="26">
        <f>OPEX!L10</f>
        <v>250</v>
      </c>
      <c r="J26" s="26">
        <f>OPEX!M10</f>
        <v>250</v>
      </c>
      <c r="K26" s="26">
        <f>OPEX!N10</f>
        <v>250</v>
      </c>
      <c r="L26" s="26">
        <f>OPEX!O10</f>
        <v>250</v>
      </c>
      <c r="M26" s="26">
        <f>OPEX!P10</f>
        <v>250</v>
      </c>
      <c r="N26" s="26">
        <f>OPEX!Q10</f>
        <v>250</v>
      </c>
      <c r="O26" s="26">
        <f>OPEX!R10</f>
        <v>333.3333333</v>
      </c>
      <c r="P26" s="26">
        <f>OPEX!S10</f>
        <v>333.3333333</v>
      </c>
      <c r="Q26" s="26">
        <f>OPEX!T10</f>
        <v>333.3333333</v>
      </c>
      <c r="R26" s="26">
        <f>OPEX!U10</f>
        <v>333.3333333</v>
      </c>
      <c r="S26" s="26">
        <f>OPEX!V10</f>
        <v>333.3333333</v>
      </c>
      <c r="T26" s="26">
        <f>OPEX!W10</f>
        <v>333.3333333</v>
      </c>
      <c r="U26" s="26">
        <f>OPEX!X10</f>
        <v>333.3333333</v>
      </c>
      <c r="V26" s="26">
        <f>OPEX!Y10</f>
        <v>333.3333333</v>
      </c>
      <c r="W26" s="26">
        <f>OPEX!Z10</f>
        <v>333.3333333</v>
      </c>
      <c r="X26" s="26">
        <f>OPEX!AA10</f>
        <v>333.3333333</v>
      </c>
      <c r="Y26" s="26">
        <f>OPEX!AB10</f>
        <v>333.3333333</v>
      </c>
      <c r="Z26" s="26">
        <f>OPEX!AC10</f>
        <v>333.3333333</v>
      </c>
      <c r="AA26" s="26">
        <f>OPEX!AD10</f>
        <v>416.6666667</v>
      </c>
      <c r="AB26" s="26">
        <f>OPEX!AE10</f>
        <v>416.6666667</v>
      </c>
      <c r="AC26" s="26">
        <f>OPEX!AF10</f>
        <v>416.6666667</v>
      </c>
      <c r="AD26" s="26">
        <f>OPEX!AG10</f>
        <v>416.6666667</v>
      </c>
      <c r="AE26" s="26">
        <f>OPEX!AH10</f>
        <v>416.6666667</v>
      </c>
      <c r="AF26" s="26">
        <f>OPEX!AI10</f>
        <v>416.6666667</v>
      </c>
      <c r="AG26" s="26">
        <f>OPEX!AJ10</f>
        <v>416.6666667</v>
      </c>
      <c r="AH26" s="26">
        <f>OPEX!AK10</f>
        <v>416.6666667</v>
      </c>
      <c r="AI26" s="26">
        <f>OPEX!AL10</f>
        <v>416.6666667</v>
      </c>
      <c r="AJ26" s="26">
        <f>OPEX!AM10</f>
        <v>416.6666667</v>
      </c>
      <c r="AK26" s="26">
        <f>OPEX!AN10</f>
        <v>416.6666667</v>
      </c>
      <c r="AL26" s="26">
        <f>OPEX!AO10</f>
        <v>416.6666667</v>
      </c>
      <c r="AM26" s="26">
        <f>OPEX!AP10</f>
        <v>500</v>
      </c>
      <c r="AN26" s="26">
        <f>OPEX!AQ10</f>
        <v>500</v>
      </c>
      <c r="AO26" s="26">
        <f>OPEX!AR10</f>
        <v>500</v>
      </c>
      <c r="AP26" s="26">
        <f>OPEX!AS10</f>
        <v>500</v>
      </c>
      <c r="AQ26" s="26">
        <f>OPEX!AT10</f>
        <v>500</v>
      </c>
      <c r="AR26" s="26">
        <f>OPEX!AU10</f>
        <v>500</v>
      </c>
      <c r="AS26" s="26">
        <f>OPEX!AV10</f>
        <v>500</v>
      </c>
      <c r="AT26" s="26">
        <f>OPEX!AW10</f>
        <v>500</v>
      </c>
      <c r="AU26" s="26">
        <f>OPEX!AX10</f>
        <v>500</v>
      </c>
      <c r="AV26" s="26">
        <f>OPEX!AY10</f>
        <v>500</v>
      </c>
      <c r="AW26" s="26">
        <f>OPEX!AZ10</f>
        <v>500</v>
      </c>
      <c r="AX26" s="26">
        <f>OPEX!BA10</f>
        <v>500</v>
      </c>
      <c r="AY26" s="26"/>
      <c r="AZ26" s="26">
        <f t="shared" ref="AZ26:BC26" si="20">SUMPRODUCT((YEAR($C$2:$AX$2)=AZ$2)*$C26:$AX26)</f>
        <v>3000</v>
      </c>
      <c r="BA26" s="26">
        <f t="shared" si="20"/>
        <v>4000</v>
      </c>
      <c r="BB26" s="26">
        <f t="shared" si="20"/>
        <v>5000</v>
      </c>
      <c r="BC26" s="26">
        <f t="shared" si="20"/>
        <v>6000</v>
      </c>
      <c r="BD26" s="1"/>
      <c r="BE26" s="1"/>
      <c r="BF26" s="1"/>
    </row>
    <row r="27">
      <c r="A27" s="1"/>
      <c r="B27" s="3" t="s">
        <v>148</v>
      </c>
      <c r="C27" s="26">
        <f>OPEX!F11</f>
        <v>500</v>
      </c>
      <c r="D27" s="26">
        <f>OPEX!G11</f>
        <v>500</v>
      </c>
      <c r="E27" s="26">
        <f>OPEX!H11</f>
        <v>500</v>
      </c>
      <c r="F27" s="26">
        <f>OPEX!I11</f>
        <v>500</v>
      </c>
      <c r="G27" s="26">
        <f>OPEX!J11</f>
        <v>500</v>
      </c>
      <c r="H27" s="26">
        <f>OPEX!K11</f>
        <v>500</v>
      </c>
      <c r="I27" s="26">
        <f>OPEX!L11</f>
        <v>500</v>
      </c>
      <c r="J27" s="26">
        <f>OPEX!M11</f>
        <v>500</v>
      </c>
      <c r="K27" s="26">
        <f>OPEX!N11</f>
        <v>500</v>
      </c>
      <c r="L27" s="26">
        <f>OPEX!O11</f>
        <v>500</v>
      </c>
      <c r="M27" s="26">
        <f>OPEX!P11</f>
        <v>500</v>
      </c>
      <c r="N27" s="26">
        <f>OPEX!Q11</f>
        <v>500</v>
      </c>
      <c r="O27" s="26">
        <f>OPEX!R11</f>
        <v>541.6666667</v>
      </c>
      <c r="P27" s="26">
        <f>OPEX!S11</f>
        <v>541.6666667</v>
      </c>
      <c r="Q27" s="26">
        <f>OPEX!T11</f>
        <v>541.6666667</v>
      </c>
      <c r="R27" s="26">
        <f>OPEX!U11</f>
        <v>541.6666667</v>
      </c>
      <c r="S27" s="26">
        <f>OPEX!V11</f>
        <v>541.6666667</v>
      </c>
      <c r="T27" s="26">
        <f>OPEX!W11</f>
        <v>541.6666667</v>
      </c>
      <c r="U27" s="26">
        <f>OPEX!X11</f>
        <v>541.6666667</v>
      </c>
      <c r="V27" s="26">
        <f>OPEX!Y11</f>
        <v>541.6666667</v>
      </c>
      <c r="W27" s="26">
        <f>OPEX!Z11</f>
        <v>541.6666667</v>
      </c>
      <c r="X27" s="26">
        <f>OPEX!AA11</f>
        <v>541.6666667</v>
      </c>
      <c r="Y27" s="26">
        <f>OPEX!AB11</f>
        <v>541.6666667</v>
      </c>
      <c r="Z27" s="26">
        <f>OPEX!AC11</f>
        <v>541.6666667</v>
      </c>
      <c r="AA27" s="26">
        <f>OPEX!AD11</f>
        <v>583.3333333</v>
      </c>
      <c r="AB27" s="26">
        <f>OPEX!AE11</f>
        <v>583.3333333</v>
      </c>
      <c r="AC27" s="26">
        <f>OPEX!AF11</f>
        <v>583.3333333</v>
      </c>
      <c r="AD27" s="26">
        <f>OPEX!AG11</f>
        <v>583.3333333</v>
      </c>
      <c r="AE27" s="26">
        <f>OPEX!AH11</f>
        <v>583.3333333</v>
      </c>
      <c r="AF27" s="26">
        <f>OPEX!AI11</f>
        <v>583.3333333</v>
      </c>
      <c r="AG27" s="26">
        <f>OPEX!AJ11</f>
        <v>583.3333333</v>
      </c>
      <c r="AH27" s="26">
        <f>OPEX!AK11</f>
        <v>583.3333333</v>
      </c>
      <c r="AI27" s="26">
        <f>OPEX!AL11</f>
        <v>583.3333333</v>
      </c>
      <c r="AJ27" s="26">
        <f>OPEX!AM11</f>
        <v>583.3333333</v>
      </c>
      <c r="AK27" s="26">
        <f>OPEX!AN11</f>
        <v>583.3333333</v>
      </c>
      <c r="AL27" s="26">
        <f>OPEX!AO11</f>
        <v>583.3333333</v>
      </c>
      <c r="AM27" s="26">
        <f>OPEX!AP11</f>
        <v>625</v>
      </c>
      <c r="AN27" s="26">
        <f>OPEX!AQ11</f>
        <v>625</v>
      </c>
      <c r="AO27" s="26">
        <f>OPEX!AR11</f>
        <v>625</v>
      </c>
      <c r="AP27" s="26">
        <f>OPEX!AS11</f>
        <v>625</v>
      </c>
      <c r="AQ27" s="26">
        <f>OPEX!AT11</f>
        <v>625</v>
      </c>
      <c r="AR27" s="26">
        <f>OPEX!AU11</f>
        <v>625</v>
      </c>
      <c r="AS27" s="26">
        <f>OPEX!AV11</f>
        <v>625</v>
      </c>
      <c r="AT27" s="26">
        <f>OPEX!AW11</f>
        <v>625</v>
      </c>
      <c r="AU27" s="26">
        <f>OPEX!AX11</f>
        <v>625</v>
      </c>
      <c r="AV27" s="26">
        <f>OPEX!AY11</f>
        <v>625</v>
      </c>
      <c r="AW27" s="26">
        <f>OPEX!AZ11</f>
        <v>625</v>
      </c>
      <c r="AX27" s="26">
        <f>OPEX!BA11</f>
        <v>625</v>
      </c>
      <c r="AY27" s="26"/>
      <c r="AZ27" s="26">
        <f t="shared" ref="AZ27:BC27" si="21">SUMPRODUCT((YEAR($C$2:$AX$2)=AZ$2)*$C27:$AX27)</f>
        <v>6000</v>
      </c>
      <c r="BA27" s="26">
        <f t="shared" si="21"/>
        <v>6500</v>
      </c>
      <c r="BB27" s="26">
        <f t="shared" si="21"/>
        <v>7000</v>
      </c>
      <c r="BC27" s="26">
        <f t="shared" si="21"/>
        <v>7500</v>
      </c>
      <c r="BD27" s="1"/>
      <c r="BE27" s="1"/>
      <c r="BF27" s="1"/>
    </row>
    <row r="28">
      <c r="A28" s="1"/>
      <c r="B28" s="3" t="s">
        <v>166</v>
      </c>
      <c r="C28" s="26">
        <f>OPEX!F12</f>
        <v>900</v>
      </c>
      <c r="D28" s="26">
        <f>OPEX!G12</f>
        <v>900</v>
      </c>
      <c r="E28" s="26">
        <f>OPEX!H12</f>
        <v>900</v>
      </c>
      <c r="F28" s="26">
        <f>OPEX!I12</f>
        <v>900</v>
      </c>
      <c r="G28" s="26">
        <f>OPEX!J12</f>
        <v>900</v>
      </c>
      <c r="H28" s="26">
        <f>OPEX!K12</f>
        <v>1000</v>
      </c>
      <c r="I28" s="26">
        <f>OPEX!L12</f>
        <v>1000</v>
      </c>
      <c r="J28" s="26">
        <f>OPEX!M12</f>
        <v>1000</v>
      </c>
      <c r="K28" s="26">
        <f>OPEX!N12</f>
        <v>1000</v>
      </c>
      <c r="L28" s="26">
        <f>OPEX!O12</f>
        <v>1000</v>
      </c>
      <c r="M28" s="26">
        <f>OPEX!P12</f>
        <v>1000</v>
      </c>
      <c r="N28" s="26">
        <f>OPEX!Q12</f>
        <v>1000</v>
      </c>
      <c r="O28" s="26">
        <f>OPEX!R12</f>
        <v>1000</v>
      </c>
      <c r="P28" s="26">
        <f>OPEX!S12</f>
        <v>1000</v>
      </c>
      <c r="Q28" s="26">
        <f>OPEX!T12</f>
        <v>1000</v>
      </c>
      <c r="R28" s="26">
        <f>OPEX!U12</f>
        <v>1000</v>
      </c>
      <c r="S28" s="26">
        <f>OPEX!V12</f>
        <v>1000</v>
      </c>
      <c r="T28" s="26">
        <f>OPEX!W12</f>
        <v>1000</v>
      </c>
      <c r="U28" s="26">
        <f>OPEX!X12</f>
        <v>1200</v>
      </c>
      <c r="V28" s="26">
        <f>OPEX!Y12</f>
        <v>1200</v>
      </c>
      <c r="W28" s="26">
        <f>OPEX!Z12</f>
        <v>1200</v>
      </c>
      <c r="X28" s="26">
        <f>OPEX!AA12</f>
        <v>1200</v>
      </c>
      <c r="Y28" s="26">
        <f>OPEX!AB12</f>
        <v>1200</v>
      </c>
      <c r="Z28" s="26">
        <f>OPEX!AC12</f>
        <v>1200</v>
      </c>
      <c r="AA28" s="26">
        <f>OPEX!AD12</f>
        <v>1400</v>
      </c>
      <c r="AB28" s="26">
        <f>OPEX!AE12</f>
        <v>1400</v>
      </c>
      <c r="AC28" s="26">
        <f>OPEX!AF12</f>
        <v>1400</v>
      </c>
      <c r="AD28" s="26">
        <f>OPEX!AG12</f>
        <v>1400</v>
      </c>
      <c r="AE28" s="26">
        <f>OPEX!AH12</f>
        <v>1400</v>
      </c>
      <c r="AF28" s="26">
        <f>OPEX!AI12</f>
        <v>1500</v>
      </c>
      <c r="AG28" s="26">
        <f>OPEX!AJ12</f>
        <v>1500</v>
      </c>
      <c r="AH28" s="26">
        <f>OPEX!AK12</f>
        <v>1500</v>
      </c>
      <c r="AI28" s="26">
        <f>OPEX!AL12</f>
        <v>1500</v>
      </c>
      <c r="AJ28" s="26">
        <f>OPEX!AM12</f>
        <v>1500</v>
      </c>
      <c r="AK28" s="26">
        <f>OPEX!AN12</f>
        <v>1500</v>
      </c>
      <c r="AL28" s="26">
        <f>OPEX!AO12</f>
        <v>1500</v>
      </c>
      <c r="AM28" s="26">
        <f>OPEX!AP12</f>
        <v>1500</v>
      </c>
      <c r="AN28" s="26">
        <f>OPEX!AQ12</f>
        <v>1500</v>
      </c>
      <c r="AO28" s="26">
        <f>OPEX!AR12</f>
        <v>1500</v>
      </c>
      <c r="AP28" s="26">
        <f>OPEX!AS12</f>
        <v>1500</v>
      </c>
      <c r="AQ28" s="26">
        <f>OPEX!AT12</f>
        <v>1600</v>
      </c>
      <c r="AR28" s="26">
        <f>OPEX!AU12</f>
        <v>1600</v>
      </c>
      <c r="AS28" s="26">
        <f>OPEX!AV12</f>
        <v>1600</v>
      </c>
      <c r="AT28" s="26">
        <f>OPEX!AW12</f>
        <v>1600</v>
      </c>
      <c r="AU28" s="26">
        <f>OPEX!AX12</f>
        <v>1700</v>
      </c>
      <c r="AV28" s="26">
        <f>OPEX!AY12</f>
        <v>1700</v>
      </c>
      <c r="AW28" s="26">
        <f>OPEX!AZ12</f>
        <v>1700</v>
      </c>
      <c r="AX28" s="26">
        <f>OPEX!BA12</f>
        <v>1700</v>
      </c>
      <c r="AY28" s="26"/>
      <c r="AZ28" s="26">
        <f t="shared" ref="AZ28:BC28" si="22">SUMPRODUCT((YEAR($C$2:$AX$2)=AZ$2)*$C28:$AX28)</f>
        <v>11500</v>
      </c>
      <c r="BA28" s="26">
        <f t="shared" si="22"/>
        <v>13200</v>
      </c>
      <c r="BB28" s="26">
        <f t="shared" si="22"/>
        <v>17500</v>
      </c>
      <c r="BC28" s="26">
        <f t="shared" si="22"/>
        <v>19200</v>
      </c>
      <c r="BD28" s="1"/>
      <c r="BE28" s="1"/>
      <c r="BF28" s="1"/>
    </row>
    <row r="29">
      <c r="A29" s="1"/>
      <c r="B29" s="3" t="s">
        <v>150</v>
      </c>
      <c r="C29" s="26">
        <f>OPEX!F13</f>
        <v>580</v>
      </c>
      <c r="D29" s="26">
        <f>OPEX!G13</f>
        <v>620</v>
      </c>
      <c r="E29" s="26">
        <f>OPEX!H13</f>
        <v>640</v>
      </c>
      <c r="F29" s="26">
        <f>OPEX!I13</f>
        <v>659.2630612</v>
      </c>
      <c r="G29" s="26">
        <f>OPEX!J13</f>
        <v>678.5396994</v>
      </c>
      <c r="H29" s="26">
        <f>OPEX!K13</f>
        <v>717.461195</v>
      </c>
      <c r="I29" s="26">
        <f>OPEX!L13</f>
        <v>736.0340909</v>
      </c>
      <c r="J29" s="26">
        <f>OPEX!M13</f>
        <v>754.2648097</v>
      </c>
      <c r="K29" s="26">
        <f>OPEX!N13</f>
        <v>772.1596554</v>
      </c>
      <c r="L29" s="26">
        <f>OPEX!O13</f>
        <v>809.3563466</v>
      </c>
      <c r="M29" s="26">
        <f>OPEX!P13</f>
        <v>826.6046844</v>
      </c>
      <c r="N29" s="26">
        <f>OPEX!Q13</f>
        <v>843.535248</v>
      </c>
      <c r="O29" s="26">
        <f>OPEX!R13</f>
        <v>879.7854224</v>
      </c>
      <c r="P29" s="26">
        <f>OPEX!S13</f>
        <v>895.3677428</v>
      </c>
      <c r="Q29" s="26">
        <f>OPEX!T13</f>
        <v>930.6629828</v>
      </c>
      <c r="R29" s="26">
        <f>OPEX!U13</f>
        <v>965.6764315</v>
      </c>
      <c r="S29" s="26">
        <f>OPEX!V13</f>
        <v>980.4132803</v>
      </c>
      <c r="T29" s="26">
        <f>OPEX!W13</f>
        <v>1014.510156</v>
      </c>
      <c r="U29" s="26">
        <f>OPEX!X13</f>
        <v>1048.347318</v>
      </c>
      <c r="V29" s="26">
        <f>OPEX!Y13</f>
        <v>1061.929552</v>
      </c>
      <c r="W29" s="26">
        <f>OPEX!Z13</f>
        <v>1094.893084</v>
      </c>
      <c r="X29" s="26">
        <f>OPEX!AA13</f>
        <v>1127.617783</v>
      </c>
      <c r="Y29" s="26">
        <f>OPEX!AB13</f>
        <v>1139.739579</v>
      </c>
      <c r="Z29" s="26">
        <f>OPEX!AC13</f>
        <v>1171.269581</v>
      </c>
      <c r="AA29" s="26">
        <f>OPEX!AD13</f>
        <v>1262.58716</v>
      </c>
      <c r="AB29" s="26">
        <f>OPEX!AE13</f>
        <v>1351.570629</v>
      </c>
      <c r="AC29" s="26">
        <f>OPEX!AF13</f>
        <v>1438.282075</v>
      </c>
      <c r="AD29" s="26">
        <f>OPEX!AG13</f>
        <v>1523.150356</v>
      </c>
      <c r="AE29" s="26">
        <f>OPEX!AH13</f>
        <v>1605.858942</v>
      </c>
      <c r="AF29" s="26">
        <f>OPEX!AI13</f>
        <v>1706.46508</v>
      </c>
      <c r="AG29" s="26">
        <f>OPEX!AJ13</f>
        <v>1785.392922</v>
      </c>
      <c r="AH29" s="26">
        <f>OPEX!AK13</f>
        <v>1861.952899</v>
      </c>
      <c r="AI29" s="26">
        <f>OPEX!AL13</f>
        <v>1936.573073</v>
      </c>
      <c r="AJ29" s="26">
        <f>OPEX!AM13</f>
        <v>2009.673152</v>
      </c>
      <c r="AK29" s="26">
        <f>OPEX!AN13</f>
        <v>2080.55925</v>
      </c>
      <c r="AL29" s="26">
        <f>OPEX!AO13</f>
        <v>2149.655231</v>
      </c>
      <c r="AM29" s="26">
        <f>OPEX!AP13</f>
        <v>2257.376724</v>
      </c>
      <c r="AN29" s="26">
        <f>OPEX!AQ13</f>
        <v>2342.071697</v>
      </c>
      <c r="AO29" s="26">
        <f>OPEX!AR13</f>
        <v>2444.552569</v>
      </c>
      <c r="AP29" s="26">
        <f>OPEX!AS13</f>
        <v>2524.879276</v>
      </c>
      <c r="AQ29" s="26">
        <f>OPEX!AT13</f>
        <v>2623.110089</v>
      </c>
      <c r="AR29" s="26">
        <f>OPEX!AU13</f>
        <v>2699.670132</v>
      </c>
      <c r="AS29" s="26">
        <f>OPEX!AV13</f>
        <v>2794.239228</v>
      </c>
      <c r="AT29" s="26">
        <f>OPEX!AW13</f>
        <v>2866.502587</v>
      </c>
      <c r="AU29" s="26">
        <f>OPEX!AX13</f>
        <v>2956.519188</v>
      </c>
      <c r="AV29" s="26">
        <f>OPEX!AY13</f>
        <v>3025.083381</v>
      </c>
      <c r="AW29" s="26">
        <f>OPEX!AZ13</f>
        <v>3111.500535</v>
      </c>
      <c r="AX29" s="26">
        <f>OPEX!BA13</f>
        <v>3175.825298</v>
      </c>
      <c r="AY29" s="26"/>
      <c r="AZ29" s="26">
        <f t="shared" ref="AZ29:BC29" si="23">SUMPRODUCT((YEAR($C$2:$AX$2)=AZ$2)*$C29:$AX29)</f>
        <v>8637.218791</v>
      </c>
      <c r="BA29" s="26">
        <f t="shared" si="23"/>
        <v>12310.21291</v>
      </c>
      <c r="BB29" s="26">
        <f t="shared" si="23"/>
        <v>20711.72077</v>
      </c>
      <c r="BC29" s="26">
        <f t="shared" si="23"/>
        <v>32821.3307</v>
      </c>
      <c r="BD29" s="1"/>
      <c r="BE29" s="1"/>
      <c r="BF29" s="1"/>
    </row>
    <row r="30">
      <c r="A30" s="1"/>
      <c r="B30" s="3" t="s">
        <v>151</v>
      </c>
      <c r="C30" s="26">
        <f>OPEX!F14</f>
        <v>140</v>
      </c>
      <c r="D30" s="26">
        <f>OPEX!G14</f>
        <v>140</v>
      </c>
      <c r="E30" s="26">
        <f>OPEX!H14</f>
        <v>140</v>
      </c>
      <c r="F30" s="26">
        <f>OPEX!I14</f>
        <v>140</v>
      </c>
      <c r="G30" s="26">
        <f>OPEX!J14</f>
        <v>140</v>
      </c>
      <c r="H30" s="26">
        <f>OPEX!K14</f>
        <v>140</v>
      </c>
      <c r="I30" s="26">
        <f>OPEX!L14</f>
        <v>140</v>
      </c>
      <c r="J30" s="26">
        <f>OPEX!M14</f>
        <v>140</v>
      </c>
      <c r="K30" s="26">
        <f>OPEX!N14</f>
        <v>140</v>
      </c>
      <c r="L30" s="26">
        <f>OPEX!O14</f>
        <v>140</v>
      </c>
      <c r="M30" s="26">
        <f>OPEX!P14</f>
        <v>140</v>
      </c>
      <c r="N30" s="26">
        <f>OPEX!Q14</f>
        <v>140</v>
      </c>
      <c r="O30" s="26">
        <f>OPEX!R14</f>
        <v>140</v>
      </c>
      <c r="P30" s="26">
        <f>OPEX!S14</f>
        <v>140</v>
      </c>
      <c r="Q30" s="26">
        <f>OPEX!T14</f>
        <v>140</v>
      </c>
      <c r="R30" s="26">
        <f>OPEX!U14</f>
        <v>140</v>
      </c>
      <c r="S30" s="26">
        <f>OPEX!V14</f>
        <v>140</v>
      </c>
      <c r="T30" s="26">
        <f>OPEX!W14</f>
        <v>140</v>
      </c>
      <c r="U30" s="26">
        <f>OPEX!X14</f>
        <v>140</v>
      </c>
      <c r="V30" s="26">
        <f>OPEX!Y14</f>
        <v>140</v>
      </c>
      <c r="W30" s="26">
        <f>OPEX!Z14</f>
        <v>140</v>
      </c>
      <c r="X30" s="26">
        <f>OPEX!AA14</f>
        <v>140</v>
      </c>
      <c r="Y30" s="26">
        <f>OPEX!AB14</f>
        <v>140</v>
      </c>
      <c r="Z30" s="26">
        <f>OPEX!AC14</f>
        <v>140</v>
      </c>
      <c r="AA30" s="26">
        <f>OPEX!AD14</f>
        <v>140</v>
      </c>
      <c r="AB30" s="26">
        <f>OPEX!AE14</f>
        <v>140</v>
      </c>
      <c r="AC30" s="26">
        <f>OPEX!AF14</f>
        <v>140</v>
      </c>
      <c r="AD30" s="26">
        <f>OPEX!AG14</f>
        <v>140</v>
      </c>
      <c r="AE30" s="26">
        <f>OPEX!AH14</f>
        <v>140</v>
      </c>
      <c r="AF30" s="26">
        <f>OPEX!AI14</f>
        <v>140</v>
      </c>
      <c r="AG30" s="26">
        <f>OPEX!AJ14</f>
        <v>140</v>
      </c>
      <c r="AH30" s="26">
        <f>OPEX!AK14</f>
        <v>140</v>
      </c>
      <c r="AI30" s="26">
        <f>OPEX!AL14</f>
        <v>140</v>
      </c>
      <c r="AJ30" s="26">
        <f>OPEX!AM14</f>
        <v>140</v>
      </c>
      <c r="AK30" s="26">
        <f>OPEX!AN14</f>
        <v>140</v>
      </c>
      <c r="AL30" s="26">
        <f>OPEX!AO14</f>
        <v>140</v>
      </c>
      <c r="AM30" s="26">
        <f>OPEX!AP14</f>
        <v>140</v>
      </c>
      <c r="AN30" s="26">
        <f>OPEX!AQ14</f>
        <v>140</v>
      </c>
      <c r="AO30" s="26">
        <f>OPEX!AR14</f>
        <v>140</v>
      </c>
      <c r="AP30" s="26">
        <f>OPEX!AS14</f>
        <v>140</v>
      </c>
      <c r="AQ30" s="26">
        <f>OPEX!AT14</f>
        <v>140</v>
      </c>
      <c r="AR30" s="26">
        <f>OPEX!AU14</f>
        <v>140</v>
      </c>
      <c r="AS30" s="26">
        <f>OPEX!AV14</f>
        <v>140</v>
      </c>
      <c r="AT30" s="26">
        <f>OPEX!AW14</f>
        <v>140</v>
      </c>
      <c r="AU30" s="26">
        <f>OPEX!AX14</f>
        <v>140</v>
      </c>
      <c r="AV30" s="26">
        <f>OPEX!AY14</f>
        <v>140</v>
      </c>
      <c r="AW30" s="26">
        <f>OPEX!AZ14</f>
        <v>140</v>
      </c>
      <c r="AX30" s="26">
        <f>OPEX!BA14</f>
        <v>140</v>
      </c>
      <c r="AY30" s="26"/>
      <c r="AZ30" s="26">
        <f t="shared" ref="AZ30:BC30" si="24">SUMPRODUCT((YEAR($C$2:$AX$2)=AZ$2)*$C30:$AX30)</f>
        <v>1680</v>
      </c>
      <c r="BA30" s="26">
        <f t="shared" si="24"/>
        <v>1680</v>
      </c>
      <c r="BB30" s="26">
        <f t="shared" si="24"/>
        <v>1680</v>
      </c>
      <c r="BC30" s="26">
        <f t="shared" si="24"/>
        <v>1680</v>
      </c>
      <c r="BD30" s="1"/>
      <c r="BE30" s="1"/>
      <c r="BF30" s="1"/>
    </row>
    <row r="31">
      <c r="A31" s="1"/>
      <c r="B31" s="48" t="s">
        <v>153</v>
      </c>
      <c r="C31" s="50">
        <f t="shared" ref="C31:AX31" si="25">SUM(C23:C30)</f>
        <v>12543.33333</v>
      </c>
      <c r="D31" s="50">
        <f t="shared" si="25"/>
        <v>12583.33333</v>
      </c>
      <c r="E31" s="50">
        <f t="shared" si="25"/>
        <v>12603.33333</v>
      </c>
      <c r="F31" s="50">
        <f t="shared" si="25"/>
        <v>12622.59639</v>
      </c>
      <c r="G31" s="50">
        <f t="shared" si="25"/>
        <v>12641.87303</v>
      </c>
      <c r="H31" s="50">
        <f t="shared" si="25"/>
        <v>13540.79453</v>
      </c>
      <c r="I31" s="50">
        <f t="shared" si="25"/>
        <v>13559.36742</v>
      </c>
      <c r="J31" s="50">
        <f t="shared" si="25"/>
        <v>13577.59814</v>
      </c>
      <c r="K31" s="50">
        <f t="shared" si="25"/>
        <v>13595.49299</v>
      </c>
      <c r="L31" s="50">
        <f t="shared" si="25"/>
        <v>13632.68968</v>
      </c>
      <c r="M31" s="50">
        <f t="shared" si="25"/>
        <v>13649.93802</v>
      </c>
      <c r="N31" s="50">
        <f t="shared" si="25"/>
        <v>13666.86858</v>
      </c>
      <c r="O31" s="50">
        <f t="shared" si="25"/>
        <v>13828.11876</v>
      </c>
      <c r="P31" s="50">
        <f t="shared" si="25"/>
        <v>13843.70108</v>
      </c>
      <c r="Q31" s="50">
        <f t="shared" si="25"/>
        <v>13878.99632</v>
      </c>
      <c r="R31" s="50">
        <f t="shared" si="25"/>
        <v>13914.00976</v>
      </c>
      <c r="S31" s="50">
        <f t="shared" si="25"/>
        <v>13928.74661</v>
      </c>
      <c r="T31" s="50">
        <f t="shared" si="25"/>
        <v>13962.84349</v>
      </c>
      <c r="U31" s="50">
        <f t="shared" si="25"/>
        <v>17383.34732</v>
      </c>
      <c r="V31" s="50">
        <f t="shared" si="25"/>
        <v>17396.92955</v>
      </c>
      <c r="W31" s="50">
        <f t="shared" si="25"/>
        <v>17429.89308</v>
      </c>
      <c r="X31" s="50">
        <f t="shared" si="25"/>
        <v>17462.61778</v>
      </c>
      <c r="Y31" s="50">
        <f t="shared" si="25"/>
        <v>17474.73958</v>
      </c>
      <c r="Z31" s="50">
        <f t="shared" si="25"/>
        <v>17506.26958</v>
      </c>
      <c r="AA31" s="50">
        <f t="shared" si="25"/>
        <v>19442.58716</v>
      </c>
      <c r="AB31" s="50">
        <f t="shared" si="25"/>
        <v>19531.57063</v>
      </c>
      <c r="AC31" s="50">
        <f t="shared" si="25"/>
        <v>19618.28208</v>
      </c>
      <c r="AD31" s="50">
        <f t="shared" si="25"/>
        <v>19703.15036</v>
      </c>
      <c r="AE31" s="50">
        <f t="shared" si="25"/>
        <v>19785.85894</v>
      </c>
      <c r="AF31" s="50">
        <f t="shared" si="25"/>
        <v>20746.46508</v>
      </c>
      <c r="AG31" s="50">
        <f t="shared" si="25"/>
        <v>20825.39292</v>
      </c>
      <c r="AH31" s="50">
        <f t="shared" si="25"/>
        <v>20901.9529</v>
      </c>
      <c r="AI31" s="50">
        <f t="shared" si="25"/>
        <v>20976.57307</v>
      </c>
      <c r="AJ31" s="50">
        <f t="shared" si="25"/>
        <v>21049.67315</v>
      </c>
      <c r="AK31" s="50">
        <f t="shared" si="25"/>
        <v>21120.55925</v>
      </c>
      <c r="AL31" s="50">
        <f t="shared" si="25"/>
        <v>21189.65523</v>
      </c>
      <c r="AM31" s="50">
        <f t="shared" si="25"/>
        <v>21422.37672</v>
      </c>
      <c r="AN31" s="50">
        <f t="shared" si="25"/>
        <v>21507.0717</v>
      </c>
      <c r="AO31" s="50">
        <f t="shared" si="25"/>
        <v>21609.55257</v>
      </c>
      <c r="AP31" s="50">
        <f t="shared" si="25"/>
        <v>21689.87928</v>
      </c>
      <c r="AQ31" s="50">
        <f t="shared" si="25"/>
        <v>22648.11009</v>
      </c>
      <c r="AR31" s="50">
        <f t="shared" si="25"/>
        <v>22724.67013</v>
      </c>
      <c r="AS31" s="50">
        <f t="shared" si="25"/>
        <v>22819.23923</v>
      </c>
      <c r="AT31" s="50">
        <f t="shared" si="25"/>
        <v>22891.50259</v>
      </c>
      <c r="AU31" s="50">
        <f t="shared" si="25"/>
        <v>23841.51919</v>
      </c>
      <c r="AV31" s="50">
        <f t="shared" si="25"/>
        <v>23910.08338</v>
      </c>
      <c r="AW31" s="50">
        <f t="shared" si="25"/>
        <v>23996.50053</v>
      </c>
      <c r="AX31" s="50">
        <f t="shared" si="25"/>
        <v>24060.8253</v>
      </c>
      <c r="AY31" s="50"/>
      <c r="AZ31" s="50">
        <f t="shared" ref="AZ31:BC31" si="26">SUMPRODUCT((YEAR($C$2:$AX$2)=AZ$2)*$C31:$AX31)</f>
        <v>158217.2188</v>
      </c>
      <c r="BA31" s="50">
        <f t="shared" si="26"/>
        <v>188010.2129</v>
      </c>
      <c r="BB31" s="50">
        <f t="shared" si="26"/>
        <v>244891.7208</v>
      </c>
      <c r="BC31" s="50">
        <f t="shared" si="26"/>
        <v>273121.3307</v>
      </c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152</v>
      </c>
      <c r="C33" s="26">
        <f>OPEX!F15</f>
        <v>1307</v>
      </c>
      <c r="D33" s="26">
        <f>OPEX!G15</f>
        <v>1307</v>
      </c>
      <c r="E33" s="26">
        <f>OPEX!H15</f>
        <v>1307</v>
      </c>
      <c r="F33" s="26">
        <f>OPEX!I15</f>
        <v>1307</v>
      </c>
      <c r="G33" s="26">
        <f>OPEX!J15</f>
        <v>1307</v>
      </c>
      <c r="H33" s="26">
        <f>OPEX!K15</f>
        <v>1307</v>
      </c>
      <c r="I33" s="26">
        <f>OPEX!L15</f>
        <v>1307</v>
      </c>
      <c r="J33" s="26">
        <f>OPEX!M15</f>
        <v>1307</v>
      </c>
      <c r="K33" s="26">
        <f>OPEX!N15</f>
        <v>1307</v>
      </c>
      <c r="L33" s="26">
        <f>OPEX!O15</f>
        <v>1307</v>
      </c>
      <c r="M33" s="26">
        <f>OPEX!P15</f>
        <v>1307</v>
      </c>
      <c r="N33" s="26">
        <f>OPEX!Q15</f>
        <v>1307</v>
      </c>
      <c r="O33" s="26">
        <f>OPEX!R15</f>
        <v>1307</v>
      </c>
      <c r="P33" s="26">
        <f>OPEX!S15</f>
        <v>1307</v>
      </c>
      <c r="Q33" s="26">
        <f>OPEX!T15</f>
        <v>1307</v>
      </c>
      <c r="R33" s="26">
        <f>OPEX!U15</f>
        <v>1307</v>
      </c>
      <c r="S33" s="26">
        <f>OPEX!V15</f>
        <v>1307</v>
      </c>
      <c r="T33" s="26">
        <f>OPEX!W15</f>
        <v>1307</v>
      </c>
      <c r="U33" s="26">
        <f>OPEX!X15</f>
        <v>1307</v>
      </c>
      <c r="V33" s="26">
        <f>OPEX!Y15</f>
        <v>1307</v>
      </c>
      <c r="W33" s="26">
        <f>OPEX!Z15</f>
        <v>1307</v>
      </c>
      <c r="X33" s="26">
        <f>OPEX!AA15</f>
        <v>1307</v>
      </c>
      <c r="Y33" s="26">
        <f>OPEX!AB15</f>
        <v>1307</v>
      </c>
      <c r="Z33" s="26">
        <f>OPEX!AC15</f>
        <v>1307</v>
      </c>
      <c r="AA33" s="26">
        <f>OPEX!AD15</f>
        <v>1307</v>
      </c>
      <c r="AB33" s="26">
        <f>OPEX!AE15</f>
        <v>1307</v>
      </c>
      <c r="AC33" s="26">
        <f>OPEX!AF15</f>
        <v>1307</v>
      </c>
      <c r="AD33" s="26">
        <f>OPEX!AG15</f>
        <v>1307</v>
      </c>
      <c r="AE33" s="26">
        <f>OPEX!AH15</f>
        <v>1307</v>
      </c>
      <c r="AF33" s="26">
        <f>OPEX!AI15</f>
        <v>1307</v>
      </c>
      <c r="AG33" s="26">
        <f>OPEX!AJ15</f>
        <v>1307</v>
      </c>
      <c r="AH33" s="26">
        <f>OPEX!AK15</f>
        <v>1307</v>
      </c>
      <c r="AI33" s="26">
        <f>OPEX!AL15</f>
        <v>1307</v>
      </c>
      <c r="AJ33" s="26">
        <f>OPEX!AM15</f>
        <v>1307</v>
      </c>
      <c r="AK33" s="26">
        <f>OPEX!AN15</f>
        <v>1307</v>
      </c>
      <c r="AL33" s="26">
        <f>OPEX!AO15</f>
        <v>1307</v>
      </c>
      <c r="AM33" s="26">
        <f>OPEX!AP15</f>
        <v>1307</v>
      </c>
      <c r="AN33" s="26">
        <f>OPEX!AQ15</f>
        <v>1307</v>
      </c>
      <c r="AO33" s="26">
        <f>OPEX!AR15</f>
        <v>1307</v>
      </c>
      <c r="AP33" s="26">
        <f>OPEX!AS15</f>
        <v>1307</v>
      </c>
      <c r="AQ33" s="26">
        <f>OPEX!AT15</f>
        <v>1307</v>
      </c>
      <c r="AR33" s="26">
        <f>OPEX!AU15</f>
        <v>1307</v>
      </c>
      <c r="AS33" s="26">
        <f>OPEX!AV15</f>
        <v>1307</v>
      </c>
      <c r="AT33" s="26">
        <f>OPEX!AW15</f>
        <v>1307</v>
      </c>
      <c r="AU33" s="26">
        <f>OPEX!AX15</f>
        <v>1307</v>
      </c>
      <c r="AV33" s="26">
        <f>OPEX!AY15</f>
        <v>1307</v>
      </c>
      <c r="AW33" s="26">
        <f>OPEX!AZ15</f>
        <v>1307</v>
      </c>
      <c r="AX33" s="26">
        <f>OPEX!BA15</f>
        <v>1307</v>
      </c>
      <c r="AY33" s="26"/>
      <c r="AZ33" s="26">
        <f t="shared" ref="AZ33:BC33" si="27">SUMPRODUCT((YEAR($C$2:$AX$2)=AZ$2)*$C33:$AX33)</f>
        <v>15684</v>
      </c>
      <c r="BA33" s="26">
        <f t="shared" si="27"/>
        <v>15684</v>
      </c>
      <c r="BB33" s="26">
        <f t="shared" si="27"/>
        <v>15684</v>
      </c>
      <c r="BC33" s="26">
        <f t="shared" si="27"/>
        <v>15684</v>
      </c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48" t="s">
        <v>167</v>
      </c>
      <c r="C35" s="50">
        <f t="shared" ref="C35:AX35" si="28">C18+C31+C33</f>
        <v>65599.33333</v>
      </c>
      <c r="D35" s="50">
        <f t="shared" si="28"/>
        <v>101436.8333</v>
      </c>
      <c r="E35" s="50">
        <f t="shared" si="28"/>
        <v>65659.33333</v>
      </c>
      <c r="F35" s="50">
        <f t="shared" si="28"/>
        <v>65678.59639</v>
      </c>
      <c r="G35" s="50">
        <f t="shared" si="28"/>
        <v>65697.87303</v>
      </c>
      <c r="H35" s="50">
        <f t="shared" si="28"/>
        <v>77611.89453</v>
      </c>
      <c r="I35" s="50">
        <f t="shared" si="28"/>
        <v>77630.46742</v>
      </c>
      <c r="J35" s="50">
        <f t="shared" si="28"/>
        <v>77648.69814</v>
      </c>
      <c r="K35" s="50">
        <f t="shared" si="28"/>
        <v>120623.593</v>
      </c>
      <c r="L35" s="50">
        <f t="shared" si="28"/>
        <v>70544.28968</v>
      </c>
      <c r="M35" s="50">
        <f t="shared" si="28"/>
        <v>77721.03802</v>
      </c>
      <c r="N35" s="50">
        <f t="shared" si="28"/>
        <v>120694.9686</v>
      </c>
      <c r="O35" s="50">
        <f t="shared" si="28"/>
        <v>163802.3988</v>
      </c>
      <c r="P35" s="50">
        <f t="shared" si="28"/>
        <v>91463.74108</v>
      </c>
      <c r="Q35" s="50">
        <f t="shared" si="28"/>
        <v>91499.03632</v>
      </c>
      <c r="R35" s="50">
        <f t="shared" si="28"/>
        <v>91534.04976</v>
      </c>
      <c r="S35" s="50">
        <f t="shared" si="28"/>
        <v>163903.0266</v>
      </c>
      <c r="T35" s="50">
        <f t="shared" si="28"/>
        <v>91582.88349</v>
      </c>
      <c r="U35" s="50">
        <f t="shared" si="28"/>
        <v>105284.9873</v>
      </c>
      <c r="V35" s="50">
        <f t="shared" si="28"/>
        <v>177652.8096</v>
      </c>
      <c r="W35" s="50">
        <f t="shared" si="28"/>
        <v>105331.5331</v>
      </c>
      <c r="X35" s="50">
        <f t="shared" si="28"/>
        <v>177718.4978</v>
      </c>
      <c r="Y35" s="50">
        <f t="shared" si="28"/>
        <v>177730.6196</v>
      </c>
      <c r="Z35" s="50">
        <f t="shared" si="28"/>
        <v>105407.9096</v>
      </c>
      <c r="AA35" s="50">
        <f t="shared" si="28"/>
        <v>248532.2432</v>
      </c>
      <c r="AB35" s="50">
        <f t="shared" si="28"/>
        <v>248621.2266</v>
      </c>
      <c r="AC35" s="50">
        <f t="shared" si="28"/>
        <v>139952.8021</v>
      </c>
      <c r="AD35" s="50">
        <f t="shared" si="28"/>
        <v>248792.8064</v>
      </c>
      <c r="AE35" s="50">
        <f t="shared" si="28"/>
        <v>248875.5149</v>
      </c>
      <c r="AF35" s="50">
        <f t="shared" si="28"/>
        <v>145579.1851</v>
      </c>
      <c r="AG35" s="50">
        <f t="shared" si="28"/>
        <v>274553.0889</v>
      </c>
      <c r="AH35" s="50">
        <f t="shared" si="28"/>
        <v>254489.8089</v>
      </c>
      <c r="AI35" s="50">
        <f t="shared" si="28"/>
        <v>145809.2931</v>
      </c>
      <c r="AJ35" s="50">
        <f t="shared" si="28"/>
        <v>274777.3692</v>
      </c>
      <c r="AK35" s="50">
        <f t="shared" si="28"/>
        <v>254708.4152</v>
      </c>
      <c r="AL35" s="50">
        <f t="shared" si="28"/>
        <v>146022.3752</v>
      </c>
      <c r="AM35" s="50">
        <f t="shared" si="28"/>
        <v>508423.4567</v>
      </c>
      <c r="AN35" s="50">
        <f t="shared" si="28"/>
        <v>322552.0717</v>
      </c>
      <c r="AO35" s="50">
        <f t="shared" si="28"/>
        <v>205891.4326</v>
      </c>
      <c r="AP35" s="50">
        <f t="shared" si="28"/>
        <v>322734.8793</v>
      </c>
      <c r="AQ35" s="50">
        <f t="shared" si="28"/>
        <v>179080.8101</v>
      </c>
      <c r="AR35" s="50">
        <f t="shared" si="28"/>
        <v>330516.9701</v>
      </c>
      <c r="AS35" s="50">
        <f t="shared" si="28"/>
        <v>365208.0192</v>
      </c>
      <c r="AT35" s="50">
        <f t="shared" si="28"/>
        <v>482043.4026</v>
      </c>
      <c r="AU35" s="50">
        <f t="shared" si="28"/>
        <v>185093.7192</v>
      </c>
      <c r="AV35" s="50">
        <f t="shared" si="28"/>
        <v>487881.4834</v>
      </c>
      <c r="AW35" s="50">
        <f t="shared" si="28"/>
        <v>371204.7805</v>
      </c>
      <c r="AX35" s="50">
        <f t="shared" si="28"/>
        <v>488032.2253</v>
      </c>
      <c r="AY35" s="50"/>
      <c r="AZ35" s="50">
        <f t="shared" ref="AZ35:BC35" si="29">SUMPRODUCT((YEAR($C$2:$AX$2)=AZ$2)*$C35:$AX35)</f>
        <v>986546.9188</v>
      </c>
      <c r="BA35" s="50">
        <f t="shared" si="29"/>
        <v>1542911.493</v>
      </c>
      <c r="BB35" s="50">
        <f t="shared" si="29"/>
        <v>2630714.129</v>
      </c>
      <c r="BC35" s="50">
        <f t="shared" si="29"/>
        <v>4248663.251</v>
      </c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48" t="s">
        <v>168</v>
      </c>
      <c r="C37" s="50">
        <f t="shared" ref="C37:AX37" si="30">C9-C35</f>
        <v>-39549.33333</v>
      </c>
      <c r="D37" s="50">
        <f t="shared" si="30"/>
        <v>31063.16667</v>
      </c>
      <c r="E37" s="50">
        <f t="shared" si="30"/>
        <v>-31171.83333</v>
      </c>
      <c r="F37" s="50">
        <f t="shared" si="30"/>
        <v>-24697.01986</v>
      </c>
      <c r="G37" s="50">
        <f t="shared" si="30"/>
        <v>-23309.38055</v>
      </c>
      <c r="H37" s="50">
        <f t="shared" si="30"/>
        <v>-8812.864654</v>
      </c>
      <c r="I37" s="50">
        <f t="shared" si="30"/>
        <v>-8367.115151</v>
      </c>
      <c r="J37" s="50">
        <f t="shared" si="30"/>
        <v>-7929.5779</v>
      </c>
      <c r="K37" s="50">
        <f t="shared" si="30"/>
        <v>53605.3984</v>
      </c>
      <c r="L37" s="50">
        <f t="shared" si="30"/>
        <v>-11935.38102</v>
      </c>
      <c r="M37" s="50">
        <f t="shared" si="30"/>
        <v>-180.9209083</v>
      </c>
      <c r="N37" s="50">
        <f t="shared" si="30"/>
        <v>61330.91262</v>
      </c>
      <c r="O37" s="50">
        <f t="shared" si="30"/>
        <v>111722.2368</v>
      </c>
      <c r="P37" s="50">
        <f t="shared" si="30"/>
        <v>-2029.547506</v>
      </c>
      <c r="Q37" s="50">
        <f t="shared" si="30"/>
        <v>6217.538255</v>
      </c>
      <c r="R37" s="50">
        <f t="shared" si="30"/>
        <v>14457.86102</v>
      </c>
      <c r="S37" s="50">
        <f t="shared" si="30"/>
        <v>121537.3054</v>
      </c>
      <c r="T37" s="50">
        <f t="shared" si="30"/>
        <v>15629.87041</v>
      </c>
      <c r="U37" s="50">
        <f t="shared" si="30"/>
        <v>10173.69563</v>
      </c>
      <c r="V37" s="50">
        <f t="shared" si="30"/>
        <v>117225.4292</v>
      </c>
      <c r="W37" s="50">
        <f t="shared" si="30"/>
        <v>11290.79401</v>
      </c>
      <c r="X37" s="50">
        <f t="shared" si="30"/>
        <v>126201.9468</v>
      </c>
      <c r="Y37" s="50">
        <f t="shared" si="30"/>
        <v>119092.8699</v>
      </c>
      <c r="Z37" s="50">
        <f t="shared" si="30"/>
        <v>13123.82994</v>
      </c>
      <c r="AA37" s="50">
        <f t="shared" si="30"/>
        <v>173739.9358</v>
      </c>
      <c r="AB37" s="50">
        <f t="shared" si="30"/>
        <v>175413.0391</v>
      </c>
      <c r="AC37" s="50">
        <f t="shared" si="30"/>
        <v>13929.24981</v>
      </c>
      <c r="AD37" s="50">
        <f t="shared" si="30"/>
        <v>186930.9525</v>
      </c>
      <c r="AE37" s="50">
        <f t="shared" si="30"/>
        <v>188453.4586</v>
      </c>
      <c r="AF37" s="50">
        <f t="shared" si="30"/>
        <v>29344.94193</v>
      </c>
      <c r="AG37" s="50">
        <f t="shared" si="30"/>
        <v>226926.7341</v>
      </c>
      <c r="AH37" s="50">
        <f t="shared" si="30"/>
        <v>196641.5136</v>
      </c>
      <c r="AI37" s="50">
        <f t="shared" si="30"/>
        <v>34867.53375</v>
      </c>
      <c r="AJ37" s="50">
        <f t="shared" si="30"/>
        <v>231846.9596</v>
      </c>
      <c r="AK37" s="50">
        <f t="shared" si="30"/>
        <v>201888.066</v>
      </c>
      <c r="AL37" s="50">
        <f t="shared" si="30"/>
        <v>39981.50555</v>
      </c>
      <c r="AM37" s="50">
        <f t="shared" si="30"/>
        <v>581685.9614</v>
      </c>
      <c r="AN37" s="50">
        <f t="shared" si="30"/>
        <v>291912.2207</v>
      </c>
      <c r="AO37" s="50">
        <f t="shared" si="30"/>
        <v>119759.8816</v>
      </c>
      <c r="AP37" s="50">
        <f t="shared" si="30"/>
        <v>304624.6026</v>
      </c>
      <c r="AQ37" s="50">
        <f t="shared" si="30"/>
        <v>77959.44214</v>
      </c>
      <c r="AR37" s="50">
        <f t="shared" si="30"/>
        <v>316474.7832</v>
      </c>
      <c r="AS37" s="50">
        <f t="shared" si="30"/>
        <v>373410.4615</v>
      </c>
      <c r="AT37" s="50">
        <f t="shared" si="30"/>
        <v>550219.1621</v>
      </c>
      <c r="AU37" s="50">
        <f t="shared" si="30"/>
        <v>88144.2605</v>
      </c>
      <c r="AV37" s="50">
        <f t="shared" si="30"/>
        <v>555745.6011</v>
      </c>
      <c r="AW37" s="50">
        <f t="shared" si="30"/>
        <v>375345.2328</v>
      </c>
      <c r="AX37" s="50">
        <f t="shared" si="30"/>
        <v>551963.4071</v>
      </c>
      <c r="AY37" s="50"/>
      <c r="AZ37" s="50">
        <f t="shared" ref="AZ37:BC37" si="31">SUMPRODUCT((YEAR($C$2:$AX$2)=AZ$2)*$C37:$AX37)</f>
        <v>-9953.949027</v>
      </c>
      <c r="BA37" s="50">
        <f t="shared" si="31"/>
        <v>664643.8299</v>
      </c>
      <c r="BB37" s="50">
        <f t="shared" si="31"/>
        <v>1699963.89</v>
      </c>
      <c r="BC37" s="50">
        <f t="shared" si="31"/>
        <v>4187245.017</v>
      </c>
      <c r="BD37" s="1"/>
      <c r="BE37" s="1"/>
      <c r="BF37" s="1"/>
    </row>
    <row r="38">
      <c r="A38" s="1"/>
      <c r="B38" s="3" t="s">
        <v>169</v>
      </c>
      <c r="C38" s="14">
        <f t="shared" ref="C38:AX38" si="32">IF(C9=0,0,C37/C9)</f>
        <v>-1.518208573</v>
      </c>
      <c r="D38" s="14">
        <f t="shared" si="32"/>
        <v>0.2344389937</v>
      </c>
      <c r="E38" s="14">
        <f t="shared" si="32"/>
        <v>-0.9038588861</v>
      </c>
      <c r="F38" s="14">
        <f t="shared" si="32"/>
        <v>-0.6026371349</v>
      </c>
      <c r="G38" s="14">
        <f t="shared" si="32"/>
        <v>-0.5498987858</v>
      </c>
      <c r="H38" s="14">
        <f t="shared" si="32"/>
        <v>-0.1280957692</v>
      </c>
      <c r="I38" s="14">
        <f t="shared" si="32"/>
        <v>-0.1208014755</v>
      </c>
      <c r="J38" s="14">
        <f t="shared" si="32"/>
        <v>-0.1137360579</v>
      </c>
      <c r="K38" s="14">
        <f t="shared" si="32"/>
        <v>0.3076720927</v>
      </c>
      <c r="L38" s="14">
        <f t="shared" si="32"/>
        <v>-0.2036444849</v>
      </c>
      <c r="M38" s="14">
        <f t="shared" si="32"/>
        <v>-0.002333255546</v>
      </c>
      <c r="N38" s="14">
        <f t="shared" si="32"/>
        <v>0.3369351227</v>
      </c>
      <c r="O38" s="14">
        <f t="shared" si="32"/>
        <v>0.4054891011</v>
      </c>
      <c r="P38" s="14">
        <f t="shared" si="32"/>
        <v>-0.02269319401</v>
      </c>
      <c r="Q38" s="14">
        <f t="shared" si="32"/>
        <v>0.06362828704</v>
      </c>
      <c r="R38" s="14">
        <f t="shared" si="32"/>
        <v>0.1364053248</v>
      </c>
      <c r="S38" s="14">
        <f t="shared" si="32"/>
        <v>0.4257888314</v>
      </c>
      <c r="T38" s="14">
        <f t="shared" si="32"/>
        <v>0.1457836856</v>
      </c>
      <c r="U38" s="14">
        <f t="shared" si="32"/>
        <v>0.08811546581</v>
      </c>
      <c r="V38" s="14">
        <f t="shared" si="32"/>
        <v>0.3975384203</v>
      </c>
      <c r="W38" s="14">
        <f t="shared" si="32"/>
        <v>0.09681502927</v>
      </c>
      <c r="X38" s="14">
        <f t="shared" si="32"/>
        <v>0.415246651</v>
      </c>
      <c r="Y38" s="14">
        <f t="shared" si="32"/>
        <v>0.4012245463</v>
      </c>
      <c r="Z38" s="14">
        <f t="shared" si="32"/>
        <v>0.1107199641</v>
      </c>
      <c r="AA38" s="14">
        <f t="shared" si="32"/>
        <v>0.4114406406</v>
      </c>
      <c r="AB38" s="14">
        <f t="shared" si="32"/>
        <v>0.4136765664</v>
      </c>
      <c r="AC38" s="14">
        <f t="shared" si="32"/>
        <v>0.09051900232</v>
      </c>
      <c r="AD38" s="14">
        <f t="shared" si="32"/>
        <v>0.4290125308</v>
      </c>
      <c r="AE38" s="14">
        <f t="shared" si="32"/>
        <v>0.4309192164</v>
      </c>
      <c r="AF38" s="14">
        <f t="shared" si="32"/>
        <v>0.1677581156</v>
      </c>
      <c r="AG38" s="14">
        <f t="shared" si="32"/>
        <v>0.4525141864</v>
      </c>
      <c r="AH38" s="14">
        <f t="shared" si="32"/>
        <v>0.4358853039</v>
      </c>
      <c r="AI38" s="14">
        <f t="shared" si="32"/>
        <v>0.1929828765</v>
      </c>
      <c r="AJ38" s="14">
        <f t="shared" si="32"/>
        <v>0.4576309239</v>
      </c>
      <c r="AK38" s="14">
        <f t="shared" si="32"/>
        <v>0.4421586111</v>
      </c>
      <c r="AL38" s="14">
        <f t="shared" si="32"/>
        <v>0.2149498461</v>
      </c>
      <c r="AM38" s="14">
        <f t="shared" si="32"/>
        <v>0.5336032803</v>
      </c>
      <c r="AN38" s="14">
        <f t="shared" si="32"/>
        <v>0.4750678344</v>
      </c>
      <c r="AO38" s="14">
        <f t="shared" si="32"/>
        <v>0.3677549465</v>
      </c>
      <c r="AP38" s="14">
        <f t="shared" si="32"/>
        <v>0.4855662685</v>
      </c>
      <c r="AQ38" s="14">
        <f t="shared" si="32"/>
        <v>0.3032966295</v>
      </c>
      <c r="AR38" s="14">
        <f t="shared" si="32"/>
        <v>0.4891480943</v>
      </c>
      <c r="AS38" s="14">
        <f t="shared" si="32"/>
        <v>0.5055525569</v>
      </c>
      <c r="AT38" s="14">
        <f t="shared" si="32"/>
        <v>0.5330224895</v>
      </c>
      <c r="AU38" s="14">
        <f t="shared" si="32"/>
        <v>0.3225915394</v>
      </c>
      <c r="AV38" s="14">
        <f t="shared" si="32"/>
        <v>0.5325135859</v>
      </c>
      <c r="AW38" s="14">
        <f t="shared" si="32"/>
        <v>0.5027730575</v>
      </c>
      <c r="AX38" s="14">
        <f t="shared" si="32"/>
        <v>0.5307362742</v>
      </c>
      <c r="AY38" s="14"/>
      <c r="AZ38" s="14">
        <f t="shared" ref="AZ38:BC38" si="33">IF(AZ9=0,0,AZ37/AZ9)</f>
        <v>-0.01019252579</v>
      </c>
      <c r="BA38" s="14">
        <f t="shared" si="33"/>
        <v>0.3010768623</v>
      </c>
      <c r="BB38" s="14">
        <f t="shared" si="33"/>
        <v>0.392539894</v>
      </c>
      <c r="BC38" s="14">
        <f t="shared" si="33"/>
        <v>0.4963597142</v>
      </c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170</v>
      </c>
      <c r="C40" s="26">
        <f t="shared" ref="C40:AX40" si="34">C5+C7-C35+C13</f>
        <v>-37599.33333</v>
      </c>
      <c r="D40" s="26">
        <f t="shared" si="34"/>
        <v>-22639.33333</v>
      </c>
      <c r="E40" s="26">
        <f t="shared" si="34"/>
        <v>-28659.33333</v>
      </c>
      <c r="F40" s="26">
        <f t="shared" si="34"/>
        <v>-21697.01986</v>
      </c>
      <c r="G40" s="26">
        <f t="shared" si="34"/>
        <v>-20234.38055</v>
      </c>
      <c r="H40" s="26">
        <f t="shared" si="34"/>
        <v>-16515.86465</v>
      </c>
      <c r="I40" s="26">
        <f t="shared" si="34"/>
        <v>-16070.11515</v>
      </c>
      <c r="J40" s="26">
        <f t="shared" si="34"/>
        <v>-15632.5779</v>
      </c>
      <c r="K40" s="26">
        <f t="shared" si="34"/>
        <v>-22703.1016</v>
      </c>
      <c r="L40" s="26">
        <f t="shared" si="34"/>
        <v>-7810.381016</v>
      </c>
      <c r="M40" s="26">
        <f t="shared" si="34"/>
        <v>-7396.420908</v>
      </c>
      <c r="N40" s="26">
        <f t="shared" si="34"/>
        <v>-14490.08738</v>
      </c>
      <c r="O40" s="26">
        <f t="shared" si="34"/>
        <v>-18392.0232</v>
      </c>
      <c r="P40" s="26">
        <f t="shared" si="34"/>
        <v>-18018.04751</v>
      </c>
      <c r="Q40" s="26">
        <f t="shared" si="34"/>
        <v>-9170.961745</v>
      </c>
      <c r="R40" s="26">
        <f t="shared" si="34"/>
        <v>-330.6389782</v>
      </c>
      <c r="S40" s="26">
        <f t="shared" si="34"/>
        <v>-7976.954607</v>
      </c>
      <c r="T40" s="26">
        <f t="shared" si="34"/>
        <v>841.3704051</v>
      </c>
      <c r="U40" s="26">
        <f t="shared" si="34"/>
        <v>-4014.80437</v>
      </c>
      <c r="V40" s="26">
        <f t="shared" si="34"/>
        <v>-11688.83076</v>
      </c>
      <c r="W40" s="26">
        <f t="shared" si="34"/>
        <v>-2897.705988</v>
      </c>
      <c r="X40" s="26">
        <f t="shared" si="34"/>
        <v>-2112.313211</v>
      </c>
      <c r="Y40" s="26">
        <f t="shared" si="34"/>
        <v>-9821.390094</v>
      </c>
      <c r="Z40" s="26">
        <f t="shared" si="34"/>
        <v>-1064.670055</v>
      </c>
      <c r="AA40" s="26">
        <f t="shared" si="34"/>
        <v>-23072.58816</v>
      </c>
      <c r="AB40" s="26">
        <f t="shared" si="34"/>
        <v>-21436.98491</v>
      </c>
      <c r="AC40" s="26">
        <f t="shared" si="34"/>
        <v>-11355.91019</v>
      </c>
      <c r="AD40" s="26">
        <f t="shared" si="34"/>
        <v>-9319.071467</v>
      </c>
      <c r="AE40" s="26">
        <f t="shared" si="34"/>
        <v>-7834.065404</v>
      </c>
      <c r="AF40" s="26">
        <f t="shared" si="34"/>
        <v>5222.281927</v>
      </c>
      <c r="AG40" s="26">
        <f t="shared" si="34"/>
        <v>-383.4498644</v>
      </c>
      <c r="AH40" s="26">
        <f t="shared" si="34"/>
        <v>953.9895782</v>
      </c>
      <c r="AI40" s="26">
        <f t="shared" si="34"/>
        <v>10744.87375</v>
      </c>
      <c r="AJ40" s="26">
        <f t="shared" si="34"/>
        <v>4499.275645</v>
      </c>
      <c r="AK40" s="26">
        <f t="shared" si="34"/>
        <v>6200.541992</v>
      </c>
      <c r="AL40" s="26">
        <f t="shared" si="34"/>
        <v>15858.84555</v>
      </c>
      <c r="AM40" s="26">
        <f t="shared" si="34"/>
        <v>6423.121388</v>
      </c>
      <c r="AN40" s="26">
        <f t="shared" si="34"/>
        <v>7955.800727</v>
      </c>
      <c r="AO40" s="26">
        <f t="shared" si="34"/>
        <v>19415.34165</v>
      </c>
      <c r="AP40" s="26">
        <f t="shared" si="34"/>
        <v>21343.18262</v>
      </c>
      <c r="AQ40" s="26">
        <f t="shared" si="34"/>
        <v>33093.42214</v>
      </c>
      <c r="AR40" s="26">
        <f t="shared" si="34"/>
        <v>34430.86318</v>
      </c>
      <c r="AS40" s="26">
        <f t="shared" si="34"/>
        <v>37200.52148</v>
      </c>
      <c r="AT40" s="26">
        <f t="shared" si="34"/>
        <v>30434.84208</v>
      </c>
      <c r="AU40" s="26">
        <f t="shared" si="34"/>
        <v>43915.7405</v>
      </c>
      <c r="AV40" s="26">
        <f t="shared" si="34"/>
        <v>36561.28114</v>
      </c>
      <c r="AW40" s="26">
        <f t="shared" si="34"/>
        <v>39135.29283</v>
      </c>
      <c r="AX40" s="26">
        <f t="shared" si="34"/>
        <v>32179.08715</v>
      </c>
      <c r="AY40" s="26"/>
      <c r="AZ40" s="26">
        <f t="shared" ref="AZ40:BC40" si="35">AZ5+AZ7-AZ35+AZ13</f>
        <v>-231447.949</v>
      </c>
      <c r="BA40" s="26">
        <f t="shared" si="35"/>
        <v>-84646.97011</v>
      </c>
      <c r="BB40" s="26">
        <f t="shared" si="35"/>
        <v>-29922.26156</v>
      </c>
      <c r="BC40" s="26">
        <f t="shared" si="35"/>
        <v>342088.4969</v>
      </c>
      <c r="BD40" s="1"/>
      <c r="BE40" s="1"/>
      <c r="BF40" s="1"/>
    </row>
    <row r="41">
      <c r="A41" s="1"/>
      <c r="B41" s="3" t="s">
        <v>171</v>
      </c>
      <c r="C41" s="14">
        <f t="shared" ref="C41:AX41" si="36">IF(C5=0,0,C40/C5)</f>
        <v>-1.446128205</v>
      </c>
      <c r="D41" s="14">
        <f t="shared" si="36"/>
        <v>-0.5659833333</v>
      </c>
      <c r="E41" s="14">
        <f t="shared" si="36"/>
        <v>-0.8555024876</v>
      </c>
      <c r="F41" s="14">
        <f t="shared" si="36"/>
        <v>-0.5424254966</v>
      </c>
      <c r="G41" s="14">
        <f t="shared" si="36"/>
        <v>-0.4935214768</v>
      </c>
      <c r="H41" s="14">
        <f t="shared" si="36"/>
        <v>-0.3405332918</v>
      </c>
      <c r="I41" s="14">
        <f t="shared" si="36"/>
        <v>-0.3313425804</v>
      </c>
      <c r="J41" s="14">
        <f t="shared" si="36"/>
        <v>-0.3223211938</v>
      </c>
      <c r="K41" s="14">
        <f t="shared" si="36"/>
        <v>-0.5537341854</v>
      </c>
      <c r="L41" s="14">
        <f t="shared" si="36"/>
        <v>-0.1420069276</v>
      </c>
      <c r="M41" s="14">
        <f t="shared" si="36"/>
        <v>-0.1344803802</v>
      </c>
      <c r="N41" s="14">
        <f t="shared" si="36"/>
        <v>-0.3050544712</v>
      </c>
      <c r="O41" s="14">
        <f t="shared" si="36"/>
        <v>-0.3606279058</v>
      </c>
      <c r="P41" s="14">
        <f t="shared" si="36"/>
        <v>-0.3532950491</v>
      </c>
      <c r="Q41" s="14">
        <f t="shared" si="36"/>
        <v>-0.1554400296</v>
      </c>
      <c r="R41" s="14">
        <f t="shared" si="36"/>
        <v>-0.004934910122</v>
      </c>
      <c r="S41" s="14">
        <f t="shared" si="36"/>
        <v>-0.1352026205</v>
      </c>
      <c r="T41" s="14">
        <f t="shared" si="36"/>
        <v>0.01255776724</v>
      </c>
      <c r="U41" s="14">
        <f t="shared" si="36"/>
        <v>-0.05353072494</v>
      </c>
      <c r="V41" s="14">
        <f t="shared" si="36"/>
        <v>-0.1744601607</v>
      </c>
      <c r="W41" s="14">
        <f t="shared" si="36"/>
        <v>-0.03863607984</v>
      </c>
      <c r="X41" s="14">
        <f t="shared" si="36"/>
        <v>-0.02816417614</v>
      </c>
      <c r="Y41" s="14">
        <f t="shared" si="36"/>
        <v>-0.1465879118</v>
      </c>
      <c r="Z41" s="14">
        <f t="shared" si="36"/>
        <v>-0.01419560074</v>
      </c>
      <c r="AA41" s="14">
        <f t="shared" si="36"/>
        <v>-0.297710815</v>
      </c>
      <c r="AB41" s="14">
        <f t="shared" si="36"/>
        <v>-0.2784024015</v>
      </c>
      <c r="AC41" s="14">
        <f t="shared" si="36"/>
        <v>-0.1335989434</v>
      </c>
      <c r="AD41" s="14">
        <f t="shared" si="36"/>
        <v>-0.1096361349</v>
      </c>
      <c r="AE41" s="14">
        <f t="shared" si="36"/>
        <v>-0.09271083318</v>
      </c>
      <c r="AF41" s="14">
        <f t="shared" si="36"/>
        <v>0.05196300425</v>
      </c>
      <c r="AG41" s="14">
        <f t="shared" si="36"/>
        <v>-0.004123116821</v>
      </c>
      <c r="AH41" s="14">
        <f t="shared" si="36"/>
        <v>0.01031340085</v>
      </c>
      <c r="AI41" s="14">
        <f t="shared" si="36"/>
        <v>0.1069141667</v>
      </c>
      <c r="AJ41" s="14">
        <f t="shared" si="36"/>
        <v>0.04864081779</v>
      </c>
      <c r="AK41" s="14">
        <f t="shared" si="36"/>
        <v>0.0670328864</v>
      </c>
      <c r="AL41" s="14">
        <f t="shared" si="36"/>
        <v>0.1577994582</v>
      </c>
      <c r="AM41" s="14">
        <f t="shared" si="36"/>
        <v>0.06488001402</v>
      </c>
      <c r="AN41" s="14">
        <f t="shared" si="36"/>
        <v>0.08076955052</v>
      </c>
      <c r="AO41" s="14">
        <f t="shared" si="36"/>
        <v>0.1806078293</v>
      </c>
      <c r="AP41" s="14">
        <f t="shared" si="36"/>
        <v>0.1985412336</v>
      </c>
      <c r="AQ41" s="14">
        <f t="shared" si="36"/>
        <v>0.2658106196</v>
      </c>
      <c r="AR41" s="14">
        <f t="shared" si="36"/>
        <v>0.2776682514</v>
      </c>
      <c r="AS41" s="14">
        <f t="shared" si="36"/>
        <v>0.2987993693</v>
      </c>
      <c r="AT41" s="14">
        <f t="shared" si="36"/>
        <v>0.2623693282</v>
      </c>
      <c r="AU41" s="14">
        <f t="shared" si="36"/>
        <v>0.3301935376</v>
      </c>
      <c r="AV41" s="14">
        <f t="shared" si="36"/>
        <v>0.2948490415</v>
      </c>
      <c r="AW41" s="14">
        <f t="shared" si="36"/>
        <v>0.3143397014</v>
      </c>
      <c r="AX41" s="14">
        <f t="shared" si="36"/>
        <v>0.2774059237</v>
      </c>
      <c r="AY41" s="14"/>
      <c r="AZ41" s="14">
        <f t="shared" ref="AZ41:BC41" si="37">IF(AZ5=0,0,AZ40/AZ5)</f>
        <v>-0.4412734967</v>
      </c>
      <c r="BA41" s="14">
        <f t="shared" si="37"/>
        <v>-0.1074200128</v>
      </c>
      <c r="BB41" s="14">
        <f t="shared" si="37"/>
        <v>-0.02768016795</v>
      </c>
      <c r="BC41" s="14">
        <f t="shared" si="37"/>
        <v>0.244523586</v>
      </c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13"/>
    <col customWidth="1" min="2" max="2" width="37.63"/>
    <col customWidth="1" min="3" max="3" width="15.13"/>
    <col customWidth="1" min="4" max="4" width="5.13"/>
    <col customWidth="1" min="5" max="5" width="7.63"/>
  </cols>
  <sheetData>
    <row r="1">
      <c r="A1" s="1"/>
      <c r="B1" s="63" t="s">
        <v>172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>
      <c r="A2" s="1"/>
      <c r="B2" s="64" t="s">
        <v>173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>
      <c r="A4" s="1"/>
      <c r="B4" s="31" t="s">
        <v>174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1"/>
    </row>
    <row r="5">
      <c r="A5" s="1"/>
      <c r="B5" s="3" t="s">
        <v>175</v>
      </c>
      <c r="C5" s="65">
        <v>120.0</v>
      </c>
      <c r="D5" s="1"/>
      <c r="E5" s="1"/>
      <c r="F5" s="1"/>
      <c r="G5" s="3" t="s">
        <v>176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>
      <c r="A6" s="1"/>
      <c r="B6" s="3" t="s">
        <v>177</v>
      </c>
      <c r="C6" s="65">
        <v>2.0</v>
      </c>
      <c r="D6" s="1"/>
      <c r="E6" s="1"/>
      <c r="F6" s="1"/>
      <c r="G6" s="3" t="s">
        <v>178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>
      <c r="A7" s="1"/>
      <c r="B7" s="3" t="s">
        <v>179</v>
      </c>
      <c r="C7" s="65">
        <v>8.0</v>
      </c>
      <c r="D7" s="1"/>
      <c r="E7" s="1"/>
      <c r="F7" s="1"/>
      <c r="G7" s="3" t="s">
        <v>180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>
      <c r="A8" s="1"/>
      <c r="B8" s="3" t="s">
        <v>181</v>
      </c>
      <c r="C8" s="65">
        <v>13.0</v>
      </c>
      <c r="D8" s="1"/>
      <c r="E8" s="1"/>
      <c r="F8" s="1"/>
      <c r="G8" s="3" t="s">
        <v>182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>
      <c r="A9" s="1"/>
      <c r="B9" s="3" t="s">
        <v>183</v>
      </c>
      <c r="C9" s="26">
        <f>C5*C6*C7*C8</f>
        <v>24960</v>
      </c>
      <c r="D9" s="1"/>
      <c r="E9" s="1"/>
      <c r="F9" s="1"/>
      <c r="G9" s="3" t="s">
        <v>33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>
      <c r="A10" s="1"/>
      <c r="B10" s="3" t="s">
        <v>184</v>
      </c>
      <c r="C10" s="66"/>
      <c r="D10" s="1"/>
      <c r="E10" s="1"/>
      <c r="F10" s="1"/>
      <c r="G10" s="3" t="s">
        <v>33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>
      <c r="A11" s="1"/>
      <c r="B11" s="3" t="s">
        <v>184</v>
      </c>
      <c r="C11" s="66"/>
      <c r="D11" s="1"/>
      <c r="E11" s="1"/>
      <c r="F11" s="1"/>
      <c r="G11" s="3" t="s">
        <v>33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>
      <c r="A12" s="1"/>
      <c r="B12" s="52" t="s">
        <v>185</v>
      </c>
      <c r="C12" s="54">
        <f>C9+C10+C11</f>
        <v>24960</v>
      </c>
      <c r="D12" s="1"/>
      <c r="E12" s="1"/>
      <c r="F12" s="1"/>
      <c r="G12" s="3" t="s">
        <v>33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>
      <c r="A14" s="1"/>
      <c r="B14" s="31" t="s">
        <v>186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1"/>
    </row>
    <row r="15">
      <c r="A15" s="1"/>
      <c r="B15" s="59" t="s">
        <v>187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>
      <c r="A16" s="1"/>
      <c r="B16" s="1"/>
      <c r="C16" s="1"/>
      <c r="D16" s="1"/>
      <c r="E16" s="3" t="s">
        <v>92</v>
      </c>
      <c r="F16" s="67">
        <f>'Financial Statements'!C2</f>
        <v>46388</v>
      </c>
      <c r="G16" s="67">
        <f>'Financial Statements'!D2</f>
        <v>46419</v>
      </c>
      <c r="H16" s="67">
        <f>'Financial Statements'!E2</f>
        <v>46447</v>
      </c>
      <c r="I16" s="67">
        <f>'Financial Statements'!F2</f>
        <v>46478</v>
      </c>
      <c r="J16" s="67">
        <f>'Financial Statements'!G2</f>
        <v>46508</v>
      </c>
      <c r="K16" s="67">
        <f>'Financial Statements'!H2</f>
        <v>46539</v>
      </c>
      <c r="L16" s="67">
        <f>'Financial Statements'!I2</f>
        <v>46569</v>
      </c>
      <c r="M16" s="67">
        <f>'Financial Statements'!J2</f>
        <v>46600</v>
      </c>
      <c r="N16" s="67">
        <f>'Financial Statements'!K2</f>
        <v>46631</v>
      </c>
      <c r="O16" s="67">
        <f>'Financial Statements'!L2</f>
        <v>46661</v>
      </c>
      <c r="P16" s="67">
        <f>'Financial Statements'!M2</f>
        <v>46692</v>
      </c>
      <c r="Q16" s="67">
        <f>'Financial Statements'!N2</f>
        <v>46722</v>
      </c>
      <c r="R16" s="67">
        <f>'Financial Statements'!O2</f>
        <v>46753</v>
      </c>
      <c r="S16" s="67">
        <f>'Financial Statements'!P2</f>
        <v>46784</v>
      </c>
      <c r="T16" s="67">
        <f>'Financial Statements'!Q2</f>
        <v>46813</v>
      </c>
      <c r="U16" s="67">
        <f>'Financial Statements'!R2</f>
        <v>46844</v>
      </c>
      <c r="V16" s="67">
        <f>'Financial Statements'!S2</f>
        <v>46874</v>
      </c>
      <c r="W16" s="67">
        <f>'Financial Statements'!T2</f>
        <v>46905</v>
      </c>
      <c r="X16" s="67">
        <f>'Financial Statements'!U2</f>
        <v>46935</v>
      </c>
      <c r="Y16" s="67">
        <f>'Financial Statements'!V2</f>
        <v>46966</v>
      </c>
      <c r="Z16" s="67">
        <f>'Financial Statements'!W2</f>
        <v>46997</v>
      </c>
      <c r="AA16" s="67">
        <f>'Financial Statements'!X2</f>
        <v>47027</v>
      </c>
      <c r="AB16" s="67">
        <f>'Financial Statements'!Y2</f>
        <v>47058</v>
      </c>
      <c r="AC16" s="67">
        <f>'Financial Statements'!Z2</f>
        <v>47088</v>
      </c>
      <c r="AD16" s="67">
        <f>'Financial Statements'!AA2</f>
        <v>47119</v>
      </c>
      <c r="AE16" s="67">
        <f>'Financial Statements'!AB2</f>
        <v>47150</v>
      </c>
      <c r="AF16" s="67">
        <f>'Financial Statements'!AC2</f>
        <v>47178</v>
      </c>
      <c r="AG16" s="67">
        <f>'Financial Statements'!AD2</f>
        <v>47209</v>
      </c>
      <c r="AH16" s="67">
        <f>'Financial Statements'!AE2</f>
        <v>47239</v>
      </c>
      <c r="AI16" s="67">
        <f>'Financial Statements'!AF2</f>
        <v>47270</v>
      </c>
      <c r="AJ16" s="67">
        <f>'Financial Statements'!AG2</f>
        <v>47300</v>
      </c>
      <c r="AK16" s="67">
        <f>'Financial Statements'!AH2</f>
        <v>47331</v>
      </c>
      <c r="AL16" s="67">
        <f>'Financial Statements'!AI2</f>
        <v>47362</v>
      </c>
      <c r="AM16" s="67">
        <f>'Financial Statements'!AJ2</f>
        <v>47392</v>
      </c>
      <c r="AN16" s="67">
        <f>'Financial Statements'!AK2</f>
        <v>47423</v>
      </c>
      <c r="AO16" s="67">
        <f>'Financial Statements'!AL2</f>
        <v>47453</v>
      </c>
      <c r="AP16" s="67">
        <f>'Financial Statements'!AM2</f>
        <v>47484</v>
      </c>
      <c r="AQ16" s="67">
        <f>'Financial Statements'!AN2</f>
        <v>47515</v>
      </c>
      <c r="AR16" s="67">
        <f>'Financial Statements'!AO2</f>
        <v>47543</v>
      </c>
      <c r="AS16" s="67">
        <f>'Financial Statements'!AP2</f>
        <v>47574</v>
      </c>
      <c r="AT16" s="67">
        <f>'Financial Statements'!AQ2</f>
        <v>47604</v>
      </c>
      <c r="AU16" s="67">
        <f>'Financial Statements'!AR2</f>
        <v>47635</v>
      </c>
      <c r="AV16" s="67">
        <f>'Financial Statements'!AS2</f>
        <v>47665</v>
      </c>
      <c r="AW16" s="67">
        <f>'Financial Statements'!AT2</f>
        <v>47696</v>
      </c>
      <c r="AX16" s="67">
        <f>'Financial Statements'!AU2</f>
        <v>47727</v>
      </c>
      <c r="AY16" s="67">
        <f>'Financial Statements'!AV2</f>
        <v>47757</v>
      </c>
      <c r="AZ16" s="67">
        <f>'Financial Statements'!AW2</f>
        <v>47788</v>
      </c>
      <c r="BA16" s="67">
        <f>'Financial Statements'!AX2</f>
        <v>47818</v>
      </c>
      <c r="BB16" s="1"/>
    </row>
    <row r="17">
      <c r="A17" s="1"/>
      <c r="B17" s="3" t="s">
        <v>188</v>
      </c>
      <c r="C17" s="1"/>
      <c r="D17" s="1"/>
      <c r="E17" s="3" t="s">
        <v>33</v>
      </c>
      <c r="F17" s="26">
        <f>'Financial Statements'!C37</f>
        <v>-39549.33333</v>
      </c>
      <c r="G17" s="26">
        <f>'Financial Statements'!D37</f>
        <v>31063.16667</v>
      </c>
      <c r="H17" s="26">
        <f>'Financial Statements'!E37</f>
        <v>-31171.83333</v>
      </c>
      <c r="I17" s="26">
        <f>'Financial Statements'!F37</f>
        <v>-24697.01986</v>
      </c>
      <c r="J17" s="26">
        <f>'Financial Statements'!G37</f>
        <v>-23309.38055</v>
      </c>
      <c r="K17" s="26">
        <f>'Financial Statements'!H37</f>
        <v>-8812.864654</v>
      </c>
      <c r="L17" s="26">
        <f>'Financial Statements'!I37</f>
        <v>-8367.115151</v>
      </c>
      <c r="M17" s="26">
        <f>'Financial Statements'!J37</f>
        <v>-7929.5779</v>
      </c>
      <c r="N17" s="26">
        <f>'Financial Statements'!K37</f>
        <v>53605.3984</v>
      </c>
      <c r="O17" s="26">
        <f>'Financial Statements'!L37</f>
        <v>-11935.38102</v>
      </c>
      <c r="P17" s="26">
        <f>'Financial Statements'!M37</f>
        <v>-180.9209083</v>
      </c>
      <c r="Q17" s="26">
        <f>'Financial Statements'!N37</f>
        <v>61330.91262</v>
      </c>
      <c r="R17" s="26">
        <f>'Financial Statements'!O37</f>
        <v>111722.2368</v>
      </c>
      <c r="S17" s="26">
        <f>'Financial Statements'!P37</f>
        <v>-2029.547506</v>
      </c>
      <c r="T17" s="26">
        <f>'Financial Statements'!Q37</f>
        <v>6217.538255</v>
      </c>
      <c r="U17" s="26">
        <f>'Financial Statements'!R37</f>
        <v>14457.86102</v>
      </c>
      <c r="V17" s="26">
        <f>'Financial Statements'!S37</f>
        <v>121537.3054</v>
      </c>
      <c r="W17" s="26">
        <f>'Financial Statements'!T37</f>
        <v>15629.87041</v>
      </c>
      <c r="X17" s="26">
        <f>'Financial Statements'!U37</f>
        <v>10173.69563</v>
      </c>
      <c r="Y17" s="26">
        <f>'Financial Statements'!V37</f>
        <v>117225.4292</v>
      </c>
      <c r="Z17" s="26">
        <f>'Financial Statements'!W37</f>
        <v>11290.79401</v>
      </c>
      <c r="AA17" s="26">
        <f>'Financial Statements'!X37</f>
        <v>126201.9468</v>
      </c>
      <c r="AB17" s="26">
        <f>'Financial Statements'!Y37</f>
        <v>119092.8699</v>
      </c>
      <c r="AC17" s="26">
        <f>'Financial Statements'!Z37</f>
        <v>13123.82994</v>
      </c>
      <c r="AD17" s="26">
        <f>'Financial Statements'!AA37</f>
        <v>173739.9358</v>
      </c>
      <c r="AE17" s="26">
        <f>'Financial Statements'!AB37</f>
        <v>175413.0391</v>
      </c>
      <c r="AF17" s="26">
        <f>'Financial Statements'!AC37</f>
        <v>13929.24981</v>
      </c>
      <c r="AG17" s="26">
        <f>'Financial Statements'!AD37</f>
        <v>186930.9525</v>
      </c>
      <c r="AH17" s="26">
        <f>'Financial Statements'!AE37</f>
        <v>188453.4586</v>
      </c>
      <c r="AI17" s="26">
        <f>'Financial Statements'!AF37</f>
        <v>29344.94193</v>
      </c>
      <c r="AJ17" s="26">
        <f>'Financial Statements'!AG37</f>
        <v>226926.7341</v>
      </c>
      <c r="AK17" s="26">
        <f>'Financial Statements'!AH37</f>
        <v>196641.5136</v>
      </c>
      <c r="AL17" s="26">
        <f>'Financial Statements'!AI37</f>
        <v>34867.53375</v>
      </c>
      <c r="AM17" s="26">
        <f>'Financial Statements'!AJ37</f>
        <v>231846.9596</v>
      </c>
      <c r="AN17" s="26">
        <f>'Financial Statements'!AK37</f>
        <v>201888.066</v>
      </c>
      <c r="AO17" s="26">
        <f>'Financial Statements'!AL37</f>
        <v>39981.50555</v>
      </c>
      <c r="AP17" s="26">
        <f>'Financial Statements'!AM37</f>
        <v>581685.9614</v>
      </c>
      <c r="AQ17" s="26">
        <f>'Financial Statements'!AN37</f>
        <v>291912.2207</v>
      </c>
      <c r="AR17" s="26">
        <f>'Financial Statements'!AO37</f>
        <v>119759.8816</v>
      </c>
      <c r="AS17" s="26">
        <f>'Financial Statements'!AP37</f>
        <v>304624.6026</v>
      </c>
      <c r="AT17" s="26">
        <f>'Financial Statements'!AQ37</f>
        <v>77959.44214</v>
      </c>
      <c r="AU17" s="26">
        <f>'Financial Statements'!AR37</f>
        <v>316474.7832</v>
      </c>
      <c r="AV17" s="26">
        <f>'Financial Statements'!AS37</f>
        <v>373410.4615</v>
      </c>
      <c r="AW17" s="26">
        <f>'Financial Statements'!AT37</f>
        <v>550219.1621</v>
      </c>
      <c r="AX17" s="26">
        <f>'Financial Statements'!AU37</f>
        <v>88144.2605</v>
      </c>
      <c r="AY17" s="26">
        <f>'Financial Statements'!AV37</f>
        <v>555745.6011</v>
      </c>
      <c r="AZ17" s="26">
        <f>'Financial Statements'!AW37</f>
        <v>375345.2328</v>
      </c>
      <c r="BA17" s="26">
        <f>'Financial Statements'!AX37</f>
        <v>551963.4071</v>
      </c>
      <c r="BB17" s="1"/>
    </row>
    <row r="18">
      <c r="A18" s="1"/>
      <c r="B18" s="3" t="s">
        <v>189</v>
      </c>
      <c r="C18" s="1"/>
      <c r="D18" s="1"/>
      <c r="E18" s="3" t="s">
        <v>33</v>
      </c>
      <c r="F18" s="26">
        <f>F17</f>
        <v>-39549.33333</v>
      </c>
      <c r="G18" s="26">
        <f t="shared" ref="G18:BA18" si="1">F18+G17</f>
        <v>-8486.166667</v>
      </c>
      <c r="H18" s="26">
        <f t="shared" si="1"/>
        <v>-39658</v>
      </c>
      <c r="I18" s="26">
        <f t="shared" si="1"/>
        <v>-64355.01986</v>
      </c>
      <c r="J18" s="26">
        <f t="shared" si="1"/>
        <v>-87664.40041</v>
      </c>
      <c r="K18" s="26">
        <f t="shared" si="1"/>
        <v>-96477.26507</v>
      </c>
      <c r="L18" s="26">
        <f t="shared" si="1"/>
        <v>-104844.3802</v>
      </c>
      <c r="M18" s="26">
        <f t="shared" si="1"/>
        <v>-112773.9581</v>
      </c>
      <c r="N18" s="26">
        <f t="shared" si="1"/>
        <v>-59168.55972</v>
      </c>
      <c r="O18" s="26">
        <f t="shared" si="1"/>
        <v>-71103.94074</v>
      </c>
      <c r="P18" s="26">
        <f t="shared" si="1"/>
        <v>-71284.86164</v>
      </c>
      <c r="Q18" s="26">
        <f t="shared" si="1"/>
        <v>-9953.949027</v>
      </c>
      <c r="R18" s="26">
        <f t="shared" si="1"/>
        <v>101768.2878</v>
      </c>
      <c r="S18" s="26">
        <f t="shared" si="1"/>
        <v>99738.74027</v>
      </c>
      <c r="T18" s="26">
        <f t="shared" si="1"/>
        <v>105956.2785</v>
      </c>
      <c r="U18" s="26">
        <f t="shared" si="1"/>
        <v>120414.1395</v>
      </c>
      <c r="V18" s="26">
        <f t="shared" si="1"/>
        <v>241951.4449</v>
      </c>
      <c r="W18" s="26">
        <f t="shared" si="1"/>
        <v>257581.3153</v>
      </c>
      <c r="X18" s="26">
        <f t="shared" si="1"/>
        <v>267755.011</v>
      </c>
      <c r="Y18" s="26">
        <f t="shared" si="1"/>
        <v>384980.4402</v>
      </c>
      <c r="Z18" s="26">
        <f t="shared" si="1"/>
        <v>396271.2342</v>
      </c>
      <c r="AA18" s="26">
        <f t="shared" si="1"/>
        <v>522473.181</v>
      </c>
      <c r="AB18" s="26">
        <f t="shared" si="1"/>
        <v>641566.0509</v>
      </c>
      <c r="AC18" s="26">
        <f t="shared" si="1"/>
        <v>654689.8809</v>
      </c>
      <c r="AD18" s="26">
        <f t="shared" si="1"/>
        <v>828429.8167</v>
      </c>
      <c r="AE18" s="26">
        <f t="shared" si="1"/>
        <v>1003842.856</v>
      </c>
      <c r="AF18" s="26">
        <f t="shared" si="1"/>
        <v>1017772.106</v>
      </c>
      <c r="AG18" s="26">
        <f t="shared" si="1"/>
        <v>1204703.058</v>
      </c>
      <c r="AH18" s="26">
        <f t="shared" si="1"/>
        <v>1393156.517</v>
      </c>
      <c r="AI18" s="26">
        <f t="shared" si="1"/>
        <v>1422501.459</v>
      </c>
      <c r="AJ18" s="26">
        <f t="shared" si="1"/>
        <v>1649428.193</v>
      </c>
      <c r="AK18" s="26">
        <f t="shared" si="1"/>
        <v>1846069.706</v>
      </c>
      <c r="AL18" s="26">
        <f t="shared" si="1"/>
        <v>1880937.24</v>
      </c>
      <c r="AM18" s="26">
        <f t="shared" si="1"/>
        <v>2112784.2</v>
      </c>
      <c r="AN18" s="26">
        <f t="shared" si="1"/>
        <v>2314672.266</v>
      </c>
      <c r="AO18" s="26">
        <f t="shared" si="1"/>
        <v>2354653.771</v>
      </c>
      <c r="AP18" s="26">
        <f t="shared" si="1"/>
        <v>2936339.733</v>
      </c>
      <c r="AQ18" s="26">
        <f t="shared" si="1"/>
        <v>3228251.953</v>
      </c>
      <c r="AR18" s="26">
        <f t="shared" si="1"/>
        <v>3348011.835</v>
      </c>
      <c r="AS18" s="26">
        <f t="shared" si="1"/>
        <v>3652636.438</v>
      </c>
      <c r="AT18" s="26">
        <f t="shared" si="1"/>
        <v>3730595.88</v>
      </c>
      <c r="AU18" s="26">
        <f t="shared" si="1"/>
        <v>4047070.663</v>
      </c>
      <c r="AV18" s="26">
        <f t="shared" si="1"/>
        <v>4420481.124</v>
      </c>
      <c r="AW18" s="26">
        <f t="shared" si="1"/>
        <v>4970700.287</v>
      </c>
      <c r="AX18" s="26">
        <f t="shared" si="1"/>
        <v>5058844.547</v>
      </c>
      <c r="AY18" s="26">
        <f t="shared" si="1"/>
        <v>5614590.148</v>
      </c>
      <c r="AZ18" s="26">
        <f t="shared" si="1"/>
        <v>5989935.381</v>
      </c>
      <c r="BA18" s="26">
        <f t="shared" si="1"/>
        <v>6541898.788</v>
      </c>
      <c r="BB18" s="1"/>
    </row>
    <row r="19">
      <c r="A19" s="1"/>
      <c r="B19" s="3" t="s">
        <v>190</v>
      </c>
      <c r="C19" s="26">
        <f>MIN(F18:BA18)</f>
        <v>-112773.9581</v>
      </c>
      <c r="D19" s="1"/>
      <c r="E19" s="1"/>
      <c r="F19" s="1"/>
      <c r="G19" s="3" t="s">
        <v>33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>
      <c r="A20" s="1"/>
      <c r="B20" s="3" t="s">
        <v>191</v>
      </c>
      <c r="C20" s="68">
        <f t="array" ref="C20">INDEX(F16:BA16,MATCH(C19,F18:BA18,0))</f>
        <v>46600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31" t="s">
        <v>192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1"/>
    </row>
    <row r="23">
      <c r="A23" s="1"/>
      <c r="B23" s="3" t="s">
        <v>193</v>
      </c>
      <c r="C23" s="26">
        <f>C12</f>
        <v>24960</v>
      </c>
      <c r="D23" s="1"/>
      <c r="E23" s="1"/>
      <c r="F23" s="1"/>
      <c r="G23" s="3" t="s">
        <v>33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>
      <c r="A24" s="1"/>
      <c r="B24" s="3" t="s">
        <v>194</v>
      </c>
      <c r="C24" s="26">
        <f>MAX(0,-C19)</f>
        <v>112773.9581</v>
      </c>
      <c r="D24" s="1"/>
      <c r="E24" s="1"/>
      <c r="F24" s="1"/>
      <c r="G24" s="3" t="s">
        <v>33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>
      <c r="A25" s="1"/>
      <c r="B25" s="52" t="s">
        <v>195</v>
      </c>
      <c r="C25" s="54">
        <f>C23+C24</f>
        <v>137733.9581</v>
      </c>
      <c r="D25" s="1"/>
      <c r="E25" s="1"/>
      <c r="F25" s="1"/>
      <c r="G25" s="3" t="s">
        <v>33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>
      <c r="A26" s="1"/>
      <c r="B26" s="3" t="s">
        <v>196</v>
      </c>
      <c r="C26" s="69">
        <v>0.3</v>
      </c>
      <c r="D26" s="1"/>
      <c r="E26" s="1"/>
      <c r="F26" s="1"/>
      <c r="G26" s="3" t="s">
        <v>31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>
      <c r="A27" s="1"/>
      <c r="B27" s="52" t="s">
        <v>197</v>
      </c>
      <c r="C27" s="54">
        <f>CEILING(C25*(1+C26),25000)</f>
        <v>200000</v>
      </c>
      <c r="D27" s="1"/>
      <c r="E27" s="1"/>
      <c r="F27" s="1"/>
      <c r="G27" s="3" t="s">
        <v>33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198</v>
      </c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1"/>
      <c r="C4" s="4">
        <v>2027.0</v>
      </c>
      <c r="D4" s="4">
        <v>2028.0</v>
      </c>
      <c r="E4" s="4">
        <v>2029.0</v>
      </c>
      <c r="F4" s="4">
        <v>2030.0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199</v>
      </c>
      <c r="C5" s="26">
        <f>'Revenue forecast'!BC37</f>
        <v>1050430.47</v>
      </c>
      <c r="D5" s="26">
        <f>'Revenue forecast'!BD37</f>
        <v>2373755.323</v>
      </c>
      <c r="E5" s="26">
        <f>'Revenue forecast'!BE37</f>
        <v>4651993.019</v>
      </c>
      <c r="F5" s="26">
        <f>'Revenue forecast'!BF37</f>
        <v>9065533.268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115</v>
      </c>
      <c r="C6" s="26">
        <f>'Financial Statements'!AZ9</f>
        <v>976592.9698</v>
      </c>
      <c r="D6" s="26">
        <f>'Financial Statements'!BA9</f>
        <v>2207555.323</v>
      </c>
      <c r="E6" s="26">
        <f>'Financial Statements'!BB9</f>
        <v>4330678.019</v>
      </c>
      <c r="F6" s="26">
        <f>'Financial Statements'!BC9</f>
        <v>8435908.268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200</v>
      </c>
      <c r="C7" s="26">
        <f>'Financial Statements'!AZ37</f>
        <v>-9953.949027</v>
      </c>
      <c r="D7" s="26">
        <f>'Financial Statements'!BA37</f>
        <v>664643.8299</v>
      </c>
      <c r="E7" s="26">
        <f>'Financial Statements'!BB37</f>
        <v>1699963.89</v>
      </c>
      <c r="F7" s="26">
        <f>'Financial Statements'!BC37</f>
        <v>4187245.017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201</v>
      </c>
      <c r="C8" s="14">
        <f>'Financial Statements'!AZ38</f>
        <v>-0.01019252579</v>
      </c>
      <c r="D8" s="14">
        <f>'Financial Statements'!BA38</f>
        <v>0.3010768623</v>
      </c>
      <c r="E8" s="14">
        <f>'Financial Statements'!BB38</f>
        <v>0.392539894</v>
      </c>
      <c r="F8" s="14">
        <f>'Financial Statements'!BC38</f>
        <v>0.4963597142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202</v>
      </c>
      <c r="C9" s="35">
        <f>Assumptions!C27</f>
        <v>15</v>
      </c>
      <c r="D9" s="35">
        <f>Assumptions!D27</f>
        <v>20</v>
      </c>
      <c r="E9" s="35">
        <f>Assumptions!E27</f>
        <v>25</v>
      </c>
      <c r="F9" s="35">
        <f>Assumptions!F27</f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203</v>
      </c>
      <c r="C10" s="35">
        <f>Personnel!BC7</f>
        <v>7</v>
      </c>
      <c r="D10" s="35">
        <f>Personnel!BD7</f>
        <v>10</v>
      </c>
      <c r="E10" s="35">
        <f>Personnel!BE7</f>
        <v>13</v>
      </c>
      <c r="F10" s="35">
        <f>Personnel!BF7</f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132</v>
      </c>
      <c r="C11" s="35">
        <f>Personnel!BC17</f>
        <v>10</v>
      </c>
      <c r="D11" s="35">
        <f>Personnel!BD17</f>
        <v>12</v>
      </c>
      <c r="E11" s="35">
        <f>Personnel!BE17</f>
        <v>15</v>
      </c>
      <c r="F11" s="35">
        <f>Personnel!BF17</f>
        <v>17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204</v>
      </c>
      <c r="C12" s="70">
        <f t="shared" ref="C12:F12" si="1">C6/C11</f>
        <v>97659.29698</v>
      </c>
      <c r="D12" s="70">
        <f t="shared" si="1"/>
        <v>183962.9436</v>
      </c>
      <c r="E12" s="70">
        <f t="shared" si="1"/>
        <v>288711.8679</v>
      </c>
      <c r="F12" s="70">
        <f t="shared" si="1"/>
        <v>496229.8981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1" t="s">
        <v>37</v>
      </c>
      <c r="C13" s="51"/>
      <c r="D13" s="51"/>
      <c r="E13" s="51"/>
      <c r="F13" s="5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106</v>
      </c>
      <c r="C14" s="62">
        <f>'Revenue forecast'!BC36</f>
        <v>65930.46976</v>
      </c>
      <c r="D14" s="62">
        <f>'Revenue forecast'!BD36</f>
        <v>157755.3228</v>
      </c>
      <c r="E14" s="62">
        <f>'Revenue forecast'!BE36</f>
        <v>367793.0192</v>
      </c>
      <c r="F14" s="62">
        <f>'Revenue forecast'!BF36</f>
        <v>670533.2676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205</v>
      </c>
      <c r="C15" s="71">
        <f>'Revenue forecast'!Q25+'Revenue forecast'!Q27</f>
        <v>10.1767624</v>
      </c>
      <c r="D15" s="71">
        <f>'Revenue forecast'!AC25+'Revenue forecast'!AC27</f>
        <v>23.56347905</v>
      </c>
      <c r="E15" s="71">
        <f>'Revenue forecast'!AO25+'Revenue forecast'!AO27</f>
        <v>69.48276156</v>
      </c>
      <c r="F15" s="71">
        <f>'Revenue forecast'!BA25+'Revenue forecast'!BA27</f>
        <v>119.7912649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206</v>
      </c>
      <c r="C16" s="62">
        <f>'Revenue forecast'!Q28*Assumptions!C17*12</f>
        <v>103060.5744</v>
      </c>
      <c r="D16" s="62">
        <f>'Revenue forecast'!AC28*Assumptions!D17*12</f>
        <v>201380.8743</v>
      </c>
      <c r="E16" s="62">
        <f>'Revenue forecast'!AO28*Assumptions!E17*12</f>
        <v>494896.5694</v>
      </c>
      <c r="F16" s="62">
        <f>'Revenue forecast'!BA28*Assumptions!F17*12</f>
        <v>802747.5893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207</v>
      </c>
      <c r="C17" s="62">
        <f>Assumptions!C17*((Assumptions!C28*Assumptions!C4+(1-Assumptions!C28)*Assumptions!C11)+1/Assumptions!$C$19)</f>
        <v>30289.29551</v>
      </c>
      <c r="D17" s="62">
        <f>Assumptions!D17*((Assumptions!D28*Assumptions!D4+(1-Assumptions!D28)*Assumptions!D11)+1/Assumptions!$C$19)</f>
        <v>30339.29551</v>
      </c>
      <c r="E17" s="62">
        <f>Assumptions!E17*((Assumptions!E28*Assumptions!E4+(1-Assumptions!E28)*Assumptions!E11)+1/Assumptions!$C$19)</f>
        <v>30314.29551</v>
      </c>
      <c r="F17" s="62">
        <f>Assumptions!F17*((Assumptions!F28*Assumptions!F4+(1-Assumptions!F28)*Assumptions!F11)+1/Assumptions!$C$19)</f>
        <v>30389.29551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208</v>
      </c>
      <c r="C18" s="26">
        <f>('Revenue forecast'!Q23+'Revenue forecast'!Q25)*Assumptions!C17*12</f>
        <v>103060.5744</v>
      </c>
      <c r="D18" s="26">
        <f>('Revenue forecast'!AC23+'Revenue forecast'!AC25)*Assumptions!D17*12</f>
        <v>201380.8743</v>
      </c>
      <c r="E18" s="26">
        <f>('Revenue forecast'!AO23+'Revenue forecast'!AO25)*Assumptions!E17*12</f>
        <v>310505.1675</v>
      </c>
      <c r="F18" s="26">
        <f>('Revenue forecast'!BA23+'Revenue forecast'!BA25)*Assumptions!F17*12</f>
        <v>427818.4056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209</v>
      </c>
      <c r="C19" s="26">
        <f>'Revenue forecast'!Q27*Assumptions!C17*12</f>
        <v>0</v>
      </c>
      <c r="D19" s="26">
        <f>'Revenue forecast'!AC27*Assumptions!D17*12</f>
        <v>0</v>
      </c>
      <c r="E19" s="26">
        <f>'Revenue forecast'!AO27*Assumptions!E17*12</f>
        <v>184391.4018</v>
      </c>
      <c r="F19" s="26">
        <f>'Revenue forecast'!BA27*Assumptions!F17*12</f>
        <v>374929.1838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210</v>
      </c>
      <c r="C20" s="35">
        <f>'Revenue forecast'!Q27</f>
        <v>0</v>
      </c>
      <c r="D20" s="35">
        <f>'Revenue forecast'!AC27</f>
        <v>0</v>
      </c>
      <c r="E20" s="35">
        <f>'Revenue forecast'!AO27</f>
        <v>30.73190031</v>
      </c>
      <c r="F20" s="35">
        <f>'Revenue forecast'!BA27</f>
        <v>62.48819729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211</v>
      </c>
      <c r="C21" s="26">
        <f>Assumptions!C17*(1/Assumptions!$C$22)</f>
        <v>17073.27795</v>
      </c>
      <c r="D21" s="26">
        <f>Assumptions!D17*(1/Assumptions!$C$22)</f>
        <v>17073.27795</v>
      </c>
      <c r="E21" s="26">
        <f>Assumptions!E17*(1/Assumptions!$C$22)</f>
        <v>17073.27795</v>
      </c>
      <c r="F21" s="26">
        <f>Assumptions!F17*(1/Assumptions!$C$22)</f>
        <v>17073.27795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</sheetData>
  <drawing r:id="rId1"/>
</worksheet>
</file>