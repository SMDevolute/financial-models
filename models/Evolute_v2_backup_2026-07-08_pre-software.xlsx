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<sst xmlns="http://schemas.openxmlformats.org/spreadsheetml/2006/main" count="262" uniqueCount="154">
  <si>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</si>
  <si>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</si>
  <si>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</si>
  <si>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</si>
  <si>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</si>
  <si>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</si>
  <si>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</si>
  <si>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</si>
  <si>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</si>
  <si>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</si>
  <si>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</si>
  <si>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</si>
  <si>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</si>
  <si>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</si>
  <si>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</si>
  <si>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</si>
  <si>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</si>
  <si>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</si>
  <si>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</si>
  <si>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</si>
  <si>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</si>
  <si>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</si>
  <si>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</si>
  <si>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</si>
  <si>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 — Evolute (€)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</si>
  <si>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</si>
  <si>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</si>
  <si>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</si>
  <si>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</si>
  <si>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</si>
  <si>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</si>
  <si>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</si>
  <si>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</si>
  <si>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</si>
  <si>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</si>
  <si>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</si>
  <si>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</si>
  <si>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DEAL FLOW</t>
  </si>
  <si>
    <t>New deals started / yr</t>
  </si>
  <si>
    <t>#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</si>
  <si>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</si>
  <si>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</si>
  <si>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</si>
  <si>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</si>
  <si>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</si>
  <si>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</si>
  <si>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</si>
  <si>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</si>
  <si>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</si>
  <si>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</si>
  <si>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</si>
  <si>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</si>
  <si>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</si>
  <si>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</si>
  <si>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</si>
  <si>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</si>
  <si>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</si>
  <si>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</si>
  <si>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</si>
  <si>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</si>
  <si>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</si>
  <si>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</si>
  <si>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</si>
  <si>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</si>
  <si>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</si>
  <si>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</si>
  <si>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</si>
  <si>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</si>
  <si>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</si>
  <si>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</si>
  <si>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</si>
  <si>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</si>
  <si>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</si>
  <si>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</si>
  <si>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</si>
  <si>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</si>
  <si>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</si>
  <si>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</si>
  <si>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</si>
  <si>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</si>
  <si>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</si>
  <si>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</si>
  <si>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</si>
  <si>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</si>
  <si>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</si>
  <si>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</si>
  <si>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</si>
  <si>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</si>
  <si>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</si>
  <si>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</si>
  <si>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</si>
  <si>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</si>
  <si>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</si>
  <si>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</si>
  <si>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</si>
  <si>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</si>
  <si>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</si>
  <si>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</si>
  <si>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</si>
  <si>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</si>
  <si>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</si>
  <si>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</si>
  <si>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</si>
  <si>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</si>
  <si>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</si>
  <si>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</si>
  <si>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</si>
  <si>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Rob</t>
  </si>
  <si>
    <t xml:space="preserve">Simon 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</si>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</sst>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€#,##0;(€#,##0)"/>
    <numFmt numFmtId="165" formatCode="0.0%"/>
    <numFmt numFmtId="166" formatCode="General"/>
    <numFmt numFmtId="167" formatCode="€#,##0"/>
    <numFmt numFmtId="168" formatCode="mmm 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7" numFmtId="3" xfId="0" applyAlignment="1" applyFont="1" applyNumberFormat="1">
      <alignment readingOrder="0"/>
    </xf>
    <xf borderId="0" fillId="2" fontId="7" numFmtId="3" xfId="0" applyFont="1" applyNumberFormat="1"/>
    <xf borderId="0" fillId="2" fontId="8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9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9" numFmtId="0" xfId="0" applyAlignment="1" applyFont="1">
      <alignment readingOrder="0"/>
    </xf>
    <xf borderId="0" fillId="3" fontId="9" numFmtId="0" xfId="0" applyFont="1"/>
    <xf borderId="0" fillId="3" fontId="10" numFmtId="0" xfId="0" applyFont="1"/>
    <xf borderId="0" fillId="3" fontId="9" numFmtId="0" xfId="0" applyAlignment="1" applyFont="1">
      <alignment readingOrder="0"/>
    </xf>
    <xf borderId="0" fillId="3" fontId="9" numFmtId="164" xfId="0" applyAlignment="1" applyFont="1" applyNumberFormat="1">
      <alignment readingOrder="0"/>
    </xf>
    <xf borderId="0" fillId="0" fontId="11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3" fontId="10" numFmtId="0" xfId="0" applyAlignment="1" applyFont="1">
      <alignment readingOrder="0"/>
    </xf>
    <xf borderId="0" fillId="3" fontId="10" numFmtId="0" xfId="0" applyFont="1"/>
    <xf borderId="0" fillId="3" fontId="10" numFmtId="3" xfId="0" applyFont="1" applyNumberFormat="1"/>
    <xf borderId="0" fillId="0" fontId="1" numFmtId="0" xfId="0" applyAlignment="1" applyFont="1">
      <alignment readingOrder="0" shrinkToFit="0" wrapText="1"/>
    </xf>
    <xf borderId="0" fillId="4" fontId="3" numFmtId="3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74942974"/>
        <c:axId val="1431569032"/>
      </c:lineChart>
      <c:catAx>
        <c:axId val="174942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31569032"/>
      </c:catAx>
      <c:valAx>
        <c:axId val="1431569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494297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1133435864"/>
        <c:axId val="375026087"/>
      </c:lineChart>
      <c:catAx>
        <c:axId val="113343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75026087"/>
      </c:catAx>
      <c:valAx>
        <c:axId val="375026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334358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13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13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1">
        <v>15.0</v>
      </c>
      <c r="D17" s="11">
        <v>20.0</v>
      </c>
      <c r="E17" s="11">
        <v>25.0</v>
      </c>
      <c r="F17" s="11">
        <v>30.0</v>
      </c>
      <c r="G17" s="13" t="s">
        <v>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40</v>
      </c>
      <c r="C18" s="12">
        <v>0.7</v>
      </c>
      <c r="D18" s="12">
        <v>0.6</v>
      </c>
      <c r="E18" s="12">
        <v>0.65</v>
      </c>
      <c r="F18" s="12">
        <v>0.5</v>
      </c>
      <c r="G18" s="13" t="s">
        <v>31</v>
      </c>
      <c r="H18" s="3" t="s">
        <v>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/>
      <c r="C19" s="12"/>
      <c r="D19" s="14"/>
      <c r="E19" s="14"/>
      <c r="F19" s="14"/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6" t="s">
        <v>42</v>
      </c>
      <c r="C20" s="18"/>
      <c r="D20" s="19"/>
      <c r="E20" s="19"/>
      <c r="F20" s="19"/>
      <c r="G20" s="20"/>
      <c r="H20" s="1"/>
      <c r="I20" s="1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43</v>
      </c>
      <c r="C21" s="12">
        <v>0.3</v>
      </c>
      <c r="D21" s="12">
        <v>0.35</v>
      </c>
      <c r="E21" s="12">
        <v>0.4</v>
      </c>
      <c r="F21" s="12">
        <v>0.45</v>
      </c>
      <c r="G21" s="13" t="s">
        <v>31</v>
      </c>
      <c r="H21" s="3" t="s">
        <v>44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45</v>
      </c>
      <c r="C22" s="12">
        <v>0.375</v>
      </c>
      <c r="D22" s="21">
        <v>0.4</v>
      </c>
      <c r="E22" s="12">
        <v>0.42</v>
      </c>
      <c r="F22" s="12">
        <v>0.44</v>
      </c>
      <c r="G22" s="13" t="s">
        <v>31</v>
      </c>
      <c r="H22" s="3" t="s">
        <v>46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22">
        <v>0.25</v>
      </c>
      <c r="D23" s="22">
        <v>0.25</v>
      </c>
      <c r="E23" s="22">
        <v>0.25</v>
      </c>
      <c r="F23" s="22">
        <v>0.25</v>
      </c>
      <c r="G23" s="13" t="s">
        <v>31</v>
      </c>
      <c r="H23" s="3" t="s">
        <v>48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49</v>
      </c>
      <c r="C24" s="12">
        <v>0.4</v>
      </c>
      <c r="D24" s="12">
        <v>0.4</v>
      </c>
      <c r="E24" s="12">
        <v>0.4</v>
      </c>
      <c r="F24" s="12">
        <v>0.4</v>
      </c>
      <c r="G24" s="5" t="s">
        <v>31</v>
      </c>
      <c r="H24" s="3" t="s">
        <v>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/>
      <c r="C25" s="23"/>
      <c r="D25" s="23"/>
      <c r="E25" s="23"/>
      <c r="F25" s="23"/>
      <c r="G25" s="2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6" t="s">
        <v>51</v>
      </c>
      <c r="C26" s="25"/>
      <c r="D26" s="26"/>
      <c r="E26" s="26"/>
      <c r="F26" s="26"/>
      <c r="G26" s="2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52</v>
      </c>
      <c r="C27" s="9">
        <f>10000*(C$1-2026)</f>
        <v>10000</v>
      </c>
      <c r="D27" s="23">
        <f t="shared" ref="D27:F27" si="1">C27+2000</f>
        <v>12000</v>
      </c>
      <c r="E27" s="23">
        <f t="shared" si="1"/>
        <v>14000</v>
      </c>
      <c r="F27" s="23">
        <f t="shared" si="1"/>
        <v>16000</v>
      </c>
      <c r="G27" s="13" t="s">
        <v>27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53</v>
      </c>
      <c r="C28" s="9">
        <v>7500.0</v>
      </c>
      <c r="D28" s="23">
        <f t="shared" ref="D28:F28" si="2">C28+2000</f>
        <v>9500</v>
      </c>
      <c r="E28" s="23">
        <f t="shared" si="2"/>
        <v>11500</v>
      </c>
      <c r="F28" s="23">
        <f t="shared" si="2"/>
        <v>13500</v>
      </c>
      <c r="G28" s="5" t="s">
        <v>27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 t="s">
        <v>54</v>
      </c>
      <c r="C29" s="9">
        <v>4500.0</v>
      </c>
      <c r="D29" s="9">
        <f t="shared" ref="D29:F29" si="3">C29+250</f>
        <v>4750</v>
      </c>
      <c r="E29" s="9">
        <f t="shared" si="3"/>
        <v>5000</v>
      </c>
      <c r="F29" s="9">
        <f t="shared" si="3"/>
        <v>5250</v>
      </c>
      <c r="G29" s="13" t="s">
        <v>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 t="s">
        <v>55</v>
      </c>
      <c r="C30" s="9">
        <v>3000.0</v>
      </c>
      <c r="D30" s="9">
        <f t="shared" ref="D30:F30" si="4">C30+250</f>
        <v>3250</v>
      </c>
      <c r="E30" s="9">
        <f t="shared" si="4"/>
        <v>3500</v>
      </c>
      <c r="F30" s="9">
        <f t="shared" si="4"/>
        <v>3750</v>
      </c>
      <c r="G30" s="13" t="s">
        <v>27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56</v>
      </c>
      <c r="C31" s="9">
        <v>500.0</v>
      </c>
      <c r="D31" s="9">
        <v>600.0</v>
      </c>
      <c r="E31" s="9">
        <v>700.0</v>
      </c>
      <c r="F31" s="9">
        <v>800.0</v>
      </c>
      <c r="G31" s="10" t="s">
        <v>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57</v>
      </c>
      <c r="C32" s="9">
        <v>5000.0</v>
      </c>
      <c r="D32" s="9">
        <f t="shared" ref="D32:F32" si="5">C32+500</f>
        <v>5500</v>
      </c>
      <c r="E32" s="9">
        <f t="shared" si="5"/>
        <v>6000</v>
      </c>
      <c r="F32" s="9">
        <f t="shared" si="5"/>
        <v>6500</v>
      </c>
      <c r="G32" s="10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58</v>
      </c>
      <c r="C33" s="9">
        <v>6500.0</v>
      </c>
      <c r="D33" s="9">
        <v>7000.0</v>
      </c>
      <c r="E33" s="9">
        <v>7500.0</v>
      </c>
      <c r="F33" s="9">
        <v>8000.0</v>
      </c>
      <c r="G33" s="10" t="s">
        <v>27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59</v>
      </c>
      <c r="C34" s="12">
        <v>0.08</v>
      </c>
      <c r="D34" s="12">
        <v>0.08</v>
      </c>
      <c r="E34" s="12">
        <v>0.08</v>
      </c>
      <c r="F34" s="12">
        <v>0.08</v>
      </c>
      <c r="G34" s="10" t="s">
        <v>31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60</v>
      </c>
      <c r="C35" s="12">
        <v>0.19</v>
      </c>
      <c r="D35" s="12">
        <v>0.19</v>
      </c>
      <c r="E35" s="12">
        <v>0.19</v>
      </c>
      <c r="F35" s="12">
        <v>0.19</v>
      </c>
      <c r="G35" s="10" t="s">
        <v>31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61</v>
      </c>
      <c r="C36" s="11">
        <v>3.0</v>
      </c>
      <c r="D36" s="11">
        <v>3.0</v>
      </c>
      <c r="E36" s="11">
        <v>3.0</v>
      </c>
      <c r="F36" s="11">
        <v>3.0</v>
      </c>
      <c r="G36" s="13" t="s">
        <v>39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/>
      <c r="C37" s="11"/>
      <c r="D37" s="11"/>
      <c r="E37" s="11"/>
      <c r="F37" s="11"/>
      <c r="G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28" t="s">
        <v>62</v>
      </c>
      <c r="C38" s="29"/>
      <c r="D38" s="30"/>
      <c r="E38" s="30"/>
      <c r="F38" s="30"/>
      <c r="G38" s="3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63</v>
      </c>
      <c r="C39" s="11">
        <v>10.0</v>
      </c>
      <c r="D39" s="32"/>
      <c r="E39" s="32"/>
      <c r="F39" s="32"/>
      <c r="G39" s="13" t="s">
        <v>39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64</v>
      </c>
      <c r="C40" s="11">
        <v>15.0</v>
      </c>
      <c r="D40" s="32"/>
      <c r="E40" s="32"/>
      <c r="F40" s="32"/>
      <c r="G40" s="13" t="s">
        <v>39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65</v>
      </c>
      <c r="C41" s="11">
        <v>2.0</v>
      </c>
      <c r="D41" s="32"/>
      <c r="E41" s="32"/>
      <c r="F41" s="32"/>
      <c r="G41" s="13" t="s">
        <v>39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/>
      <c r="C42" s="23"/>
      <c r="D42" s="23"/>
      <c r="E42" s="23"/>
      <c r="F42" s="23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6" t="s">
        <v>66</v>
      </c>
      <c r="C43" s="33"/>
      <c r="D43" s="7"/>
      <c r="E43" s="7"/>
      <c r="F43" s="7"/>
      <c r="G43" s="3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67</v>
      </c>
      <c r="C44" s="9">
        <v>600.0</v>
      </c>
      <c r="D44" s="23"/>
      <c r="E44" s="23"/>
      <c r="F44" s="23"/>
      <c r="G44" s="13" t="s">
        <v>68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69</v>
      </c>
      <c r="C45" s="9">
        <v>120.0</v>
      </c>
      <c r="D45" s="23"/>
      <c r="E45" s="23"/>
      <c r="F45" s="23"/>
      <c r="G45" s="5" t="s">
        <v>68</v>
      </c>
      <c r="H45" s="35"/>
      <c r="I45" s="35"/>
      <c r="J45" s="35"/>
      <c r="K45" s="35"/>
      <c r="L45" s="3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70</v>
      </c>
      <c r="C46" s="36">
        <v>35000.0</v>
      </c>
      <c r="D46" s="36">
        <v>40000.0</v>
      </c>
      <c r="E46" s="36">
        <v>60000.0</v>
      </c>
      <c r="F46" s="36">
        <v>70000.0</v>
      </c>
      <c r="G46" s="5" t="s">
        <v>71</v>
      </c>
      <c r="H46" s="35"/>
      <c r="I46" s="35"/>
      <c r="J46" s="35"/>
      <c r="K46" s="35"/>
      <c r="L46" s="3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72</v>
      </c>
      <c r="C47" s="9">
        <v>40.0</v>
      </c>
      <c r="D47" s="23"/>
      <c r="E47" s="23"/>
      <c r="F47" s="23"/>
      <c r="G47" s="5" t="s">
        <v>68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73</v>
      </c>
      <c r="C48" s="9">
        <v>100.0</v>
      </c>
      <c r="D48" s="23"/>
      <c r="E48" s="23"/>
      <c r="F48" s="23"/>
      <c r="G48" s="5" t="s">
        <v>68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74</v>
      </c>
      <c r="C49" s="9">
        <v>3000.0</v>
      </c>
      <c r="D49" s="9">
        <v>4000.0</v>
      </c>
      <c r="E49" s="9">
        <v>5000.0</v>
      </c>
      <c r="F49" s="9">
        <v>6000.0</v>
      </c>
      <c r="G49" s="13" t="s">
        <v>71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75</v>
      </c>
      <c r="C50" s="9">
        <v>6000.0</v>
      </c>
      <c r="D50" s="9">
        <v>6500.0</v>
      </c>
      <c r="E50" s="9">
        <v>7000.0</v>
      </c>
      <c r="F50" s="9">
        <v>7500.0</v>
      </c>
      <c r="G50" s="13" t="s">
        <v>71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9">
        <v>1307.0</v>
      </c>
      <c r="D51" s="23"/>
      <c r="E51" s="23"/>
      <c r="F51" s="23"/>
      <c r="G51" s="13" t="s">
        <v>27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77</v>
      </c>
      <c r="C52" s="9">
        <v>140.0</v>
      </c>
      <c r="D52" s="23"/>
      <c r="E52" s="23"/>
      <c r="F52" s="23"/>
      <c r="G52" s="13" t="s">
        <v>27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3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8"/>
      <c r="C54" s="39"/>
      <c r="D54" s="39"/>
      <c r="E54" s="39"/>
      <c r="F54" s="39"/>
      <c r="G54" s="40"/>
      <c r="H54" s="39"/>
      <c r="I54" s="39"/>
      <c r="J54" s="39"/>
      <c r="K54" s="39"/>
      <c r="L54" s="3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9"/>
      <c r="C55" s="38"/>
      <c r="D55" s="38"/>
      <c r="E55" s="39"/>
      <c r="F55" s="39"/>
      <c r="G55" s="40"/>
      <c r="H55" s="39"/>
      <c r="I55" s="39"/>
      <c r="J55" s="39"/>
      <c r="K55" s="39"/>
      <c r="L55" s="3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8"/>
      <c r="C56" s="41"/>
      <c r="D56" s="42"/>
      <c r="E56" s="39"/>
      <c r="F56" s="39"/>
      <c r="G56" s="40"/>
      <c r="H56" s="39"/>
      <c r="I56" s="39"/>
      <c r="J56" s="39"/>
      <c r="K56" s="39"/>
      <c r="L56" s="3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8"/>
      <c r="C57" s="41"/>
      <c r="D57" s="42"/>
      <c r="E57" s="39"/>
      <c r="F57" s="39"/>
      <c r="G57" s="40"/>
      <c r="H57" s="39"/>
      <c r="I57" s="39"/>
      <c r="J57" s="39"/>
      <c r="K57" s="39"/>
      <c r="L57" s="3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8"/>
      <c r="C58" s="41"/>
      <c r="D58" s="42"/>
      <c r="E58" s="39"/>
      <c r="F58" s="39"/>
      <c r="G58" s="40"/>
      <c r="H58" s="39"/>
      <c r="I58" s="39"/>
      <c r="J58" s="39"/>
      <c r="K58" s="39"/>
      <c r="L58" s="3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38"/>
      <c r="C59" s="41"/>
      <c r="D59" s="42"/>
      <c r="E59" s="39"/>
      <c r="F59" s="39"/>
      <c r="G59" s="40"/>
      <c r="H59" s="39"/>
      <c r="I59" s="39"/>
      <c r="J59" s="39"/>
      <c r="K59" s="39"/>
      <c r="L59" s="3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3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3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3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3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3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3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3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3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3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G69" s="43"/>
    </row>
    <row r="70">
      <c r="G70" s="43"/>
    </row>
    <row r="71">
      <c r="G71" s="43"/>
    </row>
    <row r="72">
      <c r="G72" s="43"/>
    </row>
    <row r="73">
      <c r="G73" s="43"/>
    </row>
    <row r="74">
      <c r="G74" s="43"/>
    </row>
    <row r="75">
      <c r="G75" s="43"/>
    </row>
    <row r="76">
      <c r="G76" s="43"/>
    </row>
    <row r="77">
      <c r="G77" s="43"/>
    </row>
    <row r="78">
      <c r="G78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collapsed="1" min="5" max="5" width="12.63"/>
    <col hidden="1"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79</v>
      </c>
      <c r="F3" s="44">
        <v>46388.0</v>
      </c>
      <c r="G3" s="44">
        <v>46419.0</v>
      </c>
      <c r="H3" s="44">
        <v>46447.0</v>
      </c>
      <c r="I3" s="44">
        <v>46478.0</v>
      </c>
      <c r="J3" s="44">
        <v>46508.0</v>
      </c>
      <c r="K3" s="44">
        <v>46539.0</v>
      </c>
      <c r="L3" s="44">
        <v>46569.0</v>
      </c>
      <c r="M3" s="44">
        <v>46600.0</v>
      </c>
      <c r="N3" s="44">
        <v>46631.0</v>
      </c>
      <c r="O3" s="44">
        <v>46661.0</v>
      </c>
      <c r="P3" s="44">
        <v>46692.0</v>
      </c>
      <c r="Q3" s="44">
        <v>46722.0</v>
      </c>
      <c r="R3" s="44">
        <v>46753.0</v>
      </c>
      <c r="S3" s="44">
        <v>46784.0</v>
      </c>
      <c r="T3" s="44">
        <v>46813.0</v>
      </c>
      <c r="U3" s="44">
        <v>46844.0</v>
      </c>
      <c r="V3" s="44">
        <v>46874.0</v>
      </c>
      <c r="W3" s="44">
        <v>46905.0</v>
      </c>
      <c r="X3" s="44">
        <v>46935.0</v>
      </c>
      <c r="Y3" s="44">
        <v>46966.0</v>
      </c>
      <c r="Z3" s="44">
        <v>46997.0</v>
      </c>
      <c r="AA3" s="44">
        <v>47027.0</v>
      </c>
      <c r="AB3" s="44">
        <v>47058.0</v>
      </c>
      <c r="AC3" s="44">
        <v>47088.0</v>
      </c>
      <c r="AD3" s="44">
        <v>47119.0</v>
      </c>
      <c r="AE3" s="44">
        <v>47150.0</v>
      </c>
      <c r="AF3" s="44">
        <v>47178.0</v>
      </c>
      <c r="AG3" s="44">
        <v>47209.0</v>
      </c>
      <c r="AH3" s="44">
        <v>47239.0</v>
      </c>
      <c r="AI3" s="44">
        <v>47270.0</v>
      </c>
      <c r="AJ3" s="44">
        <v>47300.0</v>
      </c>
      <c r="AK3" s="44">
        <v>47331.0</v>
      </c>
      <c r="AL3" s="44">
        <v>47362.0</v>
      </c>
      <c r="AM3" s="44">
        <v>47392.0</v>
      </c>
      <c r="AN3" s="44">
        <v>47423.0</v>
      </c>
      <c r="AO3" s="44">
        <v>47453.0</v>
      </c>
      <c r="AP3" s="44">
        <v>47484.0</v>
      </c>
      <c r="AQ3" s="44">
        <v>47515.0</v>
      </c>
      <c r="AR3" s="44">
        <v>47543.0</v>
      </c>
      <c r="AS3" s="44">
        <v>47574.0</v>
      </c>
      <c r="AT3" s="44">
        <v>47604.0</v>
      </c>
      <c r="AU3" s="44">
        <v>47635.0</v>
      </c>
      <c r="AV3" s="44">
        <v>47665.0</v>
      </c>
      <c r="AW3" s="44">
        <v>47696.0</v>
      </c>
      <c r="AX3" s="44">
        <v>47727.0</v>
      </c>
      <c r="AY3" s="44">
        <v>47757.0</v>
      </c>
      <c r="AZ3" s="44">
        <v>47788.0</v>
      </c>
      <c r="BA3" s="44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80</v>
      </c>
      <c r="C7" s="1"/>
      <c r="D7" s="1"/>
      <c r="E7" s="3" t="s">
        <v>39</v>
      </c>
      <c r="F7" s="32">
        <f t="array" ref="F7">ROUND((INDEX(Assumptions!$C$17:$F$17,MATCH(YEAR(F$3),Assumptions!$C$1:$F$1,0))*INDEX(Assumptions!$C$18:$F$18,MATCH(YEAR(F$3),Assumptions!$C$1:$F$1,0)))*MONTH(F$3)/12,0)-ROUND((INDEX(Assumptions!$C$17:$F$17,MATCH(YEAR(F$3),Assumptions!$C$1:$F$1,0))*INDEX(Assumptions!$C$18:$F$18,MATCH(YEAR(F$3),Assumptions!$C$1:$F$1,0)))*(MONTH(F$3)-1)/12,0)</f>
        <v>1</v>
      </c>
      <c r="G7" s="32">
        <f t="array" ref="G7">ROUND((INDEX(Assumptions!$C$17:$F$17,MATCH(YEAR(G$3),Assumptions!$C$1:$F$1,0))*INDEX(Assumptions!$C$18:$F$18,MATCH(YEAR(G$3),Assumptions!$C$1:$F$1,0)))*MONTH(G$3)/12,0)-ROUND((INDEX(Assumptions!$C$17:$F$17,MATCH(YEAR(G$3),Assumptions!$C$1:$F$1,0))*INDEX(Assumptions!$C$18:$F$18,MATCH(YEAR(G$3),Assumptions!$C$1:$F$1,0)))*(MONTH(G$3)-1)/12,0)</f>
        <v>1</v>
      </c>
      <c r="H7" s="32">
        <f t="array" ref="H7">ROUND((INDEX(Assumptions!$C$17:$F$17,MATCH(YEAR(H$3),Assumptions!$C$1:$F$1,0))*INDEX(Assumptions!$C$18:$F$18,MATCH(YEAR(H$3),Assumptions!$C$1:$F$1,0)))*MONTH(H$3)/12,0)-ROUND((INDEX(Assumptions!$C$17:$F$17,MATCH(YEAR(H$3),Assumptions!$C$1:$F$1,0))*INDEX(Assumptions!$C$18:$F$18,MATCH(YEAR(H$3),Assumptions!$C$1:$F$1,0)))*(MONTH(H$3)-1)/12,0)</f>
        <v>1</v>
      </c>
      <c r="I7" s="32">
        <f t="array" ref="I7">ROUND((INDEX(Assumptions!$C$17:$F$17,MATCH(YEAR(I$3),Assumptions!$C$1:$F$1,0))*INDEX(Assumptions!$C$18:$F$18,MATCH(YEAR(I$3),Assumptions!$C$1:$F$1,0)))*MONTH(I$3)/12,0)-ROUND((INDEX(Assumptions!$C$17:$F$17,MATCH(YEAR(I$3),Assumptions!$C$1:$F$1,0))*INDEX(Assumptions!$C$18:$F$18,MATCH(YEAR(I$3),Assumptions!$C$1:$F$1,0)))*(MONTH(I$3)-1)/12,0)</f>
        <v>1</v>
      </c>
      <c r="J7" s="32">
        <f t="array" ref="J7">ROUND((INDEX(Assumptions!$C$17:$F$17,MATCH(YEAR(J$3),Assumptions!$C$1:$F$1,0))*INDEX(Assumptions!$C$18:$F$18,MATCH(YEAR(J$3),Assumptions!$C$1:$F$1,0)))*MONTH(J$3)/12,0)-ROUND((INDEX(Assumptions!$C$17:$F$17,MATCH(YEAR(J$3),Assumptions!$C$1:$F$1,0))*INDEX(Assumptions!$C$18:$F$18,MATCH(YEAR(J$3),Assumptions!$C$1:$F$1,0)))*(MONTH(J$3)-1)/12,0)</f>
        <v>0</v>
      </c>
      <c r="K7" s="32">
        <f t="array" ref="K7">ROUND((INDEX(Assumptions!$C$17:$F$17,MATCH(YEAR(K$3),Assumptions!$C$1:$F$1,0))*INDEX(Assumptions!$C$18:$F$18,MATCH(YEAR(K$3),Assumptions!$C$1:$F$1,0)))*MONTH(K$3)/12,0)-ROUND((INDEX(Assumptions!$C$17:$F$17,MATCH(YEAR(K$3),Assumptions!$C$1:$F$1,0))*INDEX(Assumptions!$C$18:$F$18,MATCH(YEAR(K$3),Assumptions!$C$1:$F$1,0)))*(MONTH(K$3)-1)/12,0)</f>
        <v>1</v>
      </c>
      <c r="L7" s="32">
        <f t="array" ref="L7">ROUND((INDEX(Assumptions!$C$17:$F$17,MATCH(YEAR(L$3),Assumptions!$C$1:$F$1,0))*INDEX(Assumptions!$C$18:$F$18,MATCH(YEAR(L$3),Assumptions!$C$1:$F$1,0)))*MONTH(L$3)/12,0)-ROUND((INDEX(Assumptions!$C$17:$F$17,MATCH(YEAR(L$3),Assumptions!$C$1:$F$1,0))*INDEX(Assumptions!$C$18:$F$18,MATCH(YEAR(L$3),Assumptions!$C$1:$F$1,0)))*(MONTH(L$3)-1)/12,0)</f>
        <v>1</v>
      </c>
      <c r="M7" s="32">
        <f t="array" ref="M7">ROUND((INDEX(Assumptions!$C$17:$F$17,MATCH(YEAR(M$3),Assumptions!$C$1:$F$1,0))*INDEX(Assumptions!$C$18:$F$18,MATCH(YEAR(M$3),Assumptions!$C$1:$F$1,0)))*MONTH(M$3)/12,0)-ROUND((INDEX(Assumptions!$C$17:$F$17,MATCH(YEAR(M$3),Assumptions!$C$1:$F$1,0))*INDEX(Assumptions!$C$18:$F$18,MATCH(YEAR(M$3),Assumptions!$C$1:$F$1,0)))*(MONTH(M$3)-1)/12,0)</f>
        <v>1</v>
      </c>
      <c r="N7" s="32">
        <f t="array" ref="N7">ROUND((INDEX(Assumptions!$C$17:$F$17,MATCH(YEAR(N$3),Assumptions!$C$1:$F$1,0))*INDEX(Assumptions!$C$18:$F$18,MATCH(YEAR(N$3),Assumptions!$C$1:$F$1,0)))*MONTH(N$3)/12,0)-ROUND((INDEX(Assumptions!$C$17:$F$17,MATCH(YEAR(N$3),Assumptions!$C$1:$F$1,0))*INDEX(Assumptions!$C$18:$F$18,MATCH(YEAR(N$3),Assumptions!$C$1:$F$1,0)))*(MONTH(N$3)-1)/12,0)</f>
        <v>1</v>
      </c>
      <c r="O7" s="32">
        <f t="array" ref="O7">ROUND((INDEX(Assumptions!$C$17:$F$17,MATCH(YEAR(O$3),Assumptions!$C$1:$F$1,0))*INDEX(Assumptions!$C$18:$F$18,MATCH(YEAR(O$3),Assumptions!$C$1:$F$1,0)))*MONTH(O$3)/12,0)-ROUND((INDEX(Assumptions!$C$17:$F$17,MATCH(YEAR(O$3),Assumptions!$C$1:$F$1,0))*INDEX(Assumptions!$C$18:$F$18,MATCH(YEAR(O$3),Assumptions!$C$1:$F$1,0)))*(MONTH(O$3)-1)/12,0)</f>
        <v>1</v>
      </c>
      <c r="P7" s="32">
        <f t="array" ref="P7">ROUND((INDEX(Assumptions!$C$17:$F$17,MATCH(YEAR(P$3),Assumptions!$C$1:$F$1,0))*INDEX(Assumptions!$C$18:$F$18,MATCH(YEAR(P$3),Assumptions!$C$1:$F$1,0)))*MONTH(P$3)/12,0)-ROUND((INDEX(Assumptions!$C$17:$F$17,MATCH(YEAR(P$3),Assumptions!$C$1:$F$1,0))*INDEX(Assumptions!$C$18:$F$18,MATCH(YEAR(P$3),Assumptions!$C$1:$F$1,0)))*(MONTH(P$3)-1)/12,0)</f>
        <v>1</v>
      </c>
      <c r="Q7" s="32">
        <f t="array" ref="Q7">ROUND((INDEX(Assumptions!$C$17:$F$17,MATCH(YEAR(Q$3),Assumptions!$C$1:$F$1,0))*INDEX(Assumptions!$C$18:$F$18,MATCH(YEAR(Q$3),Assumptions!$C$1:$F$1,0)))*MONTH(Q$3)/12,0)-ROUND((INDEX(Assumptions!$C$17:$F$17,MATCH(YEAR(Q$3),Assumptions!$C$1:$F$1,0))*INDEX(Assumptions!$C$18:$F$18,MATCH(YEAR(Q$3),Assumptions!$C$1:$F$1,0)))*(MONTH(Q$3)-1)/12,0)</f>
        <v>1</v>
      </c>
      <c r="R7" s="32">
        <f t="array" ref="R7">ROUND((INDEX(Assumptions!$C$17:$F$17,MATCH(YEAR(R$3),Assumptions!$C$1:$F$1,0))*INDEX(Assumptions!$C$18:$F$18,MATCH(YEAR(R$3),Assumptions!$C$1:$F$1,0)))*MONTH(R$3)/12,0)-ROUND((INDEX(Assumptions!$C$17:$F$17,MATCH(YEAR(R$3),Assumptions!$C$1:$F$1,0))*INDEX(Assumptions!$C$18:$F$18,MATCH(YEAR(R$3),Assumptions!$C$1:$F$1,0)))*(MONTH(R$3)-1)/12,0)</f>
        <v>1</v>
      </c>
      <c r="S7" s="32">
        <f t="array" ref="S7">ROUND((INDEX(Assumptions!$C$17:$F$17,MATCH(YEAR(S$3),Assumptions!$C$1:$F$1,0))*INDEX(Assumptions!$C$18:$F$18,MATCH(YEAR(S$3),Assumptions!$C$1:$F$1,0)))*MONTH(S$3)/12,0)-ROUND((INDEX(Assumptions!$C$17:$F$17,MATCH(YEAR(S$3),Assumptions!$C$1:$F$1,0))*INDEX(Assumptions!$C$18:$F$18,MATCH(YEAR(S$3),Assumptions!$C$1:$F$1,0)))*(MONTH(S$3)-1)/12,0)</f>
        <v>1</v>
      </c>
      <c r="T7" s="32">
        <f t="array" ref="T7">ROUND((INDEX(Assumptions!$C$17:$F$17,MATCH(YEAR(T$3),Assumptions!$C$1:$F$1,0))*INDEX(Assumptions!$C$18:$F$18,MATCH(YEAR(T$3),Assumptions!$C$1:$F$1,0)))*MONTH(T$3)/12,0)-ROUND((INDEX(Assumptions!$C$17:$F$17,MATCH(YEAR(T$3),Assumptions!$C$1:$F$1,0))*INDEX(Assumptions!$C$18:$F$18,MATCH(YEAR(T$3),Assumptions!$C$1:$F$1,0)))*(MONTH(T$3)-1)/12,0)</f>
        <v>1</v>
      </c>
      <c r="U7" s="32">
        <f t="array" ref="U7">ROUND((INDEX(Assumptions!$C$17:$F$17,MATCH(YEAR(U$3),Assumptions!$C$1:$F$1,0))*INDEX(Assumptions!$C$18:$F$18,MATCH(YEAR(U$3),Assumptions!$C$1:$F$1,0)))*MONTH(U$3)/12,0)-ROUND((INDEX(Assumptions!$C$17:$F$17,MATCH(YEAR(U$3),Assumptions!$C$1:$F$1,0))*INDEX(Assumptions!$C$18:$F$18,MATCH(YEAR(U$3),Assumptions!$C$1:$F$1,0)))*(MONTH(U$3)-1)/12,0)</f>
        <v>1</v>
      </c>
      <c r="V7" s="32">
        <f t="array" ref="V7">ROUND((INDEX(Assumptions!$C$17:$F$17,MATCH(YEAR(V$3),Assumptions!$C$1:$F$1,0))*INDEX(Assumptions!$C$18:$F$18,MATCH(YEAR(V$3),Assumptions!$C$1:$F$1,0)))*MONTH(V$3)/12,0)-ROUND((INDEX(Assumptions!$C$17:$F$17,MATCH(YEAR(V$3),Assumptions!$C$1:$F$1,0))*INDEX(Assumptions!$C$18:$F$18,MATCH(YEAR(V$3),Assumptions!$C$1:$F$1,0)))*(MONTH(V$3)-1)/12,0)</f>
        <v>1</v>
      </c>
      <c r="W7" s="32">
        <f t="array" ref="W7">ROUND((INDEX(Assumptions!$C$17:$F$17,MATCH(YEAR(W$3),Assumptions!$C$1:$F$1,0))*INDEX(Assumptions!$C$18:$F$18,MATCH(YEAR(W$3),Assumptions!$C$1:$F$1,0)))*MONTH(W$3)/12,0)-ROUND((INDEX(Assumptions!$C$17:$F$17,MATCH(YEAR(W$3),Assumptions!$C$1:$F$1,0))*INDEX(Assumptions!$C$18:$F$18,MATCH(YEAR(W$3),Assumptions!$C$1:$F$1,0)))*(MONTH(W$3)-1)/12,0)</f>
        <v>1</v>
      </c>
      <c r="X7" s="32">
        <f t="array" ref="X7">ROUND((INDEX(Assumptions!$C$17:$F$17,MATCH(YEAR(X$3),Assumptions!$C$1:$F$1,0))*INDEX(Assumptions!$C$18:$F$18,MATCH(YEAR(X$3),Assumptions!$C$1:$F$1,0)))*MONTH(X$3)/12,0)-ROUND((INDEX(Assumptions!$C$17:$F$17,MATCH(YEAR(X$3),Assumptions!$C$1:$F$1,0))*INDEX(Assumptions!$C$18:$F$18,MATCH(YEAR(X$3),Assumptions!$C$1:$F$1,0)))*(MONTH(X$3)-1)/12,0)</f>
        <v>1</v>
      </c>
      <c r="Y7" s="32">
        <f t="array" ref="Y7">ROUND((INDEX(Assumptions!$C$17:$F$17,MATCH(YEAR(Y$3),Assumptions!$C$1:$F$1,0))*INDEX(Assumptions!$C$18:$F$18,MATCH(YEAR(Y$3),Assumptions!$C$1:$F$1,0)))*MONTH(Y$3)/12,0)-ROUND((INDEX(Assumptions!$C$17:$F$17,MATCH(YEAR(Y$3),Assumptions!$C$1:$F$1,0))*INDEX(Assumptions!$C$18:$F$18,MATCH(YEAR(Y$3),Assumptions!$C$1:$F$1,0)))*(MONTH(Y$3)-1)/12,0)</f>
        <v>1</v>
      </c>
      <c r="Z7" s="32">
        <f t="array" ref="Z7">ROUND((INDEX(Assumptions!$C$17:$F$17,MATCH(YEAR(Z$3),Assumptions!$C$1:$F$1,0))*INDEX(Assumptions!$C$18:$F$18,MATCH(YEAR(Z$3),Assumptions!$C$1:$F$1,0)))*MONTH(Z$3)/12,0)-ROUND((INDEX(Assumptions!$C$17:$F$17,MATCH(YEAR(Z$3),Assumptions!$C$1:$F$1,0))*INDEX(Assumptions!$C$18:$F$18,MATCH(YEAR(Z$3),Assumptions!$C$1:$F$1,0)))*(MONTH(Z$3)-1)/12,0)</f>
        <v>1</v>
      </c>
      <c r="AA7" s="32">
        <f t="array" ref="AA7">ROUND((INDEX(Assumptions!$C$17:$F$17,MATCH(YEAR(AA$3),Assumptions!$C$1:$F$1,0))*INDEX(Assumptions!$C$18:$F$18,MATCH(YEAR(AA$3),Assumptions!$C$1:$F$1,0)))*MONTH(AA$3)/12,0)-ROUND((INDEX(Assumptions!$C$17:$F$17,MATCH(YEAR(AA$3),Assumptions!$C$1:$F$1,0))*INDEX(Assumptions!$C$18:$F$18,MATCH(YEAR(AA$3),Assumptions!$C$1:$F$1,0)))*(MONTH(AA$3)-1)/12,0)</f>
        <v>1</v>
      </c>
      <c r="AB7" s="32">
        <f t="array" ref="AB7">ROUND((INDEX(Assumptions!$C$17:$F$17,MATCH(YEAR(AB$3),Assumptions!$C$1:$F$1,0))*INDEX(Assumptions!$C$18:$F$18,MATCH(YEAR(AB$3),Assumptions!$C$1:$F$1,0)))*MONTH(AB$3)/12,0)-ROUND((INDEX(Assumptions!$C$17:$F$17,MATCH(YEAR(AB$3),Assumptions!$C$1:$F$1,0))*INDEX(Assumptions!$C$18:$F$18,MATCH(YEAR(AB$3),Assumptions!$C$1:$F$1,0)))*(MONTH(AB$3)-1)/12,0)</f>
        <v>1</v>
      </c>
      <c r="AC7" s="32">
        <f t="array" ref="AC7">ROUND((INDEX(Assumptions!$C$17:$F$17,MATCH(YEAR(AC$3),Assumptions!$C$1:$F$1,0))*INDEX(Assumptions!$C$18:$F$18,MATCH(YEAR(AC$3),Assumptions!$C$1:$F$1,0)))*MONTH(AC$3)/12,0)-ROUND((INDEX(Assumptions!$C$17:$F$17,MATCH(YEAR(AC$3),Assumptions!$C$1:$F$1,0))*INDEX(Assumptions!$C$18:$F$18,MATCH(YEAR(AC$3),Assumptions!$C$1:$F$1,0)))*(MONTH(AC$3)-1)/12,0)</f>
        <v>1</v>
      </c>
      <c r="AD7" s="32">
        <f t="array" ref="AD7">ROUND((INDEX(Assumptions!$C$17:$F$17,MATCH(YEAR(AD$3),Assumptions!$C$1:$F$1,0))*INDEX(Assumptions!$C$18:$F$18,MATCH(YEAR(AD$3),Assumptions!$C$1:$F$1,0)))*MONTH(AD$3)/12,0)-ROUND((INDEX(Assumptions!$C$17:$F$17,MATCH(YEAR(AD$3),Assumptions!$C$1:$F$1,0))*INDEX(Assumptions!$C$18:$F$18,MATCH(YEAR(AD$3),Assumptions!$C$1:$F$1,0)))*(MONTH(AD$3)-1)/12,0)</f>
        <v>1</v>
      </c>
      <c r="AE7" s="32">
        <f t="array" ref="AE7">ROUND((INDEX(Assumptions!$C$17:$F$17,MATCH(YEAR(AE$3),Assumptions!$C$1:$F$1,0))*INDEX(Assumptions!$C$18:$F$18,MATCH(YEAR(AE$3),Assumptions!$C$1:$F$1,0)))*MONTH(AE$3)/12,0)-ROUND((INDEX(Assumptions!$C$17:$F$17,MATCH(YEAR(AE$3),Assumptions!$C$1:$F$1,0))*INDEX(Assumptions!$C$18:$F$18,MATCH(YEAR(AE$3),Assumptions!$C$1:$F$1,0)))*(MONTH(AE$3)-1)/12,0)</f>
        <v>2</v>
      </c>
      <c r="AF7" s="32">
        <f t="array" ref="AF7">ROUND((INDEX(Assumptions!$C$17:$F$17,MATCH(YEAR(AF$3),Assumptions!$C$1:$F$1,0))*INDEX(Assumptions!$C$18:$F$18,MATCH(YEAR(AF$3),Assumptions!$C$1:$F$1,0)))*MONTH(AF$3)/12,0)-ROUND((INDEX(Assumptions!$C$17:$F$17,MATCH(YEAR(AF$3),Assumptions!$C$1:$F$1,0))*INDEX(Assumptions!$C$18:$F$18,MATCH(YEAR(AF$3),Assumptions!$C$1:$F$1,0)))*(MONTH(AF$3)-1)/12,0)</f>
        <v>1</v>
      </c>
      <c r="AG7" s="32">
        <f t="array" ref="AG7">ROUND((INDEX(Assumptions!$C$17:$F$17,MATCH(YEAR(AG$3),Assumptions!$C$1:$F$1,0))*INDEX(Assumptions!$C$18:$F$18,MATCH(YEAR(AG$3),Assumptions!$C$1:$F$1,0)))*MONTH(AG$3)/12,0)-ROUND((INDEX(Assumptions!$C$17:$F$17,MATCH(YEAR(AG$3),Assumptions!$C$1:$F$1,0))*INDEX(Assumptions!$C$18:$F$18,MATCH(YEAR(AG$3),Assumptions!$C$1:$F$1,0)))*(MONTH(AG$3)-1)/12,0)</f>
        <v>1</v>
      </c>
      <c r="AH7" s="32">
        <f t="array" ref="AH7">ROUND((INDEX(Assumptions!$C$17:$F$17,MATCH(YEAR(AH$3),Assumptions!$C$1:$F$1,0))*INDEX(Assumptions!$C$18:$F$18,MATCH(YEAR(AH$3),Assumptions!$C$1:$F$1,0)))*MONTH(AH$3)/12,0)-ROUND((INDEX(Assumptions!$C$17:$F$17,MATCH(YEAR(AH$3),Assumptions!$C$1:$F$1,0))*INDEX(Assumptions!$C$18:$F$18,MATCH(YEAR(AH$3),Assumptions!$C$1:$F$1,0)))*(MONTH(AH$3)-1)/12,0)</f>
        <v>2</v>
      </c>
      <c r="AI7" s="32">
        <f t="array" ref="AI7">ROUND((INDEX(Assumptions!$C$17:$F$17,MATCH(YEAR(AI$3),Assumptions!$C$1:$F$1,0))*INDEX(Assumptions!$C$18:$F$18,MATCH(YEAR(AI$3),Assumptions!$C$1:$F$1,0)))*MONTH(AI$3)/12,0)-ROUND((INDEX(Assumptions!$C$17:$F$17,MATCH(YEAR(AI$3),Assumptions!$C$1:$F$1,0))*INDEX(Assumptions!$C$18:$F$18,MATCH(YEAR(AI$3),Assumptions!$C$1:$F$1,0)))*(MONTH(AI$3)-1)/12,0)</f>
        <v>1</v>
      </c>
      <c r="AJ7" s="32">
        <f t="array" ref="AJ7">ROUND((INDEX(Assumptions!$C$17:$F$17,MATCH(YEAR(AJ$3),Assumptions!$C$1:$F$1,0))*INDEX(Assumptions!$C$18:$F$18,MATCH(YEAR(AJ$3),Assumptions!$C$1:$F$1,0)))*MONTH(AJ$3)/12,0)-ROUND((INDEX(Assumptions!$C$17:$F$17,MATCH(YEAR(AJ$3),Assumptions!$C$1:$F$1,0))*INDEX(Assumptions!$C$18:$F$18,MATCH(YEAR(AJ$3),Assumptions!$C$1:$F$1,0)))*(MONTH(AJ$3)-1)/12,0)</f>
        <v>1</v>
      </c>
      <c r="AK7" s="32">
        <f t="array" ref="AK7">ROUND((INDEX(Assumptions!$C$17:$F$17,MATCH(YEAR(AK$3),Assumptions!$C$1:$F$1,0))*INDEX(Assumptions!$C$18:$F$18,MATCH(YEAR(AK$3),Assumptions!$C$1:$F$1,0)))*MONTH(AK$3)/12,0)-ROUND((INDEX(Assumptions!$C$17:$F$17,MATCH(YEAR(AK$3),Assumptions!$C$1:$F$1,0))*INDEX(Assumptions!$C$18:$F$18,MATCH(YEAR(AK$3),Assumptions!$C$1:$F$1,0)))*(MONTH(AK$3)-1)/12,0)</f>
        <v>2</v>
      </c>
      <c r="AL7" s="32">
        <f t="array" ref="AL7">ROUND((INDEX(Assumptions!$C$17:$F$17,MATCH(YEAR(AL$3),Assumptions!$C$1:$F$1,0))*INDEX(Assumptions!$C$18:$F$18,MATCH(YEAR(AL$3),Assumptions!$C$1:$F$1,0)))*MONTH(AL$3)/12,0)-ROUND((INDEX(Assumptions!$C$17:$F$17,MATCH(YEAR(AL$3),Assumptions!$C$1:$F$1,0))*INDEX(Assumptions!$C$18:$F$18,MATCH(YEAR(AL$3),Assumptions!$C$1:$F$1,0)))*(MONTH(AL$3)-1)/12,0)</f>
        <v>1</v>
      </c>
      <c r="AM7" s="32">
        <f t="array" ref="AM7">ROUND((INDEX(Assumptions!$C$17:$F$17,MATCH(YEAR(AM$3),Assumptions!$C$1:$F$1,0))*INDEX(Assumptions!$C$18:$F$18,MATCH(YEAR(AM$3),Assumptions!$C$1:$F$1,0)))*MONTH(AM$3)/12,0)-ROUND((INDEX(Assumptions!$C$17:$F$17,MATCH(YEAR(AM$3),Assumptions!$C$1:$F$1,0))*INDEX(Assumptions!$C$18:$F$18,MATCH(YEAR(AM$3),Assumptions!$C$1:$F$1,0)))*(MONTH(AM$3)-1)/12,0)</f>
        <v>2</v>
      </c>
      <c r="AN7" s="32">
        <f t="array" ref="AN7">ROUND((INDEX(Assumptions!$C$17:$F$17,MATCH(YEAR(AN$3),Assumptions!$C$1:$F$1,0))*INDEX(Assumptions!$C$18:$F$18,MATCH(YEAR(AN$3),Assumptions!$C$1:$F$1,0)))*MONTH(AN$3)/12,0)-ROUND((INDEX(Assumptions!$C$17:$F$17,MATCH(YEAR(AN$3),Assumptions!$C$1:$F$1,0))*INDEX(Assumptions!$C$18:$F$18,MATCH(YEAR(AN$3),Assumptions!$C$1:$F$1,0)))*(MONTH(AN$3)-1)/12,0)</f>
        <v>1</v>
      </c>
      <c r="AO7" s="32">
        <f t="array" ref="AO7">ROUND((INDEX(Assumptions!$C$17:$F$17,MATCH(YEAR(AO$3),Assumptions!$C$1:$F$1,0))*INDEX(Assumptions!$C$18:$F$18,MATCH(YEAR(AO$3),Assumptions!$C$1:$F$1,0)))*MONTH(AO$3)/12,0)-ROUND((INDEX(Assumptions!$C$17:$F$17,MATCH(YEAR(AO$3),Assumptions!$C$1:$F$1,0))*INDEX(Assumptions!$C$18:$F$18,MATCH(YEAR(AO$3),Assumptions!$C$1:$F$1,0)))*(MONTH(AO$3)-1)/12,0)</f>
        <v>1</v>
      </c>
      <c r="AP7" s="32">
        <f t="array" ref="AP7">ROUND((INDEX(Assumptions!$C$17:$F$17,MATCH(YEAR(AP$3),Assumptions!$C$1:$F$1,0))*INDEX(Assumptions!$C$18:$F$18,MATCH(YEAR(AP$3),Assumptions!$C$1:$F$1,0)))*MONTH(AP$3)/12,0)-ROUND((INDEX(Assumptions!$C$17:$F$17,MATCH(YEAR(AP$3),Assumptions!$C$1:$F$1,0))*INDEX(Assumptions!$C$18:$F$18,MATCH(YEAR(AP$3),Assumptions!$C$1:$F$1,0)))*(MONTH(AP$3)-1)/12,0)</f>
        <v>1</v>
      </c>
      <c r="AQ7" s="32">
        <f t="array" ref="AQ7">ROUND((INDEX(Assumptions!$C$17:$F$17,MATCH(YEAR(AQ$3),Assumptions!$C$1:$F$1,0))*INDEX(Assumptions!$C$18:$F$18,MATCH(YEAR(AQ$3),Assumptions!$C$1:$F$1,0)))*MONTH(AQ$3)/12,0)-ROUND((INDEX(Assumptions!$C$17:$F$17,MATCH(YEAR(AQ$3),Assumptions!$C$1:$F$1,0))*INDEX(Assumptions!$C$18:$F$18,MATCH(YEAR(AQ$3),Assumptions!$C$1:$F$1,0)))*(MONTH(AQ$3)-1)/12,0)</f>
        <v>2</v>
      </c>
      <c r="AR7" s="32">
        <f t="array" ref="AR7">ROUND((INDEX(Assumptions!$C$17:$F$17,MATCH(YEAR(AR$3),Assumptions!$C$1:$F$1,0))*INDEX(Assumptions!$C$18:$F$18,MATCH(YEAR(AR$3),Assumptions!$C$1:$F$1,0)))*MONTH(AR$3)/12,0)-ROUND((INDEX(Assumptions!$C$17:$F$17,MATCH(YEAR(AR$3),Assumptions!$C$1:$F$1,0))*INDEX(Assumptions!$C$18:$F$18,MATCH(YEAR(AR$3),Assumptions!$C$1:$F$1,0)))*(MONTH(AR$3)-1)/12,0)</f>
        <v>1</v>
      </c>
      <c r="AS7" s="32">
        <f t="array" ref="AS7">ROUND((INDEX(Assumptions!$C$17:$F$17,MATCH(YEAR(AS$3),Assumptions!$C$1:$F$1,0))*INDEX(Assumptions!$C$18:$F$18,MATCH(YEAR(AS$3),Assumptions!$C$1:$F$1,0)))*MONTH(AS$3)/12,0)-ROUND((INDEX(Assumptions!$C$17:$F$17,MATCH(YEAR(AS$3),Assumptions!$C$1:$F$1,0))*INDEX(Assumptions!$C$18:$F$18,MATCH(YEAR(AS$3),Assumptions!$C$1:$F$1,0)))*(MONTH(AS$3)-1)/12,0)</f>
        <v>1</v>
      </c>
      <c r="AT7" s="32">
        <f t="array" ref="AT7">ROUND((INDEX(Assumptions!$C$17:$F$17,MATCH(YEAR(AT$3),Assumptions!$C$1:$F$1,0))*INDEX(Assumptions!$C$18:$F$18,MATCH(YEAR(AT$3),Assumptions!$C$1:$F$1,0)))*MONTH(AT$3)/12,0)-ROUND((INDEX(Assumptions!$C$17:$F$17,MATCH(YEAR(AT$3),Assumptions!$C$1:$F$1,0))*INDEX(Assumptions!$C$18:$F$18,MATCH(YEAR(AT$3),Assumptions!$C$1:$F$1,0)))*(MONTH(AT$3)-1)/12,0)</f>
        <v>1</v>
      </c>
      <c r="AU7" s="32">
        <f t="array" ref="AU7">ROUND((INDEX(Assumptions!$C$17:$F$17,MATCH(YEAR(AU$3),Assumptions!$C$1:$F$1,0))*INDEX(Assumptions!$C$18:$F$18,MATCH(YEAR(AU$3),Assumptions!$C$1:$F$1,0)))*MONTH(AU$3)/12,0)-ROUND((INDEX(Assumptions!$C$17:$F$17,MATCH(YEAR(AU$3),Assumptions!$C$1:$F$1,0))*INDEX(Assumptions!$C$18:$F$18,MATCH(YEAR(AU$3),Assumptions!$C$1:$F$1,0)))*(MONTH(AU$3)-1)/12,0)</f>
        <v>2</v>
      </c>
      <c r="AV7" s="32">
        <f t="array" ref="AV7">ROUND((INDEX(Assumptions!$C$17:$F$17,MATCH(YEAR(AV$3),Assumptions!$C$1:$F$1,0))*INDEX(Assumptions!$C$18:$F$18,MATCH(YEAR(AV$3),Assumptions!$C$1:$F$1,0)))*MONTH(AV$3)/12,0)-ROUND((INDEX(Assumptions!$C$17:$F$17,MATCH(YEAR(AV$3),Assumptions!$C$1:$F$1,0))*INDEX(Assumptions!$C$18:$F$18,MATCH(YEAR(AV$3),Assumptions!$C$1:$F$1,0)))*(MONTH(AV$3)-1)/12,0)</f>
        <v>1</v>
      </c>
      <c r="AW7" s="32">
        <f t="array" ref="AW7">ROUND((INDEX(Assumptions!$C$17:$F$17,MATCH(YEAR(AW$3),Assumptions!$C$1:$F$1,0))*INDEX(Assumptions!$C$18:$F$18,MATCH(YEAR(AW$3),Assumptions!$C$1:$F$1,0)))*MONTH(AW$3)/12,0)-ROUND((INDEX(Assumptions!$C$17:$F$17,MATCH(YEAR(AW$3),Assumptions!$C$1:$F$1,0))*INDEX(Assumptions!$C$18:$F$18,MATCH(YEAR(AW$3),Assumptions!$C$1:$F$1,0)))*(MONTH(AW$3)-1)/12,0)</f>
        <v>1</v>
      </c>
      <c r="AX7" s="32">
        <f t="array" ref="AX7">ROUND((INDEX(Assumptions!$C$17:$F$17,MATCH(YEAR(AX$3),Assumptions!$C$1:$F$1,0))*INDEX(Assumptions!$C$18:$F$18,MATCH(YEAR(AX$3),Assumptions!$C$1:$F$1,0)))*MONTH(AX$3)/12,0)-ROUND((INDEX(Assumptions!$C$17:$F$17,MATCH(YEAR(AX$3),Assumptions!$C$1:$F$1,0))*INDEX(Assumptions!$C$18:$F$18,MATCH(YEAR(AX$3),Assumptions!$C$1:$F$1,0)))*(MONTH(AX$3)-1)/12,0)</f>
        <v>1</v>
      </c>
      <c r="AY7" s="32">
        <f t="array" ref="AY7">ROUND((INDEX(Assumptions!$C$17:$F$17,MATCH(YEAR(AY$3),Assumptions!$C$1:$F$1,0))*INDEX(Assumptions!$C$18:$F$18,MATCH(YEAR(AY$3),Assumptions!$C$1:$F$1,0)))*MONTH(AY$3)/12,0)-ROUND((INDEX(Assumptions!$C$17:$F$17,MATCH(YEAR(AY$3),Assumptions!$C$1:$F$1,0))*INDEX(Assumptions!$C$18:$F$18,MATCH(YEAR(AY$3),Assumptions!$C$1:$F$1,0)))*(MONTH(AY$3)-1)/12,0)</f>
        <v>2</v>
      </c>
      <c r="AZ7" s="32">
        <f t="array" ref="AZ7">ROUND((INDEX(Assumptions!$C$17:$F$17,MATCH(YEAR(AZ$3),Assumptions!$C$1:$F$1,0))*INDEX(Assumptions!$C$18:$F$18,MATCH(YEAR(AZ$3),Assumptions!$C$1:$F$1,0)))*MONTH(AZ$3)/12,0)-ROUND((INDEX(Assumptions!$C$17:$F$17,MATCH(YEAR(AZ$3),Assumptions!$C$1:$F$1,0))*INDEX(Assumptions!$C$18:$F$18,MATCH(YEAR(AZ$3),Assumptions!$C$1:$F$1,0)))*(MONTH(AZ$3)-1)/12,0)</f>
        <v>1</v>
      </c>
      <c r="BA7" s="32">
        <f t="array" ref="BA7">ROUND((INDEX(Assumptions!$C$17:$F$17,MATCH(YEAR(BA$3),Assumptions!$C$1:$F$1,0))*INDEX(Assumptions!$C$18:$F$18,MATCH(YEAR(BA$3),Assumptions!$C$1:$F$1,0)))*MONTH(BA$3)/12,0)-ROUND((INDEX(Assumptions!$C$17:$F$17,MATCH(YEAR(BA$3),Assumptions!$C$1:$F$1,0))*INDEX(Assumptions!$C$18:$F$18,MATCH(YEAR(BA$3),Assumptions!$C$1:$F$1,0)))*(MONTH(BA$3)-1)/12,0)</f>
        <v>1</v>
      </c>
      <c r="BB7" s="1"/>
      <c r="BC7" s="32">
        <f t="shared" ref="BC7:BF7" si="1">SUMPRODUCT((YEAR($F$3:$BA$3)=BC$3)*$F7:$BA7)</f>
        <v>11</v>
      </c>
      <c r="BD7" s="32">
        <f t="shared" si="1"/>
        <v>12</v>
      </c>
      <c r="BE7" s="32">
        <f t="shared" si="1"/>
        <v>16</v>
      </c>
      <c r="BF7" s="32">
        <f t="shared" si="1"/>
        <v>15</v>
      </c>
    </row>
    <row r="8">
      <c r="A8" s="1"/>
      <c r="B8" s="3" t="s">
        <v>81</v>
      </c>
      <c r="C8" s="1"/>
      <c r="D8" s="1"/>
      <c r="E8" s="3" t="s">
        <v>39</v>
      </c>
      <c r="F8" s="32">
        <f>SUM(F7)+F33</f>
        <v>4</v>
      </c>
      <c r="G8" s="32">
        <f>SUM(F7:G7)+G33</f>
        <v>5</v>
      </c>
      <c r="H8" s="32">
        <f>SUM(F7:H7)+H33</f>
        <v>4</v>
      </c>
      <c r="I8" s="32">
        <f>SUM(F7:I7)+I33</f>
        <v>5</v>
      </c>
      <c r="J8" s="32">
        <f t="shared" ref="J8:BA8" si="2">SUM(F7:J7)</f>
        <v>4</v>
      </c>
      <c r="K8" s="32">
        <f t="shared" si="2"/>
        <v>4</v>
      </c>
      <c r="L8" s="32">
        <f t="shared" si="2"/>
        <v>4</v>
      </c>
      <c r="M8" s="32">
        <f t="shared" si="2"/>
        <v>4</v>
      </c>
      <c r="N8" s="32">
        <f t="shared" si="2"/>
        <v>4</v>
      </c>
      <c r="O8" s="32">
        <f t="shared" si="2"/>
        <v>5</v>
      </c>
      <c r="P8" s="32">
        <f t="shared" si="2"/>
        <v>5</v>
      </c>
      <c r="Q8" s="32">
        <f t="shared" si="2"/>
        <v>5</v>
      </c>
      <c r="R8" s="32">
        <f t="shared" si="2"/>
        <v>5</v>
      </c>
      <c r="S8" s="32">
        <f t="shared" si="2"/>
        <v>5</v>
      </c>
      <c r="T8" s="32">
        <f t="shared" si="2"/>
        <v>5</v>
      </c>
      <c r="U8" s="32">
        <f t="shared" si="2"/>
        <v>5</v>
      </c>
      <c r="V8" s="32">
        <f t="shared" si="2"/>
        <v>5</v>
      </c>
      <c r="W8" s="32">
        <f t="shared" si="2"/>
        <v>5</v>
      </c>
      <c r="X8" s="32">
        <f t="shared" si="2"/>
        <v>5</v>
      </c>
      <c r="Y8" s="32">
        <f t="shared" si="2"/>
        <v>5</v>
      </c>
      <c r="Z8" s="32">
        <f t="shared" si="2"/>
        <v>5</v>
      </c>
      <c r="AA8" s="32">
        <f t="shared" si="2"/>
        <v>5</v>
      </c>
      <c r="AB8" s="32">
        <f t="shared" si="2"/>
        <v>5</v>
      </c>
      <c r="AC8" s="32">
        <f t="shared" si="2"/>
        <v>5</v>
      </c>
      <c r="AD8" s="32">
        <f t="shared" si="2"/>
        <v>5</v>
      </c>
      <c r="AE8" s="32">
        <f t="shared" si="2"/>
        <v>6</v>
      </c>
      <c r="AF8" s="32">
        <f t="shared" si="2"/>
        <v>6</v>
      </c>
      <c r="AG8" s="32">
        <f t="shared" si="2"/>
        <v>6</v>
      </c>
      <c r="AH8" s="32">
        <f t="shared" si="2"/>
        <v>7</v>
      </c>
      <c r="AI8" s="32">
        <f t="shared" si="2"/>
        <v>7</v>
      </c>
      <c r="AJ8" s="32">
        <f t="shared" si="2"/>
        <v>6</v>
      </c>
      <c r="AK8" s="32">
        <f t="shared" si="2"/>
        <v>7</v>
      </c>
      <c r="AL8" s="32">
        <f t="shared" si="2"/>
        <v>7</v>
      </c>
      <c r="AM8" s="32">
        <f t="shared" si="2"/>
        <v>7</v>
      </c>
      <c r="AN8" s="32">
        <f t="shared" si="2"/>
        <v>7</v>
      </c>
      <c r="AO8" s="32">
        <f t="shared" si="2"/>
        <v>7</v>
      </c>
      <c r="AP8" s="32">
        <f t="shared" si="2"/>
        <v>6</v>
      </c>
      <c r="AQ8" s="32">
        <f t="shared" si="2"/>
        <v>7</v>
      </c>
      <c r="AR8" s="32">
        <f t="shared" si="2"/>
        <v>6</v>
      </c>
      <c r="AS8" s="32">
        <f t="shared" si="2"/>
        <v>6</v>
      </c>
      <c r="AT8" s="32">
        <f t="shared" si="2"/>
        <v>6</v>
      </c>
      <c r="AU8" s="32">
        <f t="shared" si="2"/>
        <v>7</v>
      </c>
      <c r="AV8" s="32">
        <f t="shared" si="2"/>
        <v>6</v>
      </c>
      <c r="AW8" s="32">
        <f t="shared" si="2"/>
        <v>6</v>
      </c>
      <c r="AX8" s="32">
        <f t="shared" si="2"/>
        <v>6</v>
      </c>
      <c r="AY8" s="32">
        <f t="shared" si="2"/>
        <v>7</v>
      </c>
      <c r="AZ8" s="32">
        <f t="shared" si="2"/>
        <v>6</v>
      </c>
      <c r="BA8" s="32">
        <f t="shared" si="2"/>
        <v>6</v>
      </c>
      <c r="BB8" s="1"/>
      <c r="BC8" s="32"/>
      <c r="BD8" s="32"/>
      <c r="BE8" s="32"/>
      <c r="BF8" s="32"/>
    </row>
    <row r="9">
      <c r="A9" s="1"/>
      <c r="B9" s="3" t="s">
        <v>82</v>
      </c>
      <c r="C9" s="1"/>
      <c r="D9" s="1"/>
      <c r="E9" s="3" t="s">
        <v>33</v>
      </c>
      <c r="F9" s="23">
        <f t="array" ref="F9">F8*INDEX(Assumptions!$C$3:$F$3,MATCH(YEAR(F$3),Assumptions!$C$1:$F$1,0))</f>
        <v>28000</v>
      </c>
      <c r="G9" s="23">
        <f t="array" ref="G9">G8*INDEX(Assumptions!$C$3:$F$3,MATCH(YEAR(G$3),Assumptions!$C$1:$F$1,0))</f>
        <v>35000</v>
      </c>
      <c r="H9" s="23">
        <f t="array" ref="H9">H8*INDEX(Assumptions!$C$3:$F$3,MATCH(YEAR(H$3),Assumptions!$C$1:$F$1,0))</f>
        <v>28000</v>
      </c>
      <c r="I9" s="23">
        <f t="array" ref="I9">I8*INDEX(Assumptions!$C$3:$F$3,MATCH(YEAR(I$3),Assumptions!$C$1:$F$1,0))</f>
        <v>35000</v>
      </c>
      <c r="J9" s="23">
        <f t="array" ref="J9">J8*INDEX(Assumptions!$C$3:$F$3,MATCH(YEAR(J$3),Assumptions!$C$1:$F$1,0))</f>
        <v>28000</v>
      </c>
      <c r="K9" s="23">
        <f t="array" ref="K9">K8*INDEX(Assumptions!$C$3:$F$3,MATCH(YEAR(K$3),Assumptions!$C$1:$F$1,0))</f>
        <v>28000</v>
      </c>
      <c r="L9" s="23">
        <f t="array" ref="L9">L8*INDEX(Assumptions!$C$3:$F$3,MATCH(YEAR(L$3),Assumptions!$C$1:$F$1,0))</f>
        <v>28000</v>
      </c>
      <c r="M9" s="23">
        <f t="array" ref="M9">M8*INDEX(Assumptions!$C$3:$F$3,MATCH(YEAR(M$3),Assumptions!$C$1:$F$1,0))</f>
        <v>28000</v>
      </c>
      <c r="N9" s="23">
        <f t="array" ref="N9">N8*INDEX(Assumptions!$C$3:$F$3,MATCH(YEAR(N$3),Assumptions!$C$1:$F$1,0))</f>
        <v>28000</v>
      </c>
      <c r="O9" s="23">
        <f t="array" ref="O9">O8*INDEX(Assumptions!$C$3:$F$3,MATCH(YEAR(O$3),Assumptions!$C$1:$F$1,0))</f>
        <v>35000</v>
      </c>
      <c r="P9" s="23">
        <f t="array" ref="P9">P8*INDEX(Assumptions!$C$3:$F$3,MATCH(YEAR(P$3),Assumptions!$C$1:$F$1,0))</f>
        <v>35000</v>
      </c>
      <c r="Q9" s="23">
        <f t="array" ref="Q9">Q8*INDEX(Assumptions!$C$3:$F$3,MATCH(YEAR(Q$3),Assumptions!$C$1:$F$1,0))</f>
        <v>35000</v>
      </c>
      <c r="R9" s="23">
        <f t="array" ref="R9">R8*INDEX(Assumptions!$C$3:$F$3,MATCH(YEAR(R$3),Assumptions!$C$1:$F$1,0))</f>
        <v>37500</v>
      </c>
      <c r="S9" s="23">
        <f t="array" ref="S9">S8*INDEX(Assumptions!$C$3:$F$3,MATCH(YEAR(S$3),Assumptions!$C$1:$F$1,0))</f>
        <v>37500</v>
      </c>
      <c r="T9" s="23">
        <f t="array" ref="T9">T8*INDEX(Assumptions!$C$3:$F$3,MATCH(YEAR(T$3),Assumptions!$C$1:$F$1,0))</f>
        <v>37500</v>
      </c>
      <c r="U9" s="23">
        <f t="array" ref="U9">U8*INDEX(Assumptions!$C$3:$F$3,MATCH(YEAR(U$3),Assumptions!$C$1:$F$1,0))</f>
        <v>37500</v>
      </c>
      <c r="V9" s="23">
        <f t="array" ref="V9">V8*INDEX(Assumptions!$C$3:$F$3,MATCH(YEAR(V$3),Assumptions!$C$1:$F$1,0))</f>
        <v>37500</v>
      </c>
      <c r="W9" s="23">
        <f t="array" ref="W9">W8*INDEX(Assumptions!$C$3:$F$3,MATCH(YEAR(W$3),Assumptions!$C$1:$F$1,0))</f>
        <v>37500</v>
      </c>
      <c r="X9" s="23">
        <f t="array" ref="X9">X8*INDEX(Assumptions!$C$3:$F$3,MATCH(YEAR(X$3),Assumptions!$C$1:$F$1,0))</f>
        <v>37500</v>
      </c>
      <c r="Y9" s="23">
        <f t="array" ref="Y9">Y8*INDEX(Assumptions!$C$3:$F$3,MATCH(YEAR(Y$3),Assumptions!$C$1:$F$1,0))</f>
        <v>37500</v>
      </c>
      <c r="Z9" s="23">
        <f t="array" ref="Z9">Z8*INDEX(Assumptions!$C$3:$F$3,MATCH(YEAR(Z$3),Assumptions!$C$1:$F$1,0))</f>
        <v>37500</v>
      </c>
      <c r="AA9" s="23">
        <f t="array" ref="AA9">AA8*INDEX(Assumptions!$C$3:$F$3,MATCH(YEAR(AA$3),Assumptions!$C$1:$F$1,0))</f>
        <v>37500</v>
      </c>
      <c r="AB9" s="23">
        <f t="array" ref="AB9">AB8*INDEX(Assumptions!$C$3:$F$3,MATCH(YEAR(AB$3),Assumptions!$C$1:$F$1,0))</f>
        <v>37500</v>
      </c>
      <c r="AC9" s="23">
        <f t="array" ref="AC9">AC8*INDEX(Assumptions!$C$3:$F$3,MATCH(YEAR(AC$3),Assumptions!$C$1:$F$1,0))</f>
        <v>37500</v>
      </c>
      <c r="AD9" s="23">
        <f t="array" ref="AD9">AD8*INDEX(Assumptions!$C$3:$F$3,MATCH(YEAR(AD$3),Assumptions!$C$1:$F$1,0))</f>
        <v>40000</v>
      </c>
      <c r="AE9" s="23">
        <f t="array" ref="AE9">AE8*INDEX(Assumptions!$C$3:$F$3,MATCH(YEAR(AE$3),Assumptions!$C$1:$F$1,0))</f>
        <v>48000</v>
      </c>
      <c r="AF9" s="23">
        <f t="array" ref="AF9">AF8*INDEX(Assumptions!$C$3:$F$3,MATCH(YEAR(AF$3),Assumptions!$C$1:$F$1,0))</f>
        <v>48000</v>
      </c>
      <c r="AG9" s="23">
        <f t="array" ref="AG9">AG8*INDEX(Assumptions!$C$3:$F$3,MATCH(YEAR(AG$3),Assumptions!$C$1:$F$1,0))</f>
        <v>48000</v>
      </c>
      <c r="AH9" s="23">
        <f t="array" ref="AH9">AH8*INDEX(Assumptions!$C$3:$F$3,MATCH(YEAR(AH$3),Assumptions!$C$1:$F$1,0))</f>
        <v>56000</v>
      </c>
      <c r="AI9" s="23">
        <f t="array" ref="AI9">AI8*INDEX(Assumptions!$C$3:$F$3,MATCH(YEAR(AI$3),Assumptions!$C$1:$F$1,0))</f>
        <v>56000</v>
      </c>
      <c r="AJ9" s="23">
        <f t="array" ref="AJ9">AJ8*INDEX(Assumptions!$C$3:$F$3,MATCH(YEAR(AJ$3),Assumptions!$C$1:$F$1,0))</f>
        <v>48000</v>
      </c>
      <c r="AK9" s="23">
        <f t="array" ref="AK9">AK8*INDEX(Assumptions!$C$3:$F$3,MATCH(YEAR(AK$3),Assumptions!$C$1:$F$1,0))</f>
        <v>56000</v>
      </c>
      <c r="AL9" s="23">
        <f t="array" ref="AL9">AL8*INDEX(Assumptions!$C$3:$F$3,MATCH(YEAR(AL$3),Assumptions!$C$1:$F$1,0))</f>
        <v>56000</v>
      </c>
      <c r="AM9" s="23">
        <f t="array" ref="AM9">AM8*INDEX(Assumptions!$C$3:$F$3,MATCH(YEAR(AM$3),Assumptions!$C$1:$F$1,0))</f>
        <v>56000</v>
      </c>
      <c r="AN9" s="23">
        <f t="array" ref="AN9">AN8*INDEX(Assumptions!$C$3:$F$3,MATCH(YEAR(AN$3),Assumptions!$C$1:$F$1,0))</f>
        <v>56000</v>
      </c>
      <c r="AO9" s="23">
        <f t="array" ref="AO9">AO8*INDEX(Assumptions!$C$3:$F$3,MATCH(YEAR(AO$3),Assumptions!$C$1:$F$1,0))</f>
        <v>56000</v>
      </c>
      <c r="AP9" s="23">
        <f t="array" ref="AP9">AP8*INDEX(Assumptions!$C$3:$F$3,MATCH(YEAR(AP$3),Assumptions!$C$1:$F$1,0))</f>
        <v>51000</v>
      </c>
      <c r="AQ9" s="23">
        <f t="array" ref="AQ9">AQ8*INDEX(Assumptions!$C$3:$F$3,MATCH(YEAR(AQ$3),Assumptions!$C$1:$F$1,0))</f>
        <v>59500</v>
      </c>
      <c r="AR9" s="23">
        <f t="array" ref="AR9">AR8*INDEX(Assumptions!$C$3:$F$3,MATCH(YEAR(AR$3),Assumptions!$C$1:$F$1,0))</f>
        <v>51000</v>
      </c>
      <c r="AS9" s="23">
        <f t="array" ref="AS9">AS8*INDEX(Assumptions!$C$3:$F$3,MATCH(YEAR(AS$3),Assumptions!$C$1:$F$1,0))</f>
        <v>51000</v>
      </c>
      <c r="AT9" s="23">
        <f t="array" ref="AT9">AT8*INDEX(Assumptions!$C$3:$F$3,MATCH(YEAR(AT$3),Assumptions!$C$1:$F$1,0))</f>
        <v>51000</v>
      </c>
      <c r="AU9" s="23">
        <f t="array" ref="AU9">AU8*INDEX(Assumptions!$C$3:$F$3,MATCH(YEAR(AU$3),Assumptions!$C$1:$F$1,0))</f>
        <v>59500</v>
      </c>
      <c r="AV9" s="23">
        <f t="array" ref="AV9">AV8*INDEX(Assumptions!$C$3:$F$3,MATCH(YEAR(AV$3),Assumptions!$C$1:$F$1,0))</f>
        <v>51000</v>
      </c>
      <c r="AW9" s="23">
        <f t="array" ref="AW9">AW8*INDEX(Assumptions!$C$3:$F$3,MATCH(YEAR(AW$3),Assumptions!$C$1:$F$1,0))</f>
        <v>51000</v>
      </c>
      <c r="AX9" s="23">
        <f t="array" ref="AX9">AX8*INDEX(Assumptions!$C$3:$F$3,MATCH(YEAR(AX$3),Assumptions!$C$1:$F$1,0))</f>
        <v>51000</v>
      </c>
      <c r="AY9" s="23">
        <f t="array" ref="AY9">AY8*INDEX(Assumptions!$C$3:$F$3,MATCH(YEAR(AY$3),Assumptions!$C$1:$F$1,0))</f>
        <v>59500</v>
      </c>
      <c r="AZ9" s="23">
        <f t="array" ref="AZ9">AZ8*INDEX(Assumptions!$C$3:$F$3,MATCH(YEAR(AZ$3),Assumptions!$C$1:$F$1,0))</f>
        <v>51000</v>
      </c>
      <c r="BA9" s="23">
        <f t="array" ref="BA9">BA8*INDEX(Assumptions!$C$3:$F$3,MATCH(YEAR(BA$3),Assumptions!$C$1:$F$1,0))</f>
        <v>51000</v>
      </c>
      <c r="BB9" s="1"/>
      <c r="BC9" s="23">
        <f t="shared" ref="BC9:BF9" si="3">SUMPRODUCT((YEAR($F$3:$BA$3)=BC$3)*$F9:$BA9)</f>
        <v>371000</v>
      </c>
      <c r="BD9" s="23">
        <f t="shared" si="3"/>
        <v>450000</v>
      </c>
      <c r="BE9" s="23">
        <f t="shared" si="3"/>
        <v>624000</v>
      </c>
      <c r="BF9" s="23">
        <f t="shared" si="3"/>
        <v>637500</v>
      </c>
    </row>
    <row r="10">
      <c r="A10" s="1"/>
      <c r="B10" s="3" t="s">
        <v>83</v>
      </c>
      <c r="C10" s="1"/>
      <c r="D10" s="1"/>
      <c r="E10" s="3" t="s">
        <v>39</v>
      </c>
      <c r="F10" s="11">
        <v>0.0</v>
      </c>
      <c r="G10" s="11">
        <f>G34</f>
        <v>1</v>
      </c>
      <c r="H10" s="11">
        <v>0.0</v>
      </c>
      <c r="I10" s="11">
        <v>0.0</v>
      </c>
      <c r="J10" s="11">
        <v>0.0</v>
      </c>
      <c r="K10" s="32">
        <f t="array" ref="K10">F7*INDEX(Assumptions!$C$7:$F$7,MATCH(YEAR(K$3),Assumptions!$C$1:$F$1,0))</f>
        <v>0.2</v>
      </c>
      <c r="L10" s="32">
        <f t="array" ref="L10">G7*INDEX(Assumptions!$C$7:$F$7,MATCH(YEAR(L$3),Assumptions!$C$1:$F$1,0))</f>
        <v>0.2</v>
      </c>
      <c r="M10" s="32">
        <f t="array" ref="M10">H7*INDEX(Assumptions!$C$7:$F$7,MATCH(YEAR(M$3),Assumptions!$C$1:$F$1,0))</f>
        <v>0.2</v>
      </c>
      <c r="N10" s="32">
        <f t="array" ref="N10">I7*INDEX(Assumptions!$C$7:$F$7,MATCH(YEAR(N$3),Assumptions!$C$1:$F$1,0))</f>
        <v>0.2</v>
      </c>
      <c r="O10" s="32">
        <f t="array" ref="O10">J7*INDEX(Assumptions!$C$7:$F$7,MATCH(YEAR(O$3),Assumptions!$C$1:$F$1,0))</f>
        <v>0</v>
      </c>
      <c r="P10" s="32">
        <f t="array" ref="P10">K7*INDEX(Assumptions!$C$7:$F$7,MATCH(YEAR(P$3),Assumptions!$C$1:$F$1,0))</f>
        <v>0.2</v>
      </c>
      <c r="Q10" s="32">
        <f t="array" ref="Q10">L7*INDEX(Assumptions!$C$7:$F$7,MATCH(YEAR(Q$3),Assumptions!$C$1:$F$1,0))</f>
        <v>0.2</v>
      </c>
      <c r="R10" s="32">
        <f t="array" ref="R10">M7*INDEX(Assumptions!$C$7:$F$7,MATCH(YEAR(R$3),Assumptions!$C$1:$F$1,0))</f>
        <v>0.25</v>
      </c>
      <c r="S10" s="32">
        <f t="array" ref="S10">N7*INDEX(Assumptions!$C$7:$F$7,MATCH(YEAR(S$3),Assumptions!$C$1:$F$1,0))</f>
        <v>0.25</v>
      </c>
      <c r="T10" s="32">
        <f t="array" ref="T10">O7*INDEX(Assumptions!$C$7:$F$7,MATCH(YEAR(T$3),Assumptions!$C$1:$F$1,0))</f>
        <v>0.25</v>
      </c>
      <c r="U10" s="32">
        <f t="array" ref="U10">P7*INDEX(Assumptions!$C$7:$F$7,MATCH(YEAR(U$3),Assumptions!$C$1:$F$1,0))</f>
        <v>0.25</v>
      </c>
      <c r="V10" s="32">
        <f t="array" ref="V10">Q7*INDEX(Assumptions!$C$7:$F$7,MATCH(YEAR(V$3),Assumptions!$C$1:$F$1,0))</f>
        <v>0.25</v>
      </c>
      <c r="W10" s="32">
        <f t="array" ref="W10">R7*INDEX(Assumptions!$C$7:$F$7,MATCH(YEAR(W$3),Assumptions!$C$1:$F$1,0))</f>
        <v>0.25</v>
      </c>
      <c r="X10" s="32">
        <f t="array" ref="X10">S7*INDEX(Assumptions!$C$7:$F$7,MATCH(YEAR(X$3),Assumptions!$C$1:$F$1,0))</f>
        <v>0.25</v>
      </c>
      <c r="Y10" s="32">
        <f t="array" ref="Y10">T7*INDEX(Assumptions!$C$7:$F$7,MATCH(YEAR(Y$3),Assumptions!$C$1:$F$1,0))</f>
        <v>0.25</v>
      </c>
      <c r="Z10" s="32">
        <f t="array" ref="Z10">U7*INDEX(Assumptions!$C$7:$F$7,MATCH(YEAR(Z$3),Assumptions!$C$1:$F$1,0))</f>
        <v>0.25</v>
      </c>
      <c r="AA10" s="32">
        <f t="array" ref="AA10">V7*INDEX(Assumptions!$C$7:$F$7,MATCH(YEAR(AA$3),Assumptions!$C$1:$F$1,0))</f>
        <v>0.25</v>
      </c>
      <c r="AB10" s="32">
        <f t="array" ref="AB10">W7*INDEX(Assumptions!$C$7:$F$7,MATCH(YEAR(AB$3),Assumptions!$C$1:$F$1,0))</f>
        <v>0.25</v>
      </c>
      <c r="AC10" s="32">
        <f t="array" ref="AC10">X7*INDEX(Assumptions!$C$7:$F$7,MATCH(YEAR(AC$3),Assumptions!$C$1:$F$1,0))</f>
        <v>0.25</v>
      </c>
      <c r="AD10" s="32">
        <f t="array" ref="AD10">Y7*INDEX(Assumptions!$C$7:$F$7,MATCH(YEAR(AD$3),Assumptions!$C$1:$F$1,0))</f>
        <v>0.28</v>
      </c>
      <c r="AE10" s="32">
        <f t="array" ref="AE10">Z7*INDEX(Assumptions!$C$7:$F$7,MATCH(YEAR(AE$3),Assumptions!$C$1:$F$1,0))</f>
        <v>0.28</v>
      </c>
      <c r="AF10" s="32">
        <f t="array" ref="AF10">AA7*INDEX(Assumptions!$C$7:$F$7,MATCH(YEAR(AF$3),Assumptions!$C$1:$F$1,0))</f>
        <v>0.28</v>
      </c>
      <c r="AG10" s="32">
        <f t="array" ref="AG10">AB7*INDEX(Assumptions!$C$7:$F$7,MATCH(YEAR(AG$3),Assumptions!$C$1:$F$1,0))</f>
        <v>0.28</v>
      </c>
      <c r="AH10" s="32">
        <f t="array" ref="AH10">AC7*INDEX(Assumptions!$C$7:$F$7,MATCH(YEAR(AH$3),Assumptions!$C$1:$F$1,0))</f>
        <v>0.28</v>
      </c>
      <c r="AI10" s="32">
        <f t="array" ref="AI10">AD7*INDEX(Assumptions!$C$7:$F$7,MATCH(YEAR(AI$3),Assumptions!$C$1:$F$1,0))</f>
        <v>0.28</v>
      </c>
      <c r="AJ10" s="32">
        <f t="array" ref="AJ10">AE7*INDEX(Assumptions!$C$7:$F$7,MATCH(YEAR(AJ$3),Assumptions!$C$1:$F$1,0))</f>
        <v>0.56</v>
      </c>
      <c r="AK10" s="32">
        <f t="array" ref="AK10">AF7*INDEX(Assumptions!$C$7:$F$7,MATCH(YEAR(AK$3),Assumptions!$C$1:$F$1,0))</f>
        <v>0.28</v>
      </c>
      <c r="AL10" s="32">
        <f t="array" ref="AL10">AG7*INDEX(Assumptions!$C$7:$F$7,MATCH(YEAR(AL$3),Assumptions!$C$1:$F$1,0))</f>
        <v>0.28</v>
      </c>
      <c r="AM10" s="32">
        <f t="array" ref="AM10">AH7*INDEX(Assumptions!$C$7:$F$7,MATCH(YEAR(AM$3),Assumptions!$C$1:$F$1,0))</f>
        <v>0.56</v>
      </c>
      <c r="AN10" s="32">
        <f t="array" ref="AN10">AI7*INDEX(Assumptions!$C$7:$F$7,MATCH(YEAR(AN$3),Assumptions!$C$1:$F$1,0))</f>
        <v>0.28</v>
      </c>
      <c r="AO10" s="32">
        <f t="array" ref="AO10">AJ7*INDEX(Assumptions!$C$7:$F$7,MATCH(YEAR(AO$3),Assumptions!$C$1:$F$1,0))</f>
        <v>0.28</v>
      </c>
      <c r="AP10" s="32">
        <f t="array" ref="AP10">AK7*INDEX(Assumptions!$C$7:$F$7,MATCH(YEAR(AP$3),Assumptions!$C$1:$F$1,0))</f>
        <v>0.64</v>
      </c>
      <c r="AQ10" s="32">
        <f t="array" ref="AQ10">AL7*INDEX(Assumptions!$C$7:$F$7,MATCH(YEAR(AQ$3),Assumptions!$C$1:$F$1,0))</f>
        <v>0.32</v>
      </c>
      <c r="AR10" s="32">
        <f t="array" ref="AR10">AM7*INDEX(Assumptions!$C$7:$F$7,MATCH(YEAR(AR$3),Assumptions!$C$1:$F$1,0))</f>
        <v>0.64</v>
      </c>
      <c r="AS10" s="32">
        <f t="array" ref="AS10">AN7*INDEX(Assumptions!$C$7:$F$7,MATCH(YEAR(AS$3),Assumptions!$C$1:$F$1,0))</f>
        <v>0.32</v>
      </c>
      <c r="AT10" s="32">
        <f t="array" ref="AT10">AO7*INDEX(Assumptions!$C$7:$F$7,MATCH(YEAR(AT$3),Assumptions!$C$1:$F$1,0))</f>
        <v>0.32</v>
      </c>
      <c r="AU10" s="32">
        <f t="array" ref="AU10">AP7*INDEX(Assumptions!$C$7:$F$7,MATCH(YEAR(AU$3),Assumptions!$C$1:$F$1,0))</f>
        <v>0.32</v>
      </c>
      <c r="AV10" s="32">
        <f t="array" ref="AV10">AQ7*INDEX(Assumptions!$C$7:$F$7,MATCH(YEAR(AV$3),Assumptions!$C$1:$F$1,0))</f>
        <v>0.64</v>
      </c>
      <c r="AW10" s="32">
        <f t="array" ref="AW10">AR7*INDEX(Assumptions!$C$7:$F$7,MATCH(YEAR(AW$3),Assumptions!$C$1:$F$1,0))</f>
        <v>0.32</v>
      </c>
      <c r="AX10" s="32">
        <f t="array" ref="AX10">AS7*INDEX(Assumptions!$C$7:$F$7,MATCH(YEAR(AX$3),Assumptions!$C$1:$F$1,0))</f>
        <v>0.32</v>
      </c>
      <c r="AY10" s="32">
        <f t="array" ref="AY10">AT7*INDEX(Assumptions!$C$7:$F$7,MATCH(YEAR(AY$3),Assumptions!$C$1:$F$1,0))</f>
        <v>0.32</v>
      </c>
      <c r="AZ10" s="32">
        <f t="array" ref="AZ10">AU7*INDEX(Assumptions!$C$7:$F$7,MATCH(YEAR(AZ$3),Assumptions!$C$1:$F$1,0))</f>
        <v>0.64</v>
      </c>
      <c r="BA10" s="32">
        <f t="array" ref="BA10">AV7*INDEX(Assumptions!$C$7:$F$7,MATCH(YEAR(BA$3),Assumptions!$C$1:$F$1,0))</f>
        <v>0.32</v>
      </c>
      <c r="BB10" s="1"/>
      <c r="BC10" s="32">
        <f t="shared" ref="BC10:BF10" si="4">SUMPRODUCT((YEAR($F$3:$BA$3)=BC$3)*$F10:$BA10)</f>
        <v>2.2</v>
      </c>
      <c r="BD10" s="32">
        <f t="shared" si="4"/>
        <v>3</v>
      </c>
      <c r="BE10" s="32">
        <f t="shared" si="4"/>
        <v>3.92</v>
      </c>
      <c r="BF10" s="32">
        <f t="shared" si="4"/>
        <v>5.12</v>
      </c>
    </row>
    <row r="11">
      <c r="A11" s="1"/>
      <c r="B11" s="3" t="s">
        <v>84</v>
      </c>
      <c r="C11" s="1"/>
      <c r="D11" s="1"/>
      <c r="E11" s="3" t="s">
        <v>33</v>
      </c>
      <c r="F11" s="23">
        <f t="array" ref="F11">F10*(INDEX(Assumptions!$C$6:$F$6,MATCH(YEAR(F$3),Assumptions!$C$1:$F$1,0))*Assumptions!$C$5)</f>
        <v>0</v>
      </c>
      <c r="G11" s="23">
        <f t="array" ref="G11">G10*(INDEX(Assumptions!$C$6:$F$6,MATCH(YEAR(G$3),Assumptions!$C$1:$F$1,0))*Assumptions!$C$5)</f>
        <v>100000</v>
      </c>
      <c r="H11" s="23">
        <f t="array" ref="H11">H10*(INDEX(Assumptions!$C$6:$F$6,MATCH(YEAR(H$3),Assumptions!$C$1:$F$1,0))*Assumptions!$C$5)</f>
        <v>0</v>
      </c>
      <c r="I11" s="23">
        <f t="array" ref="I11">I10*(INDEX(Assumptions!$C$6:$F$6,MATCH(YEAR(I$3),Assumptions!$C$1:$F$1,0))*Assumptions!$C$5)</f>
        <v>0</v>
      </c>
      <c r="J11" s="23">
        <f t="array" ref="J11">J10*(INDEX(Assumptions!$C$6:$F$6,MATCH(YEAR(J$3),Assumptions!$C$1:$F$1,0))*Assumptions!$C$5)</f>
        <v>0</v>
      </c>
      <c r="K11" s="23">
        <f t="array" ref="K11">K10*(INDEX(Assumptions!$C$6:$F$6,MATCH(YEAR(K$3),Assumptions!$C$1:$F$1,0))*Assumptions!$C$5)</f>
        <v>20000</v>
      </c>
      <c r="L11" s="23">
        <f t="array" ref="L11">L10*(INDEX(Assumptions!$C$6:$F$6,MATCH(YEAR(L$3),Assumptions!$C$1:$F$1,0))*Assumptions!$C$5)</f>
        <v>20000</v>
      </c>
      <c r="M11" s="23">
        <f t="array" ref="M11">M10*(INDEX(Assumptions!$C$6:$F$6,MATCH(YEAR(M$3),Assumptions!$C$1:$F$1,0))*Assumptions!$C$5)</f>
        <v>20000</v>
      </c>
      <c r="N11" s="23">
        <f t="array" ref="N11">N10*(INDEX(Assumptions!$C$6:$F$6,MATCH(YEAR(N$3),Assumptions!$C$1:$F$1,0))*Assumptions!$C$5)</f>
        <v>20000</v>
      </c>
      <c r="O11" s="23">
        <f t="array" ref="O11">O10*(INDEX(Assumptions!$C$6:$F$6,MATCH(YEAR(O$3),Assumptions!$C$1:$F$1,0))*Assumptions!$C$5)</f>
        <v>0</v>
      </c>
      <c r="P11" s="23">
        <f t="array" ref="P11">P10*(INDEX(Assumptions!$C$6:$F$6,MATCH(YEAR(P$3),Assumptions!$C$1:$F$1,0))*Assumptions!$C$5)</f>
        <v>20000</v>
      </c>
      <c r="Q11" s="23">
        <f t="array" ref="Q11">Q10*(INDEX(Assumptions!$C$6:$F$6,MATCH(YEAR(Q$3),Assumptions!$C$1:$F$1,0))*Assumptions!$C$5)</f>
        <v>20000</v>
      </c>
      <c r="R11" s="23">
        <f t="array" ref="R11">R10*(INDEX(Assumptions!$C$6:$F$6,MATCH(YEAR(R$3),Assumptions!$C$1:$F$1,0))*Assumptions!$C$5)</f>
        <v>35000</v>
      </c>
      <c r="S11" s="23">
        <f t="array" ref="S11">S10*(INDEX(Assumptions!$C$6:$F$6,MATCH(YEAR(S$3),Assumptions!$C$1:$F$1,0))*Assumptions!$C$5)</f>
        <v>35000</v>
      </c>
      <c r="T11" s="23">
        <f t="array" ref="T11">T10*(INDEX(Assumptions!$C$6:$F$6,MATCH(YEAR(T$3),Assumptions!$C$1:$F$1,0))*Assumptions!$C$5)</f>
        <v>35000</v>
      </c>
      <c r="U11" s="23">
        <f t="array" ref="U11">U10*(INDEX(Assumptions!$C$6:$F$6,MATCH(YEAR(U$3),Assumptions!$C$1:$F$1,0))*Assumptions!$C$5)</f>
        <v>35000</v>
      </c>
      <c r="V11" s="23">
        <f t="array" ref="V11">V10*(INDEX(Assumptions!$C$6:$F$6,MATCH(YEAR(V$3),Assumptions!$C$1:$F$1,0))*Assumptions!$C$5)</f>
        <v>35000</v>
      </c>
      <c r="W11" s="23">
        <f t="array" ref="W11">W10*(INDEX(Assumptions!$C$6:$F$6,MATCH(YEAR(W$3),Assumptions!$C$1:$F$1,0))*Assumptions!$C$5)</f>
        <v>35000</v>
      </c>
      <c r="X11" s="23">
        <f t="array" ref="X11">X10*(INDEX(Assumptions!$C$6:$F$6,MATCH(YEAR(X$3),Assumptions!$C$1:$F$1,0))*Assumptions!$C$5)</f>
        <v>35000</v>
      </c>
      <c r="Y11" s="23">
        <f t="array" ref="Y11">Y10*(INDEX(Assumptions!$C$6:$F$6,MATCH(YEAR(Y$3),Assumptions!$C$1:$F$1,0))*Assumptions!$C$5)</f>
        <v>35000</v>
      </c>
      <c r="Z11" s="23">
        <f t="array" ref="Z11">Z10*(INDEX(Assumptions!$C$6:$F$6,MATCH(YEAR(Z$3),Assumptions!$C$1:$F$1,0))*Assumptions!$C$5)</f>
        <v>35000</v>
      </c>
      <c r="AA11" s="23">
        <f t="array" ref="AA11">AA10*(INDEX(Assumptions!$C$6:$F$6,MATCH(YEAR(AA$3),Assumptions!$C$1:$F$1,0))*Assumptions!$C$5)</f>
        <v>35000</v>
      </c>
      <c r="AB11" s="23">
        <f t="array" ref="AB11">AB10*(INDEX(Assumptions!$C$6:$F$6,MATCH(YEAR(AB$3),Assumptions!$C$1:$F$1,0))*Assumptions!$C$5)</f>
        <v>35000</v>
      </c>
      <c r="AC11" s="23">
        <f t="array" ref="AC11">AC10*(INDEX(Assumptions!$C$6:$F$6,MATCH(YEAR(AC$3),Assumptions!$C$1:$F$1,0))*Assumptions!$C$5)</f>
        <v>35000</v>
      </c>
      <c r="AD11" s="23">
        <f t="array" ref="AD11">AD10*(INDEX(Assumptions!$C$6:$F$6,MATCH(YEAR(AD$3),Assumptions!$C$1:$F$1,0))*Assumptions!$C$5)</f>
        <v>56000</v>
      </c>
      <c r="AE11" s="23">
        <f t="array" ref="AE11">AE10*(INDEX(Assumptions!$C$6:$F$6,MATCH(YEAR(AE$3),Assumptions!$C$1:$F$1,0))*Assumptions!$C$5)</f>
        <v>56000</v>
      </c>
      <c r="AF11" s="23">
        <f t="array" ref="AF11">AF10*(INDEX(Assumptions!$C$6:$F$6,MATCH(YEAR(AF$3),Assumptions!$C$1:$F$1,0))*Assumptions!$C$5)</f>
        <v>56000</v>
      </c>
      <c r="AG11" s="23">
        <f t="array" ref="AG11">AG10*(INDEX(Assumptions!$C$6:$F$6,MATCH(YEAR(AG$3),Assumptions!$C$1:$F$1,0))*Assumptions!$C$5)</f>
        <v>56000</v>
      </c>
      <c r="AH11" s="23">
        <f t="array" ref="AH11">AH10*(INDEX(Assumptions!$C$6:$F$6,MATCH(YEAR(AH$3),Assumptions!$C$1:$F$1,0))*Assumptions!$C$5)</f>
        <v>56000</v>
      </c>
      <c r="AI11" s="23">
        <f t="array" ref="AI11">AI10*(INDEX(Assumptions!$C$6:$F$6,MATCH(YEAR(AI$3),Assumptions!$C$1:$F$1,0))*Assumptions!$C$5)</f>
        <v>56000</v>
      </c>
      <c r="AJ11" s="23">
        <f t="array" ref="AJ11">AJ10*(INDEX(Assumptions!$C$6:$F$6,MATCH(YEAR(AJ$3),Assumptions!$C$1:$F$1,0))*Assumptions!$C$5)</f>
        <v>112000</v>
      </c>
      <c r="AK11" s="23">
        <f t="array" ref="AK11">AK10*(INDEX(Assumptions!$C$6:$F$6,MATCH(YEAR(AK$3),Assumptions!$C$1:$F$1,0))*Assumptions!$C$5)</f>
        <v>56000</v>
      </c>
      <c r="AL11" s="23">
        <f t="array" ref="AL11">AL10*(INDEX(Assumptions!$C$6:$F$6,MATCH(YEAR(AL$3),Assumptions!$C$1:$F$1,0))*Assumptions!$C$5)</f>
        <v>56000</v>
      </c>
      <c r="AM11" s="23">
        <f t="array" ref="AM11">AM10*(INDEX(Assumptions!$C$6:$F$6,MATCH(YEAR(AM$3),Assumptions!$C$1:$F$1,0))*Assumptions!$C$5)</f>
        <v>112000</v>
      </c>
      <c r="AN11" s="23">
        <f t="array" ref="AN11">AN10*(INDEX(Assumptions!$C$6:$F$6,MATCH(YEAR(AN$3),Assumptions!$C$1:$F$1,0))*Assumptions!$C$5)</f>
        <v>56000</v>
      </c>
      <c r="AO11" s="23">
        <f t="array" ref="AO11">AO10*(INDEX(Assumptions!$C$6:$F$6,MATCH(YEAR(AO$3),Assumptions!$C$1:$F$1,0))*Assumptions!$C$5)</f>
        <v>56000</v>
      </c>
      <c r="AP11" s="23">
        <f t="array" ref="AP11">AP10*(INDEX(Assumptions!$C$6:$F$6,MATCH(YEAR(AP$3),Assumptions!$C$1:$F$1,0))*Assumptions!$C$5)</f>
        <v>192000</v>
      </c>
      <c r="AQ11" s="23">
        <f t="array" ref="AQ11">AQ10*(INDEX(Assumptions!$C$6:$F$6,MATCH(YEAR(AQ$3),Assumptions!$C$1:$F$1,0))*Assumptions!$C$5)</f>
        <v>96000</v>
      </c>
      <c r="AR11" s="23">
        <f t="array" ref="AR11">AR10*(INDEX(Assumptions!$C$6:$F$6,MATCH(YEAR(AR$3),Assumptions!$C$1:$F$1,0))*Assumptions!$C$5)</f>
        <v>192000</v>
      </c>
      <c r="AS11" s="23">
        <f t="array" ref="AS11">AS10*(INDEX(Assumptions!$C$6:$F$6,MATCH(YEAR(AS$3),Assumptions!$C$1:$F$1,0))*Assumptions!$C$5)</f>
        <v>96000</v>
      </c>
      <c r="AT11" s="23">
        <f t="array" ref="AT11">AT10*(INDEX(Assumptions!$C$6:$F$6,MATCH(YEAR(AT$3),Assumptions!$C$1:$F$1,0))*Assumptions!$C$5)</f>
        <v>96000</v>
      </c>
      <c r="AU11" s="23">
        <f t="array" ref="AU11">AU10*(INDEX(Assumptions!$C$6:$F$6,MATCH(YEAR(AU$3),Assumptions!$C$1:$F$1,0))*Assumptions!$C$5)</f>
        <v>96000</v>
      </c>
      <c r="AV11" s="23">
        <f t="array" ref="AV11">AV10*(INDEX(Assumptions!$C$6:$F$6,MATCH(YEAR(AV$3),Assumptions!$C$1:$F$1,0))*Assumptions!$C$5)</f>
        <v>192000</v>
      </c>
      <c r="AW11" s="23">
        <f t="array" ref="AW11">AW10*(INDEX(Assumptions!$C$6:$F$6,MATCH(YEAR(AW$3),Assumptions!$C$1:$F$1,0))*Assumptions!$C$5)</f>
        <v>96000</v>
      </c>
      <c r="AX11" s="23">
        <f t="array" ref="AX11">AX10*(INDEX(Assumptions!$C$6:$F$6,MATCH(YEAR(AX$3),Assumptions!$C$1:$F$1,0))*Assumptions!$C$5)</f>
        <v>96000</v>
      </c>
      <c r="AY11" s="23">
        <f t="array" ref="AY11">AY10*(INDEX(Assumptions!$C$6:$F$6,MATCH(YEAR(AY$3),Assumptions!$C$1:$F$1,0))*Assumptions!$C$5)</f>
        <v>96000</v>
      </c>
      <c r="AZ11" s="23">
        <f t="array" ref="AZ11">AZ10*(INDEX(Assumptions!$C$6:$F$6,MATCH(YEAR(AZ$3),Assumptions!$C$1:$F$1,0))*Assumptions!$C$5)</f>
        <v>192000</v>
      </c>
      <c r="BA11" s="23">
        <f t="array" ref="BA11">BA10*(INDEX(Assumptions!$C$6:$F$6,MATCH(YEAR(BA$3),Assumptions!$C$1:$F$1,0))*Assumptions!$C$5)</f>
        <v>96000</v>
      </c>
      <c r="BB11" s="1"/>
      <c r="BC11" s="23">
        <f t="shared" ref="BC11:BF11" si="5">SUMPRODUCT((YEAR($F$3:$BA$3)=BC$3)*$F11:$BA11)</f>
        <v>220000</v>
      </c>
      <c r="BD11" s="23">
        <f t="shared" si="5"/>
        <v>420000</v>
      </c>
      <c r="BE11" s="23">
        <f t="shared" si="5"/>
        <v>784000</v>
      </c>
      <c r="BF11" s="23">
        <f t="shared" si="5"/>
        <v>1536000</v>
      </c>
    </row>
    <row r="12">
      <c r="A12" s="1"/>
      <c r="B12" s="45" t="s">
        <v>85</v>
      </c>
      <c r="C12" s="46"/>
      <c r="D12" s="46"/>
      <c r="E12" s="45" t="s">
        <v>33</v>
      </c>
      <c r="F12" s="47">
        <f t="shared" ref="F12:BA12" si="6">F9+F11</f>
        <v>28000</v>
      </c>
      <c r="G12" s="47">
        <f t="shared" si="6"/>
        <v>135000</v>
      </c>
      <c r="H12" s="47">
        <f t="shared" si="6"/>
        <v>28000</v>
      </c>
      <c r="I12" s="47">
        <f t="shared" si="6"/>
        <v>35000</v>
      </c>
      <c r="J12" s="47">
        <f t="shared" si="6"/>
        <v>28000</v>
      </c>
      <c r="K12" s="47">
        <f t="shared" si="6"/>
        <v>48000</v>
      </c>
      <c r="L12" s="47">
        <f t="shared" si="6"/>
        <v>48000</v>
      </c>
      <c r="M12" s="47">
        <f t="shared" si="6"/>
        <v>48000</v>
      </c>
      <c r="N12" s="47">
        <f t="shared" si="6"/>
        <v>48000</v>
      </c>
      <c r="O12" s="47">
        <f t="shared" si="6"/>
        <v>35000</v>
      </c>
      <c r="P12" s="47">
        <f t="shared" si="6"/>
        <v>55000</v>
      </c>
      <c r="Q12" s="47">
        <f t="shared" si="6"/>
        <v>55000</v>
      </c>
      <c r="R12" s="47">
        <f t="shared" si="6"/>
        <v>72500</v>
      </c>
      <c r="S12" s="47">
        <f t="shared" si="6"/>
        <v>72500</v>
      </c>
      <c r="T12" s="47">
        <f t="shared" si="6"/>
        <v>72500</v>
      </c>
      <c r="U12" s="47">
        <f t="shared" si="6"/>
        <v>72500</v>
      </c>
      <c r="V12" s="47">
        <f t="shared" si="6"/>
        <v>72500</v>
      </c>
      <c r="W12" s="47">
        <f t="shared" si="6"/>
        <v>72500</v>
      </c>
      <c r="X12" s="47">
        <f t="shared" si="6"/>
        <v>72500</v>
      </c>
      <c r="Y12" s="47">
        <f t="shared" si="6"/>
        <v>72500</v>
      </c>
      <c r="Z12" s="47">
        <f t="shared" si="6"/>
        <v>72500</v>
      </c>
      <c r="AA12" s="47">
        <f t="shared" si="6"/>
        <v>72500</v>
      </c>
      <c r="AB12" s="47">
        <f t="shared" si="6"/>
        <v>72500</v>
      </c>
      <c r="AC12" s="47">
        <f t="shared" si="6"/>
        <v>72500</v>
      </c>
      <c r="AD12" s="47">
        <f t="shared" si="6"/>
        <v>96000</v>
      </c>
      <c r="AE12" s="47">
        <f t="shared" si="6"/>
        <v>104000</v>
      </c>
      <c r="AF12" s="47">
        <f t="shared" si="6"/>
        <v>104000</v>
      </c>
      <c r="AG12" s="47">
        <f t="shared" si="6"/>
        <v>104000</v>
      </c>
      <c r="AH12" s="47">
        <f t="shared" si="6"/>
        <v>112000</v>
      </c>
      <c r="AI12" s="47">
        <f t="shared" si="6"/>
        <v>112000</v>
      </c>
      <c r="AJ12" s="47">
        <f t="shared" si="6"/>
        <v>160000</v>
      </c>
      <c r="AK12" s="47">
        <f t="shared" si="6"/>
        <v>112000</v>
      </c>
      <c r="AL12" s="47">
        <f t="shared" si="6"/>
        <v>112000</v>
      </c>
      <c r="AM12" s="47">
        <f t="shared" si="6"/>
        <v>168000</v>
      </c>
      <c r="AN12" s="47">
        <f t="shared" si="6"/>
        <v>112000</v>
      </c>
      <c r="AO12" s="47">
        <f t="shared" si="6"/>
        <v>112000</v>
      </c>
      <c r="AP12" s="47">
        <f t="shared" si="6"/>
        <v>243000</v>
      </c>
      <c r="AQ12" s="47">
        <f t="shared" si="6"/>
        <v>155500</v>
      </c>
      <c r="AR12" s="47">
        <f t="shared" si="6"/>
        <v>243000</v>
      </c>
      <c r="AS12" s="47">
        <f t="shared" si="6"/>
        <v>147000</v>
      </c>
      <c r="AT12" s="47">
        <f t="shared" si="6"/>
        <v>147000</v>
      </c>
      <c r="AU12" s="47">
        <f t="shared" si="6"/>
        <v>155500</v>
      </c>
      <c r="AV12" s="47">
        <f t="shared" si="6"/>
        <v>243000</v>
      </c>
      <c r="AW12" s="47">
        <f t="shared" si="6"/>
        <v>147000</v>
      </c>
      <c r="AX12" s="47">
        <f t="shared" si="6"/>
        <v>147000</v>
      </c>
      <c r="AY12" s="47">
        <f t="shared" si="6"/>
        <v>155500</v>
      </c>
      <c r="AZ12" s="47">
        <f t="shared" si="6"/>
        <v>243000</v>
      </c>
      <c r="BA12" s="47">
        <f t="shared" si="6"/>
        <v>147000</v>
      </c>
      <c r="BB12" s="1"/>
      <c r="BC12" s="47">
        <f t="shared" ref="BC12:BF12" si="7">SUMPRODUCT((YEAR($F$3:$BA$3)=BC$3)*$F12:$BA12)</f>
        <v>591000</v>
      </c>
      <c r="BD12" s="47">
        <f t="shared" si="7"/>
        <v>870000</v>
      </c>
      <c r="BE12" s="47">
        <f t="shared" si="7"/>
        <v>1408000</v>
      </c>
      <c r="BF12" s="47">
        <f t="shared" si="7"/>
        <v>2173500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80</v>
      </c>
      <c r="C15" s="1"/>
      <c r="D15" s="1"/>
      <c r="E15" s="3" t="s">
        <v>39</v>
      </c>
      <c r="F15" s="32">
        <f t="array" ref="F15">ROUND(INDEX(Assumptions!$C$17:$F$17,MATCH(YEAR(F$3),Assumptions!$C$1:$F$1,0))*MONTH(F$3)/12,0)-ROUND(INDEX(Assumptions!$C$17:$F$17,MATCH(YEAR(F$3),Assumptions!$C$1:$F$1,0))*(MONTH(F$3)-1)/12,0)-F7</f>
        <v>0</v>
      </c>
      <c r="G15" s="32">
        <f t="array" ref="G15">ROUND(INDEX(Assumptions!$C$17:$F$17,MATCH(YEAR(G$3),Assumptions!$C$1:$F$1,0))*MONTH(G$3)/12,0)-ROUND(INDEX(Assumptions!$C$17:$F$17,MATCH(YEAR(G$3),Assumptions!$C$1:$F$1,0))*(MONTH(G$3)-1)/12,0)-G7</f>
        <v>1</v>
      </c>
      <c r="H15" s="32">
        <f t="array" ref="H15">ROUND(INDEX(Assumptions!$C$17:$F$17,MATCH(YEAR(H$3),Assumptions!$C$1:$F$1,0))*MONTH(H$3)/12,0)-ROUND(INDEX(Assumptions!$C$17:$F$17,MATCH(YEAR(H$3),Assumptions!$C$1:$F$1,0))*(MONTH(H$3)-1)/12,0)-H7</f>
        <v>0</v>
      </c>
      <c r="I15" s="32">
        <f t="array" ref="I15">ROUND(INDEX(Assumptions!$C$17:$F$17,MATCH(YEAR(I$3),Assumptions!$C$1:$F$1,0))*MONTH(I$3)/12,0)-ROUND(INDEX(Assumptions!$C$17:$F$17,MATCH(YEAR(I$3),Assumptions!$C$1:$F$1,0))*(MONTH(I$3)-1)/12,0)-I7</f>
        <v>0</v>
      </c>
      <c r="J15" s="32">
        <f t="array" ref="J15">ROUND(INDEX(Assumptions!$C$17:$F$17,MATCH(YEAR(J$3),Assumptions!$C$1:$F$1,0))*MONTH(J$3)/12,0)-ROUND(INDEX(Assumptions!$C$17:$F$17,MATCH(YEAR(J$3),Assumptions!$C$1:$F$1,0))*(MONTH(J$3)-1)/12,0)-J7</f>
        <v>1</v>
      </c>
      <c r="K15" s="32">
        <f t="array" ref="K15">ROUND(INDEX(Assumptions!$C$17:$F$17,MATCH(YEAR(K$3),Assumptions!$C$1:$F$1,0))*MONTH(K$3)/12,0)-ROUND(INDEX(Assumptions!$C$17:$F$17,MATCH(YEAR(K$3),Assumptions!$C$1:$F$1,0))*(MONTH(K$3)-1)/12,0)-K7</f>
        <v>1</v>
      </c>
      <c r="L15" s="32">
        <f t="array" ref="L15">ROUND(INDEX(Assumptions!$C$17:$F$17,MATCH(YEAR(L$3),Assumptions!$C$1:$F$1,0))*MONTH(L$3)/12,0)-ROUND(INDEX(Assumptions!$C$17:$F$17,MATCH(YEAR(L$3),Assumptions!$C$1:$F$1,0))*(MONTH(L$3)-1)/12,0)-L7</f>
        <v>0</v>
      </c>
      <c r="M15" s="32">
        <f t="array" ref="M15">ROUND(INDEX(Assumptions!$C$17:$F$17,MATCH(YEAR(M$3),Assumptions!$C$1:$F$1,0))*MONTH(M$3)/12,0)-ROUND(INDEX(Assumptions!$C$17:$F$17,MATCH(YEAR(M$3),Assumptions!$C$1:$F$1,0))*(MONTH(M$3)-1)/12,0)-M7</f>
        <v>0</v>
      </c>
      <c r="N15" s="32">
        <f t="array" ref="N15">ROUND(INDEX(Assumptions!$C$17:$F$17,MATCH(YEAR(N$3),Assumptions!$C$1:$F$1,0))*MONTH(N$3)/12,0)-ROUND(INDEX(Assumptions!$C$17:$F$17,MATCH(YEAR(N$3),Assumptions!$C$1:$F$1,0))*(MONTH(N$3)-1)/12,0)-N7</f>
        <v>0</v>
      </c>
      <c r="O15" s="32">
        <f t="array" ref="O15">ROUND(INDEX(Assumptions!$C$17:$F$17,MATCH(YEAR(O$3),Assumptions!$C$1:$F$1,0))*MONTH(O$3)/12,0)-ROUND(INDEX(Assumptions!$C$17:$F$17,MATCH(YEAR(O$3),Assumptions!$C$1:$F$1,0))*(MONTH(O$3)-1)/12,0)-O7</f>
        <v>1</v>
      </c>
      <c r="P15" s="32">
        <f t="array" ref="P15">ROUND(INDEX(Assumptions!$C$17:$F$17,MATCH(YEAR(P$3),Assumptions!$C$1:$F$1,0))*MONTH(P$3)/12,0)-ROUND(INDEX(Assumptions!$C$17:$F$17,MATCH(YEAR(P$3),Assumptions!$C$1:$F$1,0))*(MONTH(P$3)-1)/12,0)-P7</f>
        <v>0</v>
      </c>
      <c r="Q15" s="32">
        <f t="array" ref="Q15">ROUND(INDEX(Assumptions!$C$17:$F$17,MATCH(YEAR(Q$3),Assumptions!$C$1:$F$1,0))*MONTH(Q$3)/12,0)-ROUND(INDEX(Assumptions!$C$17:$F$17,MATCH(YEAR(Q$3),Assumptions!$C$1:$F$1,0))*(MONTH(Q$3)-1)/12,0)-Q7</f>
        <v>0</v>
      </c>
      <c r="R15" s="32">
        <f t="array" ref="R15">ROUND(INDEX(Assumptions!$C$17:$F$17,MATCH(YEAR(R$3),Assumptions!$C$1:$F$1,0))*MONTH(R$3)/12,0)-ROUND(INDEX(Assumptions!$C$17:$F$17,MATCH(YEAR(R$3),Assumptions!$C$1:$F$1,0))*(MONTH(R$3)-1)/12,0)-R7</f>
        <v>1</v>
      </c>
      <c r="S15" s="32">
        <f t="array" ref="S15">ROUND(INDEX(Assumptions!$C$17:$F$17,MATCH(YEAR(S$3),Assumptions!$C$1:$F$1,0))*MONTH(S$3)/12,0)-ROUND(INDEX(Assumptions!$C$17:$F$17,MATCH(YEAR(S$3),Assumptions!$C$1:$F$1,0))*(MONTH(S$3)-1)/12,0)-S7</f>
        <v>0</v>
      </c>
      <c r="T15" s="32">
        <f t="array" ref="T15">ROUND(INDEX(Assumptions!$C$17:$F$17,MATCH(YEAR(T$3),Assumptions!$C$1:$F$1,0))*MONTH(T$3)/12,0)-ROUND(INDEX(Assumptions!$C$17:$F$17,MATCH(YEAR(T$3),Assumptions!$C$1:$F$1,0))*(MONTH(T$3)-1)/12,0)-T7</f>
        <v>1</v>
      </c>
      <c r="U15" s="32">
        <f t="array" ref="U15">ROUND(INDEX(Assumptions!$C$17:$F$17,MATCH(YEAR(U$3),Assumptions!$C$1:$F$1,0))*MONTH(U$3)/12,0)-ROUND(INDEX(Assumptions!$C$17:$F$17,MATCH(YEAR(U$3),Assumptions!$C$1:$F$1,0))*(MONTH(U$3)-1)/12,0)-U7</f>
        <v>1</v>
      </c>
      <c r="V15" s="32">
        <f t="array" ref="V15">ROUND(INDEX(Assumptions!$C$17:$F$17,MATCH(YEAR(V$3),Assumptions!$C$1:$F$1,0))*MONTH(V$3)/12,0)-ROUND(INDEX(Assumptions!$C$17:$F$17,MATCH(YEAR(V$3),Assumptions!$C$1:$F$1,0))*(MONTH(V$3)-1)/12,0)-V7</f>
        <v>0</v>
      </c>
      <c r="W15" s="32">
        <f t="array" ref="W15">ROUND(INDEX(Assumptions!$C$17:$F$17,MATCH(YEAR(W$3),Assumptions!$C$1:$F$1,0))*MONTH(W$3)/12,0)-ROUND(INDEX(Assumptions!$C$17:$F$17,MATCH(YEAR(W$3),Assumptions!$C$1:$F$1,0))*(MONTH(W$3)-1)/12,0)-W7</f>
        <v>1</v>
      </c>
      <c r="X15" s="32">
        <f t="array" ref="X15">ROUND(INDEX(Assumptions!$C$17:$F$17,MATCH(YEAR(X$3),Assumptions!$C$1:$F$1,0))*MONTH(X$3)/12,0)-ROUND(INDEX(Assumptions!$C$17:$F$17,MATCH(YEAR(X$3),Assumptions!$C$1:$F$1,0))*(MONTH(X$3)-1)/12,0)-X7</f>
        <v>1</v>
      </c>
      <c r="Y15" s="32">
        <f t="array" ref="Y15">ROUND(INDEX(Assumptions!$C$17:$F$17,MATCH(YEAR(Y$3),Assumptions!$C$1:$F$1,0))*MONTH(Y$3)/12,0)-ROUND(INDEX(Assumptions!$C$17:$F$17,MATCH(YEAR(Y$3),Assumptions!$C$1:$F$1,0))*(MONTH(Y$3)-1)/12,0)-Y7</f>
        <v>0</v>
      </c>
      <c r="Z15" s="32">
        <f t="array" ref="Z15">ROUND(INDEX(Assumptions!$C$17:$F$17,MATCH(YEAR(Z$3),Assumptions!$C$1:$F$1,0))*MONTH(Z$3)/12,0)-ROUND(INDEX(Assumptions!$C$17:$F$17,MATCH(YEAR(Z$3),Assumptions!$C$1:$F$1,0))*(MONTH(Z$3)-1)/12,0)-Z7</f>
        <v>1</v>
      </c>
      <c r="AA15" s="32">
        <f t="array" ref="AA15">ROUND(INDEX(Assumptions!$C$17:$F$17,MATCH(YEAR(AA$3),Assumptions!$C$1:$F$1,0))*MONTH(AA$3)/12,0)-ROUND(INDEX(Assumptions!$C$17:$F$17,MATCH(YEAR(AA$3),Assumptions!$C$1:$F$1,0))*(MONTH(AA$3)-1)/12,0)-AA7</f>
        <v>1</v>
      </c>
      <c r="AB15" s="32">
        <f t="array" ref="AB15">ROUND(INDEX(Assumptions!$C$17:$F$17,MATCH(YEAR(AB$3),Assumptions!$C$1:$F$1,0))*MONTH(AB$3)/12,0)-ROUND(INDEX(Assumptions!$C$17:$F$17,MATCH(YEAR(AB$3),Assumptions!$C$1:$F$1,0))*(MONTH(AB$3)-1)/12,0)-AB7</f>
        <v>0</v>
      </c>
      <c r="AC15" s="32">
        <f t="array" ref="AC15">ROUND(INDEX(Assumptions!$C$17:$F$17,MATCH(YEAR(AC$3),Assumptions!$C$1:$F$1,0))*MONTH(AC$3)/12,0)-ROUND(INDEX(Assumptions!$C$17:$F$17,MATCH(YEAR(AC$3),Assumptions!$C$1:$F$1,0))*(MONTH(AC$3)-1)/12,0)-AC7</f>
        <v>1</v>
      </c>
      <c r="AD15" s="32">
        <f t="array" ref="AD15">ROUND(INDEX(Assumptions!$C$17:$F$17,MATCH(YEAR(AD$3),Assumptions!$C$1:$F$1,0))*MONTH(AD$3)/12,0)-ROUND(INDEX(Assumptions!$C$17:$F$17,MATCH(YEAR(AD$3),Assumptions!$C$1:$F$1,0))*(MONTH(AD$3)-1)/12,0)-AD7</f>
        <v>1</v>
      </c>
      <c r="AE15" s="32">
        <f t="array" ref="AE15">ROUND(INDEX(Assumptions!$C$17:$F$17,MATCH(YEAR(AE$3),Assumptions!$C$1:$F$1,0))*MONTH(AE$3)/12,0)-ROUND(INDEX(Assumptions!$C$17:$F$17,MATCH(YEAR(AE$3),Assumptions!$C$1:$F$1,0))*(MONTH(AE$3)-1)/12,0)-AE7</f>
        <v>0</v>
      </c>
      <c r="AF15" s="32">
        <f t="array" ref="AF15">ROUND(INDEX(Assumptions!$C$17:$F$17,MATCH(YEAR(AF$3),Assumptions!$C$1:$F$1,0))*MONTH(AF$3)/12,0)-ROUND(INDEX(Assumptions!$C$17:$F$17,MATCH(YEAR(AF$3),Assumptions!$C$1:$F$1,0))*(MONTH(AF$3)-1)/12,0)-AF7</f>
        <v>1</v>
      </c>
      <c r="AG15" s="32">
        <f t="array" ref="AG15">ROUND(INDEX(Assumptions!$C$17:$F$17,MATCH(YEAR(AG$3),Assumptions!$C$1:$F$1,0))*MONTH(AG$3)/12,0)-ROUND(INDEX(Assumptions!$C$17:$F$17,MATCH(YEAR(AG$3),Assumptions!$C$1:$F$1,0))*(MONTH(AG$3)-1)/12,0)-AG7</f>
        <v>1</v>
      </c>
      <c r="AH15" s="32">
        <f t="array" ref="AH15">ROUND(INDEX(Assumptions!$C$17:$F$17,MATCH(YEAR(AH$3),Assumptions!$C$1:$F$1,0))*MONTH(AH$3)/12,0)-ROUND(INDEX(Assumptions!$C$17:$F$17,MATCH(YEAR(AH$3),Assumptions!$C$1:$F$1,0))*(MONTH(AH$3)-1)/12,0)-AH7</f>
        <v>0</v>
      </c>
      <c r="AI15" s="32">
        <f t="array" ref="AI15">ROUND(INDEX(Assumptions!$C$17:$F$17,MATCH(YEAR(AI$3),Assumptions!$C$1:$F$1,0))*MONTH(AI$3)/12,0)-ROUND(INDEX(Assumptions!$C$17:$F$17,MATCH(YEAR(AI$3),Assumptions!$C$1:$F$1,0))*(MONTH(AI$3)-1)/12,0)-AI7</f>
        <v>2</v>
      </c>
      <c r="AJ15" s="32">
        <f t="array" ref="AJ15">ROUND(INDEX(Assumptions!$C$17:$F$17,MATCH(YEAR(AJ$3),Assumptions!$C$1:$F$1,0))*MONTH(AJ$3)/12,0)-ROUND(INDEX(Assumptions!$C$17:$F$17,MATCH(YEAR(AJ$3),Assumptions!$C$1:$F$1,0))*(MONTH(AJ$3)-1)/12,0)-AJ7</f>
        <v>1</v>
      </c>
      <c r="AK15" s="32">
        <f t="array" ref="AK15">ROUND(INDEX(Assumptions!$C$17:$F$17,MATCH(YEAR(AK$3),Assumptions!$C$1:$F$1,0))*MONTH(AK$3)/12,0)-ROUND(INDEX(Assumptions!$C$17:$F$17,MATCH(YEAR(AK$3),Assumptions!$C$1:$F$1,0))*(MONTH(AK$3)-1)/12,0)-AK7</f>
        <v>0</v>
      </c>
      <c r="AL15" s="32">
        <f t="array" ref="AL15">ROUND(INDEX(Assumptions!$C$17:$F$17,MATCH(YEAR(AL$3),Assumptions!$C$1:$F$1,0))*MONTH(AL$3)/12,0)-ROUND(INDEX(Assumptions!$C$17:$F$17,MATCH(YEAR(AL$3),Assumptions!$C$1:$F$1,0))*(MONTH(AL$3)-1)/12,0)-AL7</f>
        <v>1</v>
      </c>
      <c r="AM15" s="32">
        <f t="array" ref="AM15">ROUND(INDEX(Assumptions!$C$17:$F$17,MATCH(YEAR(AM$3),Assumptions!$C$1:$F$1,0))*MONTH(AM$3)/12,0)-ROUND(INDEX(Assumptions!$C$17:$F$17,MATCH(YEAR(AM$3),Assumptions!$C$1:$F$1,0))*(MONTH(AM$3)-1)/12,0)-AM7</f>
        <v>0</v>
      </c>
      <c r="AN15" s="32">
        <f t="array" ref="AN15">ROUND(INDEX(Assumptions!$C$17:$F$17,MATCH(YEAR(AN$3),Assumptions!$C$1:$F$1,0))*MONTH(AN$3)/12,0)-ROUND(INDEX(Assumptions!$C$17:$F$17,MATCH(YEAR(AN$3),Assumptions!$C$1:$F$1,0))*(MONTH(AN$3)-1)/12,0)-AN7</f>
        <v>1</v>
      </c>
      <c r="AO15" s="32">
        <f t="array" ref="AO15">ROUND(INDEX(Assumptions!$C$17:$F$17,MATCH(YEAR(AO$3),Assumptions!$C$1:$F$1,0))*MONTH(AO$3)/12,0)-ROUND(INDEX(Assumptions!$C$17:$F$17,MATCH(YEAR(AO$3),Assumptions!$C$1:$F$1,0))*(MONTH(AO$3)-1)/12,0)-AO7</f>
        <v>1</v>
      </c>
      <c r="AP15" s="32">
        <f t="array" ref="AP15">ROUND(INDEX(Assumptions!$C$17:$F$17,MATCH(YEAR(AP$3),Assumptions!$C$1:$F$1,0))*MONTH(AP$3)/12,0)-ROUND(INDEX(Assumptions!$C$17:$F$17,MATCH(YEAR(AP$3),Assumptions!$C$1:$F$1,0))*(MONTH(AP$3)-1)/12,0)-AP7</f>
        <v>2</v>
      </c>
      <c r="AQ15" s="32">
        <f t="array" ref="AQ15">ROUND(INDEX(Assumptions!$C$17:$F$17,MATCH(YEAR(AQ$3),Assumptions!$C$1:$F$1,0))*MONTH(AQ$3)/12,0)-ROUND(INDEX(Assumptions!$C$17:$F$17,MATCH(YEAR(AQ$3),Assumptions!$C$1:$F$1,0))*(MONTH(AQ$3)-1)/12,0)-AQ7</f>
        <v>0</v>
      </c>
      <c r="AR15" s="32">
        <f t="array" ref="AR15">ROUND(INDEX(Assumptions!$C$17:$F$17,MATCH(YEAR(AR$3),Assumptions!$C$1:$F$1,0))*MONTH(AR$3)/12,0)-ROUND(INDEX(Assumptions!$C$17:$F$17,MATCH(YEAR(AR$3),Assumptions!$C$1:$F$1,0))*(MONTH(AR$3)-1)/12,0)-AR7</f>
        <v>2</v>
      </c>
      <c r="AS15" s="32">
        <f t="array" ref="AS15">ROUND(INDEX(Assumptions!$C$17:$F$17,MATCH(YEAR(AS$3),Assumptions!$C$1:$F$1,0))*MONTH(AS$3)/12,0)-ROUND(INDEX(Assumptions!$C$17:$F$17,MATCH(YEAR(AS$3),Assumptions!$C$1:$F$1,0))*(MONTH(AS$3)-1)/12,0)-AS7</f>
        <v>1</v>
      </c>
      <c r="AT15" s="32">
        <f t="array" ref="AT15">ROUND(INDEX(Assumptions!$C$17:$F$17,MATCH(YEAR(AT$3),Assumptions!$C$1:$F$1,0))*MONTH(AT$3)/12,0)-ROUND(INDEX(Assumptions!$C$17:$F$17,MATCH(YEAR(AT$3),Assumptions!$C$1:$F$1,0))*(MONTH(AT$3)-1)/12,0)-AT7</f>
        <v>2</v>
      </c>
      <c r="AU15" s="32">
        <f t="array" ref="AU15">ROUND(INDEX(Assumptions!$C$17:$F$17,MATCH(YEAR(AU$3),Assumptions!$C$1:$F$1,0))*MONTH(AU$3)/12,0)-ROUND(INDEX(Assumptions!$C$17:$F$17,MATCH(YEAR(AU$3),Assumptions!$C$1:$F$1,0))*(MONTH(AU$3)-1)/12,0)-AU7</f>
        <v>0</v>
      </c>
      <c r="AV15" s="32">
        <f t="array" ref="AV15">ROUND(INDEX(Assumptions!$C$17:$F$17,MATCH(YEAR(AV$3),Assumptions!$C$1:$F$1,0))*MONTH(AV$3)/12,0)-ROUND(INDEX(Assumptions!$C$17:$F$17,MATCH(YEAR(AV$3),Assumptions!$C$1:$F$1,0))*(MONTH(AV$3)-1)/12,0)-AV7</f>
        <v>2</v>
      </c>
      <c r="AW15" s="32">
        <f t="array" ref="AW15">ROUND(INDEX(Assumptions!$C$17:$F$17,MATCH(YEAR(AW$3),Assumptions!$C$1:$F$1,0))*MONTH(AW$3)/12,0)-ROUND(INDEX(Assumptions!$C$17:$F$17,MATCH(YEAR(AW$3),Assumptions!$C$1:$F$1,0))*(MONTH(AW$3)-1)/12,0)-AW7</f>
        <v>1</v>
      </c>
      <c r="AX15" s="32">
        <f t="array" ref="AX15">ROUND(INDEX(Assumptions!$C$17:$F$17,MATCH(YEAR(AX$3),Assumptions!$C$1:$F$1,0))*MONTH(AX$3)/12,0)-ROUND(INDEX(Assumptions!$C$17:$F$17,MATCH(YEAR(AX$3),Assumptions!$C$1:$F$1,0))*(MONTH(AX$3)-1)/12,0)-AX7</f>
        <v>2</v>
      </c>
      <c r="AY15" s="32">
        <f t="array" ref="AY15">ROUND(INDEX(Assumptions!$C$17:$F$17,MATCH(YEAR(AY$3),Assumptions!$C$1:$F$1,0))*MONTH(AY$3)/12,0)-ROUND(INDEX(Assumptions!$C$17:$F$17,MATCH(YEAR(AY$3),Assumptions!$C$1:$F$1,0))*(MONTH(AY$3)-1)/12,0)-AY7</f>
        <v>0</v>
      </c>
      <c r="AZ15" s="32">
        <f t="array" ref="AZ15">ROUND(INDEX(Assumptions!$C$17:$F$17,MATCH(YEAR(AZ$3),Assumptions!$C$1:$F$1,0))*MONTH(AZ$3)/12,0)-ROUND(INDEX(Assumptions!$C$17:$F$17,MATCH(YEAR(AZ$3),Assumptions!$C$1:$F$1,0))*(MONTH(AZ$3)-1)/12,0)-AZ7</f>
        <v>2</v>
      </c>
      <c r="BA15" s="32">
        <f t="array" ref="BA15">ROUND(INDEX(Assumptions!$C$17:$F$17,MATCH(YEAR(BA$3),Assumptions!$C$1:$F$1,0))*MONTH(BA$3)/12,0)-ROUND(INDEX(Assumptions!$C$17:$F$17,MATCH(YEAR(BA$3),Assumptions!$C$1:$F$1,0))*(MONTH(BA$3)-1)/12,0)-BA7</f>
        <v>1</v>
      </c>
      <c r="BB15" s="1"/>
      <c r="BC15" s="32">
        <f t="shared" ref="BC15:BF15" si="8">SUMPRODUCT((YEAR($F$3:$BA$3)=BC$3)*$F15:$BA15)</f>
        <v>4</v>
      </c>
      <c r="BD15" s="32">
        <f t="shared" si="8"/>
        <v>8</v>
      </c>
      <c r="BE15" s="32">
        <f t="shared" si="8"/>
        <v>9</v>
      </c>
      <c r="BF15" s="32">
        <f t="shared" si="8"/>
        <v>15</v>
      </c>
    </row>
    <row r="16">
      <c r="A16" s="1"/>
      <c r="B16" s="3" t="s">
        <v>81</v>
      </c>
      <c r="C16" s="1"/>
      <c r="D16" s="1"/>
      <c r="E16" s="3" t="s">
        <v>39</v>
      </c>
      <c r="F16" s="32">
        <f>SUM(F15)</f>
        <v>0</v>
      </c>
      <c r="G16" s="32">
        <f>SUM(F15:G15)</f>
        <v>1</v>
      </c>
      <c r="H16" s="32">
        <f>SUM(F15:H15)</f>
        <v>1</v>
      </c>
      <c r="I16" s="32">
        <f>SUM(F15:I15)</f>
        <v>1</v>
      </c>
      <c r="J16" s="32">
        <f>SUM(F15:J15)</f>
        <v>2</v>
      </c>
      <c r="K16" s="32">
        <f>SUM(F15:K15)</f>
        <v>3</v>
      </c>
      <c r="L16" s="32">
        <f t="shared" ref="L16:BA16" si="9">SUM(F15:L15)</f>
        <v>3</v>
      </c>
      <c r="M16" s="32">
        <f t="shared" si="9"/>
        <v>3</v>
      </c>
      <c r="N16" s="32">
        <f t="shared" si="9"/>
        <v>2</v>
      </c>
      <c r="O16" s="32">
        <f t="shared" si="9"/>
        <v>3</v>
      </c>
      <c r="P16" s="32">
        <f t="shared" si="9"/>
        <v>3</v>
      </c>
      <c r="Q16" s="32">
        <f t="shared" si="9"/>
        <v>2</v>
      </c>
      <c r="R16" s="32">
        <f t="shared" si="9"/>
        <v>2</v>
      </c>
      <c r="S16" s="32">
        <f t="shared" si="9"/>
        <v>2</v>
      </c>
      <c r="T16" s="32">
        <f t="shared" si="9"/>
        <v>3</v>
      </c>
      <c r="U16" s="32">
        <f t="shared" si="9"/>
        <v>4</v>
      </c>
      <c r="V16" s="32">
        <f t="shared" si="9"/>
        <v>3</v>
      </c>
      <c r="W16" s="32">
        <f t="shared" si="9"/>
        <v>4</v>
      </c>
      <c r="X16" s="32">
        <f t="shared" si="9"/>
        <v>5</v>
      </c>
      <c r="Y16" s="32">
        <f t="shared" si="9"/>
        <v>4</v>
      </c>
      <c r="Z16" s="32">
        <f t="shared" si="9"/>
        <v>5</v>
      </c>
      <c r="AA16" s="32">
        <f t="shared" si="9"/>
        <v>5</v>
      </c>
      <c r="AB16" s="32">
        <f t="shared" si="9"/>
        <v>4</v>
      </c>
      <c r="AC16" s="32">
        <f t="shared" si="9"/>
        <v>5</v>
      </c>
      <c r="AD16" s="32">
        <f t="shared" si="9"/>
        <v>5</v>
      </c>
      <c r="AE16" s="32">
        <f t="shared" si="9"/>
        <v>4</v>
      </c>
      <c r="AF16" s="32">
        <f t="shared" si="9"/>
        <v>5</v>
      </c>
      <c r="AG16" s="32">
        <f t="shared" si="9"/>
        <v>5</v>
      </c>
      <c r="AH16" s="32">
        <f t="shared" si="9"/>
        <v>4</v>
      </c>
      <c r="AI16" s="32">
        <f t="shared" si="9"/>
        <v>6</v>
      </c>
      <c r="AJ16" s="32">
        <f t="shared" si="9"/>
        <v>6</v>
      </c>
      <c r="AK16" s="32">
        <f t="shared" si="9"/>
        <v>5</v>
      </c>
      <c r="AL16" s="32">
        <f t="shared" si="9"/>
        <v>6</v>
      </c>
      <c r="AM16" s="32">
        <f t="shared" si="9"/>
        <v>5</v>
      </c>
      <c r="AN16" s="32">
        <f t="shared" si="9"/>
        <v>5</v>
      </c>
      <c r="AO16" s="32">
        <f t="shared" si="9"/>
        <v>6</v>
      </c>
      <c r="AP16" s="32">
        <f t="shared" si="9"/>
        <v>6</v>
      </c>
      <c r="AQ16" s="32">
        <f t="shared" si="9"/>
        <v>5</v>
      </c>
      <c r="AR16" s="32">
        <f t="shared" si="9"/>
        <v>7</v>
      </c>
      <c r="AS16" s="32">
        <f t="shared" si="9"/>
        <v>7</v>
      </c>
      <c r="AT16" s="32">
        <f t="shared" si="9"/>
        <v>9</v>
      </c>
      <c r="AU16" s="32">
        <f t="shared" si="9"/>
        <v>8</v>
      </c>
      <c r="AV16" s="32">
        <f t="shared" si="9"/>
        <v>9</v>
      </c>
      <c r="AW16" s="32">
        <f t="shared" si="9"/>
        <v>8</v>
      </c>
      <c r="AX16" s="32">
        <f t="shared" si="9"/>
        <v>10</v>
      </c>
      <c r="AY16" s="32">
        <f t="shared" si="9"/>
        <v>8</v>
      </c>
      <c r="AZ16" s="32">
        <f t="shared" si="9"/>
        <v>9</v>
      </c>
      <c r="BA16" s="32">
        <f t="shared" si="9"/>
        <v>8</v>
      </c>
      <c r="BB16" s="1"/>
      <c r="BC16" s="32"/>
      <c r="BD16" s="32"/>
      <c r="BE16" s="32"/>
      <c r="BF16" s="32"/>
    </row>
    <row r="17">
      <c r="A17" s="1"/>
      <c r="B17" s="3" t="s">
        <v>82</v>
      </c>
      <c r="C17" s="1"/>
      <c r="D17" s="1"/>
      <c r="E17" s="3" t="s">
        <v>33</v>
      </c>
      <c r="F17" s="23">
        <f t="array" ref="F17">F16*INDEX(Assumptions!$C$10:$F$10,MATCH(YEAR(F$3),Assumptions!$C$1:$F$1,0))</f>
        <v>0</v>
      </c>
      <c r="G17" s="23">
        <f t="array" ref="G17">G16*INDEX(Assumptions!$C$10:$F$10,MATCH(YEAR(G$3),Assumptions!$C$1:$F$1,0))</f>
        <v>8000</v>
      </c>
      <c r="H17" s="23">
        <f t="array" ref="H17">H16*INDEX(Assumptions!$C$10:$F$10,MATCH(YEAR(H$3),Assumptions!$C$1:$F$1,0))</f>
        <v>8000</v>
      </c>
      <c r="I17" s="23">
        <f t="array" ref="I17">I16*INDEX(Assumptions!$C$10:$F$10,MATCH(YEAR(I$3),Assumptions!$C$1:$F$1,0))</f>
        <v>8000</v>
      </c>
      <c r="J17" s="23">
        <f t="array" ref="J17">J16*INDEX(Assumptions!$C$10:$F$10,MATCH(YEAR(J$3),Assumptions!$C$1:$F$1,0))</f>
        <v>16000</v>
      </c>
      <c r="K17" s="23">
        <f t="array" ref="K17">K16*INDEX(Assumptions!$C$10:$F$10,MATCH(YEAR(K$3),Assumptions!$C$1:$F$1,0))</f>
        <v>24000</v>
      </c>
      <c r="L17" s="23">
        <f t="array" ref="L17">L16*INDEX(Assumptions!$C$10:$F$10,MATCH(YEAR(L$3),Assumptions!$C$1:$F$1,0))</f>
        <v>24000</v>
      </c>
      <c r="M17" s="23">
        <f t="array" ref="M17">M16*INDEX(Assumptions!$C$10:$F$10,MATCH(YEAR(M$3),Assumptions!$C$1:$F$1,0))</f>
        <v>24000</v>
      </c>
      <c r="N17" s="23">
        <f t="array" ref="N17">N16*INDEX(Assumptions!$C$10:$F$10,MATCH(YEAR(N$3),Assumptions!$C$1:$F$1,0))</f>
        <v>16000</v>
      </c>
      <c r="O17" s="23">
        <f t="array" ref="O17">O16*INDEX(Assumptions!$C$10:$F$10,MATCH(YEAR(O$3),Assumptions!$C$1:$F$1,0))</f>
        <v>24000</v>
      </c>
      <c r="P17" s="23">
        <f t="array" ref="P17">P16*INDEX(Assumptions!$C$10:$F$10,MATCH(YEAR(P$3),Assumptions!$C$1:$F$1,0))</f>
        <v>24000</v>
      </c>
      <c r="Q17" s="23">
        <f t="array" ref="Q17">Q16*INDEX(Assumptions!$C$10:$F$10,MATCH(YEAR(Q$3),Assumptions!$C$1:$F$1,0))</f>
        <v>16000</v>
      </c>
      <c r="R17" s="23">
        <f t="array" ref="R17">R16*INDEX(Assumptions!$C$10:$F$10,MATCH(YEAR(R$3),Assumptions!$C$1:$F$1,0))</f>
        <v>17000</v>
      </c>
      <c r="S17" s="23">
        <f t="array" ref="S17">S16*INDEX(Assumptions!$C$10:$F$10,MATCH(YEAR(S$3),Assumptions!$C$1:$F$1,0))</f>
        <v>17000</v>
      </c>
      <c r="T17" s="23">
        <f t="array" ref="T17">T16*INDEX(Assumptions!$C$10:$F$10,MATCH(YEAR(T$3),Assumptions!$C$1:$F$1,0))</f>
        <v>25500</v>
      </c>
      <c r="U17" s="23">
        <f t="array" ref="U17">U16*INDEX(Assumptions!$C$10:$F$10,MATCH(YEAR(U$3),Assumptions!$C$1:$F$1,0))</f>
        <v>34000</v>
      </c>
      <c r="V17" s="23">
        <f t="array" ref="V17">V16*INDEX(Assumptions!$C$10:$F$10,MATCH(YEAR(V$3),Assumptions!$C$1:$F$1,0))</f>
        <v>25500</v>
      </c>
      <c r="W17" s="23">
        <f t="array" ref="W17">W16*INDEX(Assumptions!$C$10:$F$10,MATCH(YEAR(W$3),Assumptions!$C$1:$F$1,0))</f>
        <v>34000</v>
      </c>
      <c r="X17" s="23">
        <f t="array" ref="X17">X16*INDEX(Assumptions!$C$10:$F$10,MATCH(YEAR(X$3),Assumptions!$C$1:$F$1,0))</f>
        <v>42500</v>
      </c>
      <c r="Y17" s="23">
        <f t="array" ref="Y17">Y16*INDEX(Assumptions!$C$10:$F$10,MATCH(YEAR(Y$3),Assumptions!$C$1:$F$1,0))</f>
        <v>34000</v>
      </c>
      <c r="Z17" s="23">
        <f t="array" ref="Z17">Z16*INDEX(Assumptions!$C$10:$F$10,MATCH(YEAR(Z$3),Assumptions!$C$1:$F$1,0))</f>
        <v>42500</v>
      </c>
      <c r="AA17" s="23">
        <f t="array" ref="AA17">AA16*INDEX(Assumptions!$C$10:$F$10,MATCH(YEAR(AA$3),Assumptions!$C$1:$F$1,0))</f>
        <v>42500</v>
      </c>
      <c r="AB17" s="23">
        <f t="array" ref="AB17">AB16*INDEX(Assumptions!$C$10:$F$10,MATCH(YEAR(AB$3),Assumptions!$C$1:$F$1,0))</f>
        <v>34000</v>
      </c>
      <c r="AC17" s="23">
        <f t="array" ref="AC17">AC16*INDEX(Assumptions!$C$10:$F$10,MATCH(YEAR(AC$3),Assumptions!$C$1:$F$1,0))</f>
        <v>42500</v>
      </c>
      <c r="AD17" s="23">
        <f t="array" ref="AD17">AD16*INDEX(Assumptions!$C$10:$F$10,MATCH(YEAR(AD$3),Assumptions!$C$1:$F$1,0))</f>
        <v>42500</v>
      </c>
      <c r="AE17" s="23">
        <f t="array" ref="AE17">AE16*INDEX(Assumptions!$C$10:$F$10,MATCH(YEAR(AE$3),Assumptions!$C$1:$F$1,0))</f>
        <v>34000</v>
      </c>
      <c r="AF17" s="23">
        <f t="array" ref="AF17">AF16*INDEX(Assumptions!$C$10:$F$10,MATCH(YEAR(AF$3),Assumptions!$C$1:$F$1,0))</f>
        <v>42500</v>
      </c>
      <c r="AG17" s="23">
        <f t="array" ref="AG17">AG16*INDEX(Assumptions!$C$10:$F$10,MATCH(YEAR(AG$3),Assumptions!$C$1:$F$1,0))</f>
        <v>42500</v>
      </c>
      <c r="AH17" s="23">
        <f t="array" ref="AH17">AH16*INDEX(Assumptions!$C$10:$F$10,MATCH(YEAR(AH$3),Assumptions!$C$1:$F$1,0))</f>
        <v>34000</v>
      </c>
      <c r="AI17" s="23">
        <f t="array" ref="AI17">AI16*INDEX(Assumptions!$C$10:$F$10,MATCH(YEAR(AI$3),Assumptions!$C$1:$F$1,0))</f>
        <v>51000</v>
      </c>
      <c r="AJ17" s="23">
        <f t="array" ref="AJ17">AJ16*INDEX(Assumptions!$C$10:$F$10,MATCH(YEAR(AJ$3),Assumptions!$C$1:$F$1,0))</f>
        <v>51000</v>
      </c>
      <c r="AK17" s="23">
        <f t="array" ref="AK17">AK16*INDEX(Assumptions!$C$10:$F$10,MATCH(YEAR(AK$3),Assumptions!$C$1:$F$1,0))</f>
        <v>42500</v>
      </c>
      <c r="AL17" s="23">
        <f t="array" ref="AL17">AL16*INDEX(Assumptions!$C$10:$F$10,MATCH(YEAR(AL$3),Assumptions!$C$1:$F$1,0))</f>
        <v>51000</v>
      </c>
      <c r="AM17" s="23">
        <f t="array" ref="AM17">AM16*INDEX(Assumptions!$C$10:$F$10,MATCH(YEAR(AM$3),Assumptions!$C$1:$F$1,0))</f>
        <v>42500</v>
      </c>
      <c r="AN17" s="23">
        <f t="array" ref="AN17">AN16*INDEX(Assumptions!$C$10:$F$10,MATCH(YEAR(AN$3),Assumptions!$C$1:$F$1,0))</f>
        <v>42500</v>
      </c>
      <c r="AO17" s="23">
        <f t="array" ref="AO17">AO16*INDEX(Assumptions!$C$10:$F$10,MATCH(YEAR(AO$3),Assumptions!$C$1:$F$1,0))</f>
        <v>51000</v>
      </c>
      <c r="AP17" s="23">
        <f t="array" ref="AP17">AP16*INDEX(Assumptions!$C$10:$F$10,MATCH(YEAR(AP$3),Assumptions!$C$1:$F$1,0))</f>
        <v>54000</v>
      </c>
      <c r="AQ17" s="23">
        <f t="array" ref="AQ17">AQ16*INDEX(Assumptions!$C$10:$F$10,MATCH(YEAR(AQ$3),Assumptions!$C$1:$F$1,0))</f>
        <v>45000</v>
      </c>
      <c r="AR17" s="23">
        <f t="array" ref="AR17">AR16*INDEX(Assumptions!$C$10:$F$10,MATCH(YEAR(AR$3),Assumptions!$C$1:$F$1,0))</f>
        <v>63000</v>
      </c>
      <c r="AS17" s="23">
        <f t="array" ref="AS17">AS16*INDEX(Assumptions!$C$10:$F$10,MATCH(YEAR(AS$3),Assumptions!$C$1:$F$1,0))</f>
        <v>63000</v>
      </c>
      <c r="AT17" s="23">
        <f t="array" ref="AT17">AT16*INDEX(Assumptions!$C$10:$F$10,MATCH(YEAR(AT$3),Assumptions!$C$1:$F$1,0))</f>
        <v>81000</v>
      </c>
      <c r="AU17" s="23">
        <f t="array" ref="AU17">AU16*INDEX(Assumptions!$C$10:$F$10,MATCH(YEAR(AU$3),Assumptions!$C$1:$F$1,0))</f>
        <v>72000</v>
      </c>
      <c r="AV17" s="23">
        <f t="array" ref="AV17">AV16*INDEX(Assumptions!$C$10:$F$10,MATCH(YEAR(AV$3),Assumptions!$C$1:$F$1,0))</f>
        <v>81000</v>
      </c>
      <c r="AW17" s="23">
        <f t="array" ref="AW17">AW16*INDEX(Assumptions!$C$10:$F$10,MATCH(YEAR(AW$3),Assumptions!$C$1:$F$1,0))</f>
        <v>72000</v>
      </c>
      <c r="AX17" s="23">
        <f t="array" ref="AX17">AX16*INDEX(Assumptions!$C$10:$F$10,MATCH(YEAR(AX$3),Assumptions!$C$1:$F$1,0))</f>
        <v>90000</v>
      </c>
      <c r="AY17" s="23">
        <f t="array" ref="AY17">AY16*INDEX(Assumptions!$C$10:$F$10,MATCH(YEAR(AY$3),Assumptions!$C$1:$F$1,0))</f>
        <v>72000</v>
      </c>
      <c r="AZ17" s="23">
        <f t="array" ref="AZ17">AZ16*INDEX(Assumptions!$C$10:$F$10,MATCH(YEAR(AZ$3),Assumptions!$C$1:$F$1,0))</f>
        <v>81000</v>
      </c>
      <c r="BA17" s="23">
        <f t="array" ref="BA17">BA16*INDEX(Assumptions!$C$10:$F$10,MATCH(YEAR(BA$3),Assumptions!$C$1:$F$1,0))</f>
        <v>72000</v>
      </c>
      <c r="BB17" s="1"/>
      <c r="BC17" s="23">
        <f t="shared" ref="BC17:BF17" si="10">SUMPRODUCT((YEAR($F$3:$BA$3)=BC$3)*$F17:$BA17)</f>
        <v>192000</v>
      </c>
      <c r="BD17" s="23">
        <f t="shared" si="10"/>
        <v>391000</v>
      </c>
      <c r="BE17" s="23">
        <f t="shared" si="10"/>
        <v>527000</v>
      </c>
      <c r="BF17" s="23">
        <f t="shared" si="10"/>
        <v>846000</v>
      </c>
    </row>
    <row r="18">
      <c r="A18" s="1"/>
      <c r="B18" s="3" t="s">
        <v>83</v>
      </c>
      <c r="C18" s="1"/>
      <c r="D18" s="1"/>
      <c r="E18" s="3" t="s">
        <v>39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2">
        <f t="array" ref="M18">F15*INDEX(Assumptions!$C$14:$F$14,MATCH(YEAR(M$3),Assumptions!$C$1:$F$1,0))</f>
        <v>0</v>
      </c>
      <c r="N18" s="32">
        <f t="array" ref="N18">G15*INDEX(Assumptions!$C$14:$F$14,MATCH(YEAR(N$3),Assumptions!$C$1:$F$1,0))</f>
        <v>0.5</v>
      </c>
      <c r="O18" s="32">
        <f t="array" ref="O18">H15*INDEX(Assumptions!$C$14:$F$14,MATCH(YEAR(O$3),Assumptions!$C$1:$F$1,0))</f>
        <v>0</v>
      </c>
      <c r="P18" s="32">
        <f t="array" ref="P18">I15*INDEX(Assumptions!$C$14:$F$14,MATCH(YEAR(P$3),Assumptions!$C$1:$F$1,0))</f>
        <v>0</v>
      </c>
      <c r="Q18" s="32">
        <f t="array" ref="Q18">J15*INDEX(Assumptions!$C$14:$F$14,MATCH(YEAR(Q$3),Assumptions!$C$1:$F$1,0))</f>
        <v>0.5</v>
      </c>
      <c r="R18" s="32">
        <f t="array" ref="R18">K15*INDEX(Assumptions!$C$14:$F$14,MATCH(YEAR(R$3),Assumptions!$C$1:$F$1,0))</f>
        <v>0.56</v>
      </c>
      <c r="S18" s="32">
        <f t="array" ref="S18">L15*INDEX(Assumptions!$C$14:$F$14,MATCH(YEAR(S$3),Assumptions!$C$1:$F$1,0))</f>
        <v>0</v>
      </c>
      <c r="T18" s="32">
        <f t="array" ref="T18">M15*INDEX(Assumptions!$C$14:$F$14,MATCH(YEAR(T$3),Assumptions!$C$1:$F$1,0))</f>
        <v>0</v>
      </c>
      <c r="U18" s="32">
        <f t="array" ref="U18">N15*INDEX(Assumptions!$C$14:$F$14,MATCH(YEAR(U$3),Assumptions!$C$1:$F$1,0))</f>
        <v>0</v>
      </c>
      <c r="V18" s="32">
        <f t="array" ref="V18">O15*INDEX(Assumptions!$C$14:$F$14,MATCH(YEAR(V$3),Assumptions!$C$1:$F$1,0))</f>
        <v>0.56</v>
      </c>
      <c r="W18" s="32">
        <f t="array" ref="W18">P15*INDEX(Assumptions!$C$14:$F$14,MATCH(YEAR(W$3),Assumptions!$C$1:$F$1,0))</f>
        <v>0</v>
      </c>
      <c r="X18" s="32">
        <f t="array" ref="X18">Q15*INDEX(Assumptions!$C$14:$F$14,MATCH(YEAR(X$3),Assumptions!$C$1:$F$1,0))</f>
        <v>0</v>
      </c>
      <c r="Y18" s="32">
        <f t="array" ref="Y18">R15*INDEX(Assumptions!$C$14:$F$14,MATCH(YEAR(Y$3),Assumptions!$C$1:$F$1,0))</f>
        <v>0.56</v>
      </c>
      <c r="Z18" s="32">
        <f t="array" ref="Z18">S15*INDEX(Assumptions!$C$14:$F$14,MATCH(YEAR(Z$3),Assumptions!$C$1:$F$1,0))</f>
        <v>0</v>
      </c>
      <c r="AA18" s="32">
        <f t="array" ref="AA18">T15*INDEX(Assumptions!$C$14:$F$14,MATCH(YEAR(AA$3),Assumptions!$C$1:$F$1,0))</f>
        <v>0.56</v>
      </c>
      <c r="AB18" s="32">
        <f t="array" ref="AB18">U15*INDEX(Assumptions!$C$14:$F$14,MATCH(YEAR(AB$3),Assumptions!$C$1:$F$1,0))</f>
        <v>0.56</v>
      </c>
      <c r="AC18" s="32">
        <f t="array" ref="AC18">V15*INDEX(Assumptions!$C$14:$F$14,MATCH(YEAR(AC$3),Assumptions!$C$1:$F$1,0))</f>
        <v>0</v>
      </c>
      <c r="AD18" s="32">
        <f t="array" ref="AD18">W15*INDEX(Assumptions!$C$14:$F$14,MATCH(YEAR(AD$3),Assumptions!$C$1:$F$1,0))</f>
        <v>0.63</v>
      </c>
      <c r="AE18" s="32">
        <f t="array" ref="AE18">X15*INDEX(Assumptions!$C$14:$F$14,MATCH(YEAR(AE$3),Assumptions!$C$1:$F$1,0))</f>
        <v>0.63</v>
      </c>
      <c r="AF18" s="32">
        <f t="array" ref="AF18">Y15*INDEX(Assumptions!$C$14:$F$14,MATCH(YEAR(AF$3),Assumptions!$C$1:$F$1,0))</f>
        <v>0</v>
      </c>
      <c r="AG18" s="32">
        <f t="array" ref="AG18">Z15*INDEX(Assumptions!$C$14:$F$14,MATCH(YEAR(AG$3),Assumptions!$C$1:$F$1,0))</f>
        <v>0.63</v>
      </c>
      <c r="AH18" s="32">
        <f t="array" ref="AH18">AA15*INDEX(Assumptions!$C$14:$F$14,MATCH(YEAR(AH$3),Assumptions!$C$1:$F$1,0))</f>
        <v>0.63</v>
      </c>
      <c r="AI18" s="32">
        <f t="array" ref="AI18">AB15*INDEX(Assumptions!$C$14:$F$14,MATCH(YEAR(AI$3),Assumptions!$C$1:$F$1,0))</f>
        <v>0</v>
      </c>
      <c r="AJ18" s="32">
        <f t="array" ref="AJ18">AC15*INDEX(Assumptions!$C$14:$F$14,MATCH(YEAR(AJ$3),Assumptions!$C$1:$F$1,0))</f>
        <v>0.63</v>
      </c>
      <c r="AK18" s="32">
        <f t="array" ref="AK18">AD15*INDEX(Assumptions!$C$14:$F$14,MATCH(YEAR(AK$3),Assumptions!$C$1:$F$1,0))</f>
        <v>0.63</v>
      </c>
      <c r="AL18" s="32">
        <f t="array" ref="AL18">AE15*INDEX(Assumptions!$C$14:$F$14,MATCH(YEAR(AL$3),Assumptions!$C$1:$F$1,0))</f>
        <v>0</v>
      </c>
      <c r="AM18" s="32">
        <f t="array" ref="AM18">AF15*INDEX(Assumptions!$C$14:$F$14,MATCH(YEAR(AM$3),Assumptions!$C$1:$F$1,0))</f>
        <v>0.63</v>
      </c>
      <c r="AN18" s="32">
        <f t="array" ref="AN18">AG15*INDEX(Assumptions!$C$14:$F$14,MATCH(YEAR(AN$3),Assumptions!$C$1:$F$1,0))</f>
        <v>0.63</v>
      </c>
      <c r="AO18" s="32">
        <f t="array" ref="AO18">AH15*INDEX(Assumptions!$C$14:$F$14,MATCH(YEAR(AO$3),Assumptions!$C$1:$F$1,0))</f>
        <v>0</v>
      </c>
      <c r="AP18" s="32">
        <f t="array" ref="AP18">AI15*INDEX(Assumptions!$C$14:$F$14,MATCH(YEAR(AP$3),Assumptions!$C$1:$F$1,0))</f>
        <v>1.4</v>
      </c>
      <c r="AQ18" s="32">
        <f t="array" ref="AQ18">AJ15*INDEX(Assumptions!$C$14:$F$14,MATCH(YEAR(AQ$3),Assumptions!$C$1:$F$1,0))</f>
        <v>0.7</v>
      </c>
      <c r="AR18" s="32">
        <f t="array" ref="AR18">AK15*INDEX(Assumptions!$C$14:$F$14,MATCH(YEAR(AR$3),Assumptions!$C$1:$F$1,0))</f>
        <v>0</v>
      </c>
      <c r="AS18" s="32">
        <f t="array" ref="AS18">AL15*INDEX(Assumptions!$C$14:$F$14,MATCH(YEAR(AS$3),Assumptions!$C$1:$F$1,0))</f>
        <v>0.7</v>
      </c>
      <c r="AT18" s="32">
        <f t="array" ref="AT18">AM15*INDEX(Assumptions!$C$14:$F$14,MATCH(YEAR(AT$3),Assumptions!$C$1:$F$1,0))</f>
        <v>0</v>
      </c>
      <c r="AU18" s="32">
        <f t="array" ref="AU18">AN15*INDEX(Assumptions!$C$14:$F$14,MATCH(YEAR(AU$3),Assumptions!$C$1:$F$1,0))</f>
        <v>0.7</v>
      </c>
      <c r="AV18" s="32">
        <f t="array" ref="AV18">AO15*INDEX(Assumptions!$C$14:$F$14,MATCH(YEAR(AV$3),Assumptions!$C$1:$F$1,0))</f>
        <v>0.7</v>
      </c>
      <c r="AW18" s="32">
        <f t="array" ref="AW18">AP15*INDEX(Assumptions!$C$14:$F$14,MATCH(YEAR(AW$3),Assumptions!$C$1:$F$1,0))</f>
        <v>1.4</v>
      </c>
      <c r="AX18" s="32">
        <f t="array" ref="AX18">AQ15*INDEX(Assumptions!$C$14:$F$14,MATCH(YEAR(AX$3),Assumptions!$C$1:$F$1,0))</f>
        <v>0</v>
      </c>
      <c r="AY18" s="32">
        <f t="array" ref="AY18">AR15*INDEX(Assumptions!$C$14:$F$14,MATCH(YEAR(AY$3),Assumptions!$C$1:$F$1,0))</f>
        <v>1.4</v>
      </c>
      <c r="AZ18" s="32">
        <f t="array" ref="AZ18">AS15*INDEX(Assumptions!$C$14:$F$14,MATCH(YEAR(AZ$3),Assumptions!$C$1:$F$1,0))</f>
        <v>0.7</v>
      </c>
      <c r="BA18" s="32">
        <f t="array" ref="BA18">AT15*INDEX(Assumptions!$C$14:$F$14,MATCH(YEAR(BA$3),Assumptions!$C$1:$F$1,0))</f>
        <v>1.4</v>
      </c>
      <c r="BB18" s="1"/>
      <c r="BC18" s="32">
        <f t="shared" ref="BC18:BF18" si="11">SUMPRODUCT((YEAR($F$3:$BA$3)=BC$3)*$F18:$BA18)</f>
        <v>1</v>
      </c>
      <c r="BD18" s="32">
        <f t="shared" si="11"/>
        <v>2.8</v>
      </c>
      <c r="BE18" s="32">
        <f t="shared" si="11"/>
        <v>5.04</v>
      </c>
      <c r="BF18" s="32">
        <f t="shared" si="11"/>
        <v>9.1</v>
      </c>
    </row>
    <row r="19">
      <c r="A19" s="1"/>
      <c r="B19" s="3" t="s">
        <v>84</v>
      </c>
      <c r="C19" s="1"/>
      <c r="D19" s="1"/>
      <c r="E19" s="3" t="s">
        <v>33</v>
      </c>
      <c r="F19" s="23">
        <f t="array" ref="F19">F18*(INDEX(Assumptions!$C$13:$F$13,MATCH(YEAR(F$3),Assumptions!$C$1:$F$1,0))*Assumptions!$C$12)</f>
        <v>0</v>
      </c>
      <c r="G19" s="23">
        <f t="array" ref="G19">G18*(INDEX(Assumptions!$C$13:$F$13,MATCH(YEAR(G$3),Assumptions!$C$1:$F$1,0))*Assumptions!$C$12)</f>
        <v>0</v>
      </c>
      <c r="H19" s="23">
        <f t="array" ref="H19">H18*(INDEX(Assumptions!$C$13:$F$13,MATCH(YEAR(H$3),Assumptions!$C$1:$F$1,0))*Assumptions!$C$12)</f>
        <v>0</v>
      </c>
      <c r="I19" s="23">
        <f t="array" ref="I19">I18*(INDEX(Assumptions!$C$13:$F$13,MATCH(YEAR(I$3),Assumptions!$C$1:$F$1,0))*Assumptions!$C$12)</f>
        <v>0</v>
      </c>
      <c r="J19" s="23">
        <f t="array" ref="J19">J18*(INDEX(Assumptions!$C$13:$F$13,MATCH(YEAR(J$3),Assumptions!$C$1:$F$1,0))*Assumptions!$C$12)</f>
        <v>0</v>
      </c>
      <c r="K19" s="23">
        <f t="array" ref="K19">K18*(INDEX(Assumptions!$C$13:$F$13,MATCH(YEAR(K$3),Assumptions!$C$1:$F$1,0))*Assumptions!$C$12)</f>
        <v>0</v>
      </c>
      <c r="L19" s="23">
        <f t="array" ref="L19">L18*(INDEX(Assumptions!$C$13:$F$13,MATCH(YEAR(L$3),Assumptions!$C$1:$F$1,0))*Assumptions!$C$12)</f>
        <v>0</v>
      </c>
      <c r="M19" s="23">
        <f t="array" ref="M19">M18*(INDEX(Assumptions!$C$13:$F$13,MATCH(YEAR(M$3),Assumptions!$C$1:$F$1,0))*Assumptions!$C$12)</f>
        <v>0</v>
      </c>
      <c r="N19" s="23">
        <f t="array" ref="N19">N18*(INDEX(Assumptions!$C$13:$F$13,MATCH(YEAR(N$3),Assumptions!$C$1:$F$1,0))*Assumptions!$C$12)</f>
        <v>120000</v>
      </c>
      <c r="O19" s="23">
        <f t="array" ref="O19">O18*(INDEX(Assumptions!$C$13:$F$13,MATCH(YEAR(O$3),Assumptions!$C$1:$F$1,0))*Assumptions!$C$12)</f>
        <v>0</v>
      </c>
      <c r="P19" s="23">
        <f t="array" ref="P19">P18*(INDEX(Assumptions!$C$13:$F$13,MATCH(YEAR(P$3),Assumptions!$C$1:$F$1,0))*Assumptions!$C$12)</f>
        <v>0</v>
      </c>
      <c r="Q19" s="23">
        <f t="array" ref="Q19">Q18*(INDEX(Assumptions!$C$13:$F$13,MATCH(YEAR(Q$3),Assumptions!$C$1:$F$1,0))*Assumptions!$C$12)</f>
        <v>120000</v>
      </c>
      <c r="R19" s="23">
        <f t="array" ref="R19">R18*(INDEX(Assumptions!$C$13:$F$13,MATCH(YEAR(R$3),Assumptions!$C$1:$F$1,0))*Assumptions!$C$12)</f>
        <v>201600</v>
      </c>
      <c r="S19" s="23">
        <f t="array" ref="S19">S18*(INDEX(Assumptions!$C$13:$F$13,MATCH(YEAR(S$3),Assumptions!$C$1:$F$1,0))*Assumptions!$C$12)</f>
        <v>0</v>
      </c>
      <c r="T19" s="23">
        <f t="array" ref="T19">T18*(INDEX(Assumptions!$C$13:$F$13,MATCH(YEAR(T$3),Assumptions!$C$1:$F$1,0))*Assumptions!$C$12)</f>
        <v>0</v>
      </c>
      <c r="U19" s="23">
        <f t="array" ref="U19">U18*(INDEX(Assumptions!$C$13:$F$13,MATCH(YEAR(U$3),Assumptions!$C$1:$F$1,0))*Assumptions!$C$12)</f>
        <v>0</v>
      </c>
      <c r="V19" s="23">
        <f t="array" ref="V19">V18*(INDEX(Assumptions!$C$13:$F$13,MATCH(YEAR(V$3),Assumptions!$C$1:$F$1,0))*Assumptions!$C$12)</f>
        <v>201600</v>
      </c>
      <c r="W19" s="23">
        <f t="array" ref="W19">W18*(INDEX(Assumptions!$C$13:$F$13,MATCH(YEAR(W$3),Assumptions!$C$1:$F$1,0))*Assumptions!$C$12)</f>
        <v>0</v>
      </c>
      <c r="X19" s="23">
        <f t="array" ref="X19">X18*(INDEX(Assumptions!$C$13:$F$13,MATCH(YEAR(X$3),Assumptions!$C$1:$F$1,0))*Assumptions!$C$12)</f>
        <v>0</v>
      </c>
      <c r="Y19" s="23">
        <f t="array" ref="Y19">Y18*(INDEX(Assumptions!$C$13:$F$13,MATCH(YEAR(Y$3),Assumptions!$C$1:$F$1,0))*Assumptions!$C$12)</f>
        <v>201600</v>
      </c>
      <c r="Z19" s="23">
        <f t="array" ref="Z19">Z18*(INDEX(Assumptions!$C$13:$F$13,MATCH(YEAR(Z$3),Assumptions!$C$1:$F$1,0))*Assumptions!$C$12)</f>
        <v>0</v>
      </c>
      <c r="AA19" s="23">
        <f t="array" ref="AA19">AA18*(INDEX(Assumptions!$C$13:$F$13,MATCH(YEAR(AA$3),Assumptions!$C$1:$F$1,0))*Assumptions!$C$12)</f>
        <v>201600</v>
      </c>
      <c r="AB19" s="23">
        <f t="array" ref="AB19">AB18*(INDEX(Assumptions!$C$13:$F$13,MATCH(YEAR(AB$3),Assumptions!$C$1:$F$1,0))*Assumptions!$C$12)</f>
        <v>201600</v>
      </c>
      <c r="AC19" s="23">
        <f t="array" ref="AC19">AC18*(INDEX(Assumptions!$C$13:$F$13,MATCH(YEAR(AC$3),Assumptions!$C$1:$F$1,0))*Assumptions!$C$12)</f>
        <v>0</v>
      </c>
      <c r="AD19" s="23">
        <f t="array" ref="AD19">AD18*(INDEX(Assumptions!$C$13:$F$13,MATCH(YEAR(AD$3),Assumptions!$C$1:$F$1,0))*Assumptions!$C$12)</f>
        <v>302400</v>
      </c>
      <c r="AE19" s="23">
        <f t="array" ref="AE19">AE18*(INDEX(Assumptions!$C$13:$F$13,MATCH(YEAR(AE$3),Assumptions!$C$1:$F$1,0))*Assumptions!$C$12)</f>
        <v>302400</v>
      </c>
      <c r="AF19" s="23">
        <f t="array" ref="AF19">AF18*(INDEX(Assumptions!$C$13:$F$13,MATCH(YEAR(AF$3),Assumptions!$C$1:$F$1,0))*Assumptions!$C$12)</f>
        <v>0</v>
      </c>
      <c r="AG19" s="23">
        <f t="array" ref="AG19">AG18*(INDEX(Assumptions!$C$13:$F$13,MATCH(YEAR(AG$3),Assumptions!$C$1:$F$1,0))*Assumptions!$C$12)</f>
        <v>302400</v>
      </c>
      <c r="AH19" s="23">
        <f t="array" ref="AH19">AH18*(INDEX(Assumptions!$C$13:$F$13,MATCH(YEAR(AH$3),Assumptions!$C$1:$F$1,0))*Assumptions!$C$12)</f>
        <v>302400</v>
      </c>
      <c r="AI19" s="23">
        <f t="array" ref="AI19">AI18*(INDEX(Assumptions!$C$13:$F$13,MATCH(YEAR(AI$3),Assumptions!$C$1:$F$1,0))*Assumptions!$C$12)</f>
        <v>0</v>
      </c>
      <c r="AJ19" s="23">
        <f t="array" ref="AJ19">AJ18*(INDEX(Assumptions!$C$13:$F$13,MATCH(YEAR(AJ$3),Assumptions!$C$1:$F$1,0))*Assumptions!$C$12)</f>
        <v>302400</v>
      </c>
      <c r="AK19" s="23">
        <f t="array" ref="AK19">AK18*(INDEX(Assumptions!$C$13:$F$13,MATCH(YEAR(AK$3),Assumptions!$C$1:$F$1,0))*Assumptions!$C$12)</f>
        <v>302400</v>
      </c>
      <c r="AL19" s="23">
        <f t="array" ref="AL19">AL18*(INDEX(Assumptions!$C$13:$F$13,MATCH(YEAR(AL$3),Assumptions!$C$1:$F$1,0))*Assumptions!$C$12)</f>
        <v>0</v>
      </c>
      <c r="AM19" s="23">
        <f t="array" ref="AM19">AM18*(INDEX(Assumptions!$C$13:$F$13,MATCH(YEAR(AM$3),Assumptions!$C$1:$F$1,0))*Assumptions!$C$12)</f>
        <v>302400</v>
      </c>
      <c r="AN19" s="23">
        <f t="array" ref="AN19">AN18*(INDEX(Assumptions!$C$13:$F$13,MATCH(YEAR(AN$3),Assumptions!$C$1:$F$1,0))*Assumptions!$C$12)</f>
        <v>302400</v>
      </c>
      <c r="AO19" s="23">
        <f t="array" ref="AO19">AO18*(INDEX(Assumptions!$C$13:$F$13,MATCH(YEAR(AO$3),Assumptions!$C$1:$F$1,0))*Assumptions!$C$12)</f>
        <v>0</v>
      </c>
      <c r="AP19" s="23">
        <f t="array" ref="AP19">AP18*(INDEX(Assumptions!$C$13:$F$13,MATCH(YEAR(AP$3),Assumptions!$C$1:$F$1,0))*Assumptions!$C$12)</f>
        <v>840000</v>
      </c>
      <c r="AQ19" s="23">
        <f t="array" ref="AQ19">AQ18*(INDEX(Assumptions!$C$13:$F$13,MATCH(YEAR(AQ$3),Assumptions!$C$1:$F$1,0))*Assumptions!$C$12)</f>
        <v>420000</v>
      </c>
      <c r="AR19" s="23">
        <f t="array" ref="AR19">AR18*(INDEX(Assumptions!$C$13:$F$13,MATCH(YEAR(AR$3),Assumptions!$C$1:$F$1,0))*Assumptions!$C$12)</f>
        <v>0</v>
      </c>
      <c r="AS19" s="23">
        <f t="array" ref="AS19">AS18*(INDEX(Assumptions!$C$13:$F$13,MATCH(YEAR(AS$3),Assumptions!$C$1:$F$1,0))*Assumptions!$C$12)</f>
        <v>420000</v>
      </c>
      <c r="AT19" s="23">
        <f t="array" ref="AT19">AT18*(INDEX(Assumptions!$C$13:$F$13,MATCH(YEAR(AT$3),Assumptions!$C$1:$F$1,0))*Assumptions!$C$12)</f>
        <v>0</v>
      </c>
      <c r="AU19" s="23">
        <f t="array" ref="AU19">AU18*(INDEX(Assumptions!$C$13:$F$13,MATCH(YEAR(AU$3),Assumptions!$C$1:$F$1,0))*Assumptions!$C$12)</f>
        <v>420000</v>
      </c>
      <c r="AV19" s="23">
        <f t="array" ref="AV19">AV18*(INDEX(Assumptions!$C$13:$F$13,MATCH(YEAR(AV$3),Assumptions!$C$1:$F$1,0))*Assumptions!$C$12)</f>
        <v>420000</v>
      </c>
      <c r="AW19" s="23">
        <f t="array" ref="AW19">AW18*(INDEX(Assumptions!$C$13:$F$13,MATCH(YEAR(AW$3),Assumptions!$C$1:$F$1,0))*Assumptions!$C$12)</f>
        <v>840000</v>
      </c>
      <c r="AX19" s="23">
        <f t="array" ref="AX19">AX18*(INDEX(Assumptions!$C$13:$F$13,MATCH(YEAR(AX$3),Assumptions!$C$1:$F$1,0))*Assumptions!$C$12)</f>
        <v>0</v>
      </c>
      <c r="AY19" s="23">
        <f t="array" ref="AY19">AY18*(INDEX(Assumptions!$C$13:$F$13,MATCH(YEAR(AY$3),Assumptions!$C$1:$F$1,0))*Assumptions!$C$12)</f>
        <v>840000</v>
      </c>
      <c r="AZ19" s="23">
        <f t="array" ref="AZ19">AZ18*(INDEX(Assumptions!$C$13:$F$13,MATCH(YEAR(AZ$3),Assumptions!$C$1:$F$1,0))*Assumptions!$C$12)</f>
        <v>420000</v>
      </c>
      <c r="BA19" s="23">
        <f t="array" ref="BA19">BA18*(INDEX(Assumptions!$C$13:$F$13,MATCH(YEAR(BA$3),Assumptions!$C$1:$F$1,0))*Assumptions!$C$12)</f>
        <v>840000</v>
      </c>
      <c r="BB19" s="1"/>
      <c r="BC19" s="23">
        <f t="shared" ref="BC19:BF19" si="12">SUMPRODUCT((YEAR($F$3:$BA$3)=BC$3)*$F19:$BA19)</f>
        <v>240000</v>
      </c>
      <c r="BD19" s="23">
        <f t="shared" si="12"/>
        <v>1008000</v>
      </c>
      <c r="BE19" s="23">
        <f t="shared" si="12"/>
        <v>2419200</v>
      </c>
      <c r="BF19" s="23">
        <f t="shared" si="12"/>
        <v>5460000</v>
      </c>
    </row>
    <row r="20">
      <c r="A20" s="1"/>
      <c r="B20" s="45" t="s">
        <v>86</v>
      </c>
      <c r="C20" s="46"/>
      <c r="D20" s="46"/>
      <c r="E20" s="45" t="s">
        <v>33</v>
      </c>
      <c r="F20" s="47">
        <f t="shared" ref="F20:BA20" si="13">F17+F19</f>
        <v>0</v>
      </c>
      <c r="G20" s="47">
        <f t="shared" si="13"/>
        <v>8000</v>
      </c>
      <c r="H20" s="47">
        <f t="shared" si="13"/>
        <v>8000</v>
      </c>
      <c r="I20" s="47">
        <f t="shared" si="13"/>
        <v>8000</v>
      </c>
      <c r="J20" s="47">
        <f t="shared" si="13"/>
        <v>16000</v>
      </c>
      <c r="K20" s="47">
        <f t="shared" si="13"/>
        <v>24000</v>
      </c>
      <c r="L20" s="47">
        <f t="shared" si="13"/>
        <v>24000</v>
      </c>
      <c r="M20" s="47">
        <f t="shared" si="13"/>
        <v>24000</v>
      </c>
      <c r="N20" s="47">
        <f t="shared" si="13"/>
        <v>136000</v>
      </c>
      <c r="O20" s="47">
        <f t="shared" si="13"/>
        <v>24000</v>
      </c>
      <c r="P20" s="47">
        <f t="shared" si="13"/>
        <v>24000</v>
      </c>
      <c r="Q20" s="47">
        <f t="shared" si="13"/>
        <v>136000</v>
      </c>
      <c r="R20" s="47">
        <f t="shared" si="13"/>
        <v>218600</v>
      </c>
      <c r="S20" s="47">
        <f t="shared" si="13"/>
        <v>17000</v>
      </c>
      <c r="T20" s="47">
        <f t="shared" si="13"/>
        <v>25500</v>
      </c>
      <c r="U20" s="47">
        <f t="shared" si="13"/>
        <v>34000</v>
      </c>
      <c r="V20" s="47">
        <f t="shared" si="13"/>
        <v>227100</v>
      </c>
      <c r="W20" s="47">
        <f t="shared" si="13"/>
        <v>34000</v>
      </c>
      <c r="X20" s="47">
        <f t="shared" si="13"/>
        <v>42500</v>
      </c>
      <c r="Y20" s="47">
        <f t="shared" si="13"/>
        <v>235600</v>
      </c>
      <c r="Z20" s="47">
        <f t="shared" si="13"/>
        <v>42500</v>
      </c>
      <c r="AA20" s="47">
        <f t="shared" si="13"/>
        <v>244100</v>
      </c>
      <c r="AB20" s="47">
        <f t="shared" si="13"/>
        <v>235600</v>
      </c>
      <c r="AC20" s="47">
        <f t="shared" si="13"/>
        <v>42500</v>
      </c>
      <c r="AD20" s="47">
        <f t="shared" si="13"/>
        <v>344900</v>
      </c>
      <c r="AE20" s="47">
        <f t="shared" si="13"/>
        <v>336400</v>
      </c>
      <c r="AF20" s="47">
        <f t="shared" si="13"/>
        <v>42500</v>
      </c>
      <c r="AG20" s="47">
        <f t="shared" si="13"/>
        <v>344900</v>
      </c>
      <c r="AH20" s="47">
        <f t="shared" si="13"/>
        <v>336400</v>
      </c>
      <c r="AI20" s="47">
        <f t="shared" si="13"/>
        <v>51000</v>
      </c>
      <c r="AJ20" s="47">
        <f t="shared" si="13"/>
        <v>353400</v>
      </c>
      <c r="AK20" s="47">
        <f t="shared" si="13"/>
        <v>344900</v>
      </c>
      <c r="AL20" s="47">
        <f t="shared" si="13"/>
        <v>51000</v>
      </c>
      <c r="AM20" s="47">
        <f t="shared" si="13"/>
        <v>344900</v>
      </c>
      <c r="AN20" s="47">
        <f t="shared" si="13"/>
        <v>344900</v>
      </c>
      <c r="AO20" s="47">
        <f t="shared" si="13"/>
        <v>51000</v>
      </c>
      <c r="AP20" s="47">
        <f t="shared" si="13"/>
        <v>894000</v>
      </c>
      <c r="AQ20" s="47">
        <f t="shared" si="13"/>
        <v>465000</v>
      </c>
      <c r="AR20" s="47">
        <f t="shared" si="13"/>
        <v>63000</v>
      </c>
      <c r="AS20" s="47">
        <f t="shared" si="13"/>
        <v>483000</v>
      </c>
      <c r="AT20" s="47">
        <f t="shared" si="13"/>
        <v>81000</v>
      </c>
      <c r="AU20" s="47">
        <f t="shared" si="13"/>
        <v>492000</v>
      </c>
      <c r="AV20" s="47">
        <f t="shared" si="13"/>
        <v>501000</v>
      </c>
      <c r="AW20" s="47">
        <f t="shared" si="13"/>
        <v>912000</v>
      </c>
      <c r="AX20" s="47">
        <f t="shared" si="13"/>
        <v>90000</v>
      </c>
      <c r="AY20" s="47">
        <f t="shared" si="13"/>
        <v>912000</v>
      </c>
      <c r="AZ20" s="47">
        <f t="shared" si="13"/>
        <v>501000</v>
      </c>
      <c r="BA20" s="47">
        <f t="shared" si="13"/>
        <v>912000</v>
      </c>
      <c r="BB20" s="1"/>
      <c r="BC20" s="47">
        <f t="shared" ref="BC20:BF20" si="14">SUMPRODUCT((YEAR($F$3:$BA$3)=BC$3)*$F20:$BA20)</f>
        <v>432000</v>
      </c>
      <c r="BD20" s="47">
        <f t="shared" si="14"/>
        <v>1399000</v>
      </c>
      <c r="BE20" s="47">
        <f t="shared" si="14"/>
        <v>2946200</v>
      </c>
      <c r="BF20" s="47">
        <f t="shared" si="14"/>
        <v>6306000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87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1"/>
      <c r="BC22" s="7"/>
      <c r="BD22" s="7"/>
      <c r="BE22" s="7"/>
      <c r="BF22" s="7"/>
    </row>
    <row r="23">
      <c r="A23" s="37"/>
      <c r="B23" s="48" t="s">
        <v>88</v>
      </c>
      <c r="C23" s="49"/>
      <c r="D23" s="49"/>
      <c r="E23" s="48" t="s">
        <v>39</v>
      </c>
      <c r="F23" s="50">
        <f t="shared" ref="F23:BA23" si="15">F8+F16</f>
        <v>4</v>
      </c>
      <c r="G23" s="50">
        <f t="shared" si="15"/>
        <v>6</v>
      </c>
      <c r="H23" s="50">
        <f t="shared" si="15"/>
        <v>5</v>
      </c>
      <c r="I23" s="50">
        <f t="shared" si="15"/>
        <v>6</v>
      </c>
      <c r="J23" s="50">
        <f t="shared" si="15"/>
        <v>6</v>
      </c>
      <c r="K23" s="50">
        <f t="shared" si="15"/>
        <v>7</v>
      </c>
      <c r="L23" s="50">
        <f t="shared" si="15"/>
        <v>7</v>
      </c>
      <c r="M23" s="50">
        <f t="shared" si="15"/>
        <v>7</v>
      </c>
      <c r="N23" s="50">
        <f t="shared" si="15"/>
        <v>6</v>
      </c>
      <c r="O23" s="50">
        <f t="shared" si="15"/>
        <v>8</v>
      </c>
      <c r="P23" s="50">
        <f t="shared" si="15"/>
        <v>8</v>
      </c>
      <c r="Q23" s="50">
        <f t="shared" si="15"/>
        <v>7</v>
      </c>
      <c r="R23" s="50">
        <f t="shared" si="15"/>
        <v>7</v>
      </c>
      <c r="S23" s="50">
        <f t="shared" si="15"/>
        <v>7</v>
      </c>
      <c r="T23" s="50">
        <f t="shared" si="15"/>
        <v>8</v>
      </c>
      <c r="U23" s="50">
        <f t="shared" si="15"/>
        <v>9</v>
      </c>
      <c r="V23" s="50">
        <f t="shared" si="15"/>
        <v>8</v>
      </c>
      <c r="W23" s="50">
        <f t="shared" si="15"/>
        <v>9</v>
      </c>
      <c r="X23" s="50">
        <f t="shared" si="15"/>
        <v>10</v>
      </c>
      <c r="Y23" s="50">
        <f t="shared" si="15"/>
        <v>9</v>
      </c>
      <c r="Z23" s="50">
        <f t="shared" si="15"/>
        <v>10</v>
      </c>
      <c r="AA23" s="50">
        <f t="shared" si="15"/>
        <v>10</v>
      </c>
      <c r="AB23" s="50">
        <f t="shared" si="15"/>
        <v>9</v>
      </c>
      <c r="AC23" s="50">
        <f t="shared" si="15"/>
        <v>10</v>
      </c>
      <c r="AD23" s="50">
        <f t="shared" si="15"/>
        <v>10</v>
      </c>
      <c r="AE23" s="50">
        <f t="shared" si="15"/>
        <v>10</v>
      </c>
      <c r="AF23" s="50">
        <f t="shared" si="15"/>
        <v>11</v>
      </c>
      <c r="AG23" s="50">
        <f t="shared" si="15"/>
        <v>11</v>
      </c>
      <c r="AH23" s="50">
        <f t="shared" si="15"/>
        <v>11</v>
      </c>
      <c r="AI23" s="50">
        <f t="shared" si="15"/>
        <v>13</v>
      </c>
      <c r="AJ23" s="50">
        <f t="shared" si="15"/>
        <v>12</v>
      </c>
      <c r="AK23" s="50">
        <f t="shared" si="15"/>
        <v>12</v>
      </c>
      <c r="AL23" s="50">
        <f t="shared" si="15"/>
        <v>13</v>
      </c>
      <c r="AM23" s="50">
        <f t="shared" si="15"/>
        <v>12</v>
      </c>
      <c r="AN23" s="50">
        <f t="shared" si="15"/>
        <v>12</v>
      </c>
      <c r="AO23" s="50">
        <f t="shared" si="15"/>
        <v>13</v>
      </c>
      <c r="AP23" s="50">
        <f t="shared" si="15"/>
        <v>12</v>
      </c>
      <c r="AQ23" s="50">
        <f t="shared" si="15"/>
        <v>12</v>
      </c>
      <c r="AR23" s="50">
        <f t="shared" si="15"/>
        <v>13</v>
      </c>
      <c r="AS23" s="50">
        <f t="shared" si="15"/>
        <v>13</v>
      </c>
      <c r="AT23" s="50">
        <f t="shared" si="15"/>
        <v>15</v>
      </c>
      <c r="AU23" s="50">
        <f t="shared" si="15"/>
        <v>15</v>
      </c>
      <c r="AV23" s="50">
        <f t="shared" si="15"/>
        <v>15</v>
      </c>
      <c r="AW23" s="50">
        <f t="shared" si="15"/>
        <v>14</v>
      </c>
      <c r="AX23" s="50">
        <f t="shared" si="15"/>
        <v>16</v>
      </c>
      <c r="AY23" s="50">
        <f t="shared" si="15"/>
        <v>15</v>
      </c>
      <c r="AZ23" s="50">
        <f t="shared" si="15"/>
        <v>15</v>
      </c>
      <c r="BA23" s="50">
        <f t="shared" si="15"/>
        <v>14</v>
      </c>
      <c r="BB23" s="1"/>
      <c r="BC23" s="50"/>
      <c r="BD23" s="50"/>
      <c r="BE23" s="50"/>
      <c r="BF23" s="50"/>
      <c r="BG23" s="43"/>
      <c r="BH23" s="43"/>
    </row>
    <row r="24">
      <c r="A24" s="37"/>
      <c r="B24" s="48" t="s">
        <v>89</v>
      </c>
      <c r="C24" s="49"/>
      <c r="D24" s="49"/>
      <c r="E24" s="48" t="s">
        <v>39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1"/>
      <c r="BC24" s="50">
        <f t="shared" ref="BC24:BF24" si="16">BC7+BC15</f>
        <v>15</v>
      </c>
      <c r="BD24" s="50">
        <f t="shared" si="16"/>
        <v>20</v>
      </c>
      <c r="BE24" s="50">
        <f t="shared" si="16"/>
        <v>25</v>
      </c>
      <c r="BF24" s="50">
        <f t="shared" si="16"/>
        <v>30</v>
      </c>
      <c r="BG24" s="43"/>
      <c r="BH24" s="43"/>
    </row>
    <row r="25">
      <c r="A25" s="1"/>
      <c r="B25" s="3" t="s">
        <v>90</v>
      </c>
      <c r="C25" s="1"/>
      <c r="D25" s="1"/>
      <c r="E25" s="3" t="s">
        <v>33</v>
      </c>
      <c r="F25" s="23">
        <f t="shared" ref="F25:BA25" si="17">F9+F17</f>
        <v>28000</v>
      </c>
      <c r="G25" s="23">
        <f t="shared" si="17"/>
        <v>43000</v>
      </c>
      <c r="H25" s="23">
        <f t="shared" si="17"/>
        <v>36000</v>
      </c>
      <c r="I25" s="23">
        <f t="shared" si="17"/>
        <v>43000</v>
      </c>
      <c r="J25" s="23">
        <f t="shared" si="17"/>
        <v>44000</v>
      </c>
      <c r="K25" s="23">
        <f t="shared" si="17"/>
        <v>52000</v>
      </c>
      <c r="L25" s="23">
        <f t="shared" si="17"/>
        <v>52000</v>
      </c>
      <c r="M25" s="23">
        <f t="shared" si="17"/>
        <v>52000</v>
      </c>
      <c r="N25" s="23">
        <f t="shared" si="17"/>
        <v>44000</v>
      </c>
      <c r="O25" s="23">
        <f t="shared" si="17"/>
        <v>59000</v>
      </c>
      <c r="P25" s="23">
        <f t="shared" si="17"/>
        <v>59000</v>
      </c>
      <c r="Q25" s="23">
        <f t="shared" si="17"/>
        <v>51000</v>
      </c>
      <c r="R25" s="23">
        <f t="shared" si="17"/>
        <v>54500</v>
      </c>
      <c r="S25" s="23">
        <f t="shared" si="17"/>
        <v>54500</v>
      </c>
      <c r="T25" s="23">
        <f t="shared" si="17"/>
        <v>63000</v>
      </c>
      <c r="U25" s="23">
        <f t="shared" si="17"/>
        <v>71500</v>
      </c>
      <c r="V25" s="23">
        <f t="shared" si="17"/>
        <v>63000</v>
      </c>
      <c r="W25" s="23">
        <f t="shared" si="17"/>
        <v>71500</v>
      </c>
      <c r="X25" s="23">
        <f t="shared" si="17"/>
        <v>80000</v>
      </c>
      <c r="Y25" s="23">
        <f t="shared" si="17"/>
        <v>71500</v>
      </c>
      <c r="Z25" s="23">
        <f t="shared" si="17"/>
        <v>80000</v>
      </c>
      <c r="AA25" s="23">
        <f t="shared" si="17"/>
        <v>80000</v>
      </c>
      <c r="AB25" s="23">
        <f t="shared" si="17"/>
        <v>71500</v>
      </c>
      <c r="AC25" s="23">
        <f t="shared" si="17"/>
        <v>80000</v>
      </c>
      <c r="AD25" s="23">
        <f t="shared" si="17"/>
        <v>82500</v>
      </c>
      <c r="AE25" s="23">
        <f t="shared" si="17"/>
        <v>82000</v>
      </c>
      <c r="AF25" s="23">
        <f t="shared" si="17"/>
        <v>90500</v>
      </c>
      <c r="AG25" s="23">
        <f t="shared" si="17"/>
        <v>90500</v>
      </c>
      <c r="AH25" s="23">
        <f t="shared" si="17"/>
        <v>90000</v>
      </c>
      <c r="AI25" s="23">
        <f t="shared" si="17"/>
        <v>107000</v>
      </c>
      <c r="AJ25" s="23">
        <f t="shared" si="17"/>
        <v>99000</v>
      </c>
      <c r="AK25" s="23">
        <f t="shared" si="17"/>
        <v>98500</v>
      </c>
      <c r="AL25" s="23">
        <f t="shared" si="17"/>
        <v>107000</v>
      </c>
      <c r="AM25" s="23">
        <f t="shared" si="17"/>
        <v>98500</v>
      </c>
      <c r="AN25" s="23">
        <f t="shared" si="17"/>
        <v>98500</v>
      </c>
      <c r="AO25" s="23">
        <f t="shared" si="17"/>
        <v>107000</v>
      </c>
      <c r="AP25" s="23">
        <f t="shared" si="17"/>
        <v>105000</v>
      </c>
      <c r="AQ25" s="23">
        <f t="shared" si="17"/>
        <v>104500</v>
      </c>
      <c r="AR25" s="23">
        <f t="shared" si="17"/>
        <v>114000</v>
      </c>
      <c r="AS25" s="23">
        <f t="shared" si="17"/>
        <v>114000</v>
      </c>
      <c r="AT25" s="23">
        <f t="shared" si="17"/>
        <v>132000</v>
      </c>
      <c r="AU25" s="23">
        <f t="shared" si="17"/>
        <v>131500</v>
      </c>
      <c r="AV25" s="23">
        <f t="shared" si="17"/>
        <v>132000</v>
      </c>
      <c r="AW25" s="23">
        <f t="shared" si="17"/>
        <v>123000</v>
      </c>
      <c r="AX25" s="23">
        <f t="shared" si="17"/>
        <v>141000</v>
      </c>
      <c r="AY25" s="23">
        <f t="shared" si="17"/>
        <v>131500</v>
      </c>
      <c r="AZ25" s="23">
        <f t="shared" si="17"/>
        <v>132000</v>
      </c>
      <c r="BA25" s="23">
        <f t="shared" si="17"/>
        <v>123000</v>
      </c>
      <c r="BB25" s="1"/>
      <c r="BC25" s="23">
        <f t="shared" ref="BC25:BF25" si="18">SUMPRODUCT((YEAR($F$3:$BA$3)=BC$3)*$F25:$BA25)</f>
        <v>563000</v>
      </c>
      <c r="BD25" s="23">
        <f t="shared" si="18"/>
        <v>841000</v>
      </c>
      <c r="BE25" s="23">
        <f t="shared" si="18"/>
        <v>1151000</v>
      </c>
      <c r="BF25" s="23">
        <f t="shared" si="18"/>
        <v>1483500</v>
      </c>
    </row>
    <row r="26">
      <c r="A26" s="1"/>
      <c r="B26" s="3" t="s">
        <v>91</v>
      </c>
      <c r="C26" s="1"/>
      <c r="D26" s="1"/>
      <c r="E26" s="3" t="s">
        <v>33</v>
      </c>
      <c r="F26" s="23">
        <f t="shared" ref="F26:BA26" si="19">F11+F19</f>
        <v>0</v>
      </c>
      <c r="G26" s="23">
        <f t="shared" si="19"/>
        <v>100000</v>
      </c>
      <c r="H26" s="23">
        <f t="shared" si="19"/>
        <v>0</v>
      </c>
      <c r="I26" s="23">
        <f t="shared" si="19"/>
        <v>0</v>
      </c>
      <c r="J26" s="23">
        <f t="shared" si="19"/>
        <v>0</v>
      </c>
      <c r="K26" s="23">
        <f t="shared" si="19"/>
        <v>20000</v>
      </c>
      <c r="L26" s="23">
        <f t="shared" si="19"/>
        <v>20000</v>
      </c>
      <c r="M26" s="23">
        <f t="shared" si="19"/>
        <v>20000</v>
      </c>
      <c r="N26" s="23">
        <f t="shared" si="19"/>
        <v>140000</v>
      </c>
      <c r="O26" s="23">
        <f t="shared" si="19"/>
        <v>0</v>
      </c>
      <c r="P26" s="23">
        <f t="shared" si="19"/>
        <v>20000</v>
      </c>
      <c r="Q26" s="23">
        <f t="shared" si="19"/>
        <v>140000</v>
      </c>
      <c r="R26" s="23">
        <f t="shared" si="19"/>
        <v>236600</v>
      </c>
      <c r="S26" s="23">
        <f t="shared" si="19"/>
        <v>35000</v>
      </c>
      <c r="T26" s="23">
        <f t="shared" si="19"/>
        <v>35000</v>
      </c>
      <c r="U26" s="23">
        <f t="shared" si="19"/>
        <v>35000</v>
      </c>
      <c r="V26" s="23">
        <f t="shared" si="19"/>
        <v>236600</v>
      </c>
      <c r="W26" s="23">
        <f t="shared" si="19"/>
        <v>35000</v>
      </c>
      <c r="X26" s="23">
        <f t="shared" si="19"/>
        <v>35000</v>
      </c>
      <c r="Y26" s="23">
        <f t="shared" si="19"/>
        <v>236600</v>
      </c>
      <c r="Z26" s="23">
        <f t="shared" si="19"/>
        <v>35000</v>
      </c>
      <c r="AA26" s="23">
        <f t="shared" si="19"/>
        <v>236600</v>
      </c>
      <c r="AB26" s="23">
        <f t="shared" si="19"/>
        <v>236600</v>
      </c>
      <c r="AC26" s="23">
        <f t="shared" si="19"/>
        <v>35000</v>
      </c>
      <c r="AD26" s="23">
        <f t="shared" si="19"/>
        <v>358400</v>
      </c>
      <c r="AE26" s="23">
        <f t="shared" si="19"/>
        <v>358400</v>
      </c>
      <c r="AF26" s="23">
        <f t="shared" si="19"/>
        <v>56000</v>
      </c>
      <c r="AG26" s="23">
        <f t="shared" si="19"/>
        <v>358400</v>
      </c>
      <c r="AH26" s="23">
        <f t="shared" si="19"/>
        <v>358400</v>
      </c>
      <c r="AI26" s="23">
        <f t="shared" si="19"/>
        <v>56000</v>
      </c>
      <c r="AJ26" s="23">
        <f t="shared" si="19"/>
        <v>414400</v>
      </c>
      <c r="AK26" s="23">
        <f t="shared" si="19"/>
        <v>358400</v>
      </c>
      <c r="AL26" s="23">
        <f t="shared" si="19"/>
        <v>56000</v>
      </c>
      <c r="AM26" s="23">
        <f t="shared" si="19"/>
        <v>414400</v>
      </c>
      <c r="AN26" s="23">
        <f t="shared" si="19"/>
        <v>358400</v>
      </c>
      <c r="AO26" s="23">
        <f t="shared" si="19"/>
        <v>56000</v>
      </c>
      <c r="AP26" s="23">
        <f t="shared" si="19"/>
        <v>1032000</v>
      </c>
      <c r="AQ26" s="23">
        <f t="shared" si="19"/>
        <v>516000</v>
      </c>
      <c r="AR26" s="23">
        <f t="shared" si="19"/>
        <v>192000</v>
      </c>
      <c r="AS26" s="23">
        <f t="shared" si="19"/>
        <v>516000</v>
      </c>
      <c r="AT26" s="23">
        <f t="shared" si="19"/>
        <v>96000</v>
      </c>
      <c r="AU26" s="23">
        <f t="shared" si="19"/>
        <v>516000</v>
      </c>
      <c r="AV26" s="23">
        <f t="shared" si="19"/>
        <v>612000</v>
      </c>
      <c r="AW26" s="23">
        <f t="shared" si="19"/>
        <v>936000</v>
      </c>
      <c r="AX26" s="23">
        <f t="shared" si="19"/>
        <v>96000</v>
      </c>
      <c r="AY26" s="23">
        <f t="shared" si="19"/>
        <v>936000</v>
      </c>
      <c r="AZ26" s="23">
        <f t="shared" si="19"/>
        <v>612000</v>
      </c>
      <c r="BA26" s="23">
        <f t="shared" si="19"/>
        <v>936000</v>
      </c>
      <c r="BB26" s="1"/>
      <c r="BC26" s="23">
        <f t="shared" ref="BC26:BF26" si="20">SUMPRODUCT((YEAR($F$3:$BA$3)=BC$3)*$F26:$BA26)</f>
        <v>460000</v>
      </c>
      <c r="BD26" s="23">
        <f t="shared" si="20"/>
        <v>1428000</v>
      </c>
      <c r="BE26" s="23">
        <f t="shared" si="20"/>
        <v>3203200</v>
      </c>
      <c r="BF26" s="23">
        <f t="shared" si="20"/>
        <v>6996000</v>
      </c>
    </row>
    <row r="27">
      <c r="A27" s="1"/>
      <c r="B27" s="45" t="s">
        <v>92</v>
      </c>
      <c r="C27" s="46"/>
      <c r="D27" s="46"/>
      <c r="E27" s="45" t="s">
        <v>33</v>
      </c>
      <c r="F27" s="47">
        <f t="shared" ref="F27:BA27" si="21">F25+F26</f>
        <v>28000</v>
      </c>
      <c r="G27" s="47">
        <f t="shared" si="21"/>
        <v>143000</v>
      </c>
      <c r="H27" s="47">
        <f t="shared" si="21"/>
        <v>36000</v>
      </c>
      <c r="I27" s="47">
        <f t="shared" si="21"/>
        <v>43000</v>
      </c>
      <c r="J27" s="47">
        <f t="shared" si="21"/>
        <v>44000</v>
      </c>
      <c r="K27" s="47">
        <f t="shared" si="21"/>
        <v>72000</v>
      </c>
      <c r="L27" s="47">
        <f t="shared" si="21"/>
        <v>72000</v>
      </c>
      <c r="M27" s="47">
        <f t="shared" si="21"/>
        <v>72000</v>
      </c>
      <c r="N27" s="47">
        <f t="shared" si="21"/>
        <v>184000</v>
      </c>
      <c r="O27" s="47">
        <f t="shared" si="21"/>
        <v>59000</v>
      </c>
      <c r="P27" s="47">
        <f t="shared" si="21"/>
        <v>79000</v>
      </c>
      <c r="Q27" s="47">
        <f t="shared" si="21"/>
        <v>191000</v>
      </c>
      <c r="R27" s="47">
        <f t="shared" si="21"/>
        <v>291100</v>
      </c>
      <c r="S27" s="47">
        <f t="shared" si="21"/>
        <v>89500</v>
      </c>
      <c r="T27" s="47">
        <f t="shared" si="21"/>
        <v>98000</v>
      </c>
      <c r="U27" s="47">
        <f t="shared" si="21"/>
        <v>106500</v>
      </c>
      <c r="V27" s="47">
        <f t="shared" si="21"/>
        <v>299600</v>
      </c>
      <c r="W27" s="47">
        <f t="shared" si="21"/>
        <v>106500</v>
      </c>
      <c r="X27" s="47">
        <f t="shared" si="21"/>
        <v>115000</v>
      </c>
      <c r="Y27" s="47">
        <f t="shared" si="21"/>
        <v>308100</v>
      </c>
      <c r="Z27" s="47">
        <f t="shared" si="21"/>
        <v>115000</v>
      </c>
      <c r="AA27" s="47">
        <f t="shared" si="21"/>
        <v>316600</v>
      </c>
      <c r="AB27" s="47">
        <f t="shared" si="21"/>
        <v>308100</v>
      </c>
      <c r="AC27" s="47">
        <f t="shared" si="21"/>
        <v>115000</v>
      </c>
      <c r="AD27" s="47">
        <f t="shared" si="21"/>
        <v>440900</v>
      </c>
      <c r="AE27" s="47">
        <f t="shared" si="21"/>
        <v>440400</v>
      </c>
      <c r="AF27" s="47">
        <f t="shared" si="21"/>
        <v>146500</v>
      </c>
      <c r="AG27" s="47">
        <f t="shared" si="21"/>
        <v>448900</v>
      </c>
      <c r="AH27" s="47">
        <f t="shared" si="21"/>
        <v>448400</v>
      </c>
      <c r="AI27" s="47">
        <f t="shared" si="21"/>
        <v>163000</v>
      </c>
      <c r="AJ27" s="47">
        <f t="shared" si="21"/>
        <v>513400</v>
      </c>
      <c r="AK27" s="47">
        <f t="shared" si="21"/>
        <v>456900</v>
      </c>
      <c r="AL27" s="47">
        <f t="shared" si="21"/>
        <v>163000</v>
      </c>
      <c r="AM27" s="47">
        <f t="shared" si="21"/>
        <v>512900</v>
      </c>
      <c r="AN27" s="47">
        <f t="shared" si="21"/>
        <v>456900</v>
      </c>
      <c r="AO27" s="47">
        <f t="shared" si="21"/>
        <v>163000</v>
      </c>
      <c r="AP27" s="47">
        <f t="shared" si="21"/>
        <v>1137000</v>
      </c>
      <c r="AQ27" s="47">
        <f t="shared" si="21"/>
        <v>620500</v>
      </c>
      <c r="AR27" s="47">
        <f t="shared" si="21"/>
        <v>306000</v>
      </c>
      <c r="AS27" s="47">
        <f t="shared" si="21"/>
        <v>630000</v>
      </c>
      <c r="AT27" s="47">
        <f t="shared" si="21"/>
        <v>228000</v>
      </c>
      <c r="AU27" s="47">
        <f t="shared" si="21"/>
        <v>647500</v>
      </c>
      <c r="AV27" s="47">
        <f t="shared" si="21"/>
        <v>744000</v>
      </c>
      <c r="AW27" s="47">
        <f t="shared" si="21"/>
        <v>1059000</v>
      </c>
      <c r="AX27" s="47">
        <f t="shared" si="21"/>
        <v>237000</v>
      </c>
      <c r="AY27" s="47">
        <f t="shared" si="21"/>
        <v>1067500</v>
      </c>
      <c r="AZ27" s="47">
        <f t="shared" si="21"/>
        <v>744000</v>
      </c>
      <c r="BA27" s="47">
        <f t="shared" si="21"/>
        <v>1059000</v>
      </c>
      <c r="BB27" s="1"/>
      <c r="BC27" s="47">
        <f t="shared" ref="BC27:BF27" si="22">SUMPRODUCT((YEAR($F$3:$BA$3)=BC$3)*$F27:$BA27)</f>
        <v>1023000</v>
      </c>
      <c r="BD27" s="47">
        <f t="shared" si="22"/>
        <v>2269000</v>
      </c>
      <c r="BE27" s="47">
        <f t="shared" si="22"/>
        <v>4354200</v>
      </c>
      <c r="BF27" s="47">
        <f t="shared" si="22"/>
        <v>8479500</v>
      </c>
    </row>
    <row r="28">
      <c r="A28" s="1"/>
      <c r="B28" s="3" t="s">
        <v>93</v>
      </c>
      <c r="C28" s="1"/>
      <c r="D28" s="1"/>
      <c r="E28" s="3" t="s">
        <v>33</v>
      </c>
      <c r="F28" s="23">
        <f>-Assumptions!$C$21*Assumptions!$C$23*F27</f>
        <v>-2100</v>
      </c>
      <c r="G28" s="23">
        <f>-Assumptions!$C$21*Assumptions!$C$23*G27</f>
        <v>-10725</v>
      </c>
      <c r="H28" s="23">
        <f>-Assumptions!$C$21*Assumptions!$C$23*H27</f>
        <v>-2700</v>
      </c>
      <c r="I28" s="23">
        <f>-Assumptions!$C$21*Assumptions!$C$23*I27</f>
        <v>-3225</v>
      </c>
      <c r="J28" s="23">
        <f>-Assumptions!$C$21*Assumptions!$C$23*J27</f>
        <v>-3300</v>
      </c>
      <c r="K28" s="23">
        <f>-Assumptions!$C$21*Assumptions!$C$23*K27</f>
        <v>-5400</v>
      </c>
      <c r="L28" s="23">
        <f>-Assumptions!$C$21*Assumptions!$C$23*L27</f>
        <v>-5400</v>
      </c>
      <c r="M28" s="23">
        <f>-Assumptions!$C$21*Assumptions!$C$23*M27</f>
        <v>-5400</v>
      </c>
      <c r="N28" s="23">
        <f>-Assumptions!$C$21*Assumptions!$C$23*N27</f>
        <v>-13800</v>
      </c>
      <c r="O28" s="23">
        <f>-Assumptions!$C$21*Assumptions!$C$23*O27</f>
        <v>-4425</v>
      </c>
      <c r="P28" s="23">
        <f>-Assumptions!$C$21*Assumptions!$C$23*P27</f>
        <v>-5925</v>
      </c>
      <c r="Q28" s="23">
        <f>-Assumptions!$C$21*Assumptions!$C$23*Q27</f>
        <v>-14325</v>
      </c>
      <c r="R28" s="23">
        <f>-Assumptions!$C$21*Assumptions!$C$23*R27</f>
        <v>-21832.5</v>
      </c>
      <c r="S28" s="23">
        <f>-Assumptions!$C$21*Assumptions!$C$23*S27</f>
        <v>-6712.5</v>
      </c>
      <c r="T28" s="23">
        <f>-Assumptions!$C$21*Assumptions!$C$23*T27</f>
        <v>-7350</v>
      </c>
      <c r="U28" s="23">
        <f>-Assumptions!$C$21*Assumptions!$C$23*U27</f>
        <v>-7987.5</v>
      </c>
      <c r="V28" s="23">
        <f>-Assumptions!$C$21*Assumptions!$C$23*V27</f>
        <v>-22470</v>
      </c>
      <c r="W28" s="23">
        <f>-Assumptions!$C$21*Assumptions!$C$23*W27</f>
        <v>-7987.5</v>
      </c>
      <c r="X28" s="23">
        <f>-Assumptions!$C$21*Assumptions!$C$23*X27</f>
        <v>-8625</v>
      </c>
      <c r="Y28" s="23">
        <f>-Assumptions!$C$21*Assumptions!$C$23*Y27</f>
        <v>-23107.5</v>
      </c>
      <c r="Z28" s="23">
        <f>-Assumptions!$C$21*Assumptions!$C$23*Z27</f>
        <v>-8625</v>
      </c>
      <c r="AA28" s="23">
        <f>-Assumptions!$C$21*Assumptions!$C$23*AA27</f>
        <v>-23745</v>
      </c>
      <c r="AB28" s="23">
        <f>-Assumptions!$C$21*Assumptions!$C$23*AB27</f>
        <v>-23107.5</v>
      </c>
      <c r="AC28" s="23">
        <f>-Assumptions!$C$21*Assumptions!$C$23*AC27</f>
        <v>-8625</v>
      </c>
      <c r="AD28" s="23">
        <f>-Assumptions!$C$21*Assumptions!$C$23*AD27</f>
        <v>-33067.5</v>
      </c>
      <c r="AE28" s="23">
        <f>-Assumptions!$C$21*Assumptions!$C$23*AE27</f>
        <v>-33030</v>
      </c>
      <c r="AF28" s="23">
        <f>-Assumptions!$C$21*Assumptions!$C$23*AF27</f>
        <v>-10987.5</v>
      </c>
      <c r="AG28" s="23">
        <f>-Assumptions!$C$21*Assumptions!$C$23*AG27</f>
        <v>-33667.5</v>
      </c>
      <c r="AH28" s="23">
        <f>-Assumptions!$C$21*Assumptions!$C$23*AH27</f>
        <v>-33630</v>
      </c>
      <c r="AI28" s="23">
        <f>-Assumptions!$C$21*Assumptions!$C$23*AI27</f>
        <v>-12225</v>
      </c>
      <c r="AJ28" s="23">
        <f>-Assumptions!$C$21*Assumptions!$C$23*AJ27</f>
        <v>-38505</v>
      </c>
      <c r="AK28" s="23">
        <f>-Assumptions!$C$21*Assumptions!$C$23*AK27</f>
        <v>-34267.5</v>
      </c>
      <c r="AL28" s="23">
        <f>-Assumptions!$C$21*Assumptions!$C$23*AL27</f>
        <v>-12225</v>
      </c>
      <c r="AM28" s="23">
        <f>-Assumptions!$C$21*Assumptions!$C$23*AM27</f>
        <v>-38467.5</v>
      </c>
      <c r="AN28" s="23">
        <f>-Assumptions!$C$21*Assumptions!$C$23*AN27</f>
        <v>-34267.5</v>
      </c>
      <c r="AO28" s="23">
        <f>-Assumptions!$C$21*Assumptions!$C$23*AO27</f>
        <v>-12225</v>
      </c>
      <c r="AP28" s="23">
        <f>-Assumptions!$C$21*Assumptions!$C$23*AP27</f>
        <v>-85275</v>
      </c>
      <c r="AQ28" s="23">
        <f>-Assumptions!$C$21*Assumptions!$C$23*AQ27</f>
        <v>-46537.5</v>
      </c>
      <c r="AR28" s="23">
        <f>-Assumptions!$C$21*Assumptions!$C$23*AR27</f>
        <v>-22950</v>
      </c>
      <c r="AS28" s="23">
        <f>-Assumptions!$C$21*Assumptions!$C$23*AS27</f>
        <v>-47250</v>
      </c>
      <c r="AT28" s="23">
        <f>-Assumptions!$C$21*Assumptions!$C$23*AT27</f>
        <v>-17100</v>
      </c>
      <c r="AU28" s="23">
        <f>-Assumptions!$C$21*Assumptions!$C$23*AU27</f>
        <v>-48562.5</v>
      </c>
      <c r="AV28" s="23">
        <f>-Assumptions!$C$21*Assumptions!$C$23*AV27</f>
        <v>-55800</v>
      </c>
      <c r="AW28" s="23">
        <f>-Assumptions!$C$21*Assumptions!$C$23*AW27</f>
        <v>-79425</v>
      </c>
      <c r="AX28" s="23">
        <f>-Assumptions!$C$21*Assumptions!$C$23*AX27</f>
        <v>-17775</v>
      </c>
      <c r="AY28" s="23">
        <f>-Assumptions!$C$21*Assumptions!$C$23*AY27</f>
        <v>-80062.5</v>
      </c>
      <c r="AZ28" s="23">
        <f>-Assumptions!$C$21*Assumptions!$C$23*AZ27</f>
        <v>-55800</v>
      </c>
      <c r="BA28" s="23">
        <f>-Assumptions!$C$21*Assumptions!$C$23*BA27</f>
        <v>-79425</v>
      </c>
      <c r="BB28" s="1"/>
      <c r="BC28" s="23">
        <f t="shared" ref="BC28:BF28" si="23">SUMPRODUCT((YEAR($F$3:$BA$3)=BC$3)*$F28:$BA28)</f>
        <v>-76725</v>
      </c>
      <c r="BD28" s="23">
        <f t="shared" si="23"/>
        <v>-170175</v>
      </c>
      <c r="BE28" s="23">
        <f t="shared" si="23"/>
        <v>-326565</v>
      </c>
      <c r="BF28" s="23">
        <f t="shared" si="23"/>
        <v>-635962.5</v>
      </c>
    </row>
    <row r="29">
      <c r="A29" s="1"/>
      <c r="B29" s="45" t="s">
        <v>94</v>
      </c>
      <c r="C29" s="46"/>
      <c r="D29" s="46"/>
      <c r="E29" s="45" t="s">
        <v>33</v>
      </c>
      <c r="F29" s="47">
        <f t="shared" ref="F29:BA29" si="24">F27+F28</f>
        <v>25900</v>
      </c>
      <c r="G29" s="47">
        <f t="shared" si="24"/>
        <v>132275</v>
      </c>
      <c r="H29" s="47">
        <f t="shared" si="24"/>
        <v>33300</v>
      </c>
      <c r="I29" s="47">
        <f t="shared" si="24"/>
        <v>39775</v>
      </c>
      <c r="J29" s="47">
        <f t="shared" si="24"/>
        <v>40700</v>
      </c>
      <c r="K29" s="47">
        <f t="shared" si="24"/>
        <v>66600</v>
      </c>
      <c r="L29" s="47">
        <f t="shared" si="24"/>
        <v>66600</v>
      </c>
      <c r="M29" s="47">
        <f t="shared" si="24"/>
        <v>66600</v>
      </c>
      <c r="N29" s="47">
        <f t="shared" si="24"/>
        <v>170200</v>
      </c>
      <c r="O29" s="47">
        <f t="shared" si="24"/>
        <v>54575</v>
      </c>
      <c r="P29" s="47">
        <f t="shared" si="24"/>
        <v>73075</v>
      </c>
      <c r="Q29" s="47">
        <f t="shared" si="24"/>
        <v>176675</v>
      </c>
      <c r="R29" s="47">
        <f t="shared" si="24"/>
        <v>269267.5</v>
      </c>
      <c r="S29" s="47">
        <f t="shared" si="24"/>
        <v>82787.5</v>
      </c>
      <c r="T29" s="47">
        <f t="shared" si="24"/>
        <v>90650</v>
      </c>
      <c r="U29" s="47">
        <f t="shared" si="24"/>
        <v>98512.5</v>
      </c>
      <c r="V29" s="47">
        <f t="shared" si="24"/>
        <v>277130</v>
      </c>
      <c r="W29" s="47">
        <f t="shared" si="24"/>
        <v>98512.5</v>
      </c>
      <c r="X29" s="47">
        <f t="shared" si="24"/>
        <v>106375</v>
      </c>
      <c r="Y29" s="47">
        <f t="shared" si="24"/>
        <v>284992.5</v>
      </c>
      <c r="Z29" s="47">
        <f t="shared" si="24"/>
        <v>106375</v>
      </c>
      <c r="AA29" s="47">
        <f t="shared" si="24"/>
        <v>292855</v>
      </c>
      <c r="AB29" s="47">
        <f t="shared" si="24"/>
        <v>284992.5</v>
      </c>
      <c r="AC29" s="47">
        <f t="shared" si="24"/>
        <v>106375</v>
      </c>
      <c r="AD29" s="47">
        <f t="shared" si="24"/>
        <v>407832.5</v>
      </c>
      <c r="AE29" s="47">
        <f t="shared" si="24"/>
        <v>407370</v>
      </c>
      <c r="AF29" s="47">
        <f t="shared" si="24"/>
        <v>135512.5</v>
      </c>
      <c r="AG29" s="47">
        <f t="shared" si="24"/>
        <v>415232.5</v>
      </c>
      <c r="AH29" s="47">
        <f t="shared" si="24"/>
        <v>414770</v>
      </c>
      <c r="AI29" s="47">
        <f t="shared" si="24"/>
        <v>150775</v>
      </c>
      <c r="AJ29" s="47">
        <f t="shared" si="24"/>
        <v>474895</v>
      </c>
      <c r="AK29" s="47">
        <f t="shared" si="24"/>
        <v>422632.5</v>
      </c>
      <c r="AL29" s="47">
        <f t="shared" si="24"/>
        <v>150775</v>
      </c>
      <c r="AM29" s="47">
        <f t="shared" si="24"/>
        <v>474432.5</v>
      </c>
      <c r="AN29" s="47">
        <f t="shared" si="24"/>
        <v>422632.5</v>
      </c>
      <c r="AO29" s="47">
        <f t="shared" si="24"/>
        <v>150775</v>
      </c>
      <c r="AP29" s="47">
        <f t="shared" si="24"/>
        <v>1051725</v>
      </c>
      <c r="AQ29" s="47">
        <f t="shared" si="24"/>
        <v>573962.5</v>
      </c>
      <c r="AR29" s="47">
        <f t="shared" si="24"/>
        <v>283050</v>
      </c>
      <c r="AS29" s="47">
        <f t="shared" si="24"/>
        <v>582750</v>
      </c>
      <c r="AT29" s="47">
        <f t="shared" si="24"/>
        <v>210900</v>
      </c>
      <c r="AU29" s="47">
        <f t="shared" si="24"/>
        <v>598937.5</v>
      </c>
      <c r="AV29" s="47">
        <f t="shared" si="24"/>
        <v>688200</v>
      </c>
      <c r="AW29" s="47">
        <f t="shared" si="24"/>
        <v>979575</v>
      </c>
      <c r="AX29" s="47">
        <f t="shared" si="24"/>
        <v>219225</v>
      </c>
      <c r="AY29" s="47">
        <f t="shared" si="24"/>
        <v>987437.5</v>
      </c>
      <c r="AZ29" s="47">
        <f t="shared" si="24"/>
        <v>688200</v>
      </c>
      <c r="BA29" s="47">
        <f t="shared" si="24"/>
        <v>979575</v>
      </c>
      <c r="BB29" s="1"/>
      <c r="BC29" s="47">
        <f t="shared" ref="BC29:BF29" si="25">SUMPRODUCT((YEAR($F$3:$BA$3)=BC$3)*$F29:$BA29)</f>
        <v>946275</v>
      </c>
      <c r="BD29" s="47">
        <f t="shared" si="25"/>
        <v>2098825</v>
      </c>
      <c r="BE29" s="47">
        <f t="shared" si="25"/>
        <v>4027635</v>
      </c>
      <c r="BF29" s="47">
        <f t="shared" si="25"/>
        <v>7843537.5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6" t="s">
        <v>95</v>
      </c>
      <c r="C32" s="7"/>
      <c r="D32" s="7"/>
      <c r="E32" s="7"/>
      <c r="F32" s="7"/>
      <c r="G32" s="7"/>
      <c r="H32" s="7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96</v>
      </c>
      <c r="C33" s="1"/>
      <c r="D33" s="1"/>
      <c r="E33" s="3" t="s">
        <v>39</v>
      </c>
      <c r="F33" s="11">
        <v>3.0</v>
      </c>
      <c r="G33" s="11">
        <v>3.0</v>
      </c>
      <c r="H33" s="11">
        <v>1.0</v>
      </c>
      <c r="I33" s="11">
        <v>1.0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3"/>
      <c r="BD33" s="1"/>
      <c r="BE33" s="1"/>
      <c r="BF33" s="1"/>
    </row>
    <row r="34">
      <c r="A34" s="1"/>
      <c r="B34" s="3" t="s">
        <v>83</v>
      </c>
      <c r="C34" s="1"/>
      <c r="D34" s="1"/>
      <c r="E34" s="3" t="s">
        <v>39</v>
      </c>
      <c r="F34" s="32"/>
      <c r="G34" s="11">
        <v>1.0</v>
      </c>
      <c r="H34" s="32"/>
      <c r="I34" s="3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97</v>
      </c>
      <c r="C35" s="1"/>
      <c r="D35" s="1"/>
      <c r="E35" s="3" t="s">
        <v>33</v>
      </c>
      <c r="F35" s="1"/>
      <c r="G35" s="23">
        <f t="array" ref="G35">INDEX(Assumptions!$C$6:$F$6,MATCH(2027,Assumptions!$C$1:$F$1,0))*Assumptions!$C$5</f>
        <v>100000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51" t="s">
        <v>98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BB73" s="1"/>
    </row>
    <row r="74">
      <c r="BB74" s="1"/>
    </row>
    <row r="75">
      <c r="BB75" s="1"/>
    </row>
    <row r="76">
      <c r="BB76" s="1"/>
    </row>
    <row r="77">
      <c r="BB77" s="1"/>
    </row>
    <row r="78">
      <c r="BB78" s="1"/>
    </row>
    <row r="79">
      <c r="BB79" s="1"/>
    </row>
    <row r="80">
      <c r="BB80" s="1"/>
    </row>
    <row r="81">
      <c r="BB81" s="1"/>
    </row>
    <row r="82">
      <c r="BB82" s="1"/>
    </row>
  </sheetData>
  <mergeCells count="1">
    <mergeCell ref="B36:E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79</v>
      </c>
      <c r="F3" s="44">
        <v>46388.0</v>
      </c>
      <c r="G3" s="44">
        <v>46419.0</v>
      </c>
      <c r="H3" s="44">
        <v>46447.0</v>
      </c>
      <c r="I3" s="44">
        <v>46478.0</v>
      </c>
      <c r="J3" s="44">
        <v>46508.0</v>
      </c>
      <c r="K3" s="44">
        <v>46539.0</v>
      </c>
      <c r="L3" s="44">
        <v>46569.0</v>
      </c>
      <c r="M3" s="44">
        <v>46600.0</v>
      </c>
      <c r="N3" s="44">
        <v>46631.0</v>
      </c>
      <c r="O3" s="44">
        <v>46661.0</v>
      </c>
      <c r="P3" s="44">
        <v>46692.0</v>
      </c>
      <c r="Q3" s="44">
        <v>46722.0</v>
      </c>
      <c r="R3" s="44">
        <v>46753.0</v>
      </c>
      <c r="S3" s="44">
        <v>46784.0</v>
      </c>
      <c r="T3" s="44">
        <v>46813.0</v>
      </c>
      <c r="U3" s="44">
        <v>46844.0</v>
      </c>
      <c r="V3" s="44">
        <v>46874.0</v>
      </c>
      <c r="W3" s="44">
        <v>46905.0</v>
      </c>
      <c r="X3" s="44">
        <v>46935.0</v>
      </c>
      <c r="Y3" s="44">
        <v>46966.0</v>
      </c>
      <c r="Z3" s="44">
        <v>46997.0</v>
      </c>
      <c r="AA3" s="44">
        <v>47027.0</v>
      </c>
      <c r="AB3" s="44">
        <v>47058.0</v>
      </c>
      <c r="AC3" s="44">
        <v>47088.0</v>
      </c>
      <c r="AD3" s="44">
        <v>47119.0</v>
      </c>
      <c r="AE3" s="44">
        <v>47150.0</v>
      </c>
      <c r="AF3" s="44">
        <v>47178.0</v>
      </c>
      <c r="AG3" s="44">
        <v>47209.0</v>
      </c>
      <c r="AH3" s="44">
        <v>47239.0</v>
      </c>
      <c r="AI3" s="44">
        <v>47270.0</v>
      </c>
      <c r="AJ3" s="44">
        <v>47300.0</v>
      </c>
      <c r="AK3" s="44">
        <v>47331.0</v>
      </c>
      <c r="AL3" s="44">
        <v>47362.0</v>
      </c>
      <c r="AM3" s="44">
        <v>47392.0</v>
      </c>
      <c r="AN3" s="44">
        <v>47423.0</v>
      </c>
      <c r="AO3" s="44">
        <v>47453.0</v>
      </c>
      <c r="AP3" s="44">
        <v>47484.0</v>
      </c>
      <c r="AQ3" s="44">
        <v>47515.0</v>
      </c>
      <c r="AR3" s="44">
        <v>47543.0</v>
      </c>
      <c r="AS3" s="44">
        <v>47574.0</v>
      </c>
      <c r="AT3" s="44">
        <v>47604.0</v>
      </c>
      <c r="AU3" s="44">
        <v>47635.0</v>
      </c>
      <c r="AV3" s="44">
        <v>47665.0</v>
      </c>
      <c r="AW3" s="44">
        <v>47696.0</v>
      </c>
      <c r="AX3" s="44">
        <v>47727.0</v>
      </c>
      <c r="AY3" s="44">
        <v>47757.0</v>
      </c>
      <c r="AZ3" s="44">
        <v>47788.0</v>
      </c>
      <c r="BA3" s="44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100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101</v>
      </c>
      <c r="C7" s="1"/>
      <c r="D7" s="1"/>
      <c r="E7" s="3" t="s">
        <v>39</v>
      </c>
      <c r="F7" s="32">
        <f>'Revenue forecast'!F8+'Revenue forecast'!F16</f>
        <v>4</v>
      </c>
      <c r="G7" s="32">
        <f>'Revenue forecast'!G8+'Revenue forecast'!G16</f>
        <v>6</v>
      </c>
      <c r="H7" s="32">
        <f>'Revenue forecast'!H8+'Revenue forecast'!H16</f>
        <v>5</v>
      </c>
      <c r="I7" s="32">
        <f>'Revenue forecast'!I8+'Revenue forecast'!I16</f>
        <v>6</v>
      </c>
      <c r="J7" s="32">
        <f>'Revenue forecast'!J8+'Revenue forecast'!J16</f>
        <v>6</v>
      </c>
      <c r="K7" s="32">
        <f>'Revenue forecast'!K8+'Revenue forecast'!K16</f>
        <v>7</v>
      </c>
      <c r="L7" s="32">
        <f>'Revenue forecast'!L8+'Revenue forecast'!L16</f>
        <v>7</v>
      </c>
      <c r="M7" s="32">
        <f>'Revenue forecast'!M8+'Revenue forecast'!M16</f>
        <v>7</v>
      </c>
      <c r="N7" s="32">
        <f>'Revenue forecast'!N8+'Revenue forecast'!N16</f>
        <v>6</v>
      </c>
      <c r="O7" s="32">
        <f>'Revenue forecast'!O8+'Revenue forecast'!O16</f>
        <v>8</v>
      </c>
      <c r="P7" s="32">
        <f>'Revenue forecast'!P8+'Revenue forecast'!P16</f>
        <v>8</v>
      </c>
      <c r="Q7" s="32">
        <f>'Revenue forecast'!Q8+'Revenue forecast'!Q16</f>
        <v>7</v>
      </c>
      <c r="R7" s="32">
        <f>'Revenue forecast'!R8+'Revenue forecast'!R16</f>
        <v>7</v>
      </c>
      <c r="S7" s="32">
        <f>'Revenue forecast'!S8+'Revenue forecast'!S16</f>
        <v>7</v>
      </c>
      <c r="T7" s="32">
        <f>'Revenue forecast'!T8+'Revenue forecast'!T16</f>
        <v>8</v>
      </c>
      <c r="U7" s="32">
        <f>'Revenue forecast'!U8+'Revenue forecast'!U16</f>
        <v>9</v>
      </c>
      <c r="V7" s="32">
        <f>'Revenue forecast'!V8+'Revenue forecast'!V16</f>
        <v>8</v>
      </c>
      <c r="W7" s="32">
        <f>'Revenue forecast'!W8+'Revenue forecast'!W16</f>
        <v>9</v>
      </c>
      <c r="X7" s="32">
        <f>'Revenue forecast'!X8+'Revenue forecast'!X16</f>
        <v>10</v>
      </c>
      <c r="Y7" s="32">
        <f>'Revenue forecast'!Y8+'Revenue forecast'!Y16</f>
        <v>9</v>
      </c>
      <c r="Z7" s="32">
        <f>'Revenue forecast'!Z8+'Revenue forecast'!Z16</f>
        <v>10</v>
      </c>
      <c r="AA7" s="32">
        <f>'Revenue forecast'!AA8+'Revenue forecast'!AA16</f>
        <v>10</v>
      </c>
      <c r="AB7" s="32">
        <f>'Revenue forecast'!AB8+'Revenue forecast'!AB16</f>
        <v>9</v>
      </c>
      <c r="AC7" s="32">
        <f>'Revenue forecast'!AC8+'Revenue forecast'!AC16</f>
        <v>10</v>
      </c>
      <c r="AD7" s="32">
        <f>'Revenue forecast'!AD8+'Revenue forecast'!AD16</f>
        <v>10</v>
      </c>
      <c r="AE7" s="32">
        <f>'Revenue forecast'!AE8+'Revenue forecast'!AE16</f>
        <v>10</v>
      </c>
      <c r="AF7" s="32">
        <f>'Revenue forecast'!AF8+'Revenue forecast'!AF16</f>
        <v>11</v>
      </c>
      <c r="AG7" s="32">
        <f>'Revenue forecast'!AG8+'Revenue forecast'!AG16</f>
        <v>11</v>
      </c>
      <c r="AH7" s="32">
        <f>'Revenue forecast'!AH8+'Revenue forecast'!AH16</f>
        <v>11</v>
      </c>
      <c r="AI7" s="32">
        <f>'Revenue forecast'!AI8+'Revenue forecast'!AI16</f>
        <v>13</v>
      </c>
      <c r="AJ7" s="32">
        <f>'Revenue forecast'!AJ8+'Revenue forecast'!AJ16</f>
        <v>12</v>
      </c>
      <c r="AK7" s="32">
        <f>'Revenue forecast'!AK8+'Revenue forecast'!AK16</f>
        <v>12</v>
      </c>
      <c r="AL7" s="32">
        <f>'Revenue forecast'!AL8+'Revenue forecast'!AL16</f>
        <v>13</v>
      </c>
      <c r="AM7" s="32">
        <f>'Revenue forecast'!AM8+'Revenue forecast'!AM16</f>
        <v>12</v>
      </c>
      <c r="AN7" s="32">
        <f>'Revenue forecast'!AN8+'Revenue forecast'!AN16</f>
        <v>12</v>
      </c>
      <c r="AO7" s="32">
        <f>'Revenue forecast'!AO8+'Revenue forecast'!AO16</f>
        <v>13</v>
      </c>
      <c r="AP7" s="32">
        <f>'Revenue forecast'!AP8+'Revenue forecast'!AP16</f>
        <v>12</v>
      </c>
      <c r="AQ7" s="32">
        <f>'Revenue forecast'!AQ8+'Revenue forecast'!AQ16</f>
        <v>12</v>
      </c>
      <c r="AR7" s="32">
        <f>'Revenue forecast'!AR8+'Revenue forecast'!AR16</f>
        <v>13</v>
      </c>
      <c r="AS7" s="32">
        <f>'Revenue forecast'!AS8+'Revenue forecast'!AS16</f>
        <v>13</v>
      </c>
      <c r="AT7" s="32">
        <f>'Revenue forecast'!AT8+'Revenue forecast'!AT16</f>
        <v>15</v>
      </c>
      <c r="AU7" s="32">
        <f>'Revenue forecast'!AU8+'Revenue forecast'!AU16</f>
        <v>15</v>
      </c>
      <c r="AV7" s="32">
        <f>'Revenue forecast'!AV8+'Revenue forecast'!AV16</f>
        <v>15</v>
      </c>
      <c r="AW7" s="32">
        <f>'Revenue forecast'!AW8+'Revenue forecast'!AW16</f>
        <v>14</v>
      </c>
      <c r="AX7" s="32">
        <f>'Revenue forecast'!AX8+'Revenue forecast'!AX16</f>
        <v>16</v>
      </c>
      <c r="AY7" s="32">
        <f>'Revenue forecast'!AY8+'Revenue forecast'!AY16</f>
        <v>15</v>
      </c>
      <c r="AZ7" s="32">
        <f>'Revenue forecast'!AZ8+'Revenue forecast'!AZ16</f>
        <v>15</v>
      </c>
      <c r="BA7" s="32">
        <f>'Revenue forecast'!BA8+'Revenue forecast'!BA16</f>
        <v>14</v>
      </c>
      <c r="BB7" s="32"/>
      <c r="BC7" s="32">
        <f t="shared" ref="BC7:BC15" si="1">Q7</f>
        <v>7</v>
      </c>
      <c r="BD7" s="32">
        <f t="shared" ref="BD7:BD15" si="2">AC7</f>
        <v>10</v>
      </c>
      <c r="BE7" s="32">
        <f t="shared" ref="BE7:BE15" si="3">AO7</f>
        <v>13</v>
      </c>
      <c r="BF7" s="32">
        <f t="shared" ref="BF7:BF15" si="4">BA7</f>
        <v>14</v>
      </c>
    </row>
    <row r="8">
      <c r="A8" s="1"/>
      <c r="B8" s="3" t="s">
        <v>102</v>
      </c>
      <c r="C8" s="1"/>
      <c r="D8" s="1"/>
      <c r="E8" s="3" t="s">
        <v>39</v>
      </c>
      <c r="F8" s="32">
        <f t="array" ref="F8">MAX(1,CEILING(F7/INDEX(Assumptions!$C$36:$F$36,MATCH(YEAR(F$3),Assumptions!$C$1:$F$1,0)),1))</f>
        <v>2</v>
      </c>
      <c r="G8" s="32">
        <f t="array" ref="G8">MAX(F8,CEILING(G7/INDEX(Assumptions!$C$36:$F$36,MATCH(YEAR(G$3),Assumptions!$C$1:$F$1,0)),1))</f>
        <v>2</v>
      </c>
      <c r="H8" s="32">
        <f t="array" ref="H8">MAX(G8,CEILING(H7/INDEX(Assumptions!$C$36:$F$36,MATCH(YEAR(H$3),Assumptions!$C$1:$F$1,0)),1))</f>
        <v>2</v>
      </c>
      <c r="I8" s="32">
        <f t="array" ref="I8">MAX(H8,CEILING(I7/INDEX(Assumptions!$C$36:$F$36,MATCH(YEAR(I$3),Assumptions!$C$1:$F$1,0)),1))</f>
        <v>2</v>
      </c>
      <c r="J8" s="32">
        <f t="array" ref="J8">MAX(I8,CEILING(J7/INDEX(Assumptions!$C$36:$F$36,MATCH(YEAR(J$3),Assumptions!$C$1:$F$1,0)),1))</f>
        <v>2</v>
      </c>
      <c r="K8" s="32">
        <f t="array" ref="K8">MAX(J8,CEILING(K7/INDEX(Assumptions!$C$36:$F$36,MATCH(YEAR(K$3),Assumptions!$C$1:$F$1,0)),1))</f>
        <v>3</v>
      </c>
      <c r="L8" s="32">
        <f t="array" ref="L8">MAX(K8,CEILING(L7/INDEX(Assumptions!$C$36:$F$36,MATCH(YEAR(L$3),Assumptions!$C$1:$F$1,0)),1))</f>
        <v>3</v>
      </c>
      <c r="M8" s="32">
        <f t="array" ref="M8">MAX(L8,CEILING(M7/INDEX(Assumptions!$C$36:$F$36,MATCH(YEAR(M$3),Assumptions!$C$1:$F$1,0)),1))</f>
        <v>3</v>
      </c>
      <c r="N8" s="32">
        <f t="array" ref="N8">MAX(M8,CEILING(N7/INDEX(Assumptions!$C$36:$F$36,MATCH(YEAR(N$3),Assumptions!$C$1:$F$1,0)),1))</f>
        <v>3</v>
      </c>
      <c r="O8" s="32">
        <f t="array" ref="O8">MAX(N8,CEILING(O7/INDEX(Assumptions!$C$36:$F$36,MATCH(YEAR(O$3),Assumptions!$C$1:$F$1,0)),1))</f>
        <v>3</v>
      </c>
      <c r="P8" s="32">
        <f t="array" ref="P8">MAX(O8,CEILING(P7/INDEX(Assumptions!$C$36:$F$36,MATCH(YEAR(P$3),Assumptions!$C$1:$F$1,0)),1))</f>
        <v>3</v>
      </c>
      <c r="Q8" s="32">
        <f t="array" ref="Q8">MAX(P8,CEILING(Q7/INDEX(Assumptions!$C$36:$F$36,MATCH(YEAR(Q$3),Assumptions!$C$1:$F$1,0)),1))</f>
        <v>3</v>
      </c>
      <c r="R8" s="32">
        <f t="array" ref="R8">MAX(Q8,CEILING(R7/INDEX(Assumptions!$C$36:$F$36,MATCH(YEAR(R$3),Assumptions!$C$1:$F$1,0)),1))</f>
        <v>3</v>
      </c>
      <c r="S8" s="32">
        <f t="array" ref="S8">MAX(R8,CEILING(S7/INDEX(Assumptions!$C$36:$F$36,MATCH(YEAR(S$3),Assumptions!$C$1:$F$1,0)),1))</f>
        <v>3</v>
      </c>
      <c r="T8" s="32">
        <f t="array" ref="T8">MAX(S8,CEILING(T7/INDEX(Assumptions!$C$36:$F$36,MATCH(YEAR(T$3),Assumptions!$C$1:$F$1,0)),1))</f>
        <v>3</v>
      </c>
      <c r="U8" s="32">
        <f t="array" ref="U8">MAX(T8,CEILING(U7/INDEX(Assumptions!$C$36:$F$36,MATCH(YEAR(U$3),Assumptions!$C$1:$F$1,0)),1))</f>
        <v>3</v>
      </c>
      <c r="V8" s="32">
        <f t="array" ref="V8">MAX(U8,CEILING(V7/INDEX(Assumptions!$C$36:$F$36,MATCH(YEAR(V$3),Assumptions!$C$1:$F$1,0)),1))</f>
        <v>3</v>
      </c>
      <c r="W8" s="32">
        <f t="array" ref="W8">MAX(V8,CEILING(W7/INDEX(Assumptions!$C$36:$F$36,MATCH(YEAR(W$3),Assumptions!$C$1:$F$1,0)),1))</f>
        <v>3</v>
      </c>
      <c r="X8" s="32">
        <f t="array" ref="X8">MAX(W8,CEILING(X7/INDEX(Assumptions!$C$36:$F$36,MATCH(YEAR(X$3),Assumptions!$C$1:$F$1,0)),1))</f>
        <v>4</v>
      </c>
      <c r="Y8" s="32">
        <f t="array" ref="Y8">MAX(X8,CEILING(Y7/INDEX(Assumptions!$C$36:$F$36,MATCH(YEAR(Y$3),Assumptions!$C$1:$F$1,0)),1))</f>
        <v>4</v>
      </c>
      <c r="Z8" s="32">
        <f t="array" ref="Z8">MAX(Y8,CEILING(Z7/INDEX(Assumptions!$C$36:$F$36,MATCH(YEAR(Z$3),Assumptions!$C$1:$F$1,0)),1))</f>
        <v>4</v>
      </c>
      <c r="AA8" s="32">
        <f t="array" ref="AA8">MAX(Z8,CEILING(AA7/INDEX(Assumptions!$C$36:$F$36,MATCH(YEAR(AA$3),Assumptions!$C$1:$F$1,0)),1))</f>
        <v>4</v>
      </c>
      <c r="AB8" s="32">
        <f t="array" ref="AB8">MAX(AA8,CEILING(AB7/INDEX(Assumptions!$C$36:$F$36,MATCH(YEAR(AB$3),Assumptions!$C$1:$F$1,0)),1))</f>
        <v>4</v>
      </c>
      <c r="AC8" s="32">
        <f t="array" ref="AC8">MAX(AB8,CEILING(AC7/INDEX(Assumptions!$C$36:$F$36,MATCH(YEAR(AC$3),Assumptions!$C$1:$F$1,0)),1))</f>
        <v>4</v>
      </c>
      <c r="AD8" s="32">
        <f t="array" ref="AD8">MAX(AC8,CEILING(AD7/INDEX(Assumptions!$C$36:$F$36,MATCH(YEAR(AD$3),Assumptions!$C$1:$F$1,0)),1))</f>
        <v>4</v>
      </c>
      <c r="AE8" s="32">
        <f t="array" ref="AE8">MAX(AD8,CEILING(AE7/INDEX(Assumptions!$C$36:$F$36,MATCH(YEAR(AE$3),Assumptions!$C$1:$F$1,0)),1))</f>
        <v>4</v>
      </c>
      <c r="AF8" s="32">
        <f t="array" ref="AF8">MAX(AE8,CEILING(AF7/INDEX(Assumptions!$C$36:$F$36,MATCH(YEAR(AF$3),Assumptions!$C$1:$F$1,0)),1))</f>
        <v>4</v>
      </c>
      <c r="AG8" s="32">
        <f t="array" ref="AG8">MAX(AF8,CEILING(AG7/INDEX(Assumptions!$C$36:$F$36,MATCH(YEAR(AG$3),Assumptions!$C$1:$F$1,0)),1))</f>
        <v>4</v>
      </c>
      <c r="AH8" s="32">
        <f t="array" ref="AH8">MAX(AG8,CEILING(AH7/INDEX(Assumptions!$C$36:$F$36,MATCH(YEAR(AH$3),Assumptions!$C$1:$F$1,0)),1))</f>
        <v>4</v>
      </c>
      <c r="AI8" s="32">
        <f t="array" ref="AI8">MAX(AH8,CEILING(AI7/INDEX(Assumptions!$C$36:$F$36,MATCH(YEAR(AI$3),Assumptions!$C$1:$F$1,0)),1))</f>
        <v>5</v>
      </c>
      <c r="AJ8" s="32">
        <f t="array" ref="AJ8">MAX(AI8,CEILING(AJ7/INDEX(Assumptions!$C$36:$F$36,MATCH(YEAR(AJ$3),Assumptions!$C$1:$F$1,0)),1))</f>
        <v>5</v>
      </c>
      <c r="AK8" s="32">
        <f t="array" ref="AK8">MAX(AJ8,CEILING(AK7/INDEX(Assumptions!$C$36:$F$36,MATCH(YEAR(AK$3),Assumptions!$C$1:$F$1,0)),1))</f>
        <v>5</v>
      </c>
      <c r="AL8" s="32">
        <f t="array" ref="AL8">MAX(AK8,CEILING(AL7/INDEX(Assumptions!$C$36:$F$36,MATCH(YEAR(AL$3),Assumptions!$C$1:$F$1,0)),1))</f>
        <v>5</v>
      </c>
      <c r="AM8" s="32">
        <f t="array" ref="AM8">MAX(AL8,CEILING(AM7/INDEX(Assumptions!$C$36:$F$36,MATCH(YEAR(AM$3),Assumptions!$C$1:$F$1,0)),1))</f>
        <v>5</v>
      </c>
      <c r="AN8" s="32">
        <f t="array" ref="AN8">MAX(AM8,CEILING(AN7/INDEX(Assumptions!$C$36:$F$36,MATCH(YEAR(AN$3),Assumptions!$C$1:$F$1,0)),1))</f>
        <v>5</v>
      </c>
      <c r="AO8" s="32">
        <f t="array" ref="AO8">MAX(AN8,CEILING(AO7/INDEX(Assumptions!$C$36:$F$36,MATCH(YEAR(AO$3),Assumptions!$C$1:$F$1,0)),1))</f>
        <v>5</v>
      </c>
      <c r="AP8" s="32">
        <f t="array" ref="AP8">MAX(AO8,CEILING(AP7/INDEX(Assumptions!$C$36:$F$36,MATCH(YEAR(AP$3),Assumptions!$C$1:$F$1,0)),1))</f>
        <v>5</v>
      </c>
      <c r="AQ8" s="32">
        <f t="array" ref="AQ8">MAX(AP8,CEILING(AQ7/INDEX(Assumptions!$C$36:$F$36,MATCH(YEAR(AQ$3),Assumptions!$C$1:$F$1,0)),1))</f>
        <v>5</v>
      </c>
      <c r="AR8" s="32">
        <f t="array" ref="AR8">MAX(AQ8,CEILING(AR7/INDEX(Assumptions!$C$36:$F$36,MATCH(YEAR(AR$3),Assumptions!$C$1:$F$1,0)),1))</f>
        <v>5</v>
      </c>
      <c r="AS8" s="32">
        <f t="array" ref="AS8">MAX(AR8,CEILING(AS7/INDEX(Assumptions!$C$36:$F$36,MATCH(YEAR(AS$3),Assumptions!$C$1:$F$1,0)),1))</f>
        <v>5</v>
      </c>
      <c r="AT8" s="32">
        <f t="array" ref="AT8">MAX(AS8,CEILING(AT7/INDEX(Assumptions!$C$36:$F$36,MATCH(YEAR(AT$3),Assumptions!$C$1:$F$1,0)),1))</f>
        <v>5</v>
      </c>
      <c r="AU8" s="32">
        <f t="array" ref="AU8">MAX(AT8,CEILING(AU7/INDEX(Assumptions!$C$36:$F$36,MATCH(YEAR(AU$3),Assumptions!$C$1:$F$1,0)),1))</f>
        <v>5</v>
      </c>
      <c r="AV8" s="32">
        <f t="array" ref="AV8">MAX(AU8,CEILING(AV7/INDEX(Assumptions!$C$36:$F$36,MATCH(YEAR(AV$3),Assumptions!$C$1:$F$1,0)),1))</f>
        <v>5</v>
      </c>
      <c r="AW8" s="32">
        <f t="array" ref="AW8">MAX(AV8,CEILING(AW7/INDEX(Assumptions!$C$36:$F$36,MATCH(YEAR(AW$3),Assumptions!$C$1:$F$1,0)),1))</f>
        <v>5</v>
      </c>
      <c r="AX8" s="32">
        <f t="array" ref="AX8">MAX(AW8,CEILING(AX7/INDEX(Assumptions!$C$36:$F$36,MATCH(YEAR(AX$3),Assumptions!$C$1:$F$1,0)),1))</f>
        <v>6</v>
      </c>
      <c r="AY8" s="32">
        <f t="array" ref="AY8">MAX(AX8,CEILING(AY7/INDEX(Assumptions!$C$36:$F$36,MATCH(YEAR(AY$3),Assumptions!$C$1:$F$1,0)),1))</f>
        <v>6</v>
      </c>
      <c r="AZ8" s="32">
        <f t="array" ref="AZ8">MAX(AY8,CEILING(AZ7/INDEX(Assumptions!$C$36:$F$36,MATCH(YEAR(AZ$3),Assumptions!$C$1:$F$1,0)),1))</f>
        <v>6</v>
      </c>
      <c r="BA8" s="32">
        <f t="array" ref="BA8">MAX(AZ8,CEILING(BA7/INDEX(Assumptions!$C$36:$F$36,MATCH(YEAR(BA$3),Assumptions!$C$1:$F$1,0)),1))</f>
        <v>6</v>
      </c>
      <c r="BB8" s="32"/>
      <c r="BC8" s="32">
        <f t="shared" si="1"/>
        <v>3</v>
      </c>
      <c r="BD8" s="32">
        <f t="shared" si="2"/>
        <v>4</v>
      </c>
      <c r="BE8" s="32">
        <f t="shared" si="3"/>
        <v>5</v>
      </c>
      <c r="BF8" s="32">
        <f t="shared" si="4"/>
        <v>6</v>
      </c>
    </row>
    <row r="9">
      <c r="A9" s="1"/>
      <c r="B9" s="3" t="s">
        <v>103</v>
      </c>
      <c r="C9" s="1"/>
      <c r="D9" s="1"/>
      <c r="E9" s="3" t="s">
        <v>39</v>
      </c>
      <c r="F9" s="32">
        <f>IF(F7&gt;=Assumptions!$C$40,2,IF(F7&gt;=Assumptions!$C$39,1,0))</f>
        <v>0</v>
      </c>
      <c r="G9" s="32">
        <f>MAX(F9,IF(G7&gt;=Assumptions!$C$40,2,IF(G7&gt;=Assumptions!$C$39,1,0)))</f>
        <v>0</v>
      </c>
      <c r="H9" s="32">
        <f>MAX(G9,IF(H7&gt;=Assumptions!$C$40,2,IF(H7&gt;=Assumptions!$C$39,1,0)))</f>
        <v>0</v>
      </c>
      <c r="I9" s="32">
        <f>MAX(H9,IF(I7&gt;=Assumptions!$C$40,2,IF(I7&gt;=Assumptions!$C$39,1,0)))</f>
        <v>0</v>
      </c>
      <c r="J9" s="32">
        <f>MAX(I9,IF(J7&gt;=Assumptions!$C$40,2,IF(J7&gt;=Assumptions!$C$39,1,0)))</f>
        <v>0</v>
      </c>
      <c r="K9" s="32">
        <f>MAX(J9,IF(K7&gt;=Assumptions!$C$40,2,IF(K7&gt;=Assumptions!$C$39,1,0)))</f>
        <v>0</v>
      </c>
      <c r="L9" s="32">
        <f>MAX(K9,IF(L7&gt;=Assumptions!$C$40,2,IF(L7&gt;=Assumptions!$C$39,1,0)))</f>
        <v>0</v>
      </c>
      <c r="M9" s="32">
        <f>MAX(L9,IF(M7&gt;=Assumptions!$C$40,2,IF(M7&gt;=Assumptions!$C$39,1,0)))</f>
        <v>0</v>
      </c>
      <c r="N9" s="32">
        <f>MAX(M9,IF(N7&gt;=Assumptions!$C$40,2,IF(N7&gt;=Assumptions!$C$39,1,0)))</f>
        <v>0</v>
      </c>
      <c r="O9" s="32">
        <f>MAX(N9,IF(O7&gt;=Assumptions!$C$40,2,IF(O7&gt;=Assumptions!$C$39,1,0)))</f>
        <v>0</v>
      </c>
      <c r="P9" s="32">
        <f>MAX(O9,IF(P7&gt;=Assumptions!$C$40,2,IF(P7&gt;=Assumptions!$C$39,1,0)))</f>
        <v>0</v>
      </c>
      <c r="Q9" s="32">
        <f>MAX(P9,IF(Q7&gt;=Assumptions!$C$40,2,IF(Q7&gt;=Assumptions!$C$39,1,0)))</f>
        <v>0</v>
      </c>
      <c r="R9" s="32">
        <f>MAX(Q9,IF(R7&gt;=Assumptions!$C$40,2,IF(R7&gt;=Assumptions!$C$39,1,0)))</f>
        <v>0</v>
      </c>
      <c r="S9" s="32">
        <f>MAX(R9,IF(S7&gt;=Assumptions!$C$40,2,IF(S7&gt;=Assumptions!$C$39,1,0)))</f>
        <v>0</v>
      </c>
      <c r="T9" s="32">
        <f>MAX(S9,IF(T7&gt;=Assumptions!$C$40,2,IF(T7&gt;=Assumptions!$C$39,1,0)))</f>
        <v>0</v>
      </c>
      <c r="U9" s="32">
        <f>MAX(T9,IF(U7&gt;=Assumptions!$C$40,2,IF(U7&gt;=Assumptions!$C$39,1,0)))</f>
        <v>0</v>
      </c>
      <c r="V9" s="32">
        <f>MAX(U9,IF(V7&gt;=Assumptions!$C$40,2,IF(V7&gt;=Assumptions!$C$39,1,0)))</f>
        <v>0</v>
      </c>
      <c r="W9" s="32">
        <f>MAX(V9,IF(W7&gt;=Assumptions!$C$40,2,IF(W7&gt;=Assumptions!$C$39,1,0)))</f>
        <v>0</v>
      </c>
      <c r="X9" s="32">
        <f>MAX(W9,IF(X7&gt;=Assumptions!$C$40,2,IF(X7&gt;=Assumptions!$C$39,1,0)))</f>
        <v>1</v>
      </c>
      <c r="Y9" s="32">
        <f>MAX(X9,IF(Y7&gt;=Assumptions!$C$40,2,IF(Y7&gt;=Assumptions!$C$39,1,0)))</f>
        <v>1</v>
      </c>
      <c r="Z9" s="32">
        <f>MAX(Y9,IF(Z7&gt;=Assumptions!$C$40,2,IF(Z7&gt;=Assumptions!$C$39,1,0)))</f>
        <v>1</v>
      </c>
      <c r="AA9" s="32">
        <f>MAX(Z9,IF(AA7&gt;=Assumptions!$C$40,2,IF(AA7&gt;=Assumptions!$C$39,1,0)))</f>
        <v>1</v>
      </c>
      <c r="AB9" s="32">
        <f>MAX(AA9,IF(AB7&gt;=Assumptions!$C$40,2,IF(AB7&gt;=Assumptions!$C$39,1,0)))</f>
        <v>1</v>
      </c>
      <c r="AC9" s="32">
        <f>MAX(AB9,IF(AC7&gt;=Assumptions!$C$40,2,IF(AC7&gt;=Assumptions!$C$39,1,0)))</f>
        <v>1</v>
      </c>
      <c r="AD9" s="32">
        <f>MAX(AC9,IF(AD7&gt;=Assumptions!$C$40,2,IF(AD7&gt;=Assumptions!$C$39,1,0)))</f>
        <v>1</v>
      </c>
      <c r="AE9" s="32">
        <f>MAX(AD9,IF(AE7&gt;=Assumptions!$C$40,2,IF(AE7&gt;=Assumptions!$C$39,1,0)))</f>
        <v>1</v>
      </c>
      <c r="AF9" s="32">
        <f>MAX(AE9,IF(AF7&gt;=Assumptions!$C$40,2,IF(AF7&gt;=Assumptions!$C$39,1,0)))</f>
        <v>1</v>
      </c>
      <c r="AG9" s="32">
        <f>MAX(AF9,IF(AG7&gt;=Assumptions!$C$40,2,IF(AG7&gt;=Assumptions!$C$39,1,0)))</f>
        <v>1</v>
      </c>
      <c r="AH9" s="32">
        <f>MAX(AG9,IF(AH7&gt;=Assumptions!$C$40,2,IF(AH7&gt;=Assumptions!$C$39,1,0)))</f>
        <v>1</v>
      </c>
      <c r="AI9" s="32">
        <f>MAX(AH9,IF(AI7&gt;=Assumptions!$C$40,2,IF(AI7&gt;=Assumptions!$C$39,1,0)))</f>
        <v>1</v>
      </c>
      <c r="AJ9" s="32">
        <f>MAX(AI9,IF(AJ7&gt;=Assumptions!$C$40,2,IF(AJ7&gt;=Assumptions!$C$39,1,0)))</f>
        <v>1</v>
      </c>
      <c r="AK9" s="32">
        <f>MAX(AJ9,IF(AK7&gt;=Assumptions!$C$40,2,IF(AK7&gt;=Assumptions!$C$39,1,0)))</f>
        <v>1</v>
      </c>
      <c r="AL9" s="32">
        <f>MAX(AK9,IF(AL7&gt;=Assumptions!$C$40,2,IF(AL7&gt;=Assumptions!$C$39,1,0)))</f>
        <v>1</v>
      </c>
      <c r="AM9" s="32">
        <f>MAX(AL9,IF(AM7&gt;=Assumptions!$C$40,2,IF(AM7&gt;=Assumptions!$C$39,1,0)))</f>
        <v>1</v>
      </c>
      <c r="AN9" s="32">
        <f>MAX(AM9,IF(AN7&gt;=Assumptions!$C$40,2,IF(AN7&gt;=Assumptions!$C$39,1,0)))</f>
        <v>1</v>
      </c>
      <c r="AO9" s="32">
        <f>MAX(AN9,IF(AO7&gt;=Assumptions!$C$40,2,IF(AO7&gt;=Assumptions!$C$39,1,0)))</f>
        <v>1</v>
      </c>
      <c r="AP9" s="32">
        <f>MAX(AO9,IF(AP7&gt;=Assumptions!$C$40,2,IF(AP7&gt;=Assumptions!$C$39,1,0)))</f>
        <v>1</v>
      </c>
      <c r="AQ9" s="32">
        <f>MAX(AP9,IF(AQ7&gt;=Assumptions!$C$40,2,IF(AQ7&gt;=Assumptions!$C$39,1,0)))</f>
        <v>1</v>
      </c>
      <c r="AR9" s="32">
        <f>MAX(AQ9,IF(AR7&gt;=Assumptions!$C$40,2,IF(AR7&gt;=Assumptions!$C$39,1,0)))</f>
        <v>1</v>
      </c>
      <c r="AS9" s="32">
        <f>MAX(AR9,IF(AS7&gt;=Assumptions!$C$40,2,IF(AS7&gt;=Assumptions!$C$39,1,0)))</f>
        <v>1</v>
      </c>
      <c r="AT9" s="32">
        <f>MAX(AS9,IF(AT7&gt;=Assumptions!$C$40,2,IF(AT7&gt;=Assumptions!$C$39,1,0)))</f>
        <v>2</v>
      </c>
      <c r="AU9" s="32">
        <f>MAX(AT9,IF(AU7&gt;=Assumptions!$C$40,2,IF(AU7&gt;=Assumptions!$C$39,1,0)))</f>
        <v>2</v>
      </c>
      <c r="AV9" s="32">
        <f>MAX(AU9,IF(AV7&gt;=Assumptions!$C$40,2,IF(AV7&gt;=Assumptions!$C$39,1,0)))</f>
        <v>2</v>
      </c>
      <c r="AW9" s="32">
        <f>MAX(AV9,IF(AW7&gt;=Assumptions!$C$40,2,IF(AW7&gt;=Assumptions!$C$39,1,0)))</f>
        <v>2</v>
      </c>
      <c r="AX9" s="32">
        <f>MAX(AW9,IF(AX7&gt;=Assumptions!$C$40,2,IF(AX7&gt;=Assumptions!$C$39,1,0)))</f>
        <v>2</v>
      </c>
      <c r="AY9" s="32">
        <f>MAX(AX9,IF(AY7&gt;=Assumptions!$C$40,2,IF(AY7&gt;=Assumptions!$C$39,1,0)))</f>
        <v>2</v>
      </c>
      <c r="AZ9" s="32">
        <f>MAX(AY9,IF(AZ7&gt;=Assumptions!$C$40,2,IF(AZ7&gt;=Assumptions!$C$39,1,0)))</f>
        <v>2</v>
      </c>
      <c r="BA9" s="32">
        <f>MAX(AZ9,IF(BA7&gt;=Assumptions!$C$40,2,IF(BA7&gt;=Assumptions!$C$39,1,0)))</f>
        <v>2</v>
      </c>
      <c r="BB9" s="32"/>
      <c r="BC9" s="32">
        <f t="shared" si="1"/>
        <v>0</v>
      </c>
      <c r="BD9" s="32">
        <f t="shared" si="2"/>
        <v>1</v>
      </c>
      <c r="BE9" s="32">
        <f t="shared" si="3"/>
        <v>1</v>
      </c>
      <c r="BF9" s="32">
        <f t="shared" si="4"/>
        <v>2</v>
      </c>
    </row>
    <row r="10">
      <c r="A10" s="1"/>
      <c r="B10" s="3" t="s">
        <v>104</v>
      </c>
      <c r="C10" s="1"/>
      <c r="D10" s="1"/>
      <c r="E10" s="3" t="s">
        <v>39</v>
      </c>
      <c r="F10" s="32">
        <f>MAX(Assumptions!$C$41,ROUNDDOWN((F8+F9)/3,0))</f>
        <v>2</v>
      </c>
      <c r="G10" s="32">
        <f>MAX(Assumptions!$C$41,ROUNDDOWN((G8+G9)/3,0))</f>
        <v>2</v>
      </c>
      <c r="H10" s="32">
        <f>MAX(Assumptions!$C$41,ROUNDDOWN((H8+H9)/3,0))</f>
        <v>2</v>
      </c>
      <c r="I10" s="32">
        <f>MAX(Assumptions!$C$41,ROUNDDOWN((I8+I9)/3,0))</f>
        <v>2</v>
      </c>
      <c r="J10" s="32">
        <f>MAX(Assumptions!$C$41,ROUNDDOWN((J8+J9)/3,0))</f>
        <v>2</v>
      </c>
      <c r="K10" s="32">
        <f>MAX(Assumptions!$C$41,ROUNDDOWN((K8+K9)/3,0))</f>
        <v>2</v>
      </c>
      <c r="L10" s="32">
        <f>MAX(Assumptions!$C$41,ROUNDDOWN((L8+L9)/3,0))</f>
        <v>2</v>
      </c>
      <c r="M10" s="32">
        <f>MAX(Assumptions!$C$41,ROUNDDOWN((M8+M9)/3,0))</f>
        <v>2</v>
      </c>
      <c r="N10" s="32">
        <f>MAX(Assumptions!$C$41,ROUNDDOWN((N8+N9)/3,0))</f>
        <v>2</v>
      </c>
      <c r="O10" s="32">
        <f>MAX(Assumptions!$C$41,ROUNDDOWN((O8+O9)/3,0))</f>
        <v>2</v>
      </c>
      <c r="P10" s="32">
        <f>MAX(Assumptions!$C$41,ROUNDDOWN((P8+P9)/3,0))</f>
        <v>2</v>
      </c>
      <c r="Q10" s="32">
        <f>MAX(Assumptions!$C$41,ROUNDDOWN((Q8+Q9)/3,0))</f>
        <v>2</v>
      </c>
      <c r="R10" s="32">
        <f>MAX(Assumptions!$C$41,ROUNDDOWN((R8+R9)/3,0))</f>
        <v>2</v>
      </c>
      <c r="S10" s="32">
        <f>MAX(Assumptions!$C$41,ROUNDDOWN((S8+S9)/3,0))</f>
        <v>2</v>
      </c>
      <c r="T10" s="32">
        <f>MAX(Assumptions!$C$41,ROUNDDOWN((T8+T9)/3,0))</f>
        <v>2</v>
      </c>
      <c r="U10" s="32">
        <f>MAX(Assumptions!$C$41,ROUNDDOWN((U8+U9)/3,0))</f>
        <v>2</v>
      </c>
      <c r="V10" s="32">
        <f>MAX(Assumptions!$C$41,ROUNDDOWN((V8+V9)/3,0))</f>
        <v>2</v>
      </c>
      <c r="W10" s="32">
        <f>MAX(Assumptions!$C$41,ROUNDDOWN((W8+W9)/3,0))</f>
        <v>2</v>
      </c>
      <c r="X10" s="32">
        <f>MAX(Assumptions!$C$41,ROUNDDOWN((X8+X9)/3,0))</f>
        <v>2</v>
      </c>
      <c r="Y10" s="32">
        <f>MAX(Assumptions!$C$41,ROUNDDOWN((Y8+Y9)/3,0))</f>
        <v>2</v>
      </c>
      <c r="Z10" s="32">
        <f>MAX(Assumptions!$C$41,ROUNDDOWN((Z8+Z9)/3,0))</f>
        <v>2</v>
      </c>
      <c r="AA10" s="32">
        <f>MAX(Assumptions!$C$41,ROUNDDOWN((AA8+AA9)/3,0))</f>
        <v>2</v>
      </c>
      <c r="AB10" s="32">
        <f>MAX(Assumptions!$C$41,ROUNDDOWN((AB8+AB9)/3,0))</f>
        <v>2</v>
      </c>
      <c r="AC10" s="32">
        <f>MAX(Assumptions!$C$41,ROUNDDOWN((AC8+AC9)/3,0))</f>
        <v>2</v>
      </c>
      <c r="AD10" s="32">
        <f>MAX(Assumptions!$C$41,ROUNDDOWN((AD8+AD9)/3,0))</f>
        <v>2</v>
      </c>
      <c r="AE10" s="32">
        <f>MAX(Assumptions!$C$41,ROUNDDOWN((AE8+AE9)/3,0))</f>
        <v>2</v>
      </c>
      <c r="AF10" s="32">
        <f>MAX(Assumptions!$C$41,ROUNDDOWN((AF8+AF9)/3,0))</f>
        <v>2</v>
      </c>
      <c r="AG10" s="32">
        <f>MAX(Assumptions!$C$41,ROUNDDOWN((AG8+AG9)/3,0))</f>
        <v>2</v>
      </c>
      <c r="AH10" s="32">
        <f>MAX(Assumptions!$C$41,ROUNDDOWN((AH8+AH9)/3,0))</f>
        <v>2</v>
      </c>
      <c r="AI10" s="32">
        <f>MAX(Assumptions!$C$41,ROUNDDOWN((AI8+AI9)/3,0))</f>
        <v>2</v>
      </c>
      <c r="AJ10" s="32">
        <f>MAX(Assumptions!$C$41,ROUNDDOWN((AJ8+AJ9)/3,0))</f>
        <v>2</v>
      </c>
      <c r="AK10" s="32">
        <f>MAX(Assumptions!$C$41,ROUNDDOWN((AK8+AK9)/3,0))</f>
        <v>2</v>
      </c>
      <c r="AL10" s="32">
        <f>MAX(Assumptions!$C$41,ROUNDDOWN((AL8+AL9)/3,0))</f>
        <v>2</v>
      </c>
      <c r="AM10" s="32">
        <f>MAX(Assumptions!$C$41,ROUNDDOWN((AM8+AM9)/3,0))</f>
        <v>2</v>
      </c>
      <c r="AN10" s="32">
        <f>MAX(Assumptions!$C$41,ROUNDDOWN((AN8+AN9)/3,0))</f>
        <v>2</v>
      </c>
      <c r="AO10" s="32">
        <f>MAX(Assumptions!$C$41,ROUNDDOWN((AO8+AO9)/3,0))</f>
        <v>2</v>
      </c>
      <c r="AP10" s="32">
        <f>MAX(Assumptions!$C$41,ROUNDDOWN((AP8+AP9)/3,0))</f>
        <v>2</v>
      </c>
      <c r="AQ10" s="32">
        <f>MAX(Assumptions!$C$41,ROUNDDOWN((AQ8+AQ9)/3,0))</f>
        <v>2</v>
      </c>
      <c r="AR10" s="32">
        <f>MAX(Assumptions!$C$41,ROUNDDOWN((AR8+AR9)/3,0))</f>
        <v>2</v>
      </c>
      <c r="AS10" s="32">
        <f>MAX(Assumptions!$C$41,ROUNDDOWN((AS8+AS9)/3,0))</f>
        <v>2</v>
      </c>
      <c r="AT10" s="32">
        <f>MAX(Assumptions!$C$41,ROUNDDOWN((AT8+AT9)/3,0))</f>
        <v>2</v>
      </c>
      <c r="AU10" s="32">
        <f>MAX(Assumptions!$C$41,ROUNDDOWN((AU8+AU9)/3,0))</f>
        <v>2</v>
      </c>
      <c r="AV10" s="32">
        <f>MAX(Assumptions!$C$41,ROUNDDOWN((AV8+AV9)/3,0))</f>
        <v>2</v>
      </c>
      <c r="AW10" s="32">
        <f>MAX(Assumptions!$C$41,ROUNDDOWN((AW8+AW9)/3,0))</f>
        <v>2</v>
      </c>
      <c r="AX10" s="32">
        <f>MAX(Assumptions!$C$41,ROUNDDOWN((AX8+AX9)/3,0))</f>
        <v>2</v>
      </c>
      <c r="AY10" s="32">
        <f>MAX(Assumptions!$C$41,ROUNDDOWN((AY8+AY9)/3,0))</f>
        <v>2</v>
      </c>
      <c r="AZ10" s="32">
        <f>MAX(Assumptions!$C$41,ROUNDDOWN((AZ8+AZ9)/3,0))</f>
        <v>2</v>
      </c>
      <c r="BA10" s="32">
        <f>MAX(Assumptions!$C$41,ROUNDDOWN((BA8+BA9)/3,0))</f>
        <v>2</v>
      </c>
      <c r="BB10" s="32"/>
      <c r="BC10" s="32">
        <f t="shared" si="1"/>
        <v>2</v>
      </c>
      <c r="BD10" s="32">
        <f t="shared" si="2"/>
        <v>2</v>
      </c>
      <c r="BE10" s="32">
        <f t="shared" si="3"/>
        <v>2</v>
      </c>
      <c r="BF10" s="32">
        <f t="shared" si="4"/>
        <v>2</v>
      </c>
    </row>
    <row r="11">
      <c r="A11" s="1"/>
      <c r="B11" s="3" t="s">
        <v>105</v>
      </c>
      <c r="C11" s="1"/>
      <c r="D11" s="1"/>
      <c r="E11" s="3" t="s">
        <v>39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2"/>
      <c r="BC11" s="32">
        <f t="shared" si="1"/>
        <v>1</v>
      </c>
      <c r="BD11" s="32">
        <f t="shared" si="2"/>
        <v>1</v>
      </c>
      <c r="BE11" s="32">
        <f t="shared" si="3"/>
        <v>1</v>
      </c>
      <c r="BF11" s="32">
        <f t="shared" si="4"/>
        <v>1</v>
      </c>
    </row>
    <row r="12">
      <c r="A12" s="1"/>
      <c r="B12" s="3" t="s">
        <v>106</v>
      </c>
      <c r="C12" s="1"/>
      <c r="D12" s="1"/>
      <c r="E12" s="3" t="s">
        <v>39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2"/>
      <c r="BC12" s="32">
        <f t="shared" si="1"/>
        <v>1</v>
      </c>
      <c r="BD12" s="32">
        <f t="shared" si="2"/>
        <v>1</v>
      </c>
      <c r="BE12" s="32">
        <f t="shared" si="3"/>
        <v>1</v>
      </c>
      <c r="BF12" s="32">
        <f t="shared" si="4"/>
        <v>1</v>
      </c>
    </row>
    <row r="13">
      <c r="A13" s="1"/>
      <c r="B13" s="3" t="s">
        <v>107</v>
      </c>
      <c r="C13" s="1"/>
      <c r="D13" s="1"/>
      <c r="E13" s="3" t="s">
        <v>39</v>
      </c>
      <c r="F13" s="11">
        <v>1.0</v>
      </c>
      <c r="G13" s="11">
        <v>1.0</v>
      </c>
      <c r="H13" s="11">
        <v>1.0</v>
      </c>
      <c r="I13" s="11">
        <v>1.0</v>
      </c>
      <c r="J13" s="11">
        <v>1.0</v>
      </c>
      <c r="K13" s="11">
        <v>1.0</v>
      </c>
      <c r="L13" s="11">
        <v>1.0</v>
      </c>
      <c r="M13" s="11">
        <v>1.0</v>
      </c>
      <c r="N13" s="11">
        <v>1.0</v>
      </c>
      <c r="O13" s="11">
        <v>1.0</v>
      </c>
      <c r="P13" s="11">
        <v>1.0</v>
      </c>
      <c r="Q13" s="11">
        <v>1.0</v>
      </c>
      <c r="R13" s="11">
        <v>1.0</v>
      </c>
      <c r="S13" s="11">
        <v>1.0</v>
      </c>
      <c r="T13" s="11">
        <v>1.0</v>
      </c>
      <c r="U13" s="11">
        <v>1.0</v>
      </c>
      <c r="V13" s="11">
        <v>1.0</v>
      </c>
      <c r="W13" s="11">
        <v>1.0</v>
      </c>
      <c r="X13" s="11">
        <v>1.0</v>
      </c>
      <c r="Y13" s="11">
        <v>1.0</v>
      </c>
      <c r="Z13" s="11">
        <v>1.0</v>
      </c>
      <c r="AA13" s="11">
        <v>1.0</v>
      </c>
      <c r="AB13" s="11">
        <v>1.0</v>
      </c>
      <c r="AC13" s="11">
        <v>1.0</v>
      </c>
      <c r="AD13" s="11">
        <v>1.0</v>
      </c>
      <c r="AE13" s="11">
        <v>1.0</v>
      </c>
      <c r="AF13" s="11">
        <v>1.0</v>
      </c>
      <c r="AG13" s="11">
        <v>1.0</v>
      </c>
      <c r="AH13" s="11">
        <v>1.0</v>
      </c>
      <c r="AI13" s="11">
        <v>1.0</v>
      </c>
      <c r="AJ13" s="11">
        <v>1.0</v>
      </c>
      <c r="AK13" s="11">
        <v>1.0</v>
      </c>
      <c r="AL13" s="11">
        <v>1.0</v>
      </c>
      <c r="AM13" s="11">
        <v>1.0</v>
      </c>
      <c r="AN13" s="11">
        <v>1.0</v>
      </c>
      <c r="AO13" s="11">
        <v>1.0</v>
      </c>
      <c r="AP13" s="11">
        <v>1.0</v>
      </c>
      <c r="AQ13" s="11">
        <v>1.0</v>
      </c>
      <c r="AR13" s="11">
        <v>1.0</v>
      </c>
      <c r="AS13" s="11">
        <v>1.0</v>
      </c>
      <c r="AT13" s="11">
        <v>1.0</v>
      </c>
      <c r="AU13" s="11">
        <v>1.0</v>
      </c>
      <c r="AV13" s="11">
        <v>1.0</v>
      </c>
      <c r="AW13" s="11">
        <v>1.0</v>
      </c>
      <c r="AX13" s="11">
        <v>1.0</v>
      </c>
      <c r="AY13" s="11">
        <v>1.0</v>
      </c>
      <c r="AZ13" s="11">
        <v>1.0</v>
      </c>
      <c r="BA13" s="11">
        <v>1.0</v>
      </c>
      <c r="BB13" s="32"/>
      <c r="BC13" s="32">
        <f t="shared" si="1"/>
        <v>1</v>
      </c>
      <c r="BD13" s="32">
        <f t="shared" si="2"/>
        <v>1</v>
      </c>
      <c r="BE13" s="32">
        <f t="shared" si="3"/>
        <v>1</v>
      </c>
      <c r="BF13" s="32">
        <f t="shared" si="4"/>
        <v>1</v>
      </c>
    </row>
    <row r="14">
      <c r="A14" s="1"/>
      <c r="B14" s="3" t="s">
        <v>108</v>
      </c>
      <c r="C14" s="1"/>
      <c r="D14" s="1"/>
      <c r="E14" s="3" t="s">
        <v>39</v>
      </c>
      <c r="F14" s="11">
        <v>1.0</v>
      </c>
      <c r="G14" s="11">
        <v>1.0</v>
      </c>
      <c r="H14" s="11">
        <v>1.0</v>
      </c>
      <c r="I14" s="11">
        <v>1.0</v>
      </c>
      <c r="J14" s="11">
        <v>1.0</v>
      </c>
      <c r="K14" s="11">
        <v>1.0</v>
      </c>
      <c r="L14" s="11">
        <v>1.0</v>
      </c>
      <c r="M14" s="11">
        <v>1.0</v>
      </c>
      <c r="N14" s="11">
        <v>1.0</v>
      </c>
      <c r="O14" s="11">
        <v>1.0</v>
      </c>
      <c r="P14" s="11">
        <v>1.0</v>
      </c>
      <c r="Q14" s="11">
        <v>1.0</v>
      </c>
      <c r="R14" s="11">
        <v>1.0</v>
      </c>
      <c r="S14" s="11">
        <v>1.0</v>
      </c>
      <c r="T14" s="11">
        <v>1.0</v>
      </c>
      <c r="U14" s="11">
        <v>1.0</v>
      </c>
      <c r="V14" s="11">
        <v>1.0</v>
      </c>
      <c r="W14" s="11">
        <v>1.0</v>
      </c>
      <c r="X14" s="11">
        <v>1.0</v>
      </c>
      <c r="Y14" s="11">
        <v>1.0</v>
      </c>
      <c r="Z14" s="11">
        <v>1.0</v>
      </c>
      <c r="AA14" s="11">
        <v>1.0</v>
      </c>
      <c r="AB14" s="11">
        <v>1.0</v>
      </c>
      <c r="AC14" s="11">
        <v>1.0</v>
      </c>
      <c r="AD14" s="11">
        <v>1.0</v>
      </c>
      <c r="AE14" s="11">
        <v>1.0</v>
      </c>
      <c r="AF14" s="11">
        <v>1.0</v>
      </c>
      <c r="AG14" s="11">
        <v>1.0</v>
      </c>
      <c r="AH14" s="11">
        <v>1.0</v>
      </c>
      <c r="AI14" s="11">
        <v>1.0</v>
      </c>
      <c r="AJ14" s="11">
        <v>1.0</v>
      </c>
      <c r="AK14" s="11">
        <v>1.0</v>
      </c>
      <c r="AL14" s="11">
        <v>1.0</v>
      </c>
      <c r="AM14" s="11">
        <v>1.0</v>
      </c>
      <c r="AN14" s="11">
        <v>1.0</v>
      </c>
      <c r="AO14" s="11">
        <v>1.0</v>
      </c>
      <c r="AP14" s="11">
        <v>1.0</v>
      </c>
      <c r="AQ14" s="11">
        <v>1.0</v>
      </c>
      <c r="AR14" s="11">
        <v>1.0</v>
      </c>
      <c r="AS14" s="11">
        <v>1.0</v>
      </c>
      <c r="AT14" s="11">
        <v>1.0</v>
      </c>
      <c r="AU14" s="11">
        <v>1.0</v>
      </c>
      <c r="AV14" s="11">
        <v>1.0</v>
      </c>
      <c r="AW14" s="11">
        <v>1.0</v>
      </c>
      <c r="AX14" s="11">
        <v>1.0</v>
      </c>
      <c r="AY14" s="11">
        <v>1.0</v>
      </c>
      <c r="AZ14" s="11">
        <v>1.0</v>
      </c>
      <c r="BA14" s="11">
        <v>1.0</v>
      </c>
      <c r="BB14" s="32"/>
      <c r="BC14" s="32">
        <f t="shared" si="1"/>
        <v>1</v>
      </c>
      <c r="BD14" s="32">
        <f t="shared" si="2"/>
        <v>1</v>
      </c>
      <c r="BE14" s="32">
        <f t="shared" si="3"/>
        <v>1</v>
      </c>
      <c r="BF14" s="32">
        <f t="shared" si="4"/>
        <v>1</v>
      </c>
    </row>
    <row r="15">
      <c r="A15" s="1"/>
      <c r="B15" s="45" t="s">
        <v>109</v>
      </c>
      <c r="C15" s="46"/>
      <c r="D15" s="46"/>
      <c r="E15" s="45" t="s">
        <v>39</v>
      </c>
      <c r="F15" s="52">
        <f t="shared" ref="F15:BA15" si="5">SUM(F8:F14)</f>
        <v>8</v>
      </c>
      <c r="G15" s="52">
        <f t="shared" si="5"/>
        <v>8</v>
      </c>
      <c r="H15" s="52">
        <f t="shared" si="5"/>
        <v>8</v>
      </c>
      <c r="I15" s="52">
        <f t="shared" si="5"/>
        <v>8</v>
      </c>
      <c r="J15" s="52">
        <f t="shared" si="5"/>
        <v>8</v>
      </c>
      <c r="K15" s="52">
        <f t="shared" si="5"/>
        <v>9</v>
      </c>
      <c r="L15" s="52">
        <f t="shared" si="5"/>
        <v>9</v>
      </c>
      <c r="M15" s="52">
        <f t="shared" si="5"/>
        <v>9</v>
      </c>
      <c r="N15" s="52">
        <f t="shared" si="5"/>
        <v>9</v>
      </c>
      <c r="O15" s="52">
        <f t="shared" si="5"/>
        <v>9</v>
      </c>
      <c r="P15" s="52">
        <f t="shared" si="5"/>
        <v>9</v>
      </c>
      <c r="Q15" s="52">
        <f t="shared" si="5"/>
        <v>9</v>
      </c>
      <c r="R15" s="52">
        <f t="shared" si="5"/>
        <v>9</v>
      </c>
      <c r="S15" s="52">
        <f t="shared" si="5"/>
        <v>9</v>
      </c>
      <c r="T15" s="52">
        <f t="shared" si="5"/>
        <v>9</v>
      </c>
      <c r="U15" s="52">
        <f t="shared" si="5"/>
        <v>9</v>
      </c>
      <c r="V15" s="52">
        <f t="shared" si="5"/>
        <v>9</v>
      </c>
      <c r="W15" s="52">
        <f t="shared" si="5"/>
        <v>9</v>
      </c>
      <c r="X15" s="52">
        <f t="shared" si="5"/>
        <v>11</v>
      </c>
      <c r="Y15" s="52">
        <f t="shared" si="5"/>
        <v>11</v>
      </c>
      <c r="Z15" s="52">
        <f t="shared" si="5"/>
        <v>11</v>
      </c>
      <c r="AA15" s="52">
        <f t="shared" si="5"/>
        <v>11</v>
      </c>
      <c r="AB15" s="52">
        <f t="shared" si="5"/>
        <v>11</v>
      </c>
      <c r="AC15" s="52">
        <f t="shared" si="5"/>
        <v>11</v>
      </c>
      <c r="AD15" s="52">
        <f t="shared" si="5"/>
        <v>11</v>
      </c>
      <c r="AE15" s="52">
        <f t="shared" si="5"/>
        <v>11</v>
      </c>
      <c r="AF15" s="52">
        <f t="shared" si="5"/>
        <v>11</v>
      </c>
      <c r="AG15" s="52">
        <f t="shared" si="5"/>
        <v>11</v>
      </c>
      <c r="AH15" s="52">
        <f t="shared" si="5"/>
        <v>11</v>
      </c>
      <c r="AI15" s="52">
        <f t="shared" si="5"/>
        <v>12</v>
      </c>
      <c r="AJ15" s="52">
        <f t="shared" si="5"/>
        <v>12</v>
      </c>
      <c r="AK15" s="52">
        <f t="shared" si="5"/>
        <v>12</v>
      </c>
      <c r="AL15" s="52">
        <f t="shared" si="5"/>
        <v>12</v>
      </c>
      <c r="AM15" s="52">
        <f t="shared" si="5"/>
        <v>12</v>
      </c>
      <c r="AN15" s="52">
        <f t="shared" si="5"/>
        <v>12</v>
      </c>
      <c r="AO15" s="52">
        <f t="shared" si="5"/>
        <v>12</v>
      </c>
      <c r="AP15" s="52">
        <f t="shared" si="5"/>
        <v>12</v>
      </c>
      <c r="AQ15" s="52">
        <f t="shared" si="5"/>
        <v>12</v>
      </c>
      <c r="AR15" s="52">
        <f t="shared" si="5"/>
        <v>12</v>
      </c>
      <c r="AS15" s="52">
        <f t="shared" si="5"/>
        <v>12</v>
      </c>
      <c r="AT15" s="52">
        <f t="shared" si="5"/>
        <v>13</v>
      </c>
      <c r="AU15" s="52">
        <f t="shared" si="5"/>
        <v>13</v>
      </c>
      <c r="AV15" s="52">
        <f t="shared" si="5"/>
        <v>13</v>
      </c>
      <c r="AW15" s="52">
        <f t="shared" si="5"/>
        <v>13</v>
      </c>
      <c r="AX15" s="52">
        <f t="shared" si="5"/>
        <v>14</v>
      </c>
      <c r="AY15" s="52">
        <f t="shared" si="5"/>
        <v>14</v>
      </c>
      <c r="AZ15" s="52">
        <f t="shared" si="5"/>
        <v>14</v>
      </c>
      <c r="BA15" s="52">
        <f t="shared" si="5"/>
        <v>14</v>
      </c>
      <c r="BB15" s="52"/>
      <c r="BC15" s="52">
        <f t="shared" si="1"/>
        <v>9</v>
      </c>
      <c r="BD15" s="52">
        <f t="shared" si="2"/>
        <v>11</v>
      </c>
      <c r="BE15" s="52">
        <f t="shared" si="3"/>
        <v>12</v>
      </c>
      <c r="BF15" s="52">
        <f t="shared" si="4"/>
        <v>14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6" t="s">
        <v>110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>
      <c r="A18" s="1"/>
      <c r="B18" s="3" t="s">
        <v>111</v>
      </c>
      <c r="C18" s="1"/>
      <c r="D18" s="1"/>
      <c r="E18" s="3" t="s">
        <v>33</v>
      </c>
      <c r="F18" s="23">
        <f t="array" ref="F18">INDEX(Assumptions!$C$27:$F$27,MATCH(YEAR(F$3),Assumptions!$C$1:$F$1,0))*IF(ISNUMBER(SEARCH("yr",Assumptions!$G$27)),1/12,1)+INDEX(Assumptions!$C$28:$F$28,MATCH(YEAR(F$3),Assumptions!$C$1:$F$1,0))*IF(ISNUMBER(SEARCH("yr",Assumptions!$G$28)),1/12,1)+F8*INDEX(Assumptions!$C$30:$F$30,MATCH(YEAR(F$3),Assumptions!$C$1:$F$1,0))*IF(ISNUMBER(SEARCH("yr",Assumptions!$G$30)),1/12,1)+F9*INDEX(Assumptions!$C$29:$F$29,MATCH(YEAR(F$3),Assumptions!$C$1:$F$1,0))*IF(ISNUMBER(SEARCH("yr",Assumptions!$G$29)),1/12,1)+F10*INDEX(Assumptions!$C$31:$F$31,MATCH(YEAR(F$3),Assumptions!$C$1:$F$1,0))*IF(ISNUMBER(SEARCH("yr",Assumptions!$G$31)),1/12,1)+F12*INDEX(Assumptions!$C$32:$F$32,MATCH(YEAR(F$3),Assumptions!$C$1:$F$1,0))*IF(ISNUMBER(SEARCH("yr",Assumptions!$G$32)),1/12,1)</f>
        <v>29500</v>
      </c>
      <c r="G18" s="23">
        <f t="array" ref="G18">INDEX(Assumptions!$C$27:$F$27,MATCH(YEAR(G$3),Assumptions!$C$1:$F$1,0))*IF(ISNUMBER(SEARCH("yr",Assumptions!$G$27)),1/12,1)+INDEX(Assumptions!$C$28:$F$28,MATCH(YEAR(G$3),Assumptions!$C$1:$F$1,0))*IF(ISNUMBER(SEARCH("yr",Assumptions!$G$28)),1/12,1)+G8*INDEX(Assumptions!$C$30:$F$30,MATCH(YEAR(G$3),Assumptions!$C$1:$F$1,0))*IF(ISNUMBER(SEARCH("yr",Assumptions!$G$30)),1/12,1)+G9*INDEX(Assumptions!$C$29:$F$29,MATCH(YEAR(G$3),Assumptions!$C$1:$F$1,0))*IF(ISNUMBER(SEARCH("yr",Assumptions!$G$29)),1/12,1)+G10*INDEX(Assumptions!$C$31:$F$31,MATCH(YEAR(G$3),Assumptions!$C$1:$F$1,0))*IF(ISNUMBER(SEARCH("yr",Assumptions!$G$31)),1/12,1)+G12*INDEX(Assumptions!$C$32:$F$32,MATCH(YEAR(G$3),Assumptions!$C$1:$F$1,0))*IF(ISNUMBER(SEARCH("yr",Assumptions!$G$32)),1/12,1)</f>
        <v>29500</v>
      </c>
      <c r="H18" s="23">
        <f t="array" ref="H18">INDEX(Assumptions!$C$27:$F$27,MATCH(YEAR(H$3),Assumptions!$C$1:$F$1,0))*IF(ISNUMBER(SEARCH("yr",Assumptions!$G$27)),1/12,1)+INDEX(Assumptions!$C$28:$F$28,MATCH(YEAR(H$3),Assumptions!$C$1:$F$1,0))*IF(ISNUMBER(SEARCH("yr",Assumptions!$G$28)),1/12,1)+H8*INDEX(Assumptions!$C$30:$F$30,MATCH(YEAR(H$3),Assumptions!$C$1:$F$1,0))*IF(ISNUMBER(SEARCH("yr",Assumptions!$G$30)),1/12,1)+H9*INDEX(Assumptions!$C$29:$F$29,MATCH(YEAR(H$3),Assumptions!$C$1:$F$1,0))*IF(ISNUMBER(SEARCH("yr",Assumptions!$G$29)),1/12,1)+H10*INDEX(Assumptions!$C$31:$F$31,MATCH(YEAR(H$3),Assumptions!$C$1:$F$1,0))*IF(ISNUMBER(SEARCH("yr",Assumptions!$G$31)),1/12,1)+H12*INDEX(Assumptions!$C$32:$F$32,MATCH(YEAR(H$3),Assumptions!$C$1:$F$1,0))*IF(ISNUMBER(SEARCH("yr",Assumptions!$G$32)),1/12,1)</f>
        <v>29500</v>
      </c>
      <c r="I18" s="23">
        <f t="array" ref="I18">INDEX(Assumptions!$C$27:$F$27,MATCH(YEAR(I$3),Assumptions!$C$1:$F$1,0))*IF(ISNUMBER(SEARCH("yr",Assumptions!$G$27)),1/12,1)+INDEX(Assumptions!$C$28:$F$28,MATCH(YEAR(I$3),Assumptions!$C$1:$F$1,0))*IF(ISNUMBER(SEARCH("yr",Assumptions!$G$28)),1/12,1)+I8*INDEX(Assumptions!$C$30:$F$30,MATCH(YEAR(I$3),Assumptions!$C$1:$F$1,0))*IF(ISNUMBER(SEARCH("yr",Assumptions!$G$30)),1/12,1)+I9*INDEX(Assumptions!$C$29:$F$29,MATCH(YEAR(I$3),Assumptions!$C$1:$F$1,0))*IF(ISNUMBER(SEARCH("yr",Assumptions!$G$29)),1/12,1)+I10*INDEX(Assumptions!$C$31:$F$31,MATCH(YEAR(I$3),Assumptions!$C$1:$F$1,0))*IF(ISNUMBER(SEARCH("yr",Assumptions!$G$31)),1/12,1)+I12*INDEX(Assumptions!$C$32:$F$32,MATCH(YEAR(I$3),Assumptions!$C$1:$F$1,0))*IF(ISNUMBER(SEARCH("yr",Assumptions!$G$32)),1/12,1)</f>
        <v>29500</v>
      </c>
      <c r="J18" s="23">
        <f t="array" ref="J18">INDEX(Assumptions!$C$27:$F$27,MATCH(YEAR(J$3),Assumptions!$C$1:$F$1,0))*IF(ISNUMBER(SEARCH("yr",Assumptions!$G$27)),1/12,1)+INDEX(Assumptions!$C$28:$F$28,MATCH(YEAR(J$3),Assumptions!$C$1:$F$1,0))*IF(ISNUMBER(SEARCH("yr",Assumptions!$G$28)),1/12,1)+J8*INDEX(Assumptions!$C$30:$F$30,MATCH(YEAR(J$3),Assumptions!$C$1:$F$1,0))*IF(ISNUMBER(SEARCH("yr",Assumptions!$G$30)),1/12,1)+J9*INDEX(Assumptions!$C$29:$F$29,MATCH(YEAR(J$3),Assumptions!$C$1:$F$1,0))*IF(ISNUMBER(SEARCH("yr",Assumptions!$G$29)),1/12,1)+J10*INDEX(Assumptions!$C$31:$F$31,MATCH(YEAR(J$3),Assumptions!$C$1:$F$1,0))*IF(ISNUMBER(SEARCH("yr",Assumptions!$G$31)),1/12,1)+J12*INDEX(Assumptions!$C$32:$F$32,MATCH(YEAR(J$3),Assumptions!$C$1:$F$1,0))*IF(ISNUMBER(SEARCH("yr",Assumptions!$G$32)),1/12,1)</f>
        <v>29500</v>
      </c>
      <c r="K18" s="23">
        <f t="array" ref="K18">INDEX(Assumptions!$C$27:$F$27,MATCH(YEAR(K$3),Assumptions!$C$1:$F$1,0))*IF(ISNUMBER(SEARCH("yr",Assumptions!$G$27)),1/12,1)+INDEX(Assumptions!$C$28:$F$28,MATCH(YEAR(K$3),Assumptions!$C$1:$F$1,0))*IF(ISNUMBER(SEARCH("yr",Assumptions!$G$28)),1/12,1)+K8*INDEX(Assumptions!$C$30:$F$30,MATCH(YEAR(K$3),Assumptions!$C$1:$F$1,0))*IF(ISNUMBER(SEARCH("yr",Assumptions!$G$30)),1/12,1)+K9*INDEX(Assumptions!$C$29:$F$29,MATCH(YEAR(K$3),Assumptions!$C$1:$F$1,0))*IF(ISNUMBER(SEARCH("yr",Assumptions!$G$29)),1/12,1)+K10*INDEX(Assumptions!$C$31:$F$31,MATCH(YEAR(K$3),Assumptions!$C$1:$F$1,0))*IF(ISNUMBER(SEARCH("yr",Assumptions!$G$31)),1/12,1)+K12*INDEX(Assumptions!$C$32:$F$32,MATCH(YEAR(K$3),Assumptions!$C$1:$F$1,0))*IF(ISNUMBER(SEARCH("yr",Assumptions!$G$32)),1/12,1)</f>
        <v>32500</v>
      </c>
      <c r="L18" s="23">
        <f t="array" ref="L18">INDEX(Assumptions!$C$27:$F$27,MATCH(YEAR(L$3),Assumptions!$C$1:$F$1,0))*IF(ISNUMBER(SEARCH("yr",Assumptions!$G$27)),1/12,1)+INDEX(Assumptions!$C$28:$F$28,MATCH(YEAR(L$3),Assumptions!$C$1:$F$1,0))*IF(ISNUMBER(SEARCH("yr",Assumptions!$G$28)),1/12,1)+L8*INDEX(Assumptions!$C$30:$F$30,MATCH(YEAR(L$3),Assumptions!$C$1:$F$1,0))*IF(ISNUMBER(SEARCH("yr",Assumptions!$G$30)),1/12,1)+L9*INDEX(Assumptions!$C$29:$F$29,MATCH(YEAR(L$3),Assumptions!$C$1:$F$1,0))*IF(ISNUMBER(SEARCH("yr",Assumptions!$G$29)),1/12,1)+L10*INDEX(Assumptions!$C$31:$F$31,MATCH(YEAR(L$3),Assumptions!$C$1:$F$1,0))*IF(ISNUMBER(SEARCH("yr",Assumptions!$G$31)),1/12,1)+L12*INDEX(Assumptions!$C$32:$F$32,MATCH(YEAR(L$3),Assumptions!$C$1:$F$1,0))*IF(ISNUMBER(SEARCH("yr",Assumptions!$G$32)),1/12,1)</f>
        <v>32500</v>
      </c>
      <c r="M18" s="23">
        <f t="array" ref="M18">INDEX(Assumptions!$C$27:$F$27,MATCH(YEAR(M$3),Assumptions!$C$1:$F$1,0))*IF(ISNUMBER(SEARCH("yr",Assumptions!$G$27)),1/12,1)+INDEX(Assumptions!$C$28:$F$28,MATCH(YEAR(M$3),Assumptions!$C$1:$F$1,0))*IF(ISNUMBER(SEARCH("yr",Assumptions!$G$28)),1/12,1)+M8*INDEX(Assumptions!$C$30:$F$30,MATCH(YEAR(M$3),Assumptions!$C$1:$F$1,0))*IF(ISNUMBER(SEARCH("yr",Assumptions!$G$30)),1/12,1)+M9*INDEX(Assumptions!$C$29:$F$29,MATCH(YEAR(M$3),Assumptions!$C$1:$F$1,0))*IF(ISNUMBER(SEARCH("yr",Assumptions!$G$29)),1/12,1)+M10*INDEX(Assumptions!$C$31:$F$31,MATCH(YEAR(M$3),Assumptions!$C$1:$F$1,0))*IF(ISNUMBER(SEARCH("yr",Assumptions!$G$31)),1/12,1)+M12*INDEX(Assumptions!$C$32:$F$32,MATCH(YEAR(M$3),Assumptions!$C$1:$F$1,0))*IF(ISNUMBER(SEARCH("yr",Assumptions!$G$32)),1/12,1)</f>
        <v>32500</v>
      </c>
      <c r="N18" s="23">
        <f t="array" ref="N18">INDEX(Assumptions!$C$27:$F$27,MATCH(YEAR(N$3),Assumptions!$C$1:$F$1,0))*IF(ISNUMBER(SEARCH("yr",Assumptions!$G$27)),1/12,1)+INDEX(Assumptions!$C$28:$F$28,MATCH(YEAR(N$3),Assumptions!$C$1:$F$1,0))*IF(ISNUMBER(SEARCH("yr",Assumptions!$G$28)),1/12,1)+N8*INDEX(Assumptions!$C$30:$F$30,MATCH(YEAR(N$3),Assumptions!$C$1:$F$1,0))*IF(ISNUMBER(SEARCH("yr",Assumptions!$G$30)),1/12,1)+N9*INDEX(Assumptions!$C$29:$F$29,MATCH(YEAR(N$3),Assumptions!$C$1:$F$1,0))*IF(ISNUMBER(SEARCH("yr",Assumptions!$G$29)),1/12,1)+N10*INDEX(Assumptions!$C$31:$F$31,MATCH(YEAR(N$3),Assumptions!$C$1:$F$1,0))*IF(ISNUMBER(SEARCH("yr",Assumptions!$G$31)),1/12,1)+N12*INDEX(Assumptions!$C$32:$F$32,MATCH(YEAR(N$3),Assumptions!$C$1:$F$1,0))*IF(ISNUMBER(SEARCH("yr",Assumptions!$G$32)),1/12,1)</f>
        <v>32500</v>
      </c>
      <c r="O18" s="23">
        <f t="array" ref="O18">INDEX(Assumptions!$C$27:$F$27,MATCH(YEAR(O$3),Assumptions!$C$1:$F$1,0))*IF(ISNUMBER(SEARCH("yr",Assumptions!$G$27)),1/12,1)+INDEX(Assumptions!$C$28:$F$28,MATCH(YEAR(O$3),Assumptions!$C$1:$F$1,0))*IF(ISNUMBER(SEARCH("yr",Assumptions!$G$28)),1/12,1)+O8*INDEX(Assumptions!$C$30:$F$30,MATCH(YEAR(O$3),Assumptions!$C$1:$F$1,0))*IF(ISNUMBER(SEARCH("yr",Assumptions!$G$30)),1/12,1)+O9*INDEX(Assumptions!$C$29:$F$29,MATCH(YEAR(O$3),Assumptions!$C$1:$F$1,0))*IF(ISNUMBER(SEARCH("yr",Assumptions!$G$29)),1/12,1)+O10*INDEX(Assumptions!$C$31:$F$31,MATCH(YEAR(O$3),Assumptions!$C$1:$F$1,0))*IF(ISNUMBER(SEARCH("yr",Assumptions!$G$31)),1/12,1)+O12*INDEX(Assumptions!$C$32:$F$32,MATCH(YEAR(O$3),Assumptions!$C$1:$F$1,0))*IF(ISNUMBER(SEARCH("yr",Assumptions!$G$32)),1/12,1)</f>
        <v>32500</v>
      </c>
      <c r="P18" s="23">
        <f t="array" ref="P18">INDEX(Assumptions!$C$27:$F$27,MATCH(YEAR(P$3),Assumptions!$C$1:$F$1,0))*IF(ISNUMBER(SEARCH("yr",Assumptions!$G$27)),1/12,1)+INDEX(Assumptions!$C$28:$F$28,MATCH(YEAR(P$3),Assumptions!$C$1:$F$1,0))*IF(ISNUMBER(SEARCH("yr",Assumptions!$G$28)),1/12,1)+P8*INDEX(Assumptions!$C$30:$F$30,MATCH(YEAR(P$3),Assumptions!$C$1:$F$1,0))*IF(ISNUMBER(SEARCH("yr",Assumptions!$G$30)),1/12,1)+P9*INDEX(Assumptions!$C$29:$F$29,MATCH(YEAR(P$3),Assumptions!$C$1:$F$1,0))*IF(ISNUMBER(SEARCH("yr",Assumptions!$G$29)),1/12,1)+P10*INDEX(Assumptions!$C$31:$F$31,MATCH(YEAR(P$3),Assumptions!$C$1:$F$1,0))*IF(ISNUMBER(SEARCH("yr",Assumptions!$G$31)),1/12,1)+P12*INDEX(Assumptions!$C$32:$F$32,MATCH(YEAR(P$3),Assumptions!$C$1:$F$1,0))*IF(ISNUMBER(SEARCH("yr",Assumptions!$G$32)),1/12,1)</f>
        <v>32500</v>
      </c>
      <c r="Q18" s="23">
        <f t="array" ref="Q18">INDEX(Assumptions!$C$27:$F$27,MATCH(YEAR(Q$3),Assumptions!$C$1:$F$1,0))*IF(ISNUMBER(SEARCH("yr",Assumptions!$G$27)),1/12,1)+INDEX(Assumptions!$C$28:$F$28,MATCH(YEAR(Q$3),Assumptions!$C$1:$F$1,0))*IF(ISNUMBER(SEARCH("yr",Assumptions!$G$28)),1/12,1)+Q8*INDEX(Assumptions!$C$30:$F$30,MATCH(YEAR(Q$3),Assumptions!$C$1:$F$1,0))*IF(ISNUMBER(SEARCH("yr",Assumptions!$G$30)),1/12,1)+Q9*INDEX(Assumptions!$C$29:$F$29,MATCH(YEAR(Q$3),Assumptions!$C$1:$F$1,0))*IF(ISNUMBER(SEARCH("yr",Assumptions!$G$29)),1/12,1)+Q10*INDEX(Assumptions!$C$31:$F$31,MATCH(YEAR(Q$3),Assumptions!$C$1:$F$1,0))*IF(ISNUMBER(SEARCH("yr",Assumptions!$G$31)),1/12,1)+Q12*INDEX(Assumptions!$C$32:$F$32,MATCH(YEAR(Q$3),Assumptions!$C$1:$F$1,0))*IF(ISNUMBER(SEARCH("yr",Assumptions!$G$32)),1/12,1)</f>
        <v>32500</v>
      </c>
      <c r="R18" s="23">
        <f t="array" ref="R18">INDEX(Assumptions!$C$27:$F$27,MATCH(YEAR(R$3),Assumptions!$C$1:$F$1,0))*IF(ISNUMBER(SEARCH("yr",Assumptions!$G$27)),1/12,1)+INDEX(Assumptions!$C$28:$F$28,MATCH(YEAR(R$3),Assumptions!$C$1:$F$1,0))*IF(ISNUMBER(SEARCH("yr",Assumptions!$G$28)),1/12,1)+R8*INDEX(Assumptions!$C$30:$F$30,MATCH(YEAR(R$3),Assumptions!$C$1:$F$1,0))*IF(ISNUMBER(SEARCH("yr",Assumptions!$G$30)),1/12,1)+R9*INDEX(Assumptions!$C$29:$F$29,MATCH(YEAR(R$3),Assumptions!$C$1:$F$1,0))*IF(ISNUMBER(SEARCH("yr",Assumptions!$G$29)),1/12,1)+R10*INDEX(Assumptions!$C$31:$F$31,MATCH(YEAR(R$3),Assumptions!$C$1:$F$1,0))*IF(ISNUMBER(SEARCH("yr",Assumptions!$G$31)),1/12,1)+R12*INDEX(Assumptions!$C$32:$F$32,MATCH(YEAR(R$3),Assumptions!$C$1:$F$1,0))*IF(ISNUMBER(SEARCH("yr",Assumptions!$G$32)),1/12,1)</f>
        <v>37950</v>
      </c>
      <c r="S18" s="23">
        <f t="array" ref="S18">INDEX(Assumptions!$C$27:$F$27,MATCH(YEAR(S$3),Assumptions!$C$1:$F$1,0))*IF(ISNUMBER(SEARCH("yr",Assumptions!$G$27)),1/12,1)+INDEX(Assumptions!$C$28:$F$28,MATCH(YEAR(S$3),Assumptions!$C$1:$F$1,0))*IF(ISNUMBER(SEARCH("yr",Assumptions!$G$28)),1/12,1)+S8*INDEX(Assumptions!$C$30:$F$30,MATCH(YEAR(S$3),Assumptions!$C$1:$F$1,0))*IF(ISNUMBER(SEARCH("yr",Assumptions!$G$30)),1/12,1)+S9*INDEX(Assumptions!$C$29:$F$29,MATCH(YEAR(S$3),Assumptions!$C$1:$F$1,0))*IF(ISNUMBER(SEARCH("yr",Assumptions!$G$29)),1/12,1)+S10*INDEX(Assumptions!$C$31:$F$31,MATCH(YEAR(S$3),Assumptions!$C$1:$F$1,0))*IF(ISNUMBER(SEARCH("yr",Assumptions!$G$31)),1/12,1)+S12*INDEX(Assumptions!$C$32:$F$32,MATCH(YEAR(S$3),Assumptions!$C$1:$F$1,0))*IF(ISNUMBER(SEARCH("yr",Assumptions!$G$32)),1/12,1)</f>
        <v>37950</v>
      </c>
      <c r="T18" s="23">
        <f t="array" ref="T18">INDEX(Assumptions!$C$27:$F$27,MATCH(YEAR(T$3),Assumptions!$C$1:$F$1,0))*IF(ISNUMBER(SEARCH("yr",Assumptions!$G$27)),1/12,1)+INDEX(Assumptions!$C$28:$F$28,MATCH(YEAR(T$3),Assumptions!$C$1:$F$1,0))*IF(ISNUMBER(SEARCH("yr",Assumptions!$G$28)),1/12,1)+T8*INDEX(Assumptions!$C$30:$F$30,MATCH(YEAR(T$3),Assumptions!$C$1:$F$1,0))*IF(ISNUMBER(SEARCH("yr",Assumptions!$G$30)),1/12,1)+T9*INDEX(Assumptions!$C$29:$F$29,MATCH(YEAR(T$3),Assumptions!$C$1:$F$1,0))*IF(ISNUMBER(SEARCH("yr",Assumptions!$G$29)),1/12,1)+T10*INDEX(Assumptions!$C$31:$F$31,MATCH(YEAR(T$3),Assumptions!$C$1:$F$1,0))*IF(ISNUMBER(SEARCH("yr",Assumptions!$G$31)),1/12,1)+T12*INDEX(Assumptions!$C$32:$F$32,MATCH(YEAR(T$3),Assumptions!$C$1:$F$1,0))*IF(ISNUMBER(SEARCH("yr",Assumptions!$G$32)),1/12,1)</f>
        <v>37950</v>
      </c>
      <c r="U18" s="23">
        <f t="array" ref="U18">INDEX(Assumptions!$C$27:$F$27,MATCH(YEAR(U$3),Assumptions!$C$1:$F$1,0))*IF(ISNUMBER(SEARCH("yr",Assumptions!$G$27)),1/12,1)+INDEX(Assumptions!$C$28:$F$28,MATCH(YEAR(U$3),Assumptions!$C$1:$F$1,0))*IF(ISNUMBER(SEARCH("yr",Assumptions!$G$28)),1/12,1)+U8*INDEX(Assumptions!$C$30:$F$30,MATCH(YEAR(U$3),Assumptions!$C$1:$F$1,0))*IF(ISNUMBER(SEARCH("yr",Assumptions!$G$30)),1/12,1)+U9*INDEX(Assumptions!$C$29:$F$29,MATCH(YEAR(U$3),Assumptions!$C$1:$F$1,0))*IF(ISNUMBER(SEARCH("yr",Assumptions!$G$29)),1/12,1)+U10*INDEX(Assumptions!$C$31:$F$31,MATCH(YEAR(U$3),Assumptions!$C$1:$F$1,0))*IF(ISNUMBER(SEARCH("yr",Assumptions!$G$31)),1/12,1)+U12*INDEX(Assumptions!$C$32:$F$32,MATCH(YEAR(U$3),Assumptions!$C$1:$F$1,0))*IF(ISNUMBER(SEARCH("yr",Assumptions!$G$32)),1/12,1)</f>
        <v>37950</v>
      </c>
      <c r="V18" s="23">
        <f t="array" ref="V18">INDEX(Assumptions!$C$27:$F$27,MATCH(YEAR(V$3),Assumptions!$C$1:$F$1,0))*IF(ISNUMBER(SEARCH("yr",Assumptions!$G$27)),1/12,1)+INDEX(Assumptions!$C$28:$F$28,MATCH(YEAR(V$3),Assumptions!$C$1:$F$1,0))*IF(ISNUMBER(SEARCH("yr",Assumptions!$G$28)),1/12,1)+V8*INDEX(Assumptions!$C$30:$F$30,MATCH(YEAR(V$3),Assumptions!$C$1:$F$1,0))*IF(ISNUMBER(SEARCH("yr",Assumptions!$G$30)),1/12,1)+V9*INDEX(Assumptions!$C$29:$F$29,MATCH(YEAR(V$3),Assumptions!$C$1:$F$1,0))*IF(ISNUMBER(SEARCH("yr",Assumptions!$G$29)),1/12,1)+V10*INDEX(Assumptions!$C$31:$F$31,MATCH(YEAR(V$3),Assumptions!$C$1:$F$1,0))*IF(ISNUMBER(SEARCH("yr",Assumptions!$G$31)),1/12,1)+V12*INDEX(Assumptions!$C$32:$F$32,MATCH(YEAR(V$3),Assumptions!$C$1:$F$1,0))*IF(ISNUMBER(SEARCH("yr",Assumptions!$G$32)),1/12,1)</f>
        <v>37950</v>
      </c>
      <c r="W18" s="23">
        <f t="array" ref="W18">INDEX(Assumptions!$C$27:$F$27,MATCH(YEAR(W$3),Assumptions!$C$1:$F$1,0))*IF(ISNUMBER(SEARCH("yr",Assumptions!$G$27)),1/12,1)+INDEX(Assumptions!$C$28:$F$28,MATCH(YEAR(W$3),Assumptions!$C$1:$F$1,0))*IF(ISNUMBER(SEARCH("yr",Assumptions!$G$28)),1/12,1)+W8*INDEX(Assumptions!$C$30:$F$30,MATCH(YEAR(W$3),Assumptions!$C$1:$F$1,0))*IF(ISNUMBER(SEARCH("yr",Assumptions!$G$30)),1/12,1)+W9*INDEX(Assumptions!$C$29:$F$29,MATCH(YEAR(W$3),Assumptions!$C$1:$F$1,0))*IF(ISNUMBER(SEARCH("yr",Assumptions!$G$29)),1/12,1)+W10*INDEX(Assumptions!$C$31:$F$31,MATCH(YEAR(W$3),Assumptions!$C$1:$F$1,0))*IF(ISNUMBER(SEARCH("yr",Assumptions!$G$31)),1/12,1)+W12*INDEX(Assumptions!$C$32:$F$32,MATCH(YEAR(W$3),Assumptions!$C$1:$F$1,0))*IF(ISNUMBER(SEARCH("yr",Assumptions!$G$32)),1/12,1)</f>
        <v>37950</v>
      </c>
      <c r="X18" s="23">
        <f t="array" ref="X18">INDEX(Assumptions!$C$27:$F$27,MATCH(YEAR(X$3),Assumptions!$C$1:$F$1,0))*IF(ISNUMBER(SEARCH("yr",Assumptions!$G$27)),1/12,1)+INDEX(Assumptions!$C$28:$F$28,MATCH(YEAR(X$3),Assumptions!$C$1:$F$1,0))*IF(ISNUMBER(SEARCH("yr",Assumptions!$G$28)),1/12,1)+X8*INDEX(Assumptions!$C$30:$F$30,MATCH(YEAR(X$3),Assumptions!$C$1:$F$1,0))*IF(ISNUMBER(SEARCH("yr",Assumptions!$G$30)),1/12,1)+X9*INDEX(Assumptions!$C$29:$F$29,MATCH(YEAR(X$3),Assumptions!$C$1:$F$1,0))*IF(ISNUMBER(SEARCH("yr",Assumptions!$G$29)),1/12,1)+X10*INDEX(Assumptions!$C$31:$F$31,MATCH(YEAR(X$3),Assumptions!$C$1:$F$1,0))*IF(ISNUMBER(SEARCH("yr",Assumptions!$G$31)),1/12,1)+X12*INDEX(Assumptions!$C$32:$F$32,MATCH(YEAR(X$3),Assumptions!$C$1:$F$1,0))*IF(ISNUMBER(SEARCH("yr",Assumptions!$G$32)),1/12,1)</f>
        <v>45950</v>
      </c>
      <c r="Y18" s="23">
        <f t="array" ref="Y18">INDEX(Assumptions!$C$27:$F$27,MATCH(YEAR(Y$3),Assumptions!$C$1:$F$1,0))*IF(ISNUMBER(SEARCH("yr",Assumptions!$G$27)),1/12,1)+INDEX(Assumptions!$C$28:$F$28,MATCH(YEAR(Y$3),Assumptions!$C$1:$F$1,0))*IF(ISNUMBER(SEARCH("yr",Assumptions!$G$28)),1/12,1)+Y8*INDEX(Assumptions!$C$30:$F$30,MATCH(YEAR(Y$3),Assumptions!$C$1:$F$1,0))*IF(ISNUMBER(SEARCH("yr",Assumptions!$G$30)),1/12,1)+Y9*INDEX(Assumptions!$C$29:$F$29,MATCH(YEAR(Y$3),Assumptions!$C$1:$F$1,0))*IF(ISNUMBER(SEARCH("yr",Assumptions!$G$29)),1/12,1)+Y10*INDEX(Assumptions!$C$31:$F$31,MATCH(YEAR(Y$3),Assumptions!$C$1:$F$1,0))*IF(ISNUMBER(SEARCH("yr",Assumptions!$G$31)),1/12,1)+Y12*INDEX(Assumptions!$C$32:$F$32,MATCH(YEAR(Y$3),Assumptions!$C$1:$F$1,0))*IF(ISNUMBER(SEARCH("yr",Assumptions!$G$32)),1/12,1)</f>
        <v>45950</v>
      </c>
      <c r="Z18" s="23">
        <f t="array" ref="Z18">INDEX(Assumptions!$C$27:$F$27,MATCH(YEAR(Z$3),Assumptions!$C$1:$F$1,0))*IF(ISNUMBER(SEARCH("yr",Assumptions!$G$27)),1/12,1)+INDEX(Assumptions!$C$28:$F$28,MATCH(YEAR(Z$3),Assumptions!$C$1:$F$1,0))*IF(ISNUMBER(SEARCH("yr",Assumptions!$G$28)),1/12,1)+Z8*INDEX(Assumptions!$C$30:$F$30,MATCH(YEAR(Z$3),Assumptions!$C$1:$F$1,0))*IF(ISNUMBER(SEARCH("yr",Assumptions!$G$30)),1/12,1)+Z9*INDEX(Assumptions!$C$29:$F$29,MATCH(YEAR(Z$3),Assumptions!$C$1:$F$1,0))*IF(ISNUMBER(SEARCH("yr",Assumptions!$G$29)),1/12,1)+Z10*INDEX(Assumptions!$C$31:$F$31,MATCH(YEAR(Z$3),Assumptions!$C$1:$F$1,0))*IF(ISNUMBER(SEARCH("yr",Assumptions!$G$31)),1/12,1)+Z12*INDEX(Assumptions!$C$32:$F$32,MATCH(YEAR(Z$3),Assumptions!$C$1:$F$1,0))*IF(ISNUMBER(SEARCH("yr",Assumptions!$G$32)),1/12,1)</f>
        <v>45950</v>
      </c>
      <c r="AA18" s="23">
        <f t="array" ref="AA18">INDEX(Assumptions!$C$27:$F$27,MATCH(YEAR(AA$3),Assumptions!$C$1:$F$1,0))*IF(ISNUMBER(SEARCH("yr",Assumptions!$G$27)),1/12,1)+INDEX(Assumptions!$C$28:$F$28,MATCH(YEAR(AA$3),Assumptions!$C$1:$F$1,0))*IF(ISNUMBER(SEARCH("yr",Assumptions!$G$28)),1/12,1)+AA8*INDEX(Assumptions!$C$30:$F$30,MATCH(YEAR(AA$3),Assumptions!$C$1:$F$1,0))*IF(ISNUMBER(SEARCH("yr",Assumptions!$G$30)),1/12,1)+AA9*INDEX(Assumptions!$C$29:$F$29,MATCH(YEAR(AA$3),Assumptions!$C$1:$F$1,0))*IF(ISNUMBER(SEARCH("yr",Assumptions!$G$29)),1/12,1)+AA10*INDEX(Assumptions!$C$31:$F$31,MATCH(YEAR(AA$3),Assumptions!$C$1:$F$1,0))*IF(ISNUMBER(SEARCH("yr",Assumptions!$G$31)),1/12,1)+AA12*INDEX(Assumptions!$C$32:$F$32,MATCH(YEAR(AA$3),Assumptions!$C$1:$F$1,0))*IF(ISNUMBER(SEARCH("yr",Assumptions!$G$32)),1/12,1)</f>
        <v>45950</v>
      </c>
      <c r="AB18" s="23">
        <f t="array" ref="AB18">INDEX(Assumptions!$C$27:$F$27,MATCH(YEAR(AB$3),Assumptions!$C$1:$F$1,0))*IF(ISNUMBER(SEARCH("yr",Assumptions!$G$27)),1/12,1)+INDEX(Assumptions!$C$28:$F$28,MATCH(YEAR(AB$3),Assumptions!$C$1:$F$1,0))*IF(ISNUMBER(SEARCH("yr",Assumptions!$G$28)),1/12,1)+AB8*INDEX(Assumptions!$C$30:$F$30,MATCH(YEAR(AB$3),Assumptions!$C$1:$F$1,0))*IF(ISNUMBER(SEARCH("yr",Assumptions!$G$30)),1/12,1)+AB9*INDEX(Assumptions!$C$29:$F$29,MATCH(YEAR(AB$3),Assumptions!$C$1:$F$1,0))*IF(ISNUMBER(SEARCH("yr",Assumptions!$G$29)),1/12,1)+AB10*INDEX(Assumptions!$C$31:$F$31,MATCH(YEAR(AB$3),Assumptions!$C$1:$F$1,0))*IF(ISNUMBER(SEARCH("yr",Assumptions!$G$31)),1/12,1)+AB12*INDEX(Assumptions!$C$32:$F$32,MATCH(YEAR(AB$3),Assumptions!$C$1:$F$1,0))*IF(ISNUMBER(SEARCH("yr",Assumptions!$G$32)),1/12,1)</f>
        <v>45950</v>
      </c>
      <c r="AC18" s="23">
        <f t="array" ref="AC18">INDEX(Assumptions!$C$27:$F$27,MATCH(YEAR(AC$3),Assumptions!$C$1:$F$1,0))*IF(ISNUMBER(SEARCH("yr",Assumptions!$G$27)),1/12,1)+INDEX(Assumptions!$C$28:$F$28,MATCH(YEAR(AC$3),Assumptions!$C$1:$F$1,0))*IF(ISNUMBER(SEARCH("yr",Assumptions!$G$28)),1/12,1)+AC8*INDEX(Assumptions!$C$30:$F$30,MATCH(YEAR(AC$3),Assumptions!$C$1:$F$1,0))*IF(ISNUMBER(SEARCH("yr",Assumptions!$G$30)),1/12,1)+AC9*INDEX(Assumptions!$C$29:$F$29,MATCH(YEAR(AC$3),Assumptions!$C$1:$F$1,0))*IF(ISNUMBER(SEARCH("yr",Assumptions!$G$29)),1/12,1)+AC10*INDEX(Assumptions!$C$31:$F$31,MATCH(YEAR(AC$3),Assumptions!$C$1:$F$1,0))*IF(ISNUMBER(SEARCH("yr",Assumptions!$G$31)),1/12,1)+AC12*INDEX(Assumptions!$C$32:$F$32,MATCH(YEAR(AC$3),Assumptions!$C$1:$F$1,0))*IF(ISNUMBER(SEARCH("yr",Assumptions!$G$32)),1/12,1)</f>
        <v>45950</v>
      </c>
      <c r="AD18" s="23">
        <f t="array" ref="AD18">INDEX(Assumptions!$C$27:$F$27,MATCH(YEAR(AD$3),Assumptions!$C$1:$F$1,0))*IF(ISNUMBER(SEARCH("yr",Assumptions!$G$27)),1/12,1)+INDEX(Assumptions!$C$28:$F$28,MATCH(YEAR(AD$3),Assumptions!$C$1:$F$1,0))*IF(ISNUMBER(SEARCH("yr",Assumptions!$G$28)),1/12,1)+AD8*INDEX(Assumptions!$C$30:$F$30,MATCH(YEAR(AD$3),Assumptions!$C$1:$F$1,0))*IF(ISNUMBER(SEARCH("yr",Assumptions!$G$30)),1/12,1)+AD9*INDEX(Assumptions!$C$29:$F$29,MATCH(YEAR(AD$3),Assumptions!$C$1:$F$1,0))*IF(ISNUMBER(SEARCH("yr",Assumptions!$G$29)),1/12,1)+AD10*INDEX(Assumptions!$C$31:$F$31,MATCH(YEAR(AD$3),Assumptions!$C$1:$F$1,0))*IF(ISNUMBER(SEARCH("yr",Assumptions!$G$31)),1/12,1)+AD12*INDEX(Assumptions!$C$32:$F$32,MATCH(YEAR(AD$3),Assumptions!$C$1:$F$1,0))*IF(ISNUMBER(SEARCH("yr",Assumptions!$G$32)),1/12,1)</f>
        <v>51900</v>
      </c>
      <c r="AE18" s="23">
        <f t="array" ref="AE18">INDEX(Assumptions!$C$27:$F$27,MATCH(YEAR(AE$3),Assumptions!$C$1:$F$1,0))*IF(ISNUMBER(SEARCH("yr",Assumptions!$G$27)),1/12,1)+INDEX(Assumptions!$C$28:$F$28,MATCH(YEAR(AE$3),Assumptions!$C$1:$F$1,0))*IF(ISNUMBER(SEARCH("yr",Assumptions!$G$28)),1/12,1)+AE8*INDEX(Assumptions!$C$30:$F$30,MATCH(YEAR(AE$3),Assumptions!$C$1:$F$1,0))*IF(ISNUMBER(SEARCH("yr",Assumptions!$G$30)),1/12,1)+AE9*INDEX(Assumptions!$C$29:$F$29,MATCH(YEAR(AE$3),Assumptions!$C$1:$F$1,0))*IF(ISNUMBER(SEARCH("yr",Assumptions!$G$29)),1/12,1)+AE10*INDEX(Assumptions!$C$31:$F$31,MATCH(YEAR(AE$3),Assumptions!$C$1:$F$1,0))*IF(ISNUMBER(SEARCH("yr",Assumptions!$G$31)),1/12,1)+AE12*INDEX(Assumptions!$C$32:$F$32,MATCH(YEAR(AE$3),Assumptions!$C$1:$F$1,0))*IF(ISNUMBER(SEARCH("yr",Assumptions!$G$32)),1/12,1)</f>
        <v>51900</v>
      </c>
      <c r="AF18" s="23">
        <f t="array" ref="AF18">INDEX(Assumptions!$C$27:$F$27,MATCH(YEAR(AF$3),Assumptions!$C$1:$F$1,0))*IF(ISNUMBER(SEARCH("yr",Assumptions!$G$27)),1/12,1)+INDEX(Assumptions!$C$28:$F$28,MATCH(YEAR(AF$3),Assumptions!$C$1:$F$1,0))*IF(ISNUMBER(SEARCH("yr",Assumptions!$G$28)),1/12,1)+AF8*INDEX(Assumptions!$C$30:$F$30,MATCH(YEAR(AF$3),Assumptions!$C$1:$F$1,0))*IF(ISNUMBER(SEARCH("yr",Assumptions!$G$30)),1/12,1)+AF9*INDEX(Assumptions!$C$29:$F$29,MATCH(YEAR(AF$3),Assumptions!$C$1:$F$1,0))*IF(ISNUMBER(SEARCH("yr",Assumptions!$G$29)),1/12,1)+AF10*INDEX(Assumptions!$C$31:$F$31,MATCH(YEAR(AF$3),Assumptions!$C$1:$F$1,0))*IF(ISNUMBER(SEARCH("yr",Assumptions!$G$31)),1/12,1)+AF12*INDEX(Assumptions!$C$32:$F$32,MATCH(YEAR(AF$3),Assumptions!$C$1:$F$1,0))*IF(ISNUMBER(SEARCH("yr",Assumptions!$G$32)),1/12,1)</f>
        <v>51900</v>
      </c>
      <c r="AG18" s="23">
        <f t="array" ref="AG18">INDEX(Assumptions!$C$27:$F$27,MATCH(YEAR(AG$3),Assumptions!$C$1:$F$1,0))*IF(ISNUMBER(SEARCH("yr",Assumptions!$G$27)),1/12,1)+INDEX(Assumptions!$C$28:$F$28,MATCH(YEAR(AG$3),Assumptions!$C$1:$F$1,0))*IF(ISNUMBER(SEARCH("yr",Assumptions!$G$28)),1/12,1)+AG8*INDEX(Assumptions!$C$30:$F$30,MATCH(YEAR(AG$3),Assumptions!$C$1:$F$1,0))*IF(ISNUMBER(SEARCH("yr",Assumptions!$G$30)),1/12,1)+AG9*INDEX(Assumptions!$C$29:$F$29,MATCH(YEAR(AG$3),Assumptions!$C$1:$F$1,0))*IF(ISNUMBER(SEARCH("yr",Assumptions!$G$29)),1/12,1)+AG10*INDEX(Assumptions!$C$31:$F$31,MATCH(YEAR(AG$3),Assumptions!$C$1:$F$1,0))*IF(ISNUMBER(SEARCH("yr",Assumptions!$G$31)),1/12,1)+AG12*INDEX(Assumptions!$C$32:$F$32,MATCH(YEAR(AG$3),Assumptions!$C$1:$F$1,0))*IF(ISNUMBER(SEARCH("yr",Assumptions!$G$32)),1/12,1)</f>
        <v>51900</v>
      </c>
      <c r="AH18" s="23">
        <f t="array" ref="AH18">INDEX(Assumptions!$C$27:$F$27,MATCH(YEAR(AH$3),Assumptions!$C$1:$F$1,0))*IF(ISNUMBER(SEARCH("yr",Assumptions!$G$27)),1/12,1)+INDEX(Assumptions!$C$28:$F$28,MATCH(YEAR(AH$3),Assumptions!$C$1:$F$1,0))*IF(ISNUMBER(SEARCH("yr",Assumptions!$G$28)),1/12,1)+AH8*INDEX(Assumptions!$C$30:$F$30,MATCH(YEAR(AH$3),Assumptions!$C$1:$F$1,0))*IF(ISNUMBER(SEARCH("yr",Assumptions!$G$30)),1/12,1)+AH9*INDEX(Assumptions!$C$29:$F$29,MATCH(YEAR(AH$3),Assumptions!$C$1:$F$1,0))*IF(ISNUMBER(SEARCH("yr",Assumptions!$G$29)),1/12,1)+AH10*INDEX(Assumptions!$C$31:$F$31,MATCH(YEAR(AH$3),Assumptions!$C$1:$F$1,0))*IF(ISNUMBER(SEARCH("yr",Assumptions!$G$31)),1/12,1)+AH12*INDEX(Assumptions!$C$32:$F$32,MATCH(YEAR(AH$3),Assumptions!$C$1:$F$1,0))*IF(ISNUMBER(SEARCH("yr",Assumptions!$G$32)),1/12,1)</f>
        <v>51900</v>
      </c>
      <c r="AI18" s="23">
        <f t="array" ref="AI18">INDEX(Assumptions!$C$27:$F$27,MATCH(YEAR(AI$3),Assumptions!$C$1:$F$1,0))*IF(ISNUMBER(SEARCH("yr",Assumptions!$G$27)),1/12,1)+INDEX(Assumptions!$C$28:$F$28,MATCH(YEAR(AI$3),Assumptions!$C$1:$F$1,0))*IF(ISNUMBER(SEARCH("yr",Assumptions!$G$28)),1/12,1)+AI8*INDEX(Assumptions!$C$30:$F$30,MATCH(YEAR(AI$3),Assumptions!$C$1:$F$1,0))*IF(ISNUMBER(SEARCH("yr",Assumptions!$G$30)),1/12,1)+AI9*INDEX(Assumptions!$C$29:$F$29,MATCH(YEAR(AI$3),Assumptions!$C$1:$F$1,0))*IF(ISNUMBER(SEARCH("yr",Assumptions!$G$29)),1/12,1)+AI10*INDEX(Assumptions!$C$31:$F$31,MATCH(YEAR(AI$3),Assumptions!$C$1:$F$1,0))*IF(ISNUMBER(SEARCH("yr",Assumptions!$G$31)),1/12,1)+AI12*INDEX(Assumptions!$C$32:$F$32,MATCH(YEAR(AI$3),Assumptions!$C$1:$F$1,0))*IF(ISNUMBER(SEARCH("yr",Assumptions!$G$32)),1/12,1)</f>
        <v>55400</v>
      </c>
      <c r="AJ18" s="23">
        <f t="array" ref="AJ18">INDEX(Assumptions!$C$27:$F$27,MATCH(YEAR(AJ$3),Assumptions!$C$1:$F$1,0))*IF(ISNUMBER(SEARCH("yr",Assumptions!$G$27)),1/12,1)+INDEX(Assumptions!$C$28:$F$28,MATCH(YEAR(AJ$3),Assumptions!$C$1:$F$1,0))*IF(ISNUMBER(SEARCH("yr",Assumptions!$G$28)),1/12,1)+AJ8*INDEX(Assumptions!$C$30:$F$30,MATCH(YEAR(AJ$3),Assumptions!$C$1:$F$1,0))*IF(ISNUMBER(SEARCH("yr",Assumptions!$G$30)),1/12,1)+AJ9*INDEX(Assumptions!$C$29:$F$29,MATCH(YEAR(AJ$3),Assumptions!$C$1:$F$1,0))*IF(ISNUMBER(SEARCH("yr",Assumptions!$G$29)),1/12,1)+AJ10*INDEX(Assumptions!$C$31:$F$31,MATCH(YEAR(AJ$3),Assumptions!$C$1:$F$1,0))*IF(ISNUMBER(SEARCH("yr",Assumptions!$G$31)),1/12,1)+AJ12*INDEX(Assumptions!$C$32:$F$32,MATCH(YEAR(AJ$3),Assumptions!$C$1:$F$1,0))*IF(ISNUMBER(SEARCH("yr",Assumptions!$G$32)),1/12,1)</f>
        <v>55400</v>
      </c>
      <c r="AK18" s="23">
        <f t="array" ref="AK18">INDEX(Assumptions!$C$27:$F$27,MATCH(YEAR(AK$3),Assumptions!$C$1:$F$1,0))*IF(ISNUMBER(SEARCH("yr",Assumptions!$G$27)),1/12,1)+INDEX(Assumptions!$C$28:$F$28,MATCH(YEAR(AK$3),Assumptions!$C$1:$F$1,0))*IF(ISNUMBER(SEARCH("yr",Assumptions!$G$28)),1/12,1)+AK8*INDEX(Assumptions!$C$30:$F$30,MATCH(YEAR(AK$3),Assumptions!$C$1:$F$1,0))*IF(ISNUMBER(SEARCH("yr",Assumptions!$G$30)),1/12,1)+AK9*INDEX(Assumptions!$C$29:$F$29,MATCH(YEAR(AK$3),Assumptions!$C$1:$F$1,0))*IF(ISNUMBER(SEARCH("yr",Assumptions!$G$29)),1/12,1)+AK10*INDEX(Assumptions!$C$31:$F$31,MATCH(YEAR(AK$3),Assumptions!$C$1:$F$1,0))*IF(ISNUMBER(SEARCH("yr",Assumptions!$G$31)),1/12,1)+AK12*INDEX(Assumptions!$C$32:$F$32,MATCH(YEAR(AK$3),Assumptions!$C$1:$F$1,0))*IF(ISNUMBER(SEARCH("yr",Assumptions!$G$32)),1/12,1)</f>
        <v>55400</v>
      </c>
      <c r="AL18" s="23">
        <f t="array" ref="AL18">INDEX(Assumptions!$C$27:$F$27,MATCH(YEAR(AL$3),Assumptions!$C$1:$F$1,0))*IF(ISNUMBER(SEARCH("yr",Assumptions!$G$27)),1/12,1)+INDEX(Assumptions!$C$28:$F$28,MATCH(YEAR(AL$3),Assumptions!$C$1:$F$1,0))*IF(ISNUMBER(SEARCH("yr",Assumptions!$G$28)),1/12,1)+AL8*INDEX(Assumptions!$C$30:$F$30,MATCH(YEAR(AL$3),Assumptions!$C$1:$F$1,0))*IF(ISNUMBER(SEARCH("yr",Assumptions!$G$30)),1/12,1)+AL9*INDEX(Assumptions!$C$29:$F$29,MATCH(YEAR(AL$3),Assumptions!$C$1:$F$1,0))*IF(ISNUMBER(SEARCH("yr",Assumptions!$G$29)),1/12,1)+AL10*INDEX(Assumptions!$C$31:$F$31,MATCH(YEAR(AL$3),Assumptions!$C$1:$F$1,0))*IF(ISNUMBER(SEARCH("yr",Assumptions!$G$31)),1/12,1)+AL12*INDEX(Assumptions!$C$32:$F$32,MATCH(YEAR(AL$3),Assumptions!$C$1:$F$1,0))*IF(ISNUMBER(SEARCH("yr",Assumptions!$G$32)),1/12,1)</f>
        <v>55400</v>
      </c>
      <c r="AM18" s="23">
        <f t="array" ref="AM18">INDEX(Assumptions!$C$27:$F$27,MATCH(YEAR(AM$3),Assumptions!$C$1:$F$1,0))*IF(ISNUMBER(SEARCH("yr",Assumptions!$G$27)),1/12,1)+INDEX(Assumptions!$C$28:$F$28,MATCH(YEAR(AM$3),Assumptions!$C$1:$F$1,0))*IF(ISNUMBER(SEARCH("yr",Assumptions!$G$28)),1/12,1)+AM8*INDEX(Assumptions!$C$30:$F$30,MATCH(YEAR(AM$3),Assumptions!$C$1:$F$1,0))*IF(ISNUMBER(SEARCH("yr",Assumptions!$G$30)),1/12,1)+AM9*INDEX(Assumptions!$C$29:$F$29,MATCH(YEAR(AM$3),Assumptions!$C$1:$F$1,0))*IF(ISNUMBER(SEARCH("yr",Assumptions!$G$29)),1/12,1)+AM10*INDEX(Assumptions!$C$31:$F$31,MATCH(YEAR(AM$3),Assumptions!$C$1:$F$1,0))*IF(ISNUMBER(SEARCH("yr",Assumptions!$G$31)),1/12,1)+AM12*INDEX(Assumptions!$C$32:$F$32,MATCH(YEAR(AM$3),Assumptions!$C$1:$F$1,0))*IF(ISNUMBER(SEARCH("yr",Assumptions!$G$32)),1/12,1)</f>
        <v>55400</v>
      </c>
      <c r="AN18" s="23">
        <f t="array" ref="AN18">INDEX(Assumptions!$C$27:$F$27,MATCH(YEAR(AN$3),Assumptions!$C$1:$F$1,0))*IF(ISNUMBER(SEARCH("yr",Assumptions!$G$27)),1/12,1)+INDEX(Assumptions!$C$28:$F$28,MATCH(YEAR(AN$3),Assumptions!$C$1:$F$1,0))*IF(ISNUMBER(SEARCH("yr",Assumptions!$G$28)),1/12,1)+AN8*INDEX(Assumptions!$C$30:$F$30,MATCH(YEAR(AN$3),Assumptions!$C$1:$F$1,0))*IF(ISNUMBER(SEARCH("yr",Assumptions!$G$30)),1/12,1)+AN9*INDEX(Assumptions!$C$29:$F$29,MATCH(YEAR(AN$3),Assumptions!$C$1:$F$1,0))*IF(ISNUMBER(SEARCH("yr",Assumptions!$G$29)),1/12,1)+AN10*INDEX(Assumptions!$C$31:$F$31,MATCH(YEAR(AN$3),Assumptions!$C$1:$F$1,0))*IF(ISNUMBER(SEARCH("yr",Assumptions!$G$31)),1/12,1)+AN12*INDEX(Assumptions!$C$32:$F$32,MATCH(YEAR(AN$3),Assumptions!$C$1:$F$1,0))*IF(ISNUMBER(SEARCH("yr",Assumptions!$G$32)),1/12,1)</f>
        <v>55400</v>
      </c>
      <c r="AO18" s="23">
        <f t="array" ref="AO18">INDEX(Assumptions!$C$27:$F$27,MATCH(YEAR(AO$3),Assumptions!$C$1:$F$1,0))*IF(ISNUMBER(SEARCH("yr",Assumptions!$G$27)),1/12,1)+INDEX(Assumptions!$C$28:$F$28,MATCH(YEAR(AO$3),Assumptions!$C$1:$F$1,0))*IF(ISNUMBER(SEARCH("yr",Assumptions!$G$28)),1/12,1)+AO8*INDEX(Assumptions!$C$30:$F$30,MATCH(YEAR(AO$3),Assumptions!$C$1:$F$1,0))*IF(ISNUMBER(SEARCH("yr",Assumptions!$G$30)),1/12,1)+AO9*INDEX(Assumptions!$C$29:$F$29,MATCH(YEAR(AO$3),Assumptions!$C$1:$F$1,0))*IF(ISNUMBER(SEARCH("yr",Assumptions!$G$29)),1/12,1)+AO10*INDEX(Assumptions!$C$31:$F$31,MATCH(YEAR(AO$3),Assumptions!$C$1:$F$1,0))*IF(ISNUMBER(SEARCH("yr",Assumptions!$G$31)),1/12,1)+AO12*INDEX(Assumptions!$C$32:$F$32,MATCH(YEAR(AO$3),Assumptions!$C$1:$F$1,0))*IF(ISNUMBER(SEARCH("yr",Assumptions!$G$32)),1/12,1)</f>
        <v>55400</v>
      </c>
      <c r="AP18" s="23">
        <f t="array" ref="AP18">INDEX(Assumptions!$C$27:$F$27,MATCH(YEAR(AP$3),Assumptions!$C$1:$F$1,0))*IF(ISNUMBER(SEARCH("yr",Assumptions!$G$27)),1/12,1)+INDEX(Assumptions!$C$28:$F$28,MATCH(YEAR(AP$3),Assumptions!$C$1:$F$1,0))*IF(ISNUMBER(SEARCH("yr",Assumptions!$G$28)),1/12,1)+AP8*INDEX(Assumptions!$C$30:$F$30,MATCH(YEAR(AP$3),Assumptions!$C$1:$F$1,0))*IF(ISNUMBER(SEARCH("yr",Assumptions!$G$30)),1/12,1)+AP9*INDEX(Assumptions!$C$29:$F$29,MATCH(YEAR(AP$3),Assumptions!$C$1:$F$1,0))*IF(ISNUMBER(SEARCH("yr",Assumptions!$G$29)),1/12,1)+AP10*INDEX(Assumptions!$C$31:$F$31,MATCH(YEAR(AP$3),Assumptions!$C$1:$F$1,0))*IF(ISNUMBER(SEARCH("yr",Assumptions!$G$31)),1/12,1)+AP12*INDEX(Assumptions!$C$32:$F$32,MATCH(YEAR(AP$3),Assumptions!$C$1:$F$1,0))*IF(ISNUMBER(SEARCH("yr",Assumptions!$G$32)),1/12,1)</f>
        <v>61600</v>
      </c>
      <c r="AQ18" s="23">
        <f t="array" ref="AQ18">INDEX(Assumptions!$C$27:$F$27,MATCH(YEAR(AQ$3),Assumptions!$C$1:$F$1,0))*IF(ISNUMBER(SEARCH("yr",Assumptions!$G$27)),1/12,1)+INDEX(Assumptions!$C$28:$F$28,MATCH(YEAR(AQ$3),Assumptions!$C$1:$F$1,0))*IF(ISNUMBER(SEARCH("yr",Assumptions!$G$28)),1/12,1)+AQ8*INDEX(Assumptions!$C$30:$F$30,MATCH(YEAR(AQ$3),Assumptions!$C$1:$F$1,0))*IF(ISNUMBER(SEARCH("yr",Assumptions!$G$30)),1/12,1)+AQ9*INDEX(Assumptions!$C$29:$F$29,MATCH(YEAR(AQ$3),Assumptions!$C$1:$F$1,0))*IF(ISNUMBER(SEARCH("yr",Assumptions!$G$29)),1/12,1)+AQ10*INDEX(Assumptions!$C$31:$F$31,MATCH(YEAR(AQ$3),Assumptions!$C$1:$F$1,0))*IF(ISNUMBER(SEARCH("yr",Assumptions!$G$31)),1/12,1)+AQ12*INDEX(Assumptions!$C$32:$F$32,MATCH(YEAR(AQ$3),Assumptions!$C$1:$F$1,0))*IF(ISNUMBER(SEARCH("yr",Assumptions!$G$32)),1/12,1)</f>
        <v>61600</v>
      </c>
      <c r="AR18" s="23">
        <f t="array" ref="AR18">INDEX(Assumptions!$C$27:$F$27,MATCH(YEAR(AR$3),Assumptions!$C$1:$F$1,0))*IF(ISNUMBER(SEARCH("yr",Assumptions!$G$27)),1/12,1)+INDEX(Assumptions!$C$28:$F$28,MATCH(YEAR(AR$3),Assumptions!$C$1:$F$1,0))*IF(ISNUMBER(SEARCH("yr",Assumptions!$G$28)),1/12,1)+AR8*INDEX(Assumptions!$C$30:$F$30,MATCH(YEAR(AR$3),Assumptions!$C$1:$F$1,0))*IF(ISNUMBER(SEARCH("yr",Assumptions!$G$30)),1/12,1)+AR9*INDEX(Assumptions!$C$29:$F$29,MATCH(YEAR(AR$3),Assumptions!$C$1:$F$1,0))*IF(ISNUMBER(SEARCH("yr",Assumptions!$G$29)),1/12,1)+AR10*INDEX(Assumptions!$C$31:$F$31,MATCH(YEAR(AR$3),Assumptions!$C$1:$F$1,0))*IF(ISNUMBER(SEARCH("yr",Assumptions!$G$31)),1/12,1)+AR12*INDEX(Assumptions!$C$32:$F$32,MATCH(YEAR(AR$3),Assumptions!$C$1:$F$1,0))*IF(ISNUMBER(SEARCH("yr",Assumptions!$G$32)),1/12,1)</f>
        <v>61600</v>
      </c>
      <c r="AS18" s="23">
        <f t="array" ref="AS18">INDEX(Assumptions!$C$27:$F$27,MATCH(YEAR(AS$3),Assumptions!$C$1:$F$1,0))*IF(ISNUMBER(SEARCH("yr",Assumptions!$G$27)),1/12,1)+INDEX(Assumptions!$C$28:$F$28,MATCH(YEAR(AS$3),Assumptions!$C$1:$F$1,0))*IF(ISNUMBER(SEARCH("yr",Assumptions!$G$28)),1/12,1)+AS8*INDEX(Assumptions!$C$30:$F$30,MATCH(YEAR(AS$3),Assumptions!$C$1:$F$1,0))*IF(ISNUMBER(SEARCH("yr",Assumptions!$G$30)),1/12,1)+AS9*INDEX(Assumptions!$C$29:$F$29,MATCH(YEAR(AS$3),Assumptions!$C$1:$F$1,0))*IF(ISNUMBER(SEARCH("yr",Assumptions!$G$29)),1/12,1)+AS10*INDEX(Assumptions!$C$31:$F$31,MATCH(YEAR(AS$3),Assumptions!$C$1:$F$1,0))*IF(ISNUMBER(SEARCH("yr",Assumptions!$G$31)),1/12,1)+AS12*INDEX(Assumptions!$C$32:$F$32,MATCH(YEAR(AS$3),Assumptions!$C$1:$F$1,0))*IF(ISNUMBER(SEARCH("yr",Assumptions!$G$32)),1/12,1)</f>
        <v>61600</v>
      </c>
      <c r="AT18" s="23">
        <f t="array" ref="AT18">INDEX(Assumptions!$C$27:$F$27,MATCH(YEAR(AT$3),Assumptions!$C$1:$F$1,0))*IF(ISNUMBER(SEARCH("yr",Assumptions!$G$27)),1/12,1)+INDEX(Assumptions!$C$28:$F$28,MATCH(YEAR(AT$3),Assumptions!$C$1:$F$1,0))*IF(ISNUMBER(SEARCH("yr",Assumptions!$G$28)),1/12,1)+AT8*INDEX(Assumptions!$C$30:$F$30,MATCH(YEAR(AT$3),Assumptions!$C$1:$F$1,0))*IF(ISNUMBER(SEARCH("yr",Assumptions!$G$30)),1/12,1)+AT9*INDEX(Assumptions!$C$29:$F$29,MATCH(YEAR(AT$3),Assumptions!$C$1:$F$1,0))*IF(ISNUMBER(SEARCH("yr",Assumptions!$G$29)),1/12,1)+AT10*INDEX(Assumptions!$C$31:$F$31,MATCH(YEAR(AT$3),Assumptions!$C$1:$F$1,0))*IF(ISNUMBER(SEARCH("yr",Assumptions!$G$31)),1/12,1)+AT12*INDEX(Assumptions!$C$32:$F$32,MATCH(YEAR(AT$3),Assumptions!$C$1:$F$1,0))*IF(ISNUMBER(SEARCH("yr",Assumptions!$G$32)),1/12,1)</f>
        <v>66850</v>
      </c>
      <c r="AU18" s="23">
        <f t="array" ref="AU18">INDEX(Assumptions!$C$27:$F$27,MATCH(YEAR(AU$3),Assumptions!$C$1:$F$1,0))*IF(ISNUMBER(SEARCH("yr",Assumptions!$G$27)),1/12,1)+INDEX(Assumptions!$C$28:$F$28,MATCH(YEAR(AU$3),Assumptions!$C$1:$F$1,0))*IF(ISNUMBER(SEARCH("yr",Assumptions!$G$28)),1/12,1)+AU8*INDEX(Assumptions!$C$30:$F$30,MATCH(YEAR(AU$3),Assumptions!$C$1:$F$1,0))*IF(ISNUMBER(SEARCH("yr",Assumptions!$G$30)),1/12,1)+AU9*INDEX(Assumptions!$C$29:$F$29,MATCH(YEAR(AU$3),Assumptions!$C$1:$F$1,0))*IF(ISNUMBER(SEARCH("yr",Assumptions!$G$29)),1/12,1)+AU10*INDEX(Assumptions!$C$31:$F$31,MATCH(YEAR(AU$3),Assumptions!$C$1:$F$1,0))*IF(ISNUMBER(SEARCH("yr",Assumptions!$G$31)),1/12,1)+AU12*INDEX(Assumptions!$C$32:$F$32,MATCH(YEAR(AU$3),Assumptions!$C$1:$F$1,0))*IF(ISNUMBER(SEARCH("yr",Assumptions!$G$32)),1/12,1)</f>
        <v>66850</v>
      </c>
      <c r="AV18" s="23">
        <f t="array" ref="AV18">INDEX(Assumptions!$C$27:$F$27,MATCH(YEAR(AV$3),Assumptions!$C$1:$F$1,0))*IF(ISNUMBER(SEARCH("yr",Assumptions!$G$27)),1/12,1)+INDEX(Assumptions!$C$28:$F$28,MATCH(YEAR(AV$3),Assumptions!$C$1:$F$1,0))*IF(ISNUMBER(SEARCH("yr",Assumptions!$G$28)),1/12,1)+AV8*INDEX(Assumptions!$C$30:$F$30,MATCH(YEAR(AV$3),Assumptions!$C$1:$F$1,0))*IF(ISNUMBER(SEARCH("yr",Assumptions!$G$30)),1/12,1)+AV9*INDEX(Assumptions!$C$29:$F$29,MATCH(YEAR(AV$3),Assumptions!$C$1:$F$1,0))*IF(ISNUMBER(SEARCH("yr",Assumptions!$G$29)),1/12,1)+AV10*INDEX(Assumptions!$C$31:$F$31,MATCH(YEAR(AV$3),Assumptions!$C$1:$F$1,0))*IF(ISNUMBER(SEARCH("yr",Assumptions!$G$31)),1/12,1)+AV12*INDEX(Assumptions!$C$32:$F$32,MATCH(YEAR(AV$3),Assumptions!$C$1:$F$1,0))*IF(ISNUMBER(SEARCH("yr",Assumptions!$G$32)),1/12,1)</f>
        <v>66850</v>
      </c>
      <c r="AW18" s="23">
        <f t="array" ref="AW18">INDEX(Assumptions!$C$27:$F$27,MATCH(YEAR(AW$3),Assumptions!$C$1:$F$1,0))*IF(ISNUMBER(SEARCH("yr",Assumptions!$G$27)),1/12,1)+INDEX(Assumptions!$C$28:$F$28,MATCH(YEAR(AW$3),Assumptions!$C$1:$F$1,0))*IF(ISNUMBER(SEARCH("yr",Assumptions!$G$28)),1/12,1)+AW8*INDEX(Assumptions!$C$30:$F$30,MATCH(YEAR(AW$3),Assumptions!$C$1:$F$1,0))*IF(ISNUMBER(SEARCH("yr",Assumptions!$G$30)),1/12,1)+AW9*INDEX(Assumptions!$C$29:$F$29,MATCH(YEAR(AW$3),Assumptions!$C$1:$F$1,0))*IF(ISNUMBER(SEARCH("yr",Assumptions!$G$29)),1/12,1)+AW10*INDEX(Assumptions!$C$31:$F$31,MATCH(YEAR(AW$3),Assumptions!$C$1:$F$1,0))*IF(ISNUMBER(SEARCH("yr",Assumptions!$G$31)),1/12,1)+AW12*INDEX(Assumptions!$C$32:$F$32,MATCH(YEAR(AW$3),Assumptions!$C$1:$F$1,0))*IF(ISNUMBER(SEARCH("yr",Assumptions!$G$32)),1/12,1)</f>
        <v>66850</v>
      </c>
      <c r="AX18" s="23">
        <f t="array" ref="AX18">INDEX(Assumptions!$C$27:$F$27,MATCH(YEAR(AX$3),Assumptions!$C$1:$F$1,0))*IF(ISNUMBER(SEARCH("yr",Assumptions!$G$27)),1/12,1)+INDEX(Assumptions!$C$28:$F$28,MATCH(YEAR(AX$3),Assumptions!$C$1:$F$1,0))*IF(ISNUMBER(SEARCH("yr",Assumptions!$G$28)),1/12,1)+AX8*INDEX(Assumptions!$C$30:$F$30,MATCH(YEAR(AX$3),Assumptions!$C$1:$F$1,0))*IF(ISNUMBER(SEARCH("yr",Assumptions!$G$30)),1/12,1)+AX9*INDEX(Assumptions!$C$29:$F$29,MATCH(YEAR(AX$3),Assumptions!$C$1:$F$1,0))*IF(ISNUMBER(SEARCH("yr",Assumptions!$G$29)),1/12,1)+AX10*INDEX(Assumptions!$C$31:$F$31,MATCH(YEAR(AX$3),Assumptions!$C$1:$F$1,0))*IF(ISNUMBER(SEARCH("yr",Assumptions!$G$31)),1/12,1)+AX12*INDEX(Assumptions!$C$32:$F$32,MATCH(YEAR(AX$3),Assumptions!$C$1:$F$1,0))*IF(ISNUMBER(SEARCH("yr",Assumptions!$G$32)),1/12,1)</f>
        <v>70600</v>
      </c>
      <c r="AY18" s="23">
        <f t="array" ref="AY18">INDEX(Assumptions!$C$27:$F$27,MATCH(YEAR(AY$3),Assumptions!$C$1:$F$1,0))*IF(ISNUMBER(SEARCH("yr",Assumptions!$G$27)),1/12,1)+INDEX(Assumptions!$C$28:$F$28,MATCH(YEAR(AY$3),Assumptions!$C$1:$F$1,0))*IF(ISNUMBER(SEARCH("yr",Assumptions!$G$28)),1/12,1)+AY8*INDEX(Assumptions!$C$30:$F$30,MATCH(YEAR(AY$3),Assumptions!$C$1:$F$1,0))*IF(ISNUMBER(SEARCH("yr",Assumptions!$G$30)),1/12,1)+AY9*INDEX(Assumptions!$C$29:$F$29,MATCH(YEAR(AY$3),Assumptions!$C$1:$F$1,0))*IF(ISNUMBER(SEARCH("yr",Assumptions!$G$29)),1/12,1)+AY10*INDEX(Assumptions!$C$31:$F$31,MATCH(YEAR(AY$3),Assumptions!$C$1:$F$1,0))*IF(ISNUMBER(SEARCH("yr",Assumptions!$G$31)),1/12,1)+AY12*INDEX(Assumptions!$C$32:$F$32,MATCH(YEAR(AY$3),Assumptions!$C$1:$F$1,0))*IF(ISNUMBER(SEARCH("yr",Assumptions!$G$32)),1/12,1)</f>
        <v>70600</v>
      </c>
      <c r="AZ18" s="23">
        <f t="array" ref="AZ18">INDEX(Assumptions!$C$27:$F$27,MATCH(YEAR(AZ$3),Assumptions!$C$1:$F$1,0))*IF(ISNUMBER(SEARCH("yr",Assumptions!$G$27)),1/12,1)+INDEX(Assumptions!$C$28:$F$28,MATCH(YEAR(AZ$3),Assumptions!$C$1:$F$1,0))*IF(ISNUMBER(SEARCH("yr",Assumptions!$G$28)),1/12,1)+AZ8*INDEX(Assumptions!$C$30:$F$30,MATCH(YEAR(AZ$3),Assumptions!$C$1:$F$1,0))*IF(ISNUMBER(SEARCH("yr",Assumptions!$G$30)),1/12,1)+AZ9*INDEX(Assumptions!$C$29:$F$29,MATCH(YEAR(AZ$3),Assumptions!$C$1:$F$1,0))*IF(ISNUMBER(SEARCH("yr",Assumptions!$G$29)),1/12,1)+AZ10*INDEX(Assumptions!$C$31:$F$31,MATCH(YEAR(AZ$3),Assumptions!$C$1:$F$1,0))*IF(ISNUMBER(SEARCH("yr",Assumptions!$G$31)),1/12,1)+AZ12*INDEX(Assumptions!$C$32:$F$32,MATCH(YEAR(AZ$3),Assumptions!$C$1:$F$1,0))*IF(ISNUMBER(SEARCH("yr",Assumptions!$G$32)),1/12,1)</f>
        <v>70600</v>
      </c>
      <c r="BA18" s="23">
        <f t="array" ref="BA18">INDEX(Assumptions!$C$27:$F$27,MATCH(YEAR(BA$3),Assumptions!$C$1:$F$1,0))*IF(ISNUMBER(SEARCH("yr",Assumptions!$G$27)),1/12,1)+INDEX(Assumptions!$C$28:$F$28,MATCH(YEAR(BA$3),Assumptions!$C$1:$F$1,0))*IF(ISNUMBER(SEARCH("yr",Assumptions!$G$28)),1/12,1)+BA8*INDEX(Assumptions!$C$30:$F$30,MATCH(YEAR(BA$3),Assumptions!$C$1:$F$1,0))*IF(ISNUMBER(SEARCH("yr",Assumptions!$G$30)),1/12,1)+BA9*INDEX(Assumptions!$C$29:$F$29,MATCH(YEAR(BA$3),Assumptions!$C$1:$F$1,0))*IF(ISNUMBER(SEARCH("yr",Assumptions!$G$29)),1/12,1)+BA10*INDEX(Assumptions!$C$31:$F$31,MATCH(YEAR(BA$3),Assumptions!$C$1:$F$1,0))*IF(ISNUMBER(SEARCH("yr",Assumptions!$G$31)),1/12,1)+BA12*INDEX(Assumptions!$C$32:$F$32,MATCH(YEAR(BA$3),Assumptions!$C$1:$F$1,0))*IF(ISNUMBER(SEARCH("yr",Assumptions!$G$32)),1/12,1)</f>
        <v>70600</v>
      </c>
      <c r="BB18" s="23"/>
      <c r="BC18" s="23">
        <f t="shared" ref="BC18:BF18" si="6">SUMPRODUCT((YEAR($F$3:$BA$3)=BC$3)*$F18:$BA18)</f>
        <v>375000</v>
      </c>
      <c r="BD18" s="23">
        <f t="shared" si="6"/>
        <v>503400</v>
      </c>
      <c r="BE18" s="23">
        <f t="shared" si="6"/>
        <v>647300</v>
      </c>
      <c r="BF18" s="23">
        <f t="shared" si="6"/>
        <v>796200</v>
      </c>
    </row>
    <row r="19">
      <c r="A19" s="1"/>
      <c r="B19" s="3" t="s">
        <v>112</v>
      </c>
      <c r="C19" s="1"/>
      <c r="D19" s="1"/>
      <c r="E19" s="3" t="s">
        <v>33</v>
      </c>
      <c r="F19" s="23">
        <f>Assumptions!$C$34*F18</f>
        <v>2360</v>
      </c>
      <c r="G19" s="23">
        <f>Assumptions!$C$34*G18</f>
        <v>2360</v>
      </c>
      <c r="H19" s="23">
        <f>Assumptions!$C$34*H18</f>
        <v>2360</v>
      </c>
      <c r="I19" s="23">
        <f>Assumptions!$C$34*I18</f>
        <v>2360</v>
      </c>
      <c r="J19" s="23">
        <f>Assumptions!$C$34*J18</f>
        <v>2360</v>
      </c>
      <c r="K19" s="23">
        <f>Assumptions!$C$34*K18</f>
        <v>2600</v>
      </c>
      <c r="L19" s="23">
        <f>Assumptions!$C$34*L18</f>
        <v>2600</v>
      </c>
      <c r="M19" s="23">
        <f>Assumptions!$C$34*M18</f>
        <v>2600</v>
      </c>
      <c r="N19" s="23">
        <f>Assumptions!$C$34*N18</f>
        <v>2600</v>
      </c>
      <c r="O19" s="23">
        <f>Assumptions!$C$34*O18</f>
        <v>2600</v>
      </c>
      <c r="P19" s="23">
        <f>Assumptions!$C$34*P18</f>
        <v>2600</v>
      </c>
      <c r="Q19" s="23">
        <f>Assumptions!$C$34*Q18</f>
        <v>2600</v>
      </c>
      <c r="R19" s="23">
        <f>Assumptions!$C$34*R18</f>
        <v>3036</v>
      </c>
      <c r="S19" s="23">
        <f>Assumptions!$C$34*S18</f>
        <v>3036</v>
      </c>
      <c r="T19" s="23">
        <f>Assumptions!$C$34*T18</f>
        <v>3036</v>
      </c>
      <c r="U19" s="23">
        <f>Assumptions!$C$34*U18</f>
        <v>3036</v>
      </c>
      <c r="V19" s="23">
        <f>Assumptions!$C$34*V18</f>
        <v>3036</v>
      </c>
      <c r="W19" s="23">
        <f>Assumptions!$C$34*W18</f>
        <v>3036</v>
      </c>
      <c r="X19" s="23">
        <f>Assumptions!$C$34*X18</f>
        <v>3676</v>
      </c>
      <c r="Y19" s="23">
        <f>Assumptions!$C$34*Y18</f>
        <v>3676</v>
      </c>
      <c r="Z19" s="23">
        <f>Assumptions!$C$34*Z18</f>
        <v>3676</v>
      </c>
      <c r="AA19" s="23">
        <f>Assumptions!$C$34*AA18</f>
        <v>3676</v>
      </c>
      <c r="AB19" s="23">
        <f>Assumptions!$C$34*AB18</f>
        <v>3676</v>
      </c>
      <c r="AC19" s="23">
        <f>Assumptions!$C$34*AC18</f>
        <v>3676</v>
      </c>
      <c r="AD19" s="23">
        <f>Assumptions!$C$34*AD18</f>
        <v>4152</v>
      </c>
      <c r="AE19" s="23">
        <f>Assumptions!$C$34*AE18</f>
        <v>4152</v>
      </c>
      <c r="AF19" s="23">
        <f>Assumptions!$C$34*AF18</f>
        <v>4152</v>
      </c>
      <c r="AG19" s="23">
        <f>Assumptions!$C$34*AG18</f>
        <v>4152</v>
      </c>
      <c r="AH19" s="23">
        <f>Assumptions!$C$34*AH18</f>
        <v>4152</v>
      </c>
      <c r="AI19" s="23">
        <f>Assumptions!$C$34*AI18</f>
        <v>4432</v>
      </c>
      <c r="AJ19" s="23">
        <f>Assumptions!$C$34*AJ18</f>
        <v>4432</v>
      </c>
      <c r="AK19" s="23">
        <f>Assumptions!$C$34*AK18</f>
        <v>4432</v>
      </c>
      <c r="AL19" s="23">
        <f>Assumptions!$C$34*AL18</f>
        <v>4432</v>
      </c>
      <c r="AM19" s="23">
        <f>Assumptions!$C$34*AM18</f>
        <v>4432</v>
      </c>
      <c r="AN19" s="23">
        <f>Assumptions!$C$34*AN18</f>
        <v>4432</v>
      </c>
      <c r="AO19" s="23">
        <f>Assumptions!$C$34*AO18</f>
        <v>4432</v>
      </c>
      <c r="AP19" s="23">
        <f>Assumptions!$C$34*AP18</f>
        <v>4928</v>
      </c>
      <c r="AQ19" s="23">
        <f>Assumptions!$C$34*AQ18</f>
        <v>4928</v>
      </c>
      <c r="AR19" s="23">
        <f>Assumptions!$C$34*AR18</f>
        <v>4928</v>
      </c>
      <c r="AS19" s="23">
        <f>Assumptions!$C$34*AS18</f>
        <v>4928</v>
      </c>
      <c r="AT19" s="23">
        <f>Assumptions!$C$34*AT18</f>
        <v>5348</v>
      </c>
      <c r="AU19" s="23">
        <f>Assumptions!$C$34*AU18</f>
        <v>5348</v>
      </c>
      <c r="AV19" s="23">
        <f>Assumptions!$C$34*AV18</f>
        <v>5348</v>
      </c>
      <c r="AW19" s="23">
        <f>Assumptions!$C$34*AW18</f>
        <v>5348</v>
      </c>
      <c r="AX19" s="23">
        <f>Assumptions!$C$34*AX18</f>
        <v>5648</v>
      </c>
      <c r="AY19" s="23">
        <f>Assumptions!$C$34*AY18</f>
        <v>5648</v>
      </c>
      <c r="AZ19" s="23">
        <f>Assumptions!$C$34*AZ18</f>
        <v>5648</v>
      </c>
      <c r="BA19" s="23">
        <f>Assumptions!$C$34*BA18</f>
        <v>5648</v>
      </c>
      <c r="BB19" s="23"/>
      <c r="BC19" s="23">
        <f t="shared" ref="BC19:BF19" si="7">SUMPRODUCT((YEAR($F$3:$BA$3)=BC$3)*$F19:$BA19)</f>
        <v>30000</v>
      </c>
      <c r="BD19" s="23">
        <f t="shared" si="7"/>
        <v>40272</v>
      </c>
      <c r="BE19" s="23">
        <f t="shared" si="7"/>
        <v>51784</v>
      </c>
      <c r="BF19" s="23">
        <f t="shared" si="7"/>
        <v>63696</v>
      </c>
    </row>
    <row r="20">
      <c r="A20" s="1"/>
      <c r="B20" s="3" t="s">
        <v>113</v>
      </c>
      <c r="C20" s="1"/>
      <c r="D20" s="1"/>
      <c r="E20" s="3" t="s">
        <v>33</v>
      </c>
      <c r="F20" s="23">
        <f>Assumptions!$C$35*(F18+F19)</f>
        <v>6053.4</v>
      </c>
      <c r="G20" s="23">
        <f>Assumptions!$C$35*(G18+G19)</f>
        <v>6053.4</v>
      </c>
      <c r="H20" s="23">
        <f>Assumptions!$C$35*(H18+H19)</f>
        <v>6053.4</v>
      </c>
      <c r="I20" s="23">
        <f>Assumptions!$C$35*(I18+I19)</f>
        <v>6053.4</v>
      </c>
      <c r="J20" s="23">
        <f>Assumptions!$C$35*(J18+J19)</f>
        <v>6053.4</v>
      </c>
      <c r="K20" s="23">
        <f>Assumptions!$C$35*(K18+K19)</f>
        <v>6669</v>
      </c>
      <c r="L20" s="23">
        <f>Assumptions!$C$35*(L18+L19)</f>
        <v>6669</v>
      </c>
      <c r="M20" s="23">
        <f>Assumptions!$C$35*(M18+M19)</f>
        <v>6669</v>
      </c>
      <c r="N20" s="23">
        <f>Assumptions!$C$35*(N18+N19)</f>
        <v>6669</v>
      </c>
      <c r="O20" s="23">
        <f>Assumptions!$C$35*(O18+O19)</f>
        <v>6669</v>
      </c>
      <c r="P20" s="23">
        <f>Assumptions!$C$35*(P18+P19)</f>
        <v>6669</v>
      </c>
      <c r="Q20" s="23">
        <f>Assumptions!$C$35*(Q18+Q19)</f>
        <v>6669</v>
      </c>
      <c r="R20" s="23">
        <f>Assumptions!$C$35*(R18+R19)</f>
        <v>7787.34</v>
      </c>
      <c r="S20" s="23">
        <f>Assumptions!$C$35*(S18+S19)</f>
        <v>7787.34</v>
      </c>
      <c r="T20" s="23">
        <f>Assumptions!$C$35*(T18+T19)</f>
        <v>7787.34</v>
      </c>
      <c r="U20" s="23">
        <f>Assumptions!$C$35*(U18+U19)</f>
        <v>7787.34</v>
      </c>
      <c r="V20" s="23">
        <f>Assumptions!$C$35*(V18+V19)</f>
        <v>7787.34</v>
      </c>
      <c r="W20" s="23">
        <f>Assumptions!$C$35*(W18+W19)</f>
        <v>7787.34</v>
      </c>
      <c r="X20" s="23">
        <f>Assumptions!$C$35*(X18+X19)</f>
        <v>9428.94</v>
      </c>
      <c r="Y20" s="23">
        <f>Assumptions!$C$35*(Y18+Y19)</f>
        <v>9428.94</v>
      </c>
      <c r="Z20" s="23">
        <f>Assumptions!$C$35*(Z18+Z19)</f>
        <v>9428.94</v>
      </c>
      <c r="AA20" s="23">
        <f>Assumptions!$C$35*(AA18+AA19)</f>
        <v>9428.94</v>
      </c>
      <c r="AB20" s="23">
        <f>Assumptions!$C$35*(AB18+AB19)</f>
        <v>9428.94</v>
      </c>
      <c r="AC20" s="23">
        <f>Assumptions!$C$35*(AC18+AC19)</f>
        <v>9428.94</v>
      </c>
      <c r="AD20" s="23">
        <f>Assumptions!$C$35*(AD18+AD19)</f>
        <v>10649.88</v>
      </c>
      <c r="AE20" s="23">
        <f>Assumptions!$C$35*(AE18+AE19)</f>
        <v>10649.88</v>
      </c>
      <c r="AF20" s="23">
        <f>Assumptions!$C$35*(AF18+AF19)</f>
        <v>10649.88</v>
      </c>
      <c r="AG20" s="23">
        <f>Assumptions!$C$35*(AG18+AG19)</f>
        <v>10649.88</v>
      </c>
      <c r="AH20" s="23">
        <f>Assumptions!$C$35*(AH18+AH19)</f>
        <v>10649.88</v>
      </c>
      <c r="AI20" s="23">
        <f>Assumptions!$C$35*(AI18+AI19)</f>
        <v>11368.08</v>
      </c>
      <c r="AJ20" s="23">
        <f>Assumptions!$C$35*(AJ18+AJ19)</f>
        <v>11368.08</v>
      </c>
      <c r="AK20" s="23">
        <f>Assumptions!$C$35*(AK18+AK19)</f>
        <v>11368.08</v>
      </c>
      <c r="AL20" s="23">
        <f>Assumptions!$C$35*(AL18+AL19)</f>
        <v>11368.08</v>
      </c>
      <c r="AM20" s="23">
        <f>Assumptions!$C$35*(AM18+AM19)</f>
        <v>11368.08</v>
      </c>
      <c r="AN20" s="23">
        <f>Assumptions!$C$35*(AN18+AN19)</f>
        <v>11368.08</v>
      </c>
      <c r="AO20" s="23">
        <f>Assumptions!$C$35*(AO18+AO19)</f>
        <v>11368.08</v>
      </c>
      <c r="AP20" s="23">
        <f>Assumptions!$C$35*(AP18+AP19)</f>
        <v>12640.32</v>
      </c>
      <c r="AQ20" s="23">
        <f>Assumptions!$C$35*(AQ18+AQ19)</f>
        <v>12640.32</v>
      </c>
      <c r="AR20" s="23">
        <f>Assumptions!$C$35*(AR18+AR19)</f>
        <v>12640.32</v>
      </c>
      <c r="AS20" s="23">
        <f>Assumptions!$C$35*(AS18+AS19)</f>
        <v>12640.32</v>
      </c>
      <c r="AT20" s="23">
        <f>Assumptions!$C$35*(AT18+AT19)</f>
        <v>13717.62</v>
      </c>
      <c r="AU20" s="23">
        <f>Assumptions!$C$35*(AU18+AU19)</f>
        <v>13717.62</v>
      </c>
      <c r="AV20" s="23">
        <f>Assumptions!$C$35*(AV18+AV19)</f>
        <v>13717.62</v>
      </c>
      <c r="AW20" s="23">
        <f>Assumptions!$C$35*(AW18+AW19)</f>
        <v>13717.62</v>
      </c>
      <c r="AX20" s="23">
        <f>Assumptions!$C$35*(AX18+AX19)</f>
        <v>14487.12</v>
      </c>
      <c r="AY20" s="23">
        <f>Assumptions!$C$35*(AY18+AY19)</f>
        <v>14487.12</v>
      </c>
      <c r="AZ20" s="23">
        <f>Assumptions!$C$35*(AZ18+AZ19)</f>
        <v>14487.12</v>
      </c>
      <c r="BA20" s="23">
        <f>Assumptions!$C$35*(BA18+BA19)</f>
        <v>14487.12</v>
      </c>
      <c r="BB20" s="23"/>
      <c r="BC20" s="23">
        <f t="shared" ref="BC20:BF20" si="8">SUMPRODUCT((YEAR($F$3:$BA$3)=BC$3)*$F20:$BA20)</f>
        <v>76950</v>
      </c>
      <c r="BD20" s="23">
        <f t="shared" si="8"/>
        <v>103297.68</v>
      </c>
      <c r="BE20" s="23">
        <f t="shared" si="8"/>
        <v>132825.96</v>
      </c>
      <c r="BF20" s="23">
        <f t="shared" si="8"/>
        <v>163380.24</v>
      </c>
    </row>
    <row r="21">
      <c r="A21" s="1"/>
      <c r="B21" s="3" t="s">
        <v>105</v>
      </c>
      <c r="C21" s="1"/>
      <c r="D21" s="1"/>
      <c r="E21" s="3" t="s">
        <v>33</v>
      </c>
      <c r="F21" s="23">
        <f t="array" ref="F21">INDEX(Assumptions!$C$33:$F$33,MATCH(YEAR(F$3),Assumptions!$C$1:$F$1,0))*IF(ISNUMBER(SEARCH("yr",Assumptions!$G$33)),1/12,1)</f>
        <v>6500</v>
      </c>
      <c r="G21" s="23">
        <f t="array" ref="G21">INDEX(Assumptions!$C$33:$F$33,MATCH(YEAR(G$3),Assumptions!$C$1:$F$1,0))*IF(ISNUMBER(SEARCH("yr",Assumptions!$G$33)),1/12,1)</f>
        <v>6500</v>
      </c>
      <c r="H21" s="23">
        <f t="array" ref="H21">INDEX(Assumptions!$C$33:$F$33,MATCH(YEAR(H$3),Assumptions!$C$1:$F$1,0))*IF(ISNUMBER(SEARCH("yr",Assumptions!$G$33)),1/12,1)</f>
        <v>6500</v>
      </c>
      <c r="I21" s="23">
        <f t="array" ref="I21">INDEX(Assumptions!$C$33:$F$33,MATCH(YEAR(I$3),Assumptions!$C$1:$F$1,0))*IF(ISNUMBER(SEARCH("yr",Assumptions!$G$33)),1/12,1)</f>
        <v>6500</v>
      </c>
      <c r="J21" s="23">
        <f t="array" ref="J21">INDEX(Assumptions!$C$33:$F$33,MATCH(YEAR(J$3),Assumptions!$C$1:$F$1,0))*IF(ISNUMBER(SEARCH("yr",Assumptions!$G$33)),1/12,1)</f>
        <v>6500</v>
      </c>
      <c r="K21" s="23">
        <f t="array" ref="K21">INDEX(Assumptions!$C$33:$F$33,MATCH(YEAR(K$3),Assumptions!$C$1:$F$1,0))*IF(ISNUMBER(SEARCH("yr",Assumptions!$G$33)),1/12,1)</f>
        <v>6500</v>
      </c>
      <c r="L21" s="23">
        <f t="array" ref="L21">INDEX(Assumptions!$C$33:$F$33,MATCH(YEAR(L$3),Assumptions!$C$1:$F$1,0))*IF(ISNUMBER(SEARCH("yr",Assumptions!$G$33)),1/12,1)</f>
        <v>6500</v>
      </c>
      <c r="M21" s="23">
        <f t="array" ref="M21">INDEX(Assumptions!$C$33:$F$33,MATCH(YEAR(M$3),Assumptions!$C$1:$F$1,0))*IF(ISNUMBER(SEARCH("yr",Assumptions!$G$33)),1/12,1)</f>
        <v>6500</v>
      </c>
      <c r="N21" s="23">
        <f t="array" ref="N21">INDEX(Assumptions!$C$33:$F$33,MATCH(YEAR(N$3),Assumptions!$C$1:$F$1,0))*IF(ISNUMBER(SEARCH("yr",Assumptions!$G$33)),1/12,1)</f>
        <v>6500</v>
      </c>
      <c r="O21" s="23">
        <f t="array" ref="O21">INDEX(Assumptions!$C$33:$F$33,MATCH(YEAR(O$3),Assumptions!$C$1:$F$1,0))*IF(ISNUMBER(SEARCH("yr",Assumptions!$G$33)),1/12,1)</f>
        <v>6500</v>
      </c>
      <c r="P21" s="23">
        <f t="array" ref="P21">INDEX(Assumptions!$C$33:$F$33,MATCH(YEAR(P$3),Assumptions!$C$1:$F$1,0))*IF(ISNUMBER(SEARCH("yr",Assumptions!$G$33)),1/12,1)</f>
        <v>6500</v>
      </c>
      <c r="Q21" s="23">
        <f t="array" ref="Q21">INDEX(Assumptions!$C$33:$F$33,MATCH(YEAR(Q$3),Assumptions!$C$1:$F$1,0))*IF(ISNUMBER(SEARCH("yr",Assumptions!$G$33)),1/12,1)</f>
        <v>6500</v>
      </c>
      <c r="R21" s="23">
        <f t="array" ref="R21">INDEX(Assumptions!$C$33:$F$33,MATCH(YEAR(R$3),Assumptions!$C$1:$F$1,0))*IF(ISNUMBER(SEARCH("yr",Assumptions!$G$33)),1/12,1)</f>
        <v>7000</v>
      </c>
      <c r="S21" s="23">
        <f t="array" ref="S21">INDEX(Assumptions!$C$33:$F$33,MATCH(YEAR(S$3),Assumptions!$C$1:$F$1,0))*IF(ISNUMBER(SEARCH("yr",Assumptions!$G$33)),1/12,1)</f>
        <v>7000</v>
      </c>
      <c r="T21" s="23">
        <f t="array" ref="T21">INDEX(Assumptions!$C$33:$F$33,MATCH(YEAR(T$3),Assumptions!$C$1:$F$1,0))*IF(ISNUMBER(SEARCH("yr",Assumptions!$G$33)),1/12,1)</f>
        <v>7000</v>
      </c>
      <c r="U21" s="23">
        <f t="array" ref="U21">INDEX(Assumptions!$C$33:$F$33,MATCH(YEAR(U$3),Assumptions!$C$1:$F$1,0))*IF(ISNUMBER(SEARCH("yr",Assumptions!$G$33)),1/12,1)</f>
        <v>7000</v>
      </c>
      <c r="V21" s="23">
        <f t="array" ref="V21">INDEX(Assumptions!$C$33:$F$33,MATCH(YEAR(V$3),Assumptions!$C$1:$F$1,0))*IF(ISNUMBER(SEARCH("yr",Assumptions!$G$33)),1/12,1)</f>
        <v>7000</v>
      </c>
      <c r="W21" s="23">
        <f t="array" ref="W21">INDEX(Assumptions!$C$33:$F$33,MATCH(YEAR(W$3),Assumptions!$C$1:$F$1,0))*IF(ISNUMBER(SEARCH("yr",Assumptions!$G$33)),1/12,1)</f>
        <v>7000</v>
      </c>
      <c r="X21" s="23">
        <f t="array" ref="X21">INDEX(Assumptions!$C$33:$F$33,MATCH(YEAR(X$3),Assumptions!$C$1:$F$1,0))*IF(ISNUMBER(SEARCH("yr",Assumptions!$G$33)),1/12,1)</f>
        <v>7000</v>
      </c>
      <c r="Y21" s="23">
        <f t="array" ref="Y21">INDEX(Assumptions!$C$33:$F$33,MATCH(YEAR(Y$3),Assumptions!$C$1:$F$1,0))*IF(ISNUMBER(SEARCH("yr",Assumptions!$G$33)),1/12,1)</f>
        <v>7000</v>
      </c>
      <c r="Z21" s="23">
        <f t="array" ref="Z21">INDEX(Assumptions!$C$33:$F$33,MATCH(YEAR(Z$3),Assumptions!$C$1:$F$1,0))*IF(ISNUMBER(SEARCH("yr",Assumptions!$G$33)),1/12,1)</f>
        <v>7000</v>
      </c>
      <c r="AA21" s="23">
        <f t="array" ref="AA21">INDEX(Assumptions!$C$33:$F$33,MATCH(YEAR(AA$3),Assumptions!$C$1:$F$1,0))*IF(ISNUMBER(SEARCH("yr",Assumptions!$G$33)),1/12,1)</f>
        <v>7000</v>
      </c>
      <c r="AB21" s="23">
        <f t="array" ref="AB21">INDEX(Assumptions!$C$33:$F$33,MATCH(YEAR(AB$3),Assumptions!$C$1:$F$1,0))*IF(ISNUMBER(SEARCH("yr",Assumptions!$G$33)),1/12,1)</f>
        <v>7000</v>
      </c>
      <c r="AC21" s="23">
        <f t="array" ref="AC21">INDEX(Assumptions!$C$33:$F$33,MATCH(YEAR(AC$3),Assumptions!$C$1:$F$1,0))*IF(ISNUMBER(SEARCH("yr",Assumptions!$G$33)),1/12,1)</f>
        <v>7000</v>
      </c>
      <c r="AD21" s="23">
        <f t="array" ref="AD21">INDEX(Assumptions!$C$33:$F$33,MATCH(YEAR(AD$3),Assumptions!$C$1:$F$1,0))*IF(ISNUMBER(SEARCH("yr",Assumptions!$G$33)),1/12,1)</f>
        <v>7500</v>
      </c>
      <c r="AE21" s="23">
        <f t="array" ref="AE21">INDEX(Assumptions!$C$33:$F$33,MATCH(YEAR(AE$3),Assumptions!$C$1:$F$1,0))*IF(ISNUMBER(SEARCH("yr",Assumptions!$G$33)),1/12,1)</f>
        <v>7500</v>
      </c>
      <c r="AF21" s="23">
        <f t="array" ref="AF21">INDEX(Assumptions!$C$33:$F$33,MATCH(YEAR(AF$3),Assumptions!$C$1:$F$1,0))*IF(ISNUMBER(SEARCH("yr",Assumptions!$G$33)),1/12,1)</f>
        <v>7500</v>
      </c>
      <c r="AG21" s="23">
        <f t="array" ref="AG21">INDEX(Assumptions!$C$33:$F$33,MATCH(YEAR(AG$3),Assumptions!$C$1:$F$1,0))*IF(ISNUMBER(SEARCH("yr",Assumptions!$G$33)),1/12,1)</f>
        <v>7500</v>
      </c>
      <c r="AH21" s="23">
        <f t="array" ref="AH21">INDEX(Assumptions!$C$33:$F$33,MATCH(YEAR(AH$3),Assumptions!$C$1:$F$1,0))*IF(ISNUMBER(SEARCH("yr",Assumptions!$G$33)),1/12,1)</f>
        <v>7500</v>
      </c>
      <c r="AI21" s="23">
        <f t="array" ref="AI21">INDEX(Assumptions!$C$33:$F$33,MATCH(YEAR(AI$3),Assumptions!$C$1:$F$1,0))*IF(ISNUMBER(SEARCH("yr",Assumptions!$G$33)),1/12,1)</f>
        <v>7500</v>
      </c>
      <c r="AJ21" s="23">
        <f t="array" ref="AJ21">INDEX(Assumptions!$C$33:$F$33,MATCH(YEAR(AJ$3),Assumptions!$C$1:$F$1,0))*IF(ISNUMBER(SEARCH("yr",Assumptions!$G$33)),1/12,1)</f>
        <v>7500</v>
      </c>
      <c r="AK21" s="23">
        <f t="array" ref="AK21">INDEX(Assumptions!$C$33:$F$33,MATCH(YEAR(AK$3),Assumptions!$C$1:$F$1,0))*IF(ISNUMBER(SEARCH("yr",Assumptions!$G$33)),1/12,1)</f>
        <v>7500</v>
      </c>
      <c r="AL21" s="23">
        <f t="array" ref="AL21">INDEX(Assumptions!$C$33:$F$33,MATCH(YEAR(AL$3),Assumptions!$C$1:$F$1,0))*IF(ISNUMBER(SEARCH("yr",Assumptions!$G$33)),1/12,1)</f>
        <v>7500</v>
      </c>
      <c r="AM21" s="23">
        <f t="array" ref="AM21">INDEX(Assumptions!$C$33:$F$33,MATCH(YEAR(AM$3),Assumptions!$C$1:$F$1,0))*IF(ISNUMBER(SEARCH("yr",Assumptions!$G$33)),1/12,1)</f>
        <v>7500</v>
      </c>
      <c r="AN21" s="23">
        <f t="array" ref="AN21">INDEX(Assumptions!$C$33:$F$33,MATCH(YEAR(AN$3),Assumptions!$C$1:$F$1,0))*IF(ISNUMBER(SEARCH("yr",Assumptions!$G$33)),1/12,1)</f>
        <v>7500</v>
      </c>
      <c r="AO21" s="23">
        <f t="array" ref="AO21">INDEX(Assumptions!$C$33:$F$33,MATCH(YEAR(AO$3),Assumptions!$C$1:$F$1,0))*IF(ISNUMBER(SEARCH("yr",Assumptions!$G$33)),1/12,1)</f>
        <v>7500</v>
      </c>
      <c r="AP21" s="23">
        <f t="array" ref="AP21">INDEX(Assumptions!$C$33:$F$33,MATCH(YEAR(AP$3),Assumptions!$C$1:$F$1,0))*IF(ISNUMBER(SEARCH("yr",Assumptions!$G$33)),1/12,1)</f>
        <v>8000</v>
      </c>
      <c r="AQ21" s="23">
        <f t="array" ref="AQ21">INDEX(Assumptions!$C$33:$F$33,MATCH(YEAR(AQ$3),Assumptions!$C$1:$F$1,0))*IF(ISNUMBER(SEARCH("yr",Assumptions!$G$33)),1/12,1)</f>
        <v>8000</v>
      </c>
      <c r="AR21" s="23">
        <f t="array" ref="AR21">INDEX(Assumptions!$C$33:$F$33,MATCH(YEAR(AR$3),Assumptions!$C$1:$F$1,0))*IF(ISNUMBER(SEARCH("yr",Assumptions!$G$33)),1/12,1)</f>
        <v>8000</v>
      </c>
      <c r="AS21" s="23">
        <f t="array" ref="AS21">INDEX(Assumptions!$C$33:$F$33,MATCH(YEAR(AS$3),Assumptions!$C$1:$F$1,0))*IF(ISNUMBER(SEARCH("yr",Assumptions!$G$33)),1/12,1)</f>
        <v>8000</v>
      </c>
      <c r="AT21" s="23">
        <f t="array" ref="AT21">INDEX(Assumptions!$C$33:$F$33,MATCH(YEAR(AT$3),Assumptions!$C$1:$F$1,0))*IF(ISNUMBER(SEARCH("yr",Assumptions!$G$33)),1/12,1)</f>
        <v>8000</v>
      </c>
      <c r="AU21" s="23">
        <f t="array" ref="AU21">INDEX(Assumptions!$C$33:$F$33,MATCH(YEAR(AU$3),Assumptions!$C$1:$F$1,0))*IF(ISNUMBER(SEARCH("yr",Assumptions!$G$33)),1/12,1)</f>
        <v>8000</v>
      </c>
      <c r="AV21" s="23">
        <f t="array" ref="AV21">INDEX(Assumptions!$C$33:$F$33,MATCH(YEAR(AV$3),Assumptions!$C$1:$F$1,0))*IF(ISNUMBER(SEARCH("yr",Assumptions!$G$33)),1/12,1)</f>
        <v>8000</v>
      </c>
      <c r="AW21" s="23">
        <f t="array" ref="AW21">INDEX(Assumptions!$C$33:$F$33,MATCH(YEAR(AW$3),Assumptions!$C$1:$F$1,0))*IF(ISNUMBER(SEARCH("yr",Assumptions!$G$33)),1/12,1)</f>
        <v>8000</v>
      </c>
      <c r="AX21" s="23">
        <f t="array" ref="AX21">INDEX(Assumptions!$C$33:$F$33,MATCH(YEAR(AX$3),Assumptions!$C$1:$F$1,0))*IF(ISNUMBER(SEARCH("yr",Assumptions!$G$33)),1/12,1)</f>
        <v>8000</v>
      </c>
      <c r="AY21" s="23">
        <f t="array" ref="AY21">INDEX(Assumptions!$C$33:$F$33,MATCH(YEAR(AY$3),Assumptions!$C$1:$F$1,0))*IF(ISNUMBER(SEARCH("yr",Assumptions!$G$33)),1/12,1)</f>
        <v>8000</v>
      </c>
      <c r="AZ21" s="23">
        <f t="array" ref="AZ21">INDEX(Assumptions!$C$33:$F$33,MATCH(YEAR(AZ$3),Assumptions!$C$1:$F$1,0))*IF(ISNUMBER(SEARCH("yr",Assumptions!$G$33)),1/12,1)</f>
        <v>8000</v>
      </c>
      <c r="BA21" s="23">
        <f t="array" ref="BA21">INDEX(Assumptions!$C$33:$F$33,MATCH(YEAR(BA$3),Assumptions!$C$1:$F$1,0))*IF(ISNUMBER(SEARCH("yr",Assumptions!$G$33)),1/12,1)</f>
        <v>8000</v>
      </c>
      <c r="BB21" s="23"/>
      <c r="BC21" s="23">
        <f t="shared" ref="BC21:BF21" si="9">SUMPRODUCT((YEAR($F$3:$BA$3)=BC$3)*$F21:$BA21)</f>
        <v>78000</v>
      </c>
      <c r="BD21" s="23">
        <f t="shared" si="9"/>
        <v>84000</v>
      </c>
      <c r="BE21" s="23">
        <f t="shared" si="9"/>
        <v>90000</v>
      </c>
      <c r="BF21" s="23">
        <f t="shared" si="9"/>
        <v>96000</v>
      </c>
    </row>
    <row r="22">
      <c r="A22" s="1"/>
      <c r="B22" s="3" t="s">
        <v>114</v>
      </c>
      <c r="C22" s="1"/>
      <c r="D22" s="1"/>
      <c r="E22" s="3" t="s">
        <v>33</v>
      </c>
      <c r="F22" s="23">
        <f t="array" ref="F22">'Revenue forecast'!F26*(1-Assumptions!$C$21*Assumptions!$C$23)*Assumptions!$C$24*(0.9+0.1*(Assumptions!$C$21+INDEX(Assumptions!$C$22:$F$22,MATCH(YEAR(F$3),Assumptions!$C$1:$F$1,0))))</f>
        <v>0</v>
      </c>
      <c r="G22" s="23">
        <f t="array" ref="G22">'Revenue forecast'!G26*(1-Assumptions!$C$21*Assumptions!$C$23)*Assumptions!$C$24*(0.9+0.1*(Assumptions!$C$21+INDEX(Assumptions!$C$22:$F$22,MATCH(YEAR(G$3),Assumptions!$C$1:$F$1,0))))</f>
        <v>35797.5</v>
      </c>
      <c r="H22" s="23">
        <f t="array" ref="H22">'Revenue forecast'!H26*(1-Assumptions!$C$21*Assumptions!$C$23)*Assumptions!$C$24*(0.9+0.1*(Assumptions!$C$21+INDEX(Assumptions!$C$22:$F$22,MATCH(YEAR(H$3),Assumptions!$C$1:$F$1,0))))</f>
        <v>0</v>
      </c>
      <c r="I22" s="23">
        <f t="array" ref="I22">'Revenue forecast'!I26*(1-Assumptions!$C$21*Assumptions!$C$23)*Assumptions!$C$24*(0.9+0.1*(Assumptions!$C$21+INDEX(Assumptions!$C$22:$F$22,MATCH(YEAR(I$3),Assumptions!$C$1:$F$1,0))))</f>
        <v>0</v>
      </c>
      <c r="J22" s="23">
        <f t="array" ref="J22">'Revenue forecast'!J26*(1-Assumptions!$C$21*Assumptions!$C$23)*Assumptions!$C$24*(0.9+0.1*(Assumptions!$C$21+INDEX(Assumptions!$C$22:$F$22,MATCH(YEAR(J$3),Assumptions!$C$1:$F$1,0))))</f>
        <v>0</v>
      </c>
      <c r="K22" s="23">
        <f t="array" ref="K22">'Revenue forecast'!K26*(1-Assumptions!$C$21*Assumptions!$C$23)*Assumptions!$C$24*(0.9+0.1*(Assumptions!$C$21+INDEX(Assumptions!$C$22:$F$22,MATCH(YEAR(K$3),Assumptions!$C$1:$F$1,0))))</f>
        <v>7159.5</v>
      </c>
      <c r="L22" s="23">
        <f t="array" ref="L22">'Revenue forecast'!L26*(1-Assumptions!$C$21*Assumptions!$C$23)*Assumptions!$C$24*(0.9+0.1*(Assumptions!$C$21+INDEX(Assumptions!$C$22:$F$22,MATCH(YEAR(L$3),Assumptions!$C$1:$F$1,0))))</f>
        <v>7159.5</v>
      </c>
      <c r="M22" s="23">
        <f t="array" ref="M22">'Revenue forecast'!M26*(1-Assumptions!$C$21*Assumptions!$C$23)*Assumptions!$C$24*(0.9+0.1*(Assumptions!$C$21+INDEX(Assumptions!$C$22:$F$22,MATCH(YEAR(M$3),Assumptions!$C$1:$F$1,0))))</f>
        <v>7159.5</v>
      </c>
      <c r="N22" s="23">
        <f t="array" ref="N22">'Revenue forecast'!N26*(1-Assumptions!$C$21*Assumptions!$C$23)*Assumptions!$C$24*(0.9+0.1*(Assumptions!$C$21+INDEX(Assumptions!$C$22:$F$22,MATCH(YEAR(N$3),Assumptions!$C$1:$F$1,0))))</f>
        <v>50116.5</v>
      </c>
      <c r="O22" s="23">
        <f t="array" ref="O22">'Revenue forecast'!O26*(1-Assumptions!$C$21*Assumptions!$C$23)*Assumptions!$C$24*(0.9+0.1*(Assumptions!$C$21+INDEX(Assumptions!$C$22:$F$22,MATCH(YEAR(O$3),Assumptions!$C$1:$F$1,0))))</f>
        <v>0</v>
      </c>
      <c r="P22" s="23">
        <f t="array" ref="P22">'Revenue forecast'!P26*(1-Assumptions!$C$21*Assumptions!$C$23)*Assumptions!$C$24*(0.9+0.1*(Assumptions!$C$21+INDEX(Assumptions!$C$22:$F$22,MATCH(YEAR(P$3),Assumptions!$C$1:$F$1,0))))</f>
        <v>7159.5</v>
      </c>
      <c r="Q22" s="23">
        <f t="array" ref="Q22">'Revenue forecast'!Q26*(1-Assumptions!$C$21*Assumptions!$C$23)*Assumptions!$C$24*(0.9+0.1*(Assumptions!$C$21+INDEX(Assumptions!$C$22:$F$22,MATCH(YEAR(Q$3),Assumptions!$C$1:$F$1,0))))</f>
        <v>50116.5</v>
      </c>
      <c r="R22" s="23">
        <f t="array" ref="R22">'Revenue forecast'!R26*(1-Assumptions!$C$21*Assumptions!$C$23)*Assumptions!$C$24*(0.9+0.1*(Assumptions!$C$21+INDEX(Assumptions!$C$22:$F$22,MATCH(YEAR(R$3),Assumptions!$C$1:$F$1,0))))</f>
        <v>84915.74</v>
      </c>
      <c r="S22" s="23">
        <f t="array" ref="S22">'Revenue forecast'!S26*(1-Assumptions!$C$21*Assumptions!$C$23)*Assumptions!$C$24*(0.9+0.1*(Assumptions!$C$21+INDEX(Assumptions!$C$22:$F$22,MATCH(YEAR(S$3),Assumptions!$C$1:$F$1,0))))</f>
        <v>12561.5</v>
      </c>
      <c r="T22" s="23">
        <f t="array" ref="T22">'Revenue forecast'!T26*(1-Assumptions!$C$21*Assumptions!$C$23)*Assumptions!$C$24*(0.9+0.1*(Assumptions!$C$21+INDEX(Assumptions!$C$22:$F$22,MATCH(YEAR(T$3),Assumptions!$C$1:$F$1,0))))</f>
        <v>12561.5</v>
      </c>
      <c r="U22" s="23">
        <f t="array" ref="U22">'Revenue forecast'!U26*(1-Assumptions!$C$21*Assumptions!$C$23)*Assumptions!$C$24*(0.9+0.1*(Assumptions!$C$21+INDEX(Assumptions!$C$22:$F$22,MATCH(YEAR(U$3),Assumptions!$C$1:$F$1,0))))</f>
        <v>12561.5</v>
      </c>
      <c r="V22" s="23">
        <f t="array" ref="V22">'Revenue forecast'!V26*(1-Assumptions!$C$21*Assumptions!$C$23)*Assumptions!$C$24*(0.9+0.1*(Assumptions!$C$21+INDEX(Assumptions!$C$22:$F$22,MATCH(YEAR(V$3),Assumptions!$C$1:$F$1,0))))</f>
        <v>84915.74</v>
      </c>
      <c r="W22" s="23">
        <f t="array" ref="W22">'Revenue forecast'!W26*(1-Assumptions!$C$21*Assumptions!$C$23)*Assumptions!$C$24*(0.9+0.1*(Assumptions!$C$21+INDEX(Assumptions!$C$22:$F$22,MATCH(YEAR(W$3),Assumptions!$C$1:$F$1,0))))</f>
        <v>12561.5</v>
      </c>
      <c r="X22" s="23">
        <f t="array" ref="X22">'Revenue forecast'!X26*(1-Assumptions!$C$21*Assumptions!$C$23)*Assumptions!$C$24*(0.9+0.1*(Assumptions!$C$21+INDEX(Assumptions!$C$22:$F$22,MATCH(YEAR(X$3),Assumptions!$C$1:$F$1,0))))</f>
        <v>12561.5</v>
      </c>
      <c r="Y22" s="23">
        <f t="array" ref="Y22">'Revenue forecast'!Y26*(1-Assumptions!$C$21*Assumptions!$C$23)*Assumptions!$C$24*(0.9+0.1*(Assumptions!$C$21+INDEX(Assumptions!$C$22:$F$22,MATCH(YEAR(Y$3),Assumptions!$C$1:$F$1,0))))</f>
        <v>84915.74</v>
      </c>
      <c r="Z22" s="23">
        <f t="array" ref="Z22">'Revenue forecast'!Z26*(1-Assumptions!$C$21*Assumptions!$C$23)*Assumptions!$C$24*(0.9+0.1*(Assumptions!$C$21+INDEX(Assumptions!$C$22:$F$22,MATCH(YEAR(Z$3),Assumptions!$C$1:$F$1,0))))</f>
        <v>12561.5</v>
      </c>
      <c r="AA22" s="23">
        <f t="array" ref="AA22">'Revenue forecast'!AA26*(1-Assumptions!$C$21*Assumptions!$C$23)*Assumptions!$C$24*(0.9+0.1*(Assumptions!$C$21+INDEX(Assumptions!$C$22:$F$22,MATCH(YEAR(AA$3),Assumptions!$C$1:$F$1,0))))</f>
        <v>84915.74</v>
      </c>
      <c r="AB22" s="23">
        <f t="array" ref="AB22">'Revenue forecast'!AB26*(1-Assumptions!$C$21*Assumptions!$C$23)*Assumptions!$C$24*(0.9+0.1*(Assumptions!$C$21+INDEX(Assumptions!$C$22:$F$22,MATCH(YEAR(AB$3),Assumptions!$C$1:$F$1,0))))</f>
        <v>84915.74</v>
      </c>
      <c r="AC22" s="23">
        <f t="array" ref="AC22">'Revenue forecast'!AC26*(1-Assumptions!$C$21*Assumptions!$C$23)*Assumptions!$C$24*(0.9+0.1*(Assumptions!$C$21+INDEX(Assumptions!$C$22:$F$22,MATCH(YEAR(AC$3),Assumptions!$C$1:$F$1,0))))</f>
        <v>12561.5</v>
      </c>
      <c r="AD22" s="23">
        <f t="array" ref="AD22">'Revenue forecast'!AD26*(1-Assumptions!$C$21*Assumptions!$C$23)*Assumptions!$C$24*(0.9+0.1*(Assumptions!$C$21+INDEX(Assumptions!$C$22:$F$22,MATCH(YEAR(AD$3),Assumptions!$C$1:$F$1,0))))</f>
        <v>128894.976</v>
      </c>
      <c r="AE22" s="23">
        <f t="array" ref="AE22">'Revenue forecast'!AE26*(1-Assumptions!$C$21*Assumptions!$C$23)*Assumptions!$C$24*(0.9+0.1*(Assumptions!$C$21+INDEX(Assumptions!$C$22:$F$22,MATCH(YEAR(AE$3),Assumptions!$C$1:$F$1,0))))</f>
        <v>128894.976</v>
      </c>
      <c r="AF22" s="23">
        <f t="array" ref="AF22">'Revenue forecast'!AF26*(1-Assumptions!$C$21*Assumptions!$C$23)*Assumptions!$C$24*(0.9+0.1*(Assumptions!$C$21+INDEX(Assumptions!$C$22:$F$22,MATCH(YEAR(AF$3),Assumptions!$C$1:$F$1,0))))</f>
        <v>20139.84</v>
      </c>
      <c r="AG22" s="23">
        <f t="array" ref="AG22">'Revenue forecast'!AG26*(1-Assumptions!$C$21*Assumptions!$C$23)*Assumptions!$C$24*(0.9+0.1*(Assumptions!$C$21+INDEX(Assumptions!$C$22:$F$22,MATCH(YEAR(AG$3),Assumptions!$C$1:$F$1,0))))</f>
        <v>128894.976</v>
      </c>
      <c r="AH22" s="23">
        <f t="array" ref="AH22">'Revenue forecast'!AH26*(1-Assumptions!$C$21*Assumptions!$C$23)*Assumptions!$C$24*(0.9+0.1*(Assumptions!$C$21+INDEX(Assumptions!$C$22:$F$22,MATCH(YEAR(AH$3),Assumptions!$C$1:$F$1,0))))</f>
        <v>128894.976</v>
      </c>
      <c r="AI22" s="23">
        <f t="array" ref="AI22">'Revenue forecast'!AI26*(1-Assumptions!$C$21*Assumptions!$C$23)*Assumptions!$C$24*(0.9+0.1*(Assumptions!$C$21+INDEX(Assumptions!$C$22:$F$22,MATCH(YEAR(AI$3),Assumptions!$C$1:$F$1,0))))</f>
        <v>20139.84</v>
      </c>
      <c r="AJ22" s="23">
        <f t="array" ref="AJ22">'Revenue forecast'!AJ26*(1-Assumptions!$C$21*Assumptions!$C$23)*Assumptions!$C$24*(0.9+0.1*(Assumptions!$C$21+INDEX(Assumptions!$C$22:$F$22,MATCH(YEAR(AJ$3),Assumptions!$C$1:$F$1,0))))</f>
        <v>149034.816</v>
      </c>
      <c r="AK22" s="23">
        <f t="array" ref="AK22">'Revenue forecast'!AK26*(1-Assumptions!$C$21*Assumptions!$C$23)*Assumptions!$C$24*(0.9+0.1*(Assumptions!$C$21+INDEX(Assumptions!$C$22:$F$22,MATCH(YEAR(AK$3),Assumptions!$C$1:$F$1,0))))</f>
        <v>128894.976</v>
      </c>
      <c r="AL22" s="23">
        <f t="array" ref="AL22">'Revenue forecast'!AL26*(1-Assumptions!$C$21*Assumptions!$C$23)*Assumptions!$C$24*(0.9+0.1*(Assumptions!$C$21+INDEX(Assumptions!$C$22:$F$22,MATCH(YEAR(AL$3),Assumptions!$C$1:$F$1,0))))</f>
        <v>20139.84</v>
      </c>
      <c r="AM22" s="23">
        <f t="array" ref="AM22">'Revenue forecast'!AM26*(1-Assumptions!$C$21*Assumptions!$C$23)*Assumptions!$C$24*(0.9+0.1*(Assumptions!$C$21+INDEX(Assumptions!$C$22:$F$22,MATCH(YEAR(AM$3),Assumptions!$C$1:$F$1,0))))</f>
        <v>149034.816</v>
      </c>
      <c r="AN22" s="23">
        <f t="array" ref="AN22">'Revenue forecast'!AN26*(1-Assumptions!$C$21*Assumptions!$C$23)*Assumptions!$C$24*(0.9+0.1*(Assumptions!$C$21+INDEX(Assumptions!$C$22:$F$22,MATCH(YEAR(AN$3),Assumptions!$C$1:$F$1,0))))</f>
        <v>128894.976</v>
      </c>
      <c r="AO22" s="23">
        <f t="array" ref="AO22">'Revenue forecast'!AO26*(1-Assumptions!$C$21*Assumptions!$C$23)*Assumptions!$C$24*(0.9+0.1*(Assumptions!$C$21+INDEX(Assumptions!$C$22:$F$22,MATCH(YEAR(AO$3),Assumptions!$C$1:$F$1,0))))</f>
        <v>20139.84</v>
      </c>
      <c r="AP22" s="23">
        <f t="array" ref="AP22">'Revenue forecast'!AP26*(1-Assumptions!$C$21*Assumptions!$C$23)*Assumptions!$C$24*(0.9+0.1*(Assumptions!$C$21+INDEX(Assumptions!$C$22:$F$22,MATCH(YEAR(AP$3),Assumptions!$C$1:$F$1,0))))</f>
        <v>371912.16</v>
      </c>
      <c r="AQ22" s="23">
        <f t="array" ref="AQ22">'Revenue forecast'!AQ26*(1-Assumptions!$C$21*Assumptions!$C$23)*Assumptions!$C$24*(0.9+0.1*(Assumptions!$C$21+INDEX(Assumptions!$C$22:$F$22,MATCH(YEAR(AQ$3),Assumptions!$C$1:$F$1,0))))</f>
        <v>185956.08</v>
      </c>
      <c r="AR22" s="23">
        <f t="array" ref="AR22">'Revenue forecast'!AR26*(1-Assumptions!$C$21*Assumptions!$C$23)*Assumptions!$C$24*(0.9+0.1*(Assumptions!$C$21+INDEX(Assumptions!$C$22:$F$22,MATCH(YEAR(AR$3),Assumptions!$C$1:$F$1,0))))</f>
        <v>69192.96</v>
      </c>
      <c r="AS22" s="23">
        <f t="array" ref="AS22">'Revenue forecast'!AS26*(1-Assumptions!$C$21*Assumptions!$C$23)*Assumptions!$C$24*(0.9+0.1*(Assumptions!$C$21+INDEX(Assumptions!$C$22:$F$22,MATCH(YEAR(AS$3),Assumptions!$C$1:$F$1,0))))</f>
        <v>185956.08</v>
      </c>
      <c r="AT22" s="23">
        <f t="array" ref="AT22">'Revenue forecast'!AT26*(1-Assumptions!$C$21*Assumptions!$C$23)*Assumptions!$C$24*(0.9+0.1*(Assumptions!$C$21+INDEX(Assumptions!$C$22:$F$22,MATCH(YEAR(AT$3),Assumptions!$C$1:$F$1,0))))</f>
        <v>34596.48</v>
      </c>
      <c r="AU22" s="23">
        <f t="array" ref="AU22">'Revenue forecast'!AU26*(1-Assumptions!$C$21*Assumptions!$C$23)*Assumptions!$C$24*(0.9+0.1*(Assumptions!$C$21+INDEX(Assumptions!$C$22:$F$22,MATCH(YEAR(AU$3),Assumptions!$C$1:$F$1,0))))</f>
        <v>185956.08</v>
      </c>
      <c r="AV22" s="23">
        <f t="array" ref="AV22">'Revenue forecast'!AV26*(1-Assumptions!$C$21*Assumptions!$C$23)*Assumptions!$C$24*(0.9+0.1*(Assumptions!$C$21+INDEX(Assumptions!$C$22:$F$22,MATCH(YEAR(AV$3),Assumptions!$C$1:$F$1,0))))</f>
        <v>220552.56</v>
      </c>
      <c r="AW22" s="23">
        <f t="array" ref="AW22">'Revenue forecast'!AW26*(1-Assumptions!$C$21*Assumptions!$C$23)*Assumptions!$C$24*(0.9+0.1*(Assumptions!$C$21+INDEX(Assumptions!$C$22:$F$22,MATCH(YEAR(AW$3),Assumptions!$C$1:$F$1,0))))</f>
        <v>337315.68</v>
      </c>
      <c r="AX22" s="23">
        <f t="array" ref="AX22">'Revenue forecast'!AX26*(1-Assumptions!$C$21*Assumptions!$C$23)*Assumptions!$C$24*(0.9+0.1*(Assumptions!$C$21+INDEX(Assumptions!$C$22:$F$22,MATCH(YEAR(AX$3),Assumptions!$C$1:$F$1,0))))</f>
        <v>34596.48</v>
      </c>
      <c r="AY22" s="23">
        <f t="array" ref="AY22">'Revenue forecast'!AY26*(1-Assumptions!$C$21*Assumptions!$C$23)*Assumptions!$C$24*(0.9+0.1*(Assumptions!$C$21+INDEX(Assumptions!$C$22:$F$22,MATCH(YEAR(AY$3),Assumptions!$C$1:$F$1,0))))</f>
        <v>337315.68</v>
      </c>
      <c r="AZ22" s="23">
        <f t="array" ref="AZ22">'Revenue forecast'!AZ26*(1-Assumptions!$C$21*Assumptions!$C$23)*Assumptions!$C$24*(0.9+0.1*(Assumptions!$C$21+INDEX(Assumptions!$C$22:$F$22,MATCH(YEAR(AZ$3),Assumptions!$C$1:$F$1,0))))</f>
        <v>220552.56</v>
      </c>
      <c r="BA22" s="23">
        <f t="array" ref="BA22">'Revenue forecast'!BA26*(1-Assumptions!$C$21*Assumptions!$C$23)*Assumptions!$C$24*(0.9+0.1*(Assumptions!$C$21+INDEX(Assumptions!$C$22:$F$22,MATCH(YEAR(BA$3),Assumptions!$C$1:$F$1,0))))</f>
        <v>337315.68</v>
      </c>
      <c r="BB22" s="23"/>
      <c r="BC22" s="23">
        <f t="shared" ref="BC22:BF22" si="10">SUMPRODUCT((YEAR($F$3:$BA$3)=BC$3)*$F22:$BA22)</f>
        <v>164668.5</v>
      </c>
      <c r="BD22" s="23">
        <f t="shared" si="10"/>
        <v>512509.2</v>
      </c>
      <c r="BE22" s="23">
        <f t="shared" si="10"/>
        <v>1151998.848</v>
      </c>
      <c r="BF22" s="23">
        <f t="shared" si="10"/>
        <v>2521218.48</v>
      </c>
    </row>
    <row r="23">
      <c r="A23" s="1"/>
      <c r="B23" s="3" t="s">
        <v>115</v>
      </c>
      <c r="C23" s="1"/>
      <c r="D23" s="1"/>
      <c r="E23" s="3" t="s">
        <v>33</v>
      </c>
      <c r="F23" s="9">
        <v>450.0</v>
      </c>
      <c r="G23" s="9">
        <v>450.0</v>
      </c>
      <c r="H23" s="9">
        <v>450.0</v>
      </c>
      <c r="I23" s="9">
        <v>450.0</v>
      </c>
      <c r="J23" s="9">
        <v>450.0</v>
      </c>
      <c r="K23" s="9">
        <v>450.0</v>
      </c>
      <c r="L23" s="9">
        <v>450.0</v>
      </c>
      <c r="M23" s="9">
        <v>450.0</v>
      </c>
      <c r="N23" s="9">
        <v>450.0</v>
      </c>
      <c r="O23" s="9">
        <v>450.0</v>
      </c>
      <c r="P23" s="9">
        <v>450.0</v>
      </c>
      <c r="Q23" s="9">
        <v>450.0</v>
      </c>
      <c r="R23" s="9">
        <v>450.0</v>
      </c>
      <c r="S23" s="9">
        <v>450.0</v>
      </c>
      <c r="T23" s="9">
        <v>450.0</v>
      </c>
      <c r="U23" s="9">
        <v>450.0</v>
      </c>
      <c r="V23" s="9">
        <v>450.0</v>
      </c>
      <c r="W23" s="9">
        <v>450.0</v>
      </c>
      <c r="X23" s="9">
        <v>450.0</v>
      </c>
      <c r="Y23" s="9">
        <v>450.0</v>
      </c>
      <c r="Z23" s="9">
        <v>450.0</v>
      </c>
      <c r="AA23" s="9">
        <v>450.0</v>
      </c>
      <c r="AB23" s="9">
        <v>450.0</v>
      </c>
      <c r="AC23" s="9">
        <v>450.0</v>
      </c>
      <c r="AD23" s="9">
        <v>450.0</v>
      </c>
      <c r="AE23" s="9">
        <v>450.0</v>
      </c>
      <c r="AF23" s="9">
        <v>450.0</v>
      </c>
      <c r="AG23" s="9">
        <v>450.0</v>
      </c>
      <c r="AH23" s="9">
        <v>450.0</v>
      </c>
      <c r="AI23" s="9">
        <v>450.0</v>
      </c>
      <c r="AJ23" s="9">
        <v>450.0</v>
      </c>
      <c r="AK23" s="9">
        <v>450.0</v>
      </c>
      <c r="AL23" s="9">
        <v>450.0</v>
      </c>
      <c r="AM23" s="9">
        <v>450.0</v>
      </c>
      <c r="AN23" s="9">
        <v>450.0</v>
      </c>
      <c r="AO23" s="9">
        <v>450.0</v>
      </c>
      <c r="AP23" s="9">
        <v>450.0</v>
      </c>
      <c r="AQ23" s="9">
        <v>450.0</v>
      </c>
      <c r="AR23" s="9">
        <v>450.0</v>
      </c>
      <c r="AS23" s="9">
        <v>450.0</v>
      </c>
      <c r="AT23" s="9">
        <v>450.0</v>
      </c>
      <c r="AU23" s="9">
        <v>450.0</v>
      </c>
      <c r="AV23" s="9">
        <v>450.0</v>
      </c>
      <c r="AW23" s="9">
        <v>450.0</v>
      </c>
      <c r="AX23" s="9">
        <v>450.0</v>
      </c>
      <c r="AY23" s="9">
        <v>450.0</v>
      </c>
      <c r="AZ23" s="9">
        <v>450.0</v>
      </c>
      <c r="BA23" s="9">
        <v>450.0</v>
      </c>
      <c r="BB23" s="23"/>
      <c r="BC23" s="23">
        <f t="shared" ref="BC23:BF23" si="11">SUMPRODUCT((YEAR($F$3:$BA$3)=BC$3)*$F23:$BA23)</f>
        <v>5400</v>
      </c>
      <c r="BD23" s="23">
        <f t="shared" si="11"/>
        <v>5400</v>
      </c>
      <c r="BE23" s="23">
        <f t="shared" si="11"/>
        <v>5400</v>
      </c>
      <c r="BF23" s="23">
        <f t="shared" si="11"/>
        <v>5400</v>
      </c>
    </row>
    <row r="24">
      <c r="A24" s="1"/>
      <c r="B24" s="3" t="s">
        <v>116</v>
      </c>
      <c r="C24" s="1"/>
      <c r="D24" s="1"/>
      <c r="E24" s="3" t="s">
        <v>33</v>
      </c>
      <c r="F24" s="9">
        <v>267.0</v>
      </c>
      <c r="G24" s="9">
        <v>267.0</v>
      </c>
      <c r="H24" s="9">
        <v>267.0</v>
      </c>
      <c r="I24" s="9">
        <v>267.0</v>
      </c>
      <c r="J24" s="9">
        <v>267.0</v>
      </c>
      <c r="K24" s="9">
        <v>267.0</v>
      </c>
      <c r="L24" s="9">
        <v>267.0</v>
      </c>
      <c r="M24" s="9">
        <v>267.0</v>
      </c>
      <c r="N24" s="9">
        <v>267.0</v>
      </c>
      <c r="O24" s="9">
        <v>267.0</v>
      </c>
      <c r="P24" s="9">
        <v>267.0</v>
      </c>
      <c r="Q24" s="9">
        <v>267.0</v>
      </c>
      <c r="R24" s="9">
        <v>267.0</v>
      </c>
      <c r="S24" s="9">
        <v>267.0</v>
      </c>
      <c r="T24" s="9">
        <v>267.0</v>
      </c>
      <c r="U24" s="9">
        <v>267.0</v>
      </c>
      <c r="V24" s="9">
        <v>267.0</v>
      </c>
      <c r="W24" s="9">
        <v>267.0</v>
      </c>
      <c r="X24" s="9">
        <v>267.0</v>
      </c>
      <c r="Y24" s="9">
        <v>267.0</v>
      </c>
      <c r="Z24" s="9">
        <v>267.0</v>
      </c>
      <c r="AA24" s="9">
        <v>267.0</v>
      </c>
      <c r="AB24" s="9">
        <v>267.0</v>
      </c>
      <c r="AC24" s="9">
        <v>267.0</v>
      </c>
      <c r="AD24" s="9">
        <v>267.0</v>
      </c>
      <c r="AE24" s="9">
        <v>267.0</v>
      </c>
      <c r="AF24" s="9">
        <v>267.0</v>
      </c>
      <c r="AG24" s="9">
        <v>267.0</v>
      </c>
      <c r="AH24" s="9">
        <v>267.0</v>
      </c>
      <c r="AI24" s="9">
        <v>267.0</v>
      </c>
      <c r="AJ24" s="9">
        <v>267.0</v>
      </c>
      <c r="AK24" s="9">
        <v>267.0</v>
      </c>
      <c r="AL24" s="9">
        <v>267.0</v>
      </c>
      <c r="AM24" s="9">
        <v>267.0</v>
      </c>
      <c r="AN24" s="9">
        <v>267.0</v>
      </c>
      <c r="AO24" s="9">
        <v>267.0</v>
      </c>
      <c r="AP24" s="9">
        <v>267.0</v>
      </c>
      <c r="AQ24" s="9">
        <v>267.0</v>
      </c>
      <c r="AR24" s="9">
        <v>267.0</v>
      </c>
      <c r="AS24" s="9">
        <v>267.0</v>
      </c>
      <c r="AT24" s="9">
        <v>267.0</v>
      </c>
      <c r="AU24" s="9">
        <v>267.0</v>
      </c>
      <c r="AV24" s="9">
        <v>267.0</v>
      </c>
      <c r="AW24" s="9">
        <v>267.0</v>
      </c>
      <c r="AX24" s="9">
        <v>267.0</v>
      </c>
      <c r="AY24" s="9">
        <v>267.0</v>
      </c>
      <c r="AZ24" s="9">
        <v>267.0</v>
      </c>
      <c r="BA24" s="9">
        <v>267.0</v>
      </c>
      <c r="BB24" s="23"/>
      <c r="BC24" s="23">
        <f t="shared" ref="BC24:BF24" si="12">SUMPRODUCT((YEAR($F$3:$BA$3)=BC$3)*$F24:$BA24)</f>
        <v>3204</v>
      </c>
      <c r="BD24" s="23">
        <f t="shared" si="12"/>
        <v>3204</v>
      </c>
      <c r="BE24" s="23">
        <f t="shared" si="12"/>
        <v>3204</v>
      </c>
      <c r="BF24" s="23">
        <f t="shared" si="12"/>
        <v>3204</v>
      </c>
    </row>
    <row r="25">
      <c r="A25" s="1"/>
      <c r="B25" s="45" t="s">
        <v>117</v>
      </c>
      <c r="C25" s="46"/>
      <c r="D25" s="46"/>
      <c r="E25" s="45" t="s">
        <v>33</v>
      </c>
      <c r="F25" s="47">
        <f t="shared" ref="F25:BA25" si="13">SUM(F18:F24)</f>
        <v>45130.4</v>
      </c>
      <c r="G25" s="47">
        <f t="shared" si="13"/>
        <v>80927.9</v>
      </c>
      <c r="H25" s="47">
        <f t="shared" si="13"/>
        <v>45130.4</v>
      </c>
      <c r="I25" s="47">
        <f t="shared" si="13"/>
        <v>45130.4</v>
      </c>
      <c r="J25" s="47">
        <f t="shared" si="13"/>
        <v>45130.4</v>
      </c>
      <c r="K25" s="47">
        <f t="shared" si="13"/>
        <v>56145.5</v>
      </c>
      <c r="L25" s="47">
        <f t="shared" si="13"/>
        <v>56145.5</v>
      </c>
      <c r="M25" s="47">
        <f t="shared" si="13"/>
        <v>56145.5</v>
      </c>
      <c r="N25" s="47">
        <f t="shared" si="13"/>
        <v>99102.5</v>
      </c>
      <c r="O25" s="47">
        <f t="shared" si="13"/>
        <v>48986</v>
      </c>
      <c r="P25" s="47">
        <f t="shared" si="13"/>
        <v>56145.5</v>
      </c>
      <c r="Q25" s="47">
        <f t="shared" si="13"/>
        <v>99102.5</v>
      </c>
      <c r="R25" s="47">
        <f t="shared" si="13"/>
        <v>141406.08</v>
      </c>
      <c r="S25" s="47">
        <f t="shared" si="13"/>
        <v>69051.84</v>
      </c>
      <c r="T25" s="47">
        <f t="shared" si="13"/>
        <v>69051.84</v>
      </c>
      <c r="U25" s="47">
        <f t="shared" si="13"/>
        <v>69051.84</v>
      </c>
      <c r="V25" s="47">
        <f t="shared" si="13"/>
        <v>141406.08</v>
      </c>
      <c r="W25" s="47">
        <f t="shared" si="13"/>
        <v>69051.84</v>
      </c>
      <c r="X25" s="47">
        <f t="shared" si="13"/>
        <v>79333.44</v>
      </c>
      <c r="Y25" s="47">
        <f t="shared" si="13"/>
        <v>151687.68</v>
      </c>
      <c r="Z25" s="47">
        <f t="shared" si="13"/>
        <v>79333.44</v>
      </c>
      <c r="AA25" s="47">
        <f t="shared" si="13"/>
        <v>151687.68</v>
      </c>
      <c r="AB25" s="47">
        <f t="shared" si="13"/>
        <v>151687.68</v>
      </c>
      <c r="AC25" s="47">
        <f t="shared" si="13"/>
        <v>79333.44</v>
      </c>
      <c r="AD25" s="47">
        <f t="shared" si="13"/>
        <v>203813.856</v>
      </c>
      <c r="AE25" s="47">
        <f t="shared" si="13"/>
        <v>203813.856</v>
      </c>
      <c r="AF25" s="47">
        <f t="shared" si="13"/>
        <v>95058.72</v>
      </c>
      <c r="AG25" s="47">
        <f t="shared" si="13"/>
        <v>203813.856</v>
      </c>
      <c r="AH25" s="47">
        <f t="shared" si="13"/>
        <v>203813.856</v>
      </c>
      <c r="AI25" s="47">
        <f t="shared" si="13"/>
        <v>99556.92</v>
      </c>
      <c r="AJ25" s="47">
        <f t="shared" si="13"/>
        <v>228451.896</v>
      </c>
      <c r="AK25" s="47">
        <f t="shared" si="13"/>
        <v>208312.056</v>
      </c>
      <c r="AL25" s="47">
        <f t="shared" si="13"/>
        <v>99556.92</v>
      </c>
      <c r="AM25" s="47">
        <f t="shared" si="13"/>
        <v>228451.896</v>
      </c>
      <c r="AN25" s="47">
        <f t="shared" si="13"/>
        <v>208312.056</v>
      </c>
      <c r="AO25" s="47">
        <f t="shared" si="13"/>
        <v>99556.92</v>
      </c>
      <c r="AP25" s="47">
        <f t="shared" si="13"/>
        <v>459797.48</v>
      </c>
      <c r="AQ25" s="47">
        <f t="shared" si="13"/>
        <v>273841.4</v>
      </c>
      <c r="AR25" s="47">
        <f t="shared" si="13"/>
        <v>157078.28</v>
      </c>
      <c r="AS25" s="47">
        <f t="shared" si="13"/>
        <v>273841.4</v>
      </c>
      <c r="AT25" s="47">
        <f t="shared" si="13"/>
        <v>129229.1</v>
      </c>
      <c r="AU25" s="47">
        <f t="shared" si="13"/>
        <v>280588.7</v>
      </c>
      <c r="AV25" s="47">
        <f t="shared" si="13"/>
        <v>315185.18</v>
      </c>
      <c r="AW25" s="47">
        <f t="shared" si="13"/>
        <v>431948.3</v>
      </c>
      <c r="AX25" s="47">
        <f t="shared" si="13"/>
        <v>134048.6</v>
      </c>
      <c r="AY25" s="47">
        <f t="shared" si="13"/>
        <v>436767.8</v>
      </c>
      <c r="AZ25" s="47">
        <f t="shared" si="13"/>
        <v>320004.68</v>
      </c>
      <c r="BA25" s="47">
        <f t="shared" si="13"/>
        <v>436767.8</v>
      </c>
      <c r="BB25" s="47"/>
      <c r="BC25" s="47">
        <f t="shared" ref="BC25:BF25" si="14">SUMPRODUCT((YEAR($F$3:$BA$3)=BC$3)*$F25:$BA25)</f>
        <v>733222.5</v>
      </c>
      <c r="BD25" s="47">
        <f t="shared" si="14"/>
        <v>1252082.88</v>
      </c>
      <c r="BE25" s="47">
        <f t="shared" si="14"/>
        <v>2082512.808</v>
      </c>
      <c r="BF25" s="47">
        <f t="shared" si="14"/>
        <v>3649098.72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79</v>
      </c>
      <c r="F3" s="44">
        <v>46388.0</v>
      </c>
      <c r="G3" s="44">
        <v>46419.0</v>
      </c>
      <c r="H3" s="44">
        <v>46447.0</v>
      </c>
      <c r="I3" s="44">
        <v>46478.0</v>
      </c>
      <c r="J3" s="44">
        <v>46508.0</v>
      </c>
      <c r="K3" s="44">
        <v>46539.0</v>
      </c>
      <c r="L3" s="44">
        <v>46569.0</v>
      </c>
      <c r="M3" s="44">
        <v>46600.0</v>
      </c>
      <c r="N3" s="44">
        <v>46631.0</v>
      </c>
      <c r="O3" s="44">
        <v>46661.0</v>
      </c>
      <c r="P3" s="44">
        <v>46692.0</v>
      </c>
      <c r="Q3" s="44">
        <v>46722.0</v>
      </c>
      <c r="R3" s="44">
        <v>46753.0</v>
      </c>
      <c r="S3" s="44">
        <v>46784.0</v>
      </c>
      <c r="T3" s="44">
        <v>46813.0</v>
      </c>
      <c r="U3" s="44">
        <v>46844.0</v>
      </c>
      <c r="V3" s="44">
        <v>46874.0</v>
      </c>
      <c r="W3" s="44">
        <v>46905.0</v>
      </c>
      <c r="X3" s="44">
        <v>46935.0</v>
      </c>
      <c r="Y3" s="44">
        <v>46966.0</v>
      </c>
      <c r="Z3" s="44">
        <v>46997.0</v>
      </c>
      <c r="AA3" s="44">
        <v>47027.0</v>
      </c>
      <c r="AB3" s="44">
        <v>47058.0</v>
      </c>
      <c r="AC3" s="44">
        <v>47088.0</v>
      </c>
      <c r="AD3" s="44">
        <v>47119.0</v>
      </c>
      <c r="AE3" s="44">
        <v>47150.0</v>
      </c>
      <c r="AF3" s="44">
        <v>47178.0</v>
      </c>
      <c r="AG3" s="44">
        <v>47209.0</v>
      </c>
      <c r="AH3" s="44">
        <v>47239.0</v>
      </c>
      <c r="AI3" s="44">
        <v>47270.0</v>
      </c>
      <c r="AJ3" s="44">
        <v>47300.0</v>
      </c>
      <c r="AK3" s="44">
        <v>47331.0</v>
      </c>
      <c r="AL3" s="44">
        <v>47362.0</v>
      </c>
      <c r="AM3" s="44">
        <v>47392.0</v>
      </c>
      <c r="AN3" s="44">
        <v>47423.0</v>
      </c>
      <c r="AO3" s="44">
        <v>47453.0</v>
      </c>
      <c r="AP3" s="44">
        <v>47484.0</v>
      </c>
      <c r="AQ3" s="44">
        <v>47515.0</v>
      </c>
      <c r="AR3" s="44">
        <v>47543.0</v>
      </c>
      <c r="AS3" s="44">
        <v>47574.0</v>
      </c>
      <c r="AT3" s="44">
        <v>47604.0</v>
      </c>
      <c r="AU3" s="44">
        <v>47635.0</v>
      </c>
      <c r="AV3" s="44">
        <v>47665.0</v>
      </c>
      <c r="AW3" s="44">
        <v>47696.0</v>
      </c>
      <c r="AX3" s="44">
        <v>47727.0</v>
      </c>
      <c r="AY3" s="44">
        <v>47757.0</v>
      </c>
      <c r="AZ3" s="44">
        <v>47788.0</v>
      </c>
      <c r="BA3" s="44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119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120</v>
      </c>
      <c r="C7" s="1"/>
      <c r="D7" s="1"/>
      <c r="E7" s="3" t="s">
        <v>33</v>
      </c>
      <c r="F7" s="23">
        <f>Personnel!F15*Assumptions!$C$44*IF(ISNUMBER(SEARCH("yr",Assumptions!$G$44)),1/12,1)</f>
        <v>4800</v>
      </c>
      <c r="G7" s="23">
        <f>Personnel!G15*Assumptions!$C$44*IF(ISNUMBER(SEARCH("yr",Assumptions!$G$44)),1/12,1)</f>
        <v>4800</v>
      </c>
      <c r="H7" s="23">
        <f>Personnel!H15*Assumptions!$C$44*IF(ISNUMBER(SEARCH("yr",Assumptions!$G$44)),1/12,1)</f>
        <v>4800</v>
      </c>
      <c r="I7" s="23">
        <f>Personnel!I15*Assumptions!$C$44*IF(ISNUMBER(SEARCH("yr",Assumptions!$G$44)),1/12,1)</f>
        <v>4800</v>
      </c>
      <c r="J7" s="23">
        <f>Personnel!J15*Assumptions!$C$44*IF(ISNUMBER(SEARCH("yr",Assumptions!$G$44)),1/12,1)</f>
        <v>4800</v>
      </c>
      <c r="K7" s="23">
        <f>Personnel!K15*Assumptions!$C$44*IF(ISNUMBER(SEARCH("yr",Assumptions!$G$44)),1/12,1)</f>
        <v>5400</v>
      </c>
      <c r="L7" s="23">
        <f>Personnel!L15*Assumptions!$C$44*IF(ISNUMBER(SEARCH("yr",Assumptions!$G$44)),1/12,1)</f>
        <v>5400</v>
      </c>
      <c r="M7" s="23">
        <f>Personnel!M15*Assumptions!$C$44*IF(ISNUMBER(SEARCH("yr",Assumptions!$G$44)),1/12,1)</f>
        <v>5400</v>
      </c>
      <c r="N7" s="23">
        <f>Personnel!N15*Assumptions!$C$44*IF(ISNUMBER(SEARCH("yr",Assumptions!$G$44)),1/12,1)</f>
        <v>5400</v>
      </c>
      <c r="O7" s="23">
        <f>Personnel!O15*Assumptions!$C$44*IF(ISNUMBER(SEARCH("yr",Assumptions!$G$44)),1/12,1)</f>
        <v>5400</v>
      </c>
      <c r="P7" s="23">
        <f>Personnel!P15*Assumptions!$C$44*IF(ISNUMBER(SEARCH("yr",Assumptions!$G$44)),1/12,1)</f>
        <v>5400</v>
      </c>
      <c r="Q7" s="23">
        <f>Personnel!Q15*Assumptions!$C$44*IF(ISNUMBER(SEARCH("yr",Assumptions!$G$44)),1/12,1)</f>
        <v>5400</v>
      </c>
      <c r="R7" s="23">
        <f>Personnel!R15*Assumptions!$C$44*IF(ISNUMBER(SEARCH("yr",Assumptions!$G$44)),1/12,1)</f>
        <v>5400</v>
      </c>
      <c r="S7" s="23">
        <f>Personnel!S15*Assumptions!$C$44*IF(ISNUMBER(SEARCH("yr",Assumptions!$G$44)),1/12,1)</f>
        <v>5400</v>
      </c>
      <c r="T7" s="23">
        <f>Personnel!T15*Assumptions!$C$44*IF(ISNUMBER(SEARCH("yr",Assumptions!$G$44)),1/12,1)</f>
        <v>5400</v>
      </c>
      <c r="U7" s="23">
        <f>Personnel!U15*Assumptions!$C$44*IF(ISNUMBER(SEARCH("yr",Assumptions!$G$44)),1/12,1)</f>
        <v>5400</v>
      </c>
      <c r="V7" s="23">
        <f>Personnel!V15*Assumptions!$C$44*IF(ISNUMBER(SEARCH("yr",Assumptions!$G$44)),1/12,1)</f>
        <v>5400</v>
      </c>
      <c r="W7" s="23">
        <f>Personnel!W15*Assumptions!$C$44*IF(ISNUMBER(SEARCH("yr",Assumptions!$G$44)),1/12,1)</f>
        <v>5400</v>
      </c>
      <c r="X7" s="23">
        <f>Personnel!X15*Assumptions!$C$44*IF(ISNUMBER(SEARCH("yr",Assumptions!$G$44)),1/12,1)</f>
        <v>6600</v>
      </c>
      <c r="Y7" s="23">
        <f>Personnel!Y15*Assumptions!$C$44*IF(ISNUMBER(SEARCH("yr",Assumptions!$G$44)),1/12,1)</f>
        <v>6600</v>
      </c>
      <c r="Z7" s="23">
        <f>Personnel!Z15*Assumptions!$C$44*IF(ISNUMBER(SEARCH("yr",Assumptions!$G$44)),1/12,1)</f>
        <v>6600</v>
      </c>
      <c r="AA7" s="23">
        <f>Personnel!AA15*Assumptions!$C$44*IF(ISNUMBER(SEARCH("yr",Assumptions!$G$44)),1/12,1)</f>
        <v>6600</v>
      </c>
      <c r="AB7" s="23">
        <f>Personnel!AB15*Assumptions!$C$44*IF(ISNUMBER(SEARCH("yr",Assumptions!$G$44)),1/12,1)</f>
        <v>6600</v>
      </c>
      <c r="AC7" s="23">
        <f>Personnel!AC15*Assumptions!$C$44*IF(ISNUMBER(SEARCH("yr",Assumptions!$G$44)),1/12,1)</f>
        <v>6600</v>
      </c>
      <c r="AD7" s="23">
        <f>Personnel!AD15*Assumptions!$C$44*IF(ISNUMBER(SEARCH("yr",Assumptions!$G$44)),1/12,1)</f>
        <v>6600</v>
      </c>
      <c r="AE7" s="23">
        <f>Personnel!AE15*Assumptions!$C$44*IF(ISNUMBER(SEARCH("yr",Assumptions!$G$44)),1/12,1)</f>
        <v>6600</v>
      </c>
      <c r="AF7" s="23">
        <f>Personnel!AF15*Assumptions!$C$44*IF(ISNUMBER(SEARCH("yr",Assumptions!$G$44)),1/12,1)</f>
        <v>6600</v>
      </c>
      <c r="AG7" s="23">
        <f>Personnel!AG15*Assumptions!$C$44*IF(ISNUMBER(SEARCH("yr",Assumptions!$G$44)),1/12,1)</f>
        <v>6600</v>
      </c>
      <c r="AH7" s="23">
        <f>Personnel!AH15*Assumptions!$C$44*IF(ISNUMBER(SEARCH("yr",Assumptions!$G$44)),1/12,1)</f>
        <v>6600</v>
      </c>
      <c r="AI7" s="23">
        <f>Personnel!AI15*Assumptions!$C$44*IF(ISNUMBER(SEARCH("yr",Assumptions!$G$44)),1/12,1)</f>
        <v>7200</v>
      </c>
      <c r="AJ7" s="23">
        <f>Personnel!AJ15*Assumptions!$C$44*IF(ISNUMBER(SEARCH("yr",Assumptions!$G$44)),1/12,1)</f>
        <v>7200</v>
      </c>
      <c r="AK7" s="23">
        <f>Personnel!AK15*Assumptions!$C$44*IF(ISNUMBER(SEARCH("yr",Assumptions!$G$44)),1/12,1)</f>
        <v>7200</v>
      </c>
      <c r="AL7" s="23">
        <f>Personnel!AL15*Assumptions!$C$44*IF(ISNUMBER(SEARCH("yr",Assumptions!$G$44)),1/12,1)</f>
        <v>7200</v>
      </c>
      <c r="AM7" s="23">
        <f>Personnel!AM15*Assumptions!$C$44*IF(ISNUMBER(SEARCH("yr",Assumptions!$G$44)),1/12,1)</f>
        <v>7200</v>
      </c>
      <c r="AN7" s="23">
        <f>Personnel!AN15*Assumptions!$C$44*IF(ISNUMBER(SEARCH("yr",Assumptions!$G$44)),1/12,1)</f>
        <v>7200</v>
      </c>
      <c r="AO7" s="23">
        <f>Personnel!AO15*Assumptions!$C$44*IF(ISNUMBER(SEARCH("yr",Assumptions!$G$44)),1/12,1)</f>
        <v>7200</v>
      </c>
      <c r="AP7" s="23">
        <f>Personnel!AP15*Assumptions!$C$44*IF(ISNUMBER(SEARCH("yr",Assumptions!$G$44)),1/12,1)</f>
        <v>7200</v>
      </c>
      <c r="AQ7" s="23">
        <f>Personnel!AQ15*Assumptions!$C$44*IF(ISNUMBER(SEARCH("yr",Assumptions!$G$44)),1/12,1)</f>
        <v>7200</v>
      </c>
      <c r="AR7" s="23">
        <f>Personnel!AR15*Assumptions!$C$44*IF(ISNUMBER(SEARCH("yr",Assumptions!$G$44)),1/12,1)</f>
        <v>7200</v>
      </c>
      <c r="AS7" s="23">
        <f>Personnel!AS15*Assumptions!$C$44*IF(ISNUMBER(SEARCH("yr",Assumptions!$G$44)),1/12,1)</f>
        <v>7200</v>
      </c>
      <c r="AT7" s="23">
        <f>Personnel!AT15*Assumptions!$C$44*IF(ISNUMBER(SEARCH("yr",Assumptions!$G$44)),1/12,1)</f>
        <v>7800</v>
      </c>
      <c r="AU7" s="23">
        <f>Personnel!AU15*Assumptions!$C$44*IF(ISNUMBER(SEARCH("yr",Assumptions!$G$44)),1/12,1)</f>
        <v>7800</v>
      </c>
      <c r="AV7" s="23">
        <f>Personnel!AV15*Assumptions!$C$44*IF(ISNUMBER(SEARCH("yr",Assumptions!$G$44)),1/12,1)</f>
        <v>7800</v>
      </c>
      <c r="AW7" s="23">
        <f>Personnel!AW15*Assumptions!$C$44*IF(ISNUMBER(SEARCH("yr",Assumptions!$G$44)),1/12,1)</f>
        <v>7800</v>
      </c>
      <c r="AX7" s="23">
        <f>Personnel!AX15*Assumptions!$C$44*IF(ISNUMBER(SEARCH("yr",Assumptions!$G$44)),1/12,1)</f>
        <v>8400</v>
      </c>
      <c r="AY7" s="23">
        <f>Personnel!AY15*Assumptions!$C$44*IF(ISNUMBER(SEARCH("yr",Assumptions!$G$44)),1/12,1)</f>
        <v>8400</v>
      </c>
      <c r="AZ7" s="23">
        <f>Personnel!AZ15*Assumptions!$C$44*IF(ISNUMBER(SEARCH("yr",Assumptions!$G$44)),1/12,1)</f>
        <v>8400</v>
      </c>
      <c r="BA7" s="23">
        <f>Personnel!BA15*Assumptions!$C$44*IF(ISNUMBER(SEARCH("yr",Assumptions!$G$44)),1/12,1)</f>
        <v>8400</v>
      </c>
      <c r="BB7" s="23"/>
      <c r="BC7" s="23">
        <f t="shared" ref="BC7:BF7" si="1">SUMPRODUCT((YEAR($F$3:$BA$3)=BC$3)*$F7:$BA7)</f>
        <v>61800</v>
      </c>
      <c r="BD7" s="23">
        <f t="shared" si="1"/>
        <v>72000</v>
      </c>
      <c r="BE7" s="23">
        <f t="shared" si="1"/>
        <v>83400</v>
      </c>
      <c r="BF7" s="23">
        <f t="shared" si="1"/>
        <v>93600</v>
      </c>
    </row>
    <row r="8">
      <c r="A8" s="1"/>
      <c r="B8" s="3" t="s">
        <v>121</v>
      </c>
      <c r="C8" s="1"/>
      <c r="D8" s="1"/>
      <c r="E8" s="3" t="s">
        <v>33</v>
      </c>
      <c r="F8" s="23">
        <f>IF(Personnel!F15&gt;=16,Assumptions!$F$46,IF(Personnel!F15&gt;=10,Assumptions!$E$46,IF(Personnel!F15&gt;=7,Assumptions!$D$46,Assumptions!$C$46)))*IF(ISNUMBER(SEARCH("yr",Assumptions!$G$46)),1/12,1)+Personnel!F15*Assumptions!$C$45*IF(ISNUMBER(SEARCH("yr",Assumptions!$G$45)),1/12,1)</f>
        <v>4293.333333</v>
      </c>
      <c r="G8" s="23">
        <f>IF(Personnel!G15&gt;=16,Assumptions!$F$46,IF(Personnel!G15&gt;=10,Assumptions!$E$46,IF(Personnel!G15&gt;=7,Assumptions!$D$46,Assumptions!$C$46)))*IF(ISNUMBER(SEARCH("yr",Assumptions!$G$46)),1/12,1)+Personnel!G15*Assumptions!$C$45*IF(ISNUMBER(SEARCH("yr",Assumptions!$G$45)),1/12,1)</f>
        <v>4293.333333</v>
      </c>
      <c r="H8" s="23">
        <f>IF(Personnel!H15&gt;=16,Assumptions!$F$46,IF(Personnel!H15&gt;=10,Assumptions!$E$46,IF(Personnel!H15&gt;=7,Assumptions!$D$46,Assumptions!$C$46)))*IF(ISNUMBER(SEARCH("yr",Assumptions!$G$46)),1/12,1)+Personnel!H15*Assumptions!$C$45*IF(ISNUMBER(SEARCH("yr",Assumptions!$G$45)),1/12,1)</f>
        <v>4293.333333</v>
      </c>
      <c r="I8" s="23">
        <f>IF(Personnel!I15&gt;=16,Assumptions!$F$46,IF(Personnel!I15&gt;=10,Assumptions!$E$46,IF(Personnel!I15&gt;=7,Assumptions!$D$46,Assumptions!$C$46)))*IF(ISNUMBER(SEARCH("yr",Assumptions!$G$46)),1/12,1)+Personnel!I15*Assumptions!$C$45*IF(ISNUMBER(SEARCH("yr",Assumptions!$G$45)),1/12,1)</f>
        <v>4293.333333</v>
      </c>
      <c r="J8" s="23">
        <f>IF(Personnel!J15&gt;=16,Assumptions!$F$46,IF(Personnel!J15&gt;=10,Assumptions!$E$46,IF(Personnel!J15&gt;=7,Assumptions!$D$46,Assumptions!$C$46)))*IF(ISNUMBER(SEARCH("yr",Assumptions!$G$46)),1/12,1)+Personnel!J15*Assumptions!$C$45*IF(ISNUMBER(SEARCH("yr",Assumptions!$G$45)),1/12,1)</f>
        <v>4293.333333</v>
      </c>
      <c r="K8" s="23">
        <f>IF(Personnel!K15&gt;=16,Assumptions!$F$46,IF(Personnel!K15&gt;=10,Assumptions!$E$46,IF(Personnel!K15&gt;=7,Assumptions!$D$46,Assumptions!$C$46)))*IF(ISNUMBER(SEARCH("yr",Assumptions!$G$46)),1/12,1)+Personnel!K15*Assumptions!$C$45*IF(ISNUMBER(SEARCH("yr",Assumptions!$G$45)),1/12,1)</f>
        <v>4413.333333</v>
      </c>
      <c r="L8" s="23">
        <f>IF(Personnel!L15&gt;=16,Assumptions!$F$46,IF(Personnel!L15&gt;=10,Assumptions!$E$46,IF(Personnel!L15&gt;=7,Assumptions!$D$46,Assumptions!$C$46)))*IF(ISNUMBER(SEARCH("yr",Assumptions!$G$46)),1/12,1)+Personnel!L15*Assumptions!$C$45*IF(ISNUMBER(SEARCH("yr",Assumptions!$G$45)),1/12,1)</f>
        <v>4413.333333</v>
      </c>
      <c r="M8" s="23">
        <f>IF(Personnel!M15&gt;=16,Assumptions!$F$46,IF(Personnel!M15&gt;=10,Assumptions!$E$46,IF(Personnel!M15&gt;=7,Assumptions!$D$46,Assumptions!$C$46)))*IF(ISNUMBER(SEARCH("yr",Assumptions!$G$46)),1/12,1)+Personnel!M15*Assumptions!$C$45*IF(ISNUMBER(SEARCH("yr",Assumptions!$G$45)),1/12,1)</f>
        <v>4413.333333</v>
      </c>
      <c r="N8" s="23">
        <f>IF(Personnel!N15&gt;=16,Assumptions!$F$46,IF(Personnel!N15&gt;=10,Assumptions!$E$46,IF(Personnel!N15&gt;=7,Assumptions!$D$46,Assumptions!$C$46)))*IF(ISNUMBER(SEARCH("yr",Assumptions!$G$46)),1/12,1)+Personnel!N15*Assumptions!$C$45*IF(ISNUMBER(SEARCH("yr",Assumptions!$G$45)),1/12,1)</f>
        <v>4413.333333</v>
      </c>
      <c r="O8" s="23">
        <f>IF(Personnel!O15&gt;=16,Assumptions!$F$46,IF(Personnel!O15&gt;=10,Assumptions!$E$46,IF(Personnel!O15&gt;=7,Assumptions!$D$46,Assumptions!$C$46)))*IF(ISNUMBER(SEARCH("yr",Assumptions!$G$46)),1/12,1)+Personnel!O15*Assumptions!$C$45*IF(ISNUMBER(SEARCH("yr",Assumptions!$G$45)),1/12,1)</f>
        <v>4413.333333</v>
      </c>
      <c r="P8" s="23">
        <f>IF(Personnel!P15&gt;=16,Assumptions!$F$46,IF(Personnel!P15&gt;=10,Assumptions!$E$46,IF(Personnel!P15&gt;=7,Assumptions!$D$46,Assumptions!$C$46)))*IF(ISNUMBER(SEARCH("yr",Assumptions!$G$46)),1/12,1)+Personnel!P15*Assumptions!$C$45*IF(ISNUMBER(SEARCH("yr",Assumptions!$G$45)),1/12,1)</f>
        <v>4413.333333</v>
      </c>
      <c r="Q8" s="23">
        <f>IF(Personnel!Q15&gt;=16,Assumptions!$F$46,IF(Personnel!Q15&gt;=10,Assumptions!$E$46,IF(Personnel!Q15&gt;=7,Assumptions!$D$46,Assumptions!$C$46)))*IF(ISNUMBER(SEARCH("yr",Assumptions!$G$46)),1/12,1)+Personnel!Q15*Assumptions!$C$45*IF(ISNUMBER(SEARCH("yr",Assumptions!$G$45)),1/12,1)</f>
        <v>4413.333333</v>
      </c>
      <c r="R8" s="23">
        <f>IF(Personnel!R15&gt;=16,Assumptions!$F$46,IF(Personnel!R15&gt;=10,Assumptions!$E$46,IF(Personnel!R15&gt;=7,Assumptions!$D$46,Assumptions!$C$46)))*IF(ISNUMBER(SEARCH("yr",Assumptions!$G$46)),1/12,1)+Personnel!R15*Assumptions!$C$45*IF(ISNUMBER(SEARCH("yr",Assumptions!$G$45)),1/12,1)</f>
        <v>4413.333333</v>
      </c>
      <c r="S8" s="23">
        <f>IF(Personnel!S15&gt;=16,Assumptions!$F$46,IF(Personnel!S15&gt;=10,Assumptions!$E$46,IF(Personnel!S15&gt;=7,Assumptions!$D$46,Assumptions!$C$46)))*IF(ISNUMBER(SEARCH("yr",Assumptions!$G$46)),1/12,1)+Personnel!S15*Assumptions!$C$45*IF(ISNUMBER(SEARCH("yr",Assumptions!$G$45)),1/12,1)</f>
        <v>4413.333333</v>
      </c>
      <c r="T8" s="23">
        <f>IF(Personnel!T15&gt;=16,Assumptions!$F$46,IF(Personnel!T15&gt;=10,Assumptions!$E$46,IF(Personnel!T15&gt;=7,Assumptions!$D$46,Assumptions!$C$46)))*IF(ISNUMBER(SEARCH("yr",Assumptions!$G$46)),1/12,1)+Personnel!T15*Assumptions!$C$45*IF(ISNUMBER(SEARCH("yr",Assumptions!$G$45)),1/12,1)</f>
        <v>4413.333333</v>
      </c>
      <c r="U8" s="23">
        <f>IF(Personnel!U15&gt;=16,Assumptions!$F$46,IF(Personnel!U15&gt;=10,Assumptions!$E$46,IF(Personnel!U15&gt;=7,Assumptions!$D$46,Assumptions!$C$46)))*IF(ISNUMBER(SEARCH("yr",Assumptions!$G$46)),1/12,1)+Personnel!U15*Assumptions!$C$45*IF(ISNUMBER(SEARCH("yr",Assumptions!$G$45)),1/12,1)</f>
        <v>4413.333333</v>
      </c>
      <c r="V8" s="23">
        <f>IF(Personnel!V15&gt;=16,Assumptions!$F$46,IF(Personnel!V15&gt;=10,Assumptions!$E$46,IF(Personnel!V15&gt;=7,Assumptions!$D$46,Assumptions!$C$46)))*IF(ISNUMBER(SEARCH("yr",Assumptions!$G$46)),1/12,1)+Personnel!V15*Assumptions!$C$45*IF(ISNUMBER(SEARCH("yr",Assumptions!$G$45)),1/12,1)</f>
        <v>4413.333333</v>
      </c>
      <c r="W8" s="23">
        <f>IF(Personnel!W15&gt;=16,Assumptions!$F$46,IF(Personnel!W15&gt;=10,Assumptions!$E$46,IF(Personnel!W15&gt;=7,Assumptions!$D$46,Assumptions!$C$46)))*IF(ISNUMBER(SEARCH("yr",Assumptions!$G$46)),1/12,1)+Personnel!W15*Assumptions!$C$45*IF(ISNUMBER(SEARCH("yr",Assumptions!$G$45)),1/12,1)</f>
        <v>4413.333333</v>
      </c>
      <c r="X8" s="23">
        <f>IF(Personnel!X15&gt;=16,Assumptions!$F$46,IF(Personnel!X15&gt;=10,Assumptions!$E$46,IF(Personnel!X15&gt;=7,Assumptions!$D$46,Assumptions!$C$46)))*IF(ISNUMBER(SEARCH("yr",Assumptions!$G$46)),1/12,1)+Personnel!X15*Assumptions!$C$45*IF(ISNUMBER(SEARCH("yr",Assumptions!$G$45)),1/12,1)</f>
        <v>6320</v>
      </c>
      <c r="Y8" s="23">
        <f>IF(Personnel!Y15&gt;=16,Assumptions!$F$46,IF(Personnel!Y15&gt;=10,Assumptions!$E$46,IF(Personnel!Y15&gt;=7,Assumptions!$D$46,Assumptions!$C$46)))*IF(ISNUMBER(SEARCH("yr",Assumptions!$G$46)),1/12,1)+Personnel!Y15*Assumptions!$C$45*IF(ISNUMBER(SEARCH("yr",Assumptions!$G$45)),1/12,1)</f>
        <v>6320</v>
      </c>
      <c r="Z8" s="23">
        <f>IF(Personnel!Z15&gt;=16,Assumptions!$F$46,IF(Personnel!Z15&gt;=10,Assumptions!$E$46,IF(Personnel!Z15&gt;=7,Assumptions!$D$46,Assumptions!$C$46)))*IF(ISNUMBER(SEARCH("yr",Assumptions!$G$46)),1/12,1)+Personnel!Z15*Assumptions!$C$45*IF(ISNUMBER(SEARCH("yr",Assumptions!$G$45)),1/12,1)</f>
        <v>6320</v>
      </c>
      <c r="AA8" s="23">
        <f>IF(Personnel!AA15&gt;=16,Assumptions!$F$46,IF(Personnel!AA15&gt;=10,Assumptions!$E$46,IF(Personnel!AA15&gt;=7,Assumptions!$D$46,Assumptions!$C$46)))*IF(ISNUMBER(SEARCH("yr",Assumptions!$G$46)),1/12,1)+Personnel!AA15*Assumptions!$C$45*IF(ISNUMBER(SEARCH("yr",Assumptions!$G$45)),1/12,1)</f>
        <v>6320</v>
      </c>
      <c r="AB8" s="23">
        <f>IF(Personnel!AB15&gt;=16,Assumptions!$F$46,IF(Personnel!AB15&gt;=10,Assumptions!$E$46,IF(Personnel!AB15&gt;=7,Assumptions!$D$46,Assumptions!$C$46)))*IF(ISNUMBER(SEARCH("yr",Assumptions!$G$46)),1/12,1)+Personnel!AB15*Assumptions!$C$45*IF(ISNUMBER(SEARCH("yr",Assumptions!$G$45)),1/12,1)</f>
        <v>6320</v>
      </c>
      <c r="AC8" s="23">
        <f>IF(Personnel!AC15&gt;=16,Assumptions!$F$46,IF(Personnel!AC15&gt;=10,Assumptions!$E$46,IF(Personnel!AC15&gt;=7,Assumptions!$D$46,Assumptions!$C$46)))*IF(ISNUMBER(SEARCH("yr",Assumptions!$G$46)),1/12,1)+Personnel!AC15*Assumptions!$C$45*IF(ISNUMBER(SEARCH("yr",Assumptions!$G$45)),1/12,1)</f>
        <v>6320</v>
      </c>
      <c r="AD8" s="23">
        <f>IF(Personnel!AD15&gt;=16,Assumptions!$F$46,IF(Personnel!AD15&gt;=10,Assumptions!$E$46,IF(Personnel!AD15&gt;=7,Assumptions!$D$46,Assumptions!$C$46)))*IF(ISNUMBER(SEARCH("yr",Assumptions!$G$46)),1/12,1)+Personnel!AD15*Assumptions!$C$45*IF(ISNUMBER(SEARCH("yr",Assumptions!$G$45)),1/12,1)</f>
        <v>6320</v>
      </c>
      <c r="AE8" s="23">
        <f>IF(Personnel!AE15&gt;=16,Assumptions!$F$46,IF(Personnel!AE15&gt;=10,Assumptions!$E$46,IF(Personnel!AE15&gt;=7,Assumptions!$D$46,Assumptions!$C$46)))*IF(ISNUMBER(SEARCH("yr",Assumptions!$G$46)),1/12,1)+Personnel!AE15*Assumptions!$C$45*IF(ISNUMBER(SEARCH("yr",Assumptions!$G$45)),1/12,1)</f>
        <v>6320</v>
      </c>
      <c r="AF8" s="23">
        <f>IF(Personnel!AF15&gt;=16,Assumptions!$F$46,IF(Personnel!AF15&gt;=10,Assumptions!$E$46,IF(Personnel!AF15&gt;=7,Assumptions!$D$46,Assumptions!$C$46)))*IF(ISNUMBER(SEARCH("yr",Assumptions!$G$46)),1/12,1)+Personnel!AF15*Assumptions!$C$45*IF(ISNUMBER(SEARCH("yr",Assumptions!$G$45)),1/12,1)</f>
        <v>6320</v>
      </c>
      <c r="AG8" s="23">
        <f>IF(Personnel!AG15&gt;=16,Assumptions!$F$46,IF(Personnel!AG15&gt;=10,Assumptions!$E$46,IF(Personnel!AG15&gt;=7,Assumptions!$D$46,Assumptions!$C$46)))*IF(ISNUMBER(SEARCH("yr",Assumptions!$G$46)),1/12,1)+Personnel!AG15*Assumptions!$C$45*IF(ISNUMBER(SEARCH("yr",Assumptions!$G$45)),1/12,1)</f>
        <v>6320</v>
      </c>
      <c r="AH8" s="23">
        <f>IF(Personnel!AH15&gt;=16,Assumptions!$F$46,IF(Personnel!AH15&gt;=10,Assumptions!$E$46,IF(Personnel!AH15&gt;=7,Assumptions!$D$46,Assumptions!$C$46)))*IF(ISNUMBER(SEARCH("yr",Assumptions!$G$46)),1/12,1)+Personnel!AH15*Assumptions!$C$45*IF(ISNUMBER(SEARCH("yr",Assumptions!$G$45)),1/12,1)</f>
        <v>6320</v>
      </c>
      <c r="AI8" s="23">
        <f>IF(Personnel!AI15&gt;=16,Assumptions!$F$46,IF(Personnel!AI15&gt;=10,Assumptions!$E$46,IF(Personnel!AI15&gt;=7,Assumptions!$D$46,Assumptions!$C$46)))*IF(ISNUMBER(SEARCH("yr",Assumptions!$G$46)),1/12,1)+Personnel!AI15*Assumptions!$C$45*IF(ISNUMBER(SEARCH("yr",Assumptions!$G$45)),1/12,1)</f>
        <v>6440</v>
      </c>
      <c r="AJ8" s="23">
        <f>IF(Personnel!AJ15&gt;=16,Assumptions!$F$46,IF(Personnel!AJ15&gt;=10,Assumptions!$E$46,IF(Personnel!AJ15&gt;=7,Assumptions!$D$46,Assumptions!$C$46)))*IF(ISNUMBER(SEARCH("yr",Assumptions!$G$46)),1/12,1)+Personnel!AJ15*Assumptions!$C$45*IF(ISNUMBER(SEARCH("yr",Assumptions!$G$45)),1/12,1)</f>
        <v>6440</v>
      </c>
      <c r="AK8" s="23">
        <f>IF(Personnel!AK15&gt;=16,Assumptions!$F$46,IF(Personnel!AK15&gt;=10,Assumptions!$E$46,IF(Personnel!AK15&gt;=7,Assumptions!$D$46,Assumptions!$C$46)))*IF(ISNUMBER(SEARCH("yr",Assumptions!$G$46)),1/12,1)+Personnel!AK15*Assumptions!$C$45*IF(ISNUMBER(SEARCH("yr",Assumptions!$G$45)),1/12,1)</f>
        <v>6440</v>
      </c>
      <c r="AL8" s="23">
        <f>IF(Personnel!AL15&gt;=16,Assumptions!$F$46,IF(Personnel!AL15&gt;=10,Assumptions!$E$46,IF(Personnel!AL15&gt;=7,Assumptions!$D$46,Assumptions!$C$46)))*IF(ISNUMBER(SEARCH("yr",Assumptions!$G$46)),1/12,1)+Personnel!AL15*Assumptions!$C$45*IF(ISNUMBER(SEARCH("yr",Assumptions!$G$45)),1/12,1)</f>
        <v>6440</v>
      </c>
      <c r="AM8" s="23">
        <f>IF(Personnel!AM15&gt;=16,Assumptions!$F$46,IF(Personnel!AM15&gt;=10,Assumptions!$E$46,IF(Personnel!AM15&gt;=7,Assumptions!$D$46,Assumptions!$C$46)))*IF(ISNUMBER(SEARCH("yr",Assumptions!$G$46)),1/12,1)+Personnel!AM15*Assumptions!$C$45*IF(ISNUMBER(SEARCH("yr",Assumptions!$G$45)),1/12,1)</f>
        <v>6440</v>
      </c>
      <c r="AN8" s="23">
        <f>IF(Personnel!AN15&gt;=16,Assumptions!$F$46,IF(Personnel!AN15&gt;=10,Assumptions!$E$46,IF(Personnel!AN15&gt;=7,Assumptions!$D$46,Assumptions!$C$46)))*IF(ISNUMBER(SEARCH("yr",Assumptions!$G$46)),1/12,1)+Personnel!AN15*Assumptions!$C$45*IF(ISNUMBER(SEARCH("yr",Assumptions!$G$45)),1/12,1)</f>
        <v>6440</v>
      </c>
      <c r="AO8" s="23">
        <f>IF(Personnel!AO15&gt;=16,Assumptions!$F$46,IF(Personnel!AO15&gt;=10,Assumptions!$E$46,IF(Personnel!AO15&gt;=7,Assumptions!$D$46,Assumptions!$C$46)))*IF(ISNUMBER(SEARCH("yr",Assumptions!$G$46)),1/12,1)+Personnel!AO15*Assumptions!$C$45*IF(ISNUMBER(SEARCH("yr",Assumptions!$G$45)),1/12,1)</f>
        <v>6440</v>
      </c>
      <c r="AP8" s="23">
        <f>IF(Personnel!AP15&gt;=16,Assumptions!$F$46,IF(Personnel!AP15&gt;=10,Assumptions!$E$46,IF(Personnel!AP15&gt;=7,Assumptions!$D$46,Assumptions!$C$46)))*IF(ISNUMBER(SEARCH("yr",Assumptions!$G$46)),1/12,1)+Personnel!AP15*Assumptions!$C$45*IF(ISNUMBER(SEARCH("yr",Assumptions!$G$45)),1/12,1)</f>
        <v>6440</v>
      </c>
      <c r="AQ8" s="23">
        <f>IF(Personnel!AQ15&gt;=16,Assumptions!$F$46,IF(Personnel!AQ15&gt;=10,Assumptions!$E$46,IF(Personnel!AQ15&gt;=7,Assumptions!$D$46,Assumptions!$C$46)))*IF(ISNUMBER(SEARCH("yr",Assumptions!$G$46)),1/12,1)+Personnel!AQ15*Assumptions!$C$45*IF(ISNUMBER(SEARCH("yr",Assumptions!$G$45)),1/12,1)</f>
        <v>6440</v>
      </c>
      <c r="AR8" s="23">
        <f>IF(Personnel!AR15&gt;=16,Assumptions!$F$46,IF(Personnel!AR15&gt;=10,Assumptions!$E$46,IF(Personnel!AR15&gt;=7,Assumptions!$D$46,Assumptions!$C$46)))*IF(ISNUMBER(SEARCH("yr",Assumptions!$G$46)),1/12,1)+Personnel!AR15*Assumptions!$C$45*IF(ISNUMBER(SEARCH("yr",Assumptions!$G$45)),1/12,1)</f>
        <v>6440</v>
      </c>
      <c r="AS8" s="23">
        <f>IF(Personnel!AS15&gt;=16,Assumptions!$F$46,IF(Personnel!AS15&gt;=10,Assumptions!$E$46,IF(Personnel!AS15&gt;=7,Assumptions!$D$46,Assumptions!$C$46)))*IF(ISNUMBER(SEARCH("yr",Assumptions!$G$46)),1/12,1)+Personnel!AS15*Assumptions!$C$45*IF(ISNUMBER(SEARCH("yr",Assumptions!$G$45)),1/12,1)</f>
        <v>6440</v>
      </c>
      <c r="AT8" s="23">
        <f>IF(Personnel!AT15&gt;=16,Assumptions!$F$46,IF(Personnel!AT15&gt;=10,Assumptions!$E$46,IF(Personnel!AT15&gt;=7,Assumptions!$D$46,Assumptions!$C$46)))*IF(ISNUMBER(SEARCH("yr",Assumptions!$G$46)),1/12,1)+Personnel!AT15*Assumptions!$C$45*IF(ISNUMBER(SEARCH("yr",Assumptions!$G$45)),1/12,1)</f>
        <v>6560</v>
      </c>
      <c r="AU8" s="23">
        <f>IF(Personnel!AU15&gt;=16,Assumptions!$F$46,IF(Personnel!AU15&gt;=10,Assumptions!$E$46,IF(Personnel!AU15&gt;=7,Assumptions!$D$46,Assumptions!$C$46)))*IF(ISNUMBER(SEARCH("yr",Assumptions!$G$46)),1/12,1)+Personnel!AU15*Assumptions!$C$45*IF(ISNUMBER(SEARCH("yr",Assumptions!$G$45)),1/12,1)</f>
        <v>6560</v>
      </c>
      <c r="AV8" s="23">
        <f>IF(Personnel!AV15&gt;=16,Assumptions!$F$46,IF(Personnel!AV15&gt;=10,Assumptions!$E$46,IF(Personnel!AV15&gt;=7,Assumptions!$D$46,Assumptions!$C$46)))*IF(ISNUMBER(SEARCH("yr",Assumptions!$G$46)),1/12,1)+Personnel!AV15*Assumptions!$C$45*IF(ISNUMBER(SEARCH("yr",Assumptions!$G$45)),1/12,1)</f>
        <v>6560</v>
      </c>
      <c r="AW8" s="23">
        <f>IF(Personnel!AW15&gt;=16,Assumptions!$F$46,IF(Personnel!AW15&gt;=10,Assumptions!$E$46,IF(Personnel!AW15&gt;=7,Assumptions!$D$46,Assumptions!$C$46)))*IF(ISNUMBER(SEARCH("yr",Assumptions!$G$46)),1/12,1)+Personnel!AW15*Assumptions!$C$45*IF(ISNUMBER(SEARCH("yr",Assumptions!$G$45)),1/12,1)</f>
        <v>6560</v>
      </c>
      <c r="AX8" s="23">
        <f>IF(Personnel!AX15&gt;=16,Assumptions!$F$46,IF(Personnel!AX15&gt;=10,Assumptions!$E$46,IF(Personnel!AX15&gt;=7,Assumptions!$D$46,Assumptions!$C$46)))*IF(ISNUMBER(SEARCH("yr",Assumptions!$G$46)),1/12,1)+Personnel!AX15*Assumptions!$C$45*IF(ISNUMBER(SEARCH("yr",Assumptions!$G$45)),1/12,1)</f>
        <v>6680</v>
      </c>
      <c r="AY8" s="23">
        <f>IF(Personnel!AY15&gt;=16,Assumptions!$F$46,IF(Personnel!AY15&gt;=10,Assumptions!$E$46,IF(Personnel!AY15&gt;=7,Assumptions!$D$46,Assumptions!$C$46)))*IF(ISNUMBER(SEARCH("yr",Assumptions!$G$46)),1/12,1)+Personnel!AY15*Assumptions!$C$45*IF(ISNUMBER(SEARCH("yr",Assumptions!$G$45)),1/12,1)</f>
        <v>6680</v>
      </c>
      <c r="AZ8" s="23">
        <f>IF(Personnel!AZ15&gt;=16,Assumptions!$F$46,IF(Personnel!AZ15&gt;=10,Assumptions!$E$46,IF(Personnel!AZ15&gt;=7,Assumptions!$D$46,Assumptions!$C$46)))*IF(ISNUMBER(SEARCH("yr",Assumptions!$G$46)),1/12,1)+Personnel!AZ15*Assumptions!$C$45*IF(ISNUMBER(SEARCH("yr",Assumptions!$G$45)),1/12,1)</f>
        <v>6680</v>
      </c>
      <c r="BA8" s="23">
        <f>IF(Personnel!BA15&gt;=16,Assumptions!$F$46,IF(Personnel!BA15&gt;=10,Assumptions!$E$46,IF(Personnel!BA15&gt;=7,Assumptions!$D$46,Assumptions!$C$46)))*IF(ISNUMBER(SEARCH("yr",Assumptions!$G$46)),1/12,1)+Personnel!BA15*Assumptions!$C$45*IF(ISNUMBER(SEARCH("yr",Assumptions!$G$45)),1/12,1)</f>
        <v>6680</v>
      </c>
      <c r="BB8" s="23"/>
      <c r="BC8" s="23">
        <f t="shared" ref="BC8:BF8" si="2">SUMPRODUCT((YEAR($F$3:$BA$3)=BC$3)*$F8:$BA8)</f>
        <v>52360</v>
      </c>
      <c r="BD8" s="23">
        <f t="shared" si="2"/>
        <v>64400</v>
      </c>
      <c r="BE8" s="23">
        <f t="shared" si="2"/>
        <v>76680</v>
      </c>
      <c r="BF8" s="23">
        <f t="shared" si="2"/>
        <v>78720</v>
      </c>
    </row>
    <row r="9">
      <c r="A9" s="1"/>
      <c r="B9" s="3" t="s">
        <v>122</v>
      </c>
      <c r="C9" s="1"/>
      <c r="D9" s="1"/>
      <c r="E9" s="3" t="s">
        <v>33</v>
      </c>
      <c r="F9" s="23">
        <f>Personnel!F15*Assumptions!$C$47*IF(ISNUMBER(SEARCH("yr",Assumptions!$G$47)),1/12,1)</f>
        <v>320</v>
      </c>
      <c r="G9" s="23">
        <f>Personnel!G15*Assumptions!$C$47*IF(ISNUMBER(SEARCH("yr",Assumptions!$G$47)),1/12,1)</f>
        <v>320</v>
      </c>
      <c r="H9" s="23">
        <f>Personnel!H15*Assumptions!$C$47*IF(ISNUMBER(SEARCH("yr",Assumptions!$G$47)),1/12,1)</f>
        <v>320</v>
      </c>
      <c r="I9" s="23">
        <f>Personnel!I15*Assumptions!$C$47*IF(ISNUMBER(SEARCH("yr",Assumptions!$G$47)),1/12,1)</f>
        <v>320</v>
      </c>
      <c r="J9" s="23">
        <f>Personnel!J15*Assumptions!$C$47*IF(ISNUMBER(SEARCH("yr",Assumptions!$G$47)),1/12,1)</f>
        <v>320</v>
      </c>
      <c r="K9" s="23">
        <f>Personnel!K15*Assumptions!$C$47*IF(ISNUMBER(SEARCH("yr",Assumptions!$G$47)),1/12,1)</f>
        <v>360</v>
      </c>
      <c r="L9" s="23">
        <f>Personnel!L15*Assumptions!$C$47*IF(ISNUMBER(SEARCH("yr",Assumptions!$G$47)),1/12,1)</f>
        <v>360</v>
      </c>
      <c r="M9" s="23">
        <f>Personnel!M15*Assumptions!$C$47*IF(ISNUMBER(SEARCH("yr",Assumptions!$G$47)),1/12,1)</f>
        <v>360</v>
      </c>
      <c r="N9" s="23">
        <f>Personnel!N15*Assumptions!$C$47*IF(ISNUMBER(SEARCH("yr",Assumptions!$G$47)),1/12,1)</f>
        <v>360</v>
      </c>
      <c r="O9" s="23">
        <f>Personnel!O15*Assumptions!$C$47*IF(ISNUMBER(SEARCH("yr",Assumptions!$G$47)),1/12,1)</f>
        <v>360</v>
      </c>
      <c r="P9" s="23">
        <f>Personnel!P15*Assumptions!$C$47*IF(ISNUMBER(SEARCH("yr",Assumptions!$G$47)),1/12,1)</f>
        <v>360</v>
      </c>
      <c r="Q9" s="23">
        <f>Personnel!Q15*Assumptions!$C$47*IF(ISNUMBER(SEARCH("yr",Assumptions!$G$47)),1/12,1)</f>
        <v>360</v>
      </c>
      <c r="R9" s="23">
        <f>Personnel!R15*Assumptions!$C$47*IF(ISNUMBER(SEARCH("yr",Assumptions!$G$47)),1/12,1)</f>
        <v>360</v>
      </c>
      <c r="S9" s="23">
        <f>Personnel!S15*Assumptions!$C$47*IF(ISNUMBER(SEARCH("yr",Assumptions!$G$47)),1/12,1)</f>
        <v>360</v>
      </c>
      <c r="T9" s="23">
        <f>Personnel!T15*Assumptions!$C$47*IF(ISNUMBER(SEARCH("yr",Assumptions!$G$47)),1/12,1)</f>
        <v>360</v>
      </c>
      <c r="U9" s="23">
        <f>Personnel!U15*Assumptions!$C$47*IF(ISNUMBER(SEARCH("yr",Assumptions!$G$47)),1/12,1)</f>
        <v>360</v>
      </c>
      <c r="V9" s="23">
        <f>Personnel!V15*Assumptions!$C$47*IF(ISNUMBER(SEARCH("yr",Assumptions!$G$47)),1/12,1)</f>
        <v>360</v>
      </c>
      <c r="W9" s="23">
        <f>Personnel!W15*Assumptions!$C$47*IF(ISNUMBER(SEARCH("yr",Assumptions!$G$47)),1/12,1)</f>
        <v>360</v>
      </c>
      <c r="X9" s="23">
        <f>Personnel!X15*Assumptions!$C$47*IF(ISNUMBER(SEARCH("yr",Assumptions!$G$47)),1/12,1)</f>
        <v>440</v>
      </c>
      <c r="Y9" s="23">
        <f>Personnel!Y15*Assumptions!$C$47*IF(ISNUMBER(SEARCH("yr",Assumptions!$G$47)),1/12,1)</f>
        <v>440</v>
      </c>
      <c r="Z9" s="23">
        <f>Personnel!Z15*Assumptions!$C$47*IF(ISNUMBER(SEARCH("yr",Assumptions!$G$47)),1/12,1)</f>
        <v>440</v>
      </c>
      <c r="AA9" s="23">
        <f>Personnel!AA15*Assumptions!$C$47*IF(ISNUMBER(SEARCH("yr",Assumptions!$G$47)),1/12,1)</f>
        <v>440</v>
      </c>
      <c r="AB9" s="23">
        <f>Personnel!AB15*Assumptions!$C$47*IF(ISNUMBER(SEARCH("yr",Assumptions!$G$47)),1/12,1)</f>
        <v>440</v>
      </c>
      <c r="AC9" s="23">
        <f>Personnel!AC15*Assumptions!$C$47*IF(ISNUMBER(SEARCH("yr",Assumptions!$G$47)),1/12,1)</f>
        <v>440</v>
      </c>
      <c r="AD9" s="23">
        <f>Personnel!AD15*Assumptions!$C$47*IF(ISNUMBER(SEARCH("yr",Assumptions!$G$47)),1/12,1)</f>
        <v>440</v>
      </c>
      <c r="AE9" s="23">
        <f>Personnel!AE15*Assumptions!$C$47*IF(ISNUMBER(SEARCH("yr",Assumptions!$G$47)),1/12,1)</f>
        <v>440</v>
      </c>
      <c r="AF9" s="23">
        <f>Personnel!AF15*Assumptions!$C$47*IF(ISNUMBER(SEARCH("yr",Assumptions!$G$47)),1/12,1)</f>
        <v>440</v>
      </c>
      <c r="AG9" s="23">
        <f>Personnel!AG15*Assumptions!$C$47*IF(ISNUMBER(SEARCH("yr",Assumptions!$G$47)),1/12,1)</f>
        <v>440</v>
      </c>
      <c r="AH9" s="23">
        <f>Personnel!AH15*Assumptions!$C$47*IF(ISNUMBER(SEARCH("yr",Assumptions!$G$47)),1/12,1)</f>
        <v>440</v>
      </c>
      <c r="AI9" s="23">
        <f>Personnel!AI15*Assumptions!$C$47*IF(ISNUMBER(SEARCH("yr",Assumptions!$G$47)),1/12,1)</f>
        <v>480</v>
      </c>
      <c r="AJ9" s="23">
        <f>Personnel!AJ15*Assumptions!$C$47*IF(ISNUMBER(SEARCH("yr",Assumptions!$G$47)),1/12,1)</f>
        <v>480</v>
      </c>
      <c r="AK9" s="23">
        <f>Personnel!AK15*Assumptions!$C$47*IF(ISNUMBER(SEARCH("yr",Assumptions!$G$47)),1/12,1)</f>
        <v>480</v>
      </c>
      <c r="AL9" s="23">
        <f>Personnel!AL15*Assumptions!$C$47*IF(ISNUMBER(SEARCH("yr",Assumptions!$G$47)),1/12,1)</f>
        <v>480</v>
      </c>
      <c r="AM9" s="23">
        <f>Personnel!AM15*Assumptions!$C$47*IF(ISNUMBER(SEARCH("yr",Assumptions!$G$47)),1/12,1)</f>
        <v>480</v>
      </c>
      <c r="AN9" s="23">
        <f>Personnel!AN15*Assumptions!$C$47*IF(ISNUMBER(SEARCH("yr",Assumptions!$G$47)),1/12,1)</f>
        <v>480</v>
      </c>
      <c r="AO9" s="23">
        <f>Personnel!AO15*Assumptions!$C$47*IF(ISNUMBER(SEARCH("yr",Assumptions!$G$47)),1/12,1)</f>
        <v>480</v>
      </c>
      <c r="AP9" s="23">
        <f>Personnel!AP15*Assumptions!$C$47*IF(ISNUMBER(SEARCH("yr",Assumptions!$G$47)),1/12,1)</f>
        <v>480</v>
      </c>
      <c r="AQ9" s="23">
        <f>Personnel!AQ15*Assumptions!$C$47*IF(ISNUMBER(SEARCH("yr",Assumptions!$G$47)),1/12,1)</f>
        <v>480</v>
      </c>
      <c r="AR9" s="23">
        <f>Personnel!AR15*Assumptions!$C$47*IF(ISNUMBER(SEARCH("yr",Assumptions!$G$47)),1/12,1)</f>
        <v>480</v>
      </c>
      <c r="AS9" s="23">
        <f>Personnel!AS15*Assumptions!$C$47*IF(ISNUMBER(SEARCH("yr",Assumptions!$G$47)),1/12,1)</f>
        <v>480</v>
      </c>
      <c r="AT9" s="23">
        <f>Personnel!AT15*Assumptions!$C$47*IF(ISNUMBER(SEARCH("yr",Assumptions!$G$47)),1/12,1)</f>
        <v>520</v>
      </c>
      <c r="AU9" s="23">
        <f>Personnel!AU15*Assumptions!$C$47*IF(ISNUMBER(SEARCH("yr",Assumptions!$G$47)),1/12,1)</f>
        <v>520</v>
      </c>
      <c r="AV9" s="23">
        <f>Personnel!AV15*Assumptions!$C$47*IF(ISNUMBER(SEARCH("yr",Assumptions!$G$47)),1/12,1)</f>
        <v>520</v>
      </c>
      <c r="AW9" s="23">
        <f>Personnel!AW15*Assumptions!$C$47*IF(ISNUMBER(SEARCH("yr",Assumptions!$G$47)),1/12,1)</f>
        <v>520</v>
      </c>
      <c r="AX9" s="23">
        <f>Personnel!AX15*Assumptions!$C$47*IF(ISNUMBER(SEARCH("yr",Assumptions!$G$47)),1/12,1)</f>
        <v>560</v>
      </c>
      <c r="AY9" s="23">
        <f>Personnel!AY15*Assumptions!$C$47*IF(ISNUMBER(SEARCH("yr",Assumptions!$G$47)),1/12,1)</f>
        <v>560</v>
      </c>
      <c r="AZ9" s="23">
        <f>Personnel!AZ15*Assumptions!$C$47*IF(ISNUMBER(SEARCH("yr",Assumptions!$G$47)),1/12,1)</f>
        <v>560</v>
      </c>
      <c r="BA9" s="23">
        <f>Personnel!BA15*Assumptions!$C$47*IF(ISNUMBER(SEARCH("yr",Assumptions!$G$47)),1/12,1)</f>
        <v>560</v>
      </c>
      <c r="BB9" s="23"/>
      <c r="BC9" s="23">
        <f t="shared" ref="BC9:BF9" si="3">SUMPRODUCT((YEAR($F$3:$BA$3)=BC$3)*$F9:$BA9)</f>
        <v>4120</v>
      </c>
      <c r="BD9" s="23">
        <f t="shared" si="3"/>
        <v>4800</v>
      </c>
      <c r="BE9" s="23">
        <f t="shared" si="3"/>
        <v>5560</v>
      </c>
      <c r="BF9" s="23">
        <f t="shared" si="3"/>
        <v>6240</v>
      </c>
    </row>
    <row r="10">
      <c r="A10" s="1"/>
      <c r="B10" s="3" t="s">
        <v>123</v>
      </c>
      <c r="C10" s="1"/>
      <c r="D10" s="1"/>
      <c r="E10" s="3" t="s">
        <v>33</v>
      </c>
      <c r="F10" s="23">
        <f t="array" ref="F10">INDEX(Assumptions!$C$49:$F$49,MATCH(YEAR(F$3),Assumptions!$C$1:$F$1,0))*IF(ISNUMBER(SEARCH("yr",Assumptions!$G$49)),1/12,1)</f>
        <v>250</v>
      </c>
      <c r="G10" s="23">
        <f t="array" ref="G10">INDEX(Assumptions!$C$49:$F$49,MATCH(YEAR(G$3),Assumptions!$C$1:$F$1,0))*IF(ISNUMBER(SEARCH("yr",Assumptions!$G$49)),1/12,1)</f>
        <v>250</v>
      </c>
      <c r="H10" s="23">
        <f t="array" ref="H10">INDEX(Assumptions!$C$49:$F$49,MATCH(YEAR(H$3),Assumptions!$C$1:$F$1,0))*IF(ISNUMBER(SEARCH("yr",Assumptions!$G$49)),1/12,1)</f>
        <v>250</v>
      </c>
      <c r="I10" s="23">
        <f t="array" ref="I10">INDEX(Assumptions!$C$49:$F$49,MATCH(YEAR(I$3),Assumptions!$C$1:$F$1,0))*IF(ISNUMBER(SEARCH("yr",Assumptions!$G$49)),1/12,1)</f>
        <v>250</v>
      </c>
      <c r="J10" s="23">
        <f t="array" ref="J10">INDEX(Assumptions!$C$49:$F$49,MATCH(YEAR(J$3),Assumptions!$C$1:$F$1,0))*IF(ISNUMBER(SEARCH("yr",Assumptions!$G$49)),1/12,1)</f>
        <v>250</v>
      </c>
      <c r="K10" s="23">
        <f t="array" ref="K10">INDEX(Assumptions!$C$49:$F$49,MATCH(YEAR(K$3),Assumptions!$C$1:$F$1,0))*IF(ISNUMBER(SEARCH("yr",Assumptions!$G$49)),1/12,1)</f>
        <v>250</v>
      </c>
      <c r="L10" s="23">
        <f t="array" ref="L10">INDEX(Assumptions!$C$49:$F$49,MATCH(YEAR(L$3),Assumptions!$C$1:$F$1,0))*IF(ISNUMBER(SEARCH("yr",Assumptions!$G$49)),1/12,1)</f>
        <v>250</v>
      </c>
      <c r="M10" s="23">
        <f t="array" ref="M10">INDEX(Assumptions!$C$49:$F$49,MATCH(YEAR(M$3),Assumptions!$C$1:$F$1,0))*IF(ISNUMBER(SEARCH("yr",Assumptions!$G$49)),1/12,1)</f>
        <v>250</v>
      </c>
      <c r="N10" s="23">
        <f t="array" ref="N10">INDEX(Assumptions!$C$49:$F$49,MATCH(YEAR(N$3),Assumptions!$C$1:$F$1,0))*IF(ISNUMBER(SEARCH("yr",Assumptions!$G$49)),1/12,1)</f>
        <v>250</v>
      </c>
      <c r="O10" s="23">
        <f t="array" ref="O10">INDEX(Assumptions!$C$49:$F$49,MATCH(YEAR(O$3),Assumptions!$C$1:$F$1,0))*IF(ISNUMBER(SEARCH("yr",Assumptions!$G$49)),1/12,1)</f>
        <v>250</v>
      </c>
      <c r="P10" s="23">
        <f t="array" ref="P10">INDEX(Assumptions!$C$49:$F$49,MATCH(YEAR(P$3),Assumptions!$C$1:$F$1,0))*IF(ISNUMBER(SEARCH("yr",Assumptions!$G$49)),1/12,1)</f>
        <v>250</v>
      </c>
      <c r="Q10" s="23">
        <f t="array" ref="Q10">INDEX(Assumptions!$C$49:$F$49,MATCH(YEAR(Q$3),Assumptions!$C$1:$F$1,0))*IF(ISNUMBER(SEARCH("yr",Assumptions!$G$49)),1/12,1)</f>
        <v>250</v>
      </c>
      <c r="R10" s="23">
        <f t="array" ref="R10">INDEX(Assumptions!$C$49:$F$49,MATCH(YEAR(R$3),Assumptions!$C$1:$F$1,0))*IF(ISNUMBER(SEARCH("yr",Assumptions!$G$49)),1/12,1)</f>
        <v>333.3333333</v>
      </c>
      <c r="S10" s="23">
        <f t="array" ref="S10">INDEX(Assumptions!$C$49:$F$49,MATCH(YEAR(S$3),Assumptions!$C$1:$F$1,0))*IF(ISNUMBER(SEARCH("yr",Assumptions!$G$49)),1/12,1)</f>
        <v>333.3333333</v>
      </c>
      <c r="T10" s="23">
        <f t="array" ref="T10">INDEX(Assumptions!$C$49:$F$49,MATCH(YEAR(T$3),Assumptions!$C$1:$F$1,0))*IF(ISNUMBER(SEARCH("yr",Assumptions!$G$49)),1/12,1)</f>
        <v>333.3333333</v>
      </c>
      <c r="U10" s="23">
        <f t="array" ref="U10">INDEX(Assumptions!$C$49:$F$49,MATCH(YEAR(U$3),Assumptions!$C$1:$F$1,0))*IF(ISNUMBER(SEARCH("yr",Assumptions!$G$49)),1/12,1)</f>
        <v>333.3333333</v>
      </c>
      <c r="V10" s="23">
        <f t="array" ref="V10">INDEX(Assumptions!$C$49:$F$49,MATCH(YEAR(V$3),Assumptions!$C$1:$F$1,0))*IF(ISNUMBER(SEARCH("yr",Assumptions!$G$49)),1/12,1)</f>
        <v>333.3333333</v>
      </c>
      <c r="W10" s="23">
        <f t="array" ref="W10">INDEX(Assumptions!$C$49:$F$49,MATCH(YEAR(W$3),Assumptions!$C$1:$F$1,0))*IF(ISNUMBER(SEARCH("yr",Assumptions!$G$49)),1/12,1)</f>
        <v>333.3333333</v>
      </c>
      <c r="X10" s="23">
        <f t="array" ref="X10">INDEX(Assumptions!$C$49:$F$49,MATCH(YEAR(X$3),Assumptions!$C$1:$F$1,0))*IF(ISNUMBER(SEARCH("yr",Assumptions!$G$49)),1/12,1)</f>
        <v>333.3333333</v>
      </c>
      <c r="Y10" s="23">
        <f t="array" ref="Y10">INDEX(Assumptions!$C$49:$F$49,MATCH(YEAR(Y$3),Assumptions!$C$1:$F$1,0))*IF(ISNUMBER(SEARCH("yr",Assumptions!$G$49)),1/12,1)</f>
        <v>333.3333333</v>
      </c>
      <c r="Z10" s="23">
        <f t="array" ref="Z10">INDEX(Assumptions!$C$49:$F$49,MATCH(YEAR(Z$3),Assumptions!$C$1:$F$1,0))*IF(ISNUMBER(SEARCH("yr",Assumptions!$G$49)),1/12,1)</f>
        <v>333.3333333</v>
      </c>
      <c r="AA10" s="23">
        <f t="array" ref="AA10">INDEX(Assumptions!$C$49:$F$49,MATCH(YEAR(AA$3),Assumptions!$C$1:$F$1,0))*IF(ISNUMBER(SEARCH("yr",Assumptions!$G$49)),1/12,1)</f>
        <v>333.3333333</v>
      </c>
      <c r="AB10" s="23">
        <f t="array" ref="AB10">INDEX(Assumptions!$C$49:$F$49,MATCH(YEAR(AB$3),Assumptions!$C$1:$F$1,0))*IF(ISNUMBER(SEARCH("yr",Assumptions!$G$49)),1/12,1)</f>
        <v>333.3333333</v>
      </c>
      <c r="AC10" s="23">
        <f t="array" ref="AC10">INDEX(Assumptions!$C$49:$F$49,MATCH(YEAR(AC$3),Assumptions!$C$1:$F$1,0))*IF(ISNUMBER(SEARCH("yr",Assumptions!$G$49)),1/12,1)</f>
        <v>333.3333333</v>
      </c>
      <c r="AD10" s="23">
        <f t="array" ref="AD10">INDEX(Assumptions!$C$49:$F$49,MATCH(YEAR(AD$3),Assumptions!$C$1:$F$1,0))*IF(ISNUMBER(SEARCH("yr",Assumptions!$G$49)),1/12,1)</f>
        <v>416.6666667</v>
      </c>
      <c r="AE10" s="23">
        <f t="array" ref="AE10">INDEX(Assumptions!$C$49:$F$49,MATCH(YEAR(AE$3),Assumptions!$C$1:$F$1,0))*IF(ISNUMBER(SEARCH("yr",Assumptions!$G$49)),1/12,1)</f>
        <v>416.6666667</v>
      </c>
      <c r="AF10" s="23">
        <f t="array" ref="AF10">INDEX(Assumptions!$C$49:$F$49,MATCH(YEAR(AF$3),Assumptions!$C$1:$F$1,0))*IF(ISNUMBER(SEARCH("yr",Assumptions!$G$49)),1/12,1)</f>
        <v>416.6666667</v>
      </c>
      <c r="AG10" s="23">
        <f t="array" ref="AG10">INDEX(Assumptions!$C$49:$F$49,MATCH(YEAR(AG$3),Assumptions!$C$1:$F$1,0))*IF(ISNUMBER(SEARCH("yr",Assumptions!$G$49)),1/12,1)</f>
        <v>416.6666667</v>
      </c>
      <c r="AH10" s="23">
        <f t="array" ref="AH10">INDEX(Assumptions!$C$49:$F$49,MATCH(YEAR(AH$3),Assumptions!$C$1:$F$1,0))*IF(ISNUMBER(SEARCH("yr",Assumptions!$G$49)),1/12,1)</f>
        <v>416.6666667</v>
      </c>
      <c r="AI10" s="23">
        <f t="array" ref="AI10">INDEX(Assumptions!$C$49:$F$49,MATCH(YEAR(AI$3),Assumptions!$C$1:$F$1,0))*IF(ISNUMBER(SEARCH("yr",Assumptions!$G$49)),1/12,1)</f>
        <v>416.6666667</v>
      </c>
      <c r="AJ10" s="23">
        <f t="array" ref="AJ10">INDEX(Assumptions!$C$49:$F$49,MATCH(YEAR(AJ$3),Assumptions!$C$1:$F$1,0))*IF(ISNUMBER(SEARCH("yr",Assumptions!$G$49)),1/12,1)</f>
        <v>416.6666667</v>
      </c>
      <c r="AK10" s="23">
        <f t="array" ref="AK10">INDEX(Assumptions!$C$49:$F$49,MATCH(YEAR(AK$3),Assumptions!$C$1:$F$1,0))*IF(ISNUMBER(SEARCH("yr",Assumptions!$G$49)),1/12,1)</f>
        <v>416.6666667</v>
      </c>
      <c r="AL10" s="23">
        <f t="array" ref="AL10">INDEX(Assumptions!$C$49:$F$49,MATCH(YEAR(AL$3),Assumptions!$C$1:$F$1,0))*IF(ISNUMBER(SEARCH("yr",Assumptions!$G$49)),1/12,1)</f>
        <v>416.6666667</v>
      </c>
      <c r="AM10" s="23">
        <f t="array" ref="AM10">INDEX(Assumptions!$C$49:$F$49,MATCH(YEAR(AM$3),Assumptions!$C$1:$F$1,0))*IF(ISNUMBER(SEARCH("yr",Assumptions!$G$49)),1/12,1)</f>
        <v>416.6666667</v>
      </c>
      <c r="AN10" s="23">
        <f t="array" ref="AN10">INDEX(Assumptions!$C$49:$F$49,MATCH(YEAR(AN$3),Assumptions!$C$1:$F$1,0))*IF(ISNUMBER(SEARCH("yr",Assumptions!$G$49)),1/12,1)</f>
        <v>416.6666667</v>
      </c>
      <c r="AO10" s="23">
        <f t="array" ref="AO10">INDEX(Assumptions!$C$49:$F$49,MATCH(YEAR(AO$3),Assumptions!$C$1:$F$1,0))*IF(ISNUMBER(SEARCH("yr",Assumptions!$G$49)),1/12,1)</f>
        <v>416.6666667</v>
      </c>
      <c r="AP10" s="23">
        <f t="array" ref="AP10">INDEX(Assumptions!$C$49:$F$49,MATCH(YEAR(AP$3),Assumptions!$C$1:$F$1,0))*IF(ISNUMBER(SEARCH("yr",Assumptions!$G$49)),1/12,1)</f>
        <v>500</v>
      </c>
      <c r="AQ10" s="23">
        <f t="array" ref="AQ10">INDEX(Assumptions!$C$49:$F$49,MATCH(YEAR(AQ$3),Assumptions!$C$1:$F$1,0))*IF(ISNUMBER(SEARCH("yr",Assumptions!$G$49)),1/12,1)</f>
        <v>500</v>
      </c>
      <c r="AR10" s="23">
        <f t="array" ref="AR10">INDEX(Assumptions!$C$49:$F$49,MATCH(YEAR(AR$3),Assumptions!$C$1:$F$1,0))*IF(ISNUMBER(SEARCH("yr",Assumptions!$G$49)),1/12,1)</f>
        <v>500</v>
      </c>
      <c r="AS10" s="23">
        <f t="array" ref="AS10">INDEX(Assumptions!$C$49:$F$49,MATCH(YEAR(AS$3),Assumptions!$C$1:$F$1,0))*IF(ISNUMBER(SEARCH("yr",Assumptions!$G$49)),1/12,1)</f>
        <v>500</v>
      </c>
      <c r="AT10" s="23">
        <f t="array" ref="AT10">INDEX(Assumptions!$C$49:$F$49,MATCH(YEAR(AT$3),Assumptions!$C$1:$F$1,0))*IF(ISNUMBER(SEARCH("yr",Assumptions!$G$49)),1/12,1)</f>
        <v>500</v>
      </c>
      <c r="AU10" s="23">
        <f t="array" ref="AU10">INDEX(Assumptions!$C$49:$F$49,MATCH(YEAR(AU$3),Assumptions!$C$1:$F$1,0))*IF(ISNUMBER(SEARCH("yr",Assumptions!$G$49)),1/12,1)</f>
        <v>500</v>
      </c>
      <c r="AV10" s="23">
        <f t="array" ref="AV10">INDEX(Assumptions!$C$49:$F$49,MATCH(YEAR(AV$3),Assumptions!$C$1:$F$1,0))*IF(ISNUMBER(SEARCH("yr",Assumptions!$G$49)),1/12,1)</f>
        <v>500</v>
      </c>
      <c r="AW10" s="23">
        <f t="array" ref="AW10">INDEX(Assumptions!$C$49:$F$49,MATCH(YEAR(AW$3),Assumptions!$C$1:$F$1,0))*IF(ISNUMBER(SEARCH("yr",Assumptions!$G$49)),1/12,1)</f>
        <v>500</v>
      </c>
      <c r="AX10" s="23">
        <f t="array" ref="AX10">INDEX(Assumptions!$C$49:$F$49,MATCH(YEAR(AX$3),Assumptions!$C$1:$F$1,0))*IF(ISNUMBER(SEARCH("yr",Assumptions!$G$49)),1/12,1)</f>
        <v>500</v>
      </c>
      <c r="AY10" s="23">
        <f t="array" ref="AY10">INDEX(Assumptions!$C$49:$F$49,MATCH(YEAR(AY$3),Assumptions!$C$1:$F$1,0))*IF(ISNUMBER(SEARCH("yr",Assumptions!$G$49)),1/12,1)</f>
        <v>500</v>
      </c>
      <c r="AZ10" s="23">
        <f t="array" ref="AZ10">INDEX(Assumptions!$C$49:$F$49,MATCH(YEAR(AZ$3),Assumptions!$C$1:$F$1,0))*IF(ISNUMBER(SEARCH("yr",Assumptions!$G$49)),1/12,1)</f>
        <v>500</v>
      </c>
      <c r="BA10" s="23">
        <f t="array" ref="BA10">INDEX(Assumptions!$C$49:$F$49,MATCH(YEAR(BA$3),Assumptions!$C$1:$F$1,0))*IF(ISNUMBER(SEARCH("yr",Assumptions!$G$49)),1/12,1)</f>
        <v>500</v>
      </c>
      <c r="BB10" s="23"/>
      <c r="BC10" s="23">
        <f t="shared" ref="BC10:BF10" si="4">SUMPRODUCT((YEAR($F$3:$BA$3)=BC$3)*$F10:$BA10)</f>
        <v>3000</v>
      </c>
      <c r="BD10" s="23">
        <f t="shared" si="4"/>
        <v>4000</v>
      </c>
      <c r="BE10" s="23">
        <f t="shared" si="4"/>
        <v>5000</v>
      </c>
      <c r="BF10" s="23">
        <f t="shared" si="4"/>
        <v>6000</v>
      </c>
    </row>
    <row r="11">
      <c r="A11" s="1"/>
      <c r="B11" s="3" t="s">
        <v>124</v>
      </c>
      <c r="C11" s="1"/>
      <c r="D11" s="1"/>
      <c r="E11" s="3" t="s">
        <v>33</v>
      </c>
      <c r="F11" s="23">
        <f t="array" ref="F11">INDEX(Assumptions!$C$50:$F$50,MATCH(YEAR(F$3),Assumptions!$C$1:$F$1,0))*IF(ISNUMBER(SEARCH("yr",Assumptions!$G$50)),1/12,1)</f>
        <v>500</v>
      </c>
      <c r="G11" s="23">
        <f t="array" ref="G11">INDEX(Assumptions!$C$50:$F$50,MATCH(YEAR(G$3),Assumptions!$C$1:$F$1,0))*IF(ISNUMBER(SEARCH("yr",Assumptions!$G$50)),1/12,1)</f>
        <v>500</v>
      </c>
      <c r="H11" s="23">
        <f t="array" ref="H11">INDEX(Assumptions!$C$50:$F$50,MATCH(YEAR(H$3),Assumptions!$C$1:$F$1,0))*IF(ISNUMBER(SEARCH("yr",Assumptions!$G$50)),1/12,1)</f>
        <v>500</v>
      </c>
      <c r="I11" s="23">
        <f t="array" ref="I11">INDEX(Assumptions!$C$50:$F$50,MATCH(YEAR(I$3),Assumptions!$C$1:$F$1,0))*IF(ISNUMBER(SEARCH("yr",Assumptions!$G$50)),1/12,1)</f>
        <v>500</v>
      </c>
      <c r="J11" s="23">
        <f t="array" ref="J11">INDEX(Assumptions!$C$50:$F$50,MATCH(YEAR(J$3),Assumptions!$C$1:$F$1,0))*IF(ISNUMBER(SEARCH("yr",Assumptions!$G$50)),1/12,1)</f>
        <v>500</v>
      </c>
      <c r="K11" s="23">
        <f t="array" ref="K11">INDEX(Assumptions!$C$50:$F$50,MATCH(YEAR(K$3),Assumptions!$C$1:$F$1,0))*IF(ISNUMBER(SEARCH("yr",Assumptions!$G$50)),1/12,1)</f>
        <v>500</v>
      </c>
      <c r="L11" s="23">
        <f t="array" ref="L11">INDEX(Assumptions!$C$50:$F$50,MATCH(YEAR(L$3),Assumptions!$C$1:$F$1,0))*IF(ISNUMBER(SEARCH("yr",Assumptions!$G$50)),1/12,1)</f>
        <v>500</v>
      </c>
      <c r="M11" s="23">
        <f t="array" ref="M11">INDEX(Assumptions!$C$50:$F$50,MATCH(YEAR(M$3),Assumptions!$C$1:$F$1,0))*IF(ISNUMBER(SEARCH("yr",Assumptions!$G$50)),1/12,1)</f>
        <v>500</v>
      </c>
      <c r="N11" s="23">
        <f t="array" ref="N11">INDEX(Assumptions!$C$50:$F$50,MATCH(YEAR(N$3),Assumptions!$C$1:$F$1,0))*IF(ISNUMBER(SEARCH("yr",Assumptions!$G$50)),1/12,1)</f>
        <v>500</v>
      </c>
      <c r="O11" s="23">
        <f t="array" ref="O11">INDEX(Assumptions!$C$50:$F$50,MATCH(YEAR(O$3),Assumptions!$C$1:$F$1,0))*IF(ISNUMBER(SEARCH("yr",Assumptions!$G$50)),1/12,1)</f>
        <v>500</v>
      </c>
      <c r="P11" s="23">
        <f t="array" ref="P11">INDEX(Assumptions!$C$50:$F$50,MATCH(YEAR(P$3),Assumptions!$C$1:$F$1,0))*IF(ISNUMBER(SEARCH("yr",Assumptions!$G$50)),1/12,1)</f>
        <v>500</v>
      </c>
      <c r="Q11" s="23">
        <f t="array" ref="Q11">INDEX(Assumptions!$C$50:$F$50,MATCH(YEAR(Q$3),Assumptions!$C$1:$F$1,0))*IF(ISNUMBER(SEARCH("yr",Assumptions!$G$50)),1/12,1)</f>
        <v>500</v>
      </c>
      <c r="R11" s="23">
        <f t="array" ref="R11">INDEX(Assumptions!$C$50:$F$50,MATCH(YEAR(R$3),Assumptions!$C$1:$F$1,0))*IF(ISNUMBER(SEARCH("yr",Assumptions!$G$50)),1/12,1)</f>
        <v>541.6666667</v>
      </c>
      <c r="S11" s="23">
        <f t="array" ref="S11">INDEX(Assumptions!$C$50:$F$50,MATCH(YEAR(S$3),Assumptions!$C$1:$F$1,0))*IF(ISNUMBER(SEARCH("yr",Assumptions!$G$50)),1/12,1)</f>
        <v>541.6666667</v>
      </c>
      <c r="T11" s="23">
        <f t="array" ref="T11">INDEX(Assumptions!$C$50:$F$50,MATCH(YEAR(T$3),Assumptions!$C$1:$F$1,0))*IF(ISNUMBER(SEARCH("yr",Assumptions!$G$50)),1/12,1)</f>
        <v>541.6666667</v>
      </c>
      <c r="U11" s="23">
        <f t="array" ref="U11">INDEX(Assumptions!$C$50:$F$50,MATCH(YEAR(U$3),Assumptions!$C$1:$F$1,0))*IF(ISNUMBER(SEARCH("yr",Assumptions!$G$50)),1/12,1)</f>
        <v>541.6666667</v>
      </c>
      <c r="V11" s="23">
        <f t="array" ref="V11">INDEX(Assumptions!$C$50:$F$50,MATCH(YEAR(V$3),Assumptions!$C$1:$F$1,0))*IF(ISNUMBER(SEARCH("yr",Assumptions!$G$50)),1/12,1)</f>
        <v>541.6666667</v>
      </c>
      <c r="W11" s="23">
        <f t="array" ref="W11">INDEX(Assumptions!$C$50:$F$50,MATCH(YEAR(W$3),Assumptions!$C$1:$F$1,0))*IF(ISNUMBER(SEARCH("yr",Assumptions!$G$50)),1/12,1)</f>
        <v>541.6666667</v>
      </c>
      <c r="X11" s="23">
        <f t="array" ref="X11">INDEX(Assumptions!$C$50:$F$50,MATCH(YEAR(X$3),Assumptions!$C$1:$F$1,0))*IF(ISNUMBER(SEARCH("yr",Assumptions!$G$50)),1/12,1)</f>
        <v>541.6666667</v>
      </c>
      <c r="Y11" s="23">
        <f t="array" ref="Y11">INDEX(Assumptions!$C$50:$F$50,MATCH(YEAR(Y$3),Assumptions!$C$1:$F$1,0))*IF(ISNUMBER(SEARCH("yr",Assumptions!$G$50)),1/12,1)</f>
        <v>541.6666667</v>
      </c>
      <c r="Z11" s="23">
        <f t="array" ref="Z11">INDEX(Assumptions!$C$50:$F$50,MATCH(YEAR(Z$3),Assumptions!$C$1:$F$1,0))*IF(ISNUMBER(SEARCH("yr",Assumptions!$G$50)),1/12,1)</f>
        <v>541.6666667</v>
      </c>
      <c r="AA11" s="23">
        <f t="array" ref="AA11">INDEX(Assumptions!$C$50:$F$50,MATCH(YEAR(AA$3),Assumptions!$C$1:$F$1,0))*IF(ISNUMBER(SEARCH("yr",Assumptions!$G$50)),1/12,1)</f>
        <v>541.6666667</v>
      </c>
      <c r="AB11" s="23">
        <f t="array" ref="AB11">INDEX(Assumptions!$C$50:$F$50,MATCH(YEAR(AB$3),Assumptions!$C$1:$F$1,0))*IF(ISNUMBER(SEARCH("yr",Assumptions!$G$50)),1/12,1)</f>
        <v>541.6666667</v>
      </c>
      <c r="AC11" s="23">
        <f t="array" ref="AC11">INDEX(Assumptions!$C$50:$F$50,MATCH(YEAR(AC$3),Assumptions!$C$1:$F$1,0))*IF(ISNUMBER(SEARCH("yr",Assumptions!$G$50)),1/12,1)</f>
        <v>541.6666667</v>
      </c>
      <c r="AD11" s="23">
        <f t="array" ref="AD11">INDEX(Assumptions!$C$50:$F$50,MATCH(YEAR(AD$3),Assumptions!$C$1:$F$1,0))*IF(ISNUMBER(SEARCH("yr",Assumptions!$G$50)),1/12,1)</f>
        <v>583.3333333</v>
      </c>
      <c r="AE11" s="23">
        <f t="array" ref="AE11">INDEX(Assumptions!$C$50:$F$50,MATCH(YEAR(AE$3),Assumptions!$C$1:$F$1,0))*IF(ISNUMBER(SEARCH("yr",Assumptions!$G$50)),1/12,1)</f>
        <v>583.3333333</v>
      </c>
      <c r="AF11" s="23">
        <f t="array" ref="AF11">INDEX(Assumptions!$C$50:$F$50,MATCH(YEAR(AF$3),Assumptions!$C$1:$F$1,0))*IF(ISNUMBER(SEARCH("yr",Assumptions!$G$50)),1/12,1)</f>
        <v>583.3333333</v>
      </c>
      <c r="AG11" s="23">
        <f t="array" ref="AG11">INDEX(Assumptions!$C$50:$F$50,MATCH(YEAR(AG$3),Assumptions!$C$1:$F$1,0))*IF(ISNUMBER(SEARCH("yr",Assumptions!$G$50)),1/12,1)</f>
        <v>583.3333333</v>
      </c>
      <c r="AH11" s="23">
        <f t="array" ref="AH11">INDEX(Assumptions!$C$50:$F$50,MATCH(YEAR(AH$3),Assumptions!$C$1:$F$1,0))*IF(ISNUMBER(SEARCH("yr",Assumptions!$G$50)),1/12,1)</f>
        <v>583.3333333</v>
      </c>
      <c r="AI11" s="23">
        <f t="array" ref="AI11">INDEX(Assumptions!$C$50:$F$50,MATCH(YEAR(AI$3),Assumptions!$C$1:$F$1,0))*IF(ISNUMBER(SEARCH("yr",Assumptions!$G$50)),1/12,1)</f>
        <v>583.3333333</v>
      </c>
      <c r="AJ11" s="23">
        <f t="array" ref="AJ11">INDEX(Assumptions!$C$50:$F$50,MATCH(YEAR(AJ$3),Assumptions!$C$1:$F$1,0))*IF(ISNUMBER(SEARCH("yr",Assumptions!$G$50)),1/12,1)</f>
        <v>583.3333333</v>
      </c>
      <c r="AK11" s="23">
        <f t="array" ref="AK11">INDEX(Assumptions!$C$50:$F$50,MATCH(YEAR(AK$3),Assumptions!$C$1:$F$1,0))*IF(ISNUMBER(SEARCH("yr",Assumptions!$G$50)),1/12,1)</f>
        <v>583.3333333</v>
      </c>
      <c r="AL11" s="23">
        <f t="array" ref="AL11">INDEX(Assumptions!$C$50:$F$50,MATCH(YEAR(AL$3),Assumptions!$C$1:$F$1,0))*IF(ISNUMBER(SEARCH("yr",Assumptions!$G$50)),1/12,1)</f>
        <v>583.3333333</v>
      </c>
      <c r="AM11" s="23">
        <f t="array" ref="AM11">INDEX(Assumptions!$C$50:$F$50,MATCH(YEAR(AM$3),Assumptions!$C$1:$F$1,0))*IF(ISNUMBER(SEARCH("yr",Assumptions!$G$50)),1/12,1)</f>
        <v>583.3333333</v>
      </c>
      <c r="AN11" s="23">
        <f t="array" ref="AN11">INDEX(Assumptions!$C$50:$F$50,MATCH(YEAR(AN$3),Assumptions!$C$1:$F$1,0))*IF(ISNUMBER(SEARCH("yr",Assumptions!$G$50)),1/12,1)</f>
        <v>583.3333333</v>
      </c>
      <c r="AO11" s="23">
        <f t="array" ref="AO11">INDEX(Assumptions!$C$50:$F$50,MATCH(YEAR(AO$3),Assumptions!$C$1:$F$1,0))*IF(ISNUMBER(SEARCH("yr",Assumptions!$G$50)),1/12,1)</f>
        <v>583.3333333</v>
      </c>
      <c r="AP11" s="23">
        <f t="array" ref="AP11">INDEX(Assumptions!$C$50:$F$50,MATCH(YEAR(AP$3),Assumptions!$C$1:$F$1,0))*IF(ISNUMBER(SEARCH("yr",Assumptions!$G$50)),1/12,1)</f>
        <v>625</v>
      </c>
      <c r="AQ11" s="23">
        <f t="array" ref="AQ11">INDEX(Assumptions!$C$50:$F$50,MATCH(YEAR(AQ$3),Assumptions!$C$1:$F$1,0))*IF(ISNUMBER(SEARCH("yr",Assumptions!$G$50)),1/12,1)</f>
        <v>625</v>
      </c>
      <c r="AR11" s="23">
        <f t="array" ref="AR11">INDEX(Assumptions!$C$50:$F$50,MATCH(YEAR(AR$3),Assumptions!$C$1:$F$1,0))*IF(ISNUMBER(SEARCH("yr",Assumptions!$G$50)),1/12,1)</f>
        <v>625</v>
      </c>
      <c r="AS11" s="23">
        <f t="array" ref="AS11">INDEX(Assumptions!$C$50:$F$50,MATCH(YEAR(AS$3),Assumptions!$C$1:$F$1,0))*IF(ISNUMBER(SEARCH("yr",Assumptions!$G$50)),1/12,1)</f>
        <v>625</v>
      </c>
      <c r="AT11" s="23">
        <f t="array" ref="AT11">INDEX(Assumptions!$C$50:$F$50,MATCH(YEAR(AT$3),Assumptions!$C$1:$F$1,0))*IF(ISNUMBER(SEARCH("yr",Assumptions!$G$50)),1/12,1)</f>
        <v>625</v>
      </c>
      <c r="AU11" s="23">
        <f t="array" ref="AU11">INDEX(Assumptions!$C$50:$F$50,MATCH(YEAR(AU$3),Assumptions!$C$1:$F$1,0))*IF(ISNUMBER(SEARCH("yr",Assumptions!$G$50)),1/12,1)</f>
        <v>625</v>
      </c>
      <c r="AV11" s="23">
        <f t="array" ref="AV11">INDEX(Assumptions!$C$50:$F$50,MATCH(YEAR(AV$3),Assumptions!$C$1:$F$1,0))*IF(ISNUMBER(SEARCH("yr",Assumptions!$G$50)),1/12,1)</f>
        <v>625</v>
      </c>
      <c r="AW11" s="23">
        <f t="array" ref="AW11">INDEX(Assumptions!$C$50:$F$50,MATCH(YEAR(AW$3),Assumptions!$C$1:$F$1,0))*IF(ISNUMBER(SEARCH("yr",Assumptions!$G$50)),1/12,1)</f>
        <v>625</v>
      </c>
      <c r="AX11" s="23">
        <f t="array" ref="AX11">INDEX(Assumptions!$C$50:$F$50,MATCH(YEAR(AX$3),Assumptions!$C$1:$F$1,0))*IF(ISNUMBER(SEARCH("yr",Assumptions!$G$50)),1/12,1)</f>
        <v>625</v>
      </c>
      <c r="AY11" s="23">
        <f t="array" ref="AY11">INDEX(Assumptions!$C$50:$F$50,MATCH(YEAR(AY$3),Assumptions!$C$1:$F$1,0))*IF(ISNUMBER(SEARCH("yr",Assumptions!$G$50)),1/12,1)</f>
        <v>625</v>
      </c>
      <c r="AZ11" s="23">
        <f t="array" ref="AZ11">INDEX(Assumptions!$C$50:$F$50,MATCH(YEAR(AZ$3),Assumptions!$C$1:$F$1,0))*IF(ISNUMBER(SEARCH("yr",Assumptions!$G$50)),1/12,1)</f>
        <v>625</v>
      </c>
      <c r="BA11" s="23">
        <f t="array" ref="BA11">INDEX(Assumptions!$C$50:$F$50,MATCH(YEAR(BA$3),Assumptions!$C$1:$F$1,0))*IF(ISNUMBER(SEARCH("yr",Assumptions!$G$50)),1/12,1)</f>
        <v>625</v>
      </c>
      <c r="BB11" s="23"/>
      <c r="BC11" s="23">
        <f t="shared" ref="BC11:BF11" si="5">SUMPRODUCT((YEAR($F$3:$BA$3)=BC$3)*$F11:$BA11)</f>
        <v>6000</v>
      </c>
      <c r="BD11" s="23">
        <f t="shared" si="5"/>
        <v>6500</v>
      </c>
      <c r="BE11" s="23">
        <f t="shared" si="5"/>
        <v>7000</v>
      </c>
      <c r="BF11" s="23">
        <f t="shared" si="5"/>
        <v>7500</v>
      </c>
    </row>
    <row r="12">
      <c r="A12" s="1"/>
      <c r="B12" s="3" t="s">
        <v>125</v>
      </c>
      <c r="C12" s="1"/>
      <c r="D12" s="1"/>
      <c r="E12" s="3" t="s">
        <v>33</v>
      </c>
      <c r="F12" s="23">
        <f>Personnel!F15*Assumptions!$C$48*IF(ISNUMBER(SEARCH("yr",Assumptions!$G$48)),1/12,1)</f>
        <v>800</v>
      </c>
      <c r="G12" s="23">
        <f>Personnel!G15*Assumptions!$C$48*IF(ISNUMBER(SEARCH("yr",Assumptions!$G$48)),1/12,1)</f>
        <v>800</v>
      </c>
      <c r="H12" s="23">
        <f>Personnel!H15*Assumptions!$C$48*IF(ISNUMBER(SEARCH("yr",Assumptions!$G$48)),1/12,1)</f>
        <v>800</v>
      </c>
      <c r="I12" s="23">
        <f>Personnel!I15*Assumptions!$C$48*IF(ISNUMBER(SEARCH("yr",Assumptions!$G$48)),1/12,1)</f>
        <v>800</v>
      </c>
      <c r="J12" s="23">
        <f>Personnel!J15*Assumptions!$C$48*IF(ISNUMBER(SEARCH("yr",Assumptions!$G$48)),1/12,1)</f>
        <v>800</v>
      </c>
      <c r="K12" s="23">
        <f>Personnel!K15*Assumptions!$C$48*IF(ISNUMBER(SEARCH("yr",Assumptions!$G$48)),1/12,1)</f>
        <v>900</v>
      </c>
      <c r="L12" s="23">
        <f>Personnel!L15*Assumptions!$C$48*IF(ISNUMBER(SEARCH("yr",Assumptions!$G$48)),1/12,1)</f>
        <v>900</v>
      </c>
      <c r="M12" s="23">
        <f>Personnel!M15*Assumptions!$C$48*IF(ISNUMBER(SEARCH("yr",Assumptions!$G$48)),1/12,1)</f>
        <v>900</v>
      </c>
      <c r="N12" s="23">
        <f>Personnel!N15*Assumptions!$C$48*IF(ISNUMBER(SEARCH("yr",Assumptions!$G$48)),1/12,1)</f>
        <v>900</v>
      </c>
      <c r="O12" s="23">
        <f>Personnel!O15*Assumptions!$C$48*IF(ISNUMBER(SEARCH("yr",Assumptions!$G$48)),1/12,1)</f>
        <v>900</v>
      </c>
      <c r="P12" s="23">
        <f>Personnel!P15*Assumptions!$C$48*IF(ISNUMBER(SEARCH("yr",Assumptions!$G$48)),1/12,1)</f>
        <v>900</v>
      </c>
      <c r="Q12" s="23">
        <f>Personnel!Q15*Assumptions!$C$48*IF(ISNUMBER(SEARCH("yr",Assumptions!$G$48)),1/12,1)</f>
        <v>900</v>
      </c>
      <c r="R12" s="23">
        <f>Personnel!R15*Assumptions!$C$48*IF(ISNUMBER(SEARCH("yr",Assumptions!$G$48)),1/12,1)</f>
        <v>900</v>
      </c>
      <c r="S12" s="23">
        <f>Personnel!S15*Assumptions!$C$48*IF(ISNUMBER(SEARCH("yr",Assumptions!$G$48)),1/12,1)</f>
        <v>900</v>
      </c>
      <c r="T12" s="23">
        <f>Personnel!T15*Assumptions!$C$48*IF(ISNUMBER(SEARCH("yr",Assumptions!$G$48)),1/12,1)</f>
        <v>900</v>
      </c>
      <c r="U12" s="23">
        <f>Personnel!U15*Assumptions!$C$48*IF(ISNUMBER(SEARCH("yr",Assumptions!$G$48)),1/12,1)</f>
        <v>900</v>
      </c>
      <c r="V12" s="23">
        <f>Personnel!V15*Assumptions!$C$48*IF(ISNUMBER(SEARCH("yr",Assumptions!$G$48)),1/12,1)</f>
        <v>900</v>
      </c>
      <c r="W12" s="23">
        <f>Personnel!W15*Assumptions!$C$48*IF(ISNUMBER(SEARCH("yr",Assumptions!$G$48)),1/12,1)</f>
        <v>900</v>
      </c>
      <c r="X12" s="23">
        <f>Personnel!X15*Assumptions!$C$48*IF(ISNUMBER(SEARCH("yr",Assumptions!$G$48)),1/12,1)</f>
        <v>1100</v>
      </c>
      <c r="Y12" s="23">
        <f>Personnel!Y15*Assumptions!$C$48*IF(ISNUMBER(SEARCH("yr",Assumptions!$G$48)),1/12,1)</f>
        <v>1100</v>
      </c>
      <c r="Z12" s="23">
        <f>Personnel!Z15*Assumptions!$C$48*IF(ISNUMBER(SEARCH("yr",Assumptions!$G$48)),1/12,1)</f>
        <v>1100</v>
      </c>
      <c r="AA12" s="23">
        <f>Personnel!AA15*Assumptions!$C$48*IF(ISNUMBER(SEARCH("yr",Assumptions!$G$48)),1/12,1)</f>
        <v>1100</v>
      </c>
      <c r="AB12" s="23">
        <f>Personnel!AB15*Assumptions!$C$48*IF(ISNUMBER(SEARCH("yr",Assumptions!$G$48)),1/12,1)</f>
        <v>1100</v>
      </c>
      <c r="AC12" s="23">
        <f>Personnel!AC15*Assumptions!$C$48*IF(ISNUMBER(SEARCH("yr",Assumptions!$G$48)),1/12,1)</f>
        <v>1100</v>
      </c>
      <c r="AD12" s="23">
        <f>Personnel!AD15*Assumptions!$C$48*IF(ISNUMBER(SEARCH("yr",Assumptions!$G$48)),1/12,1)</f>
        <v>1100</v>
      </c>
      <c r="AE12" s="23">
        <f>Personnel!AE15*Assumptions!$C$48*IF(ISNUMBER(SEARCH("yr",Assumptions!$G$48)),1/12,1)</f>
        <v>1100</v>
      </c>
      <c r="AF12" s="23">
        <f>Personnel!AF15*Assumptions!$C$48*IF(ISNUMBER(SEARCH("yr",Assumptions!$G$48)),1/12,1)</f>
        <v>1100</v>
      </c>
      <c r="AG12" s="23">
        <f>Personnel!AG15*Assumptions!$C$48*IF(ISNUMBER(SEARCH("yr",Assumptions!$G$48)),1/12,1)</f>
        <v>1100</v>
      </c>
      <c r="AH12" s="23">
        <f>Personnel!AH15*Assumptions!$C$48*IF(ISNUMBER(SEARCH("yr",Assumptions!$G$48)),1/12,1)</f>
        <v>1100</v>
      </c>
      <c r="AI12" s="23">
        <f>Personnel!AI15*Assumptions!$C$48*IF(ISNUMBER(SEARCH("yr",Assumptions!$G$48)),1/12,1)</f>
        <v>1200</v>
      </c>
      <c r="AJ12" s="23">
        <f>Personnel!AJ15*Assumptions!$C$48*IF(ISNUMBER(SEARCH("yr",Assumptions!$G$48)),1/12,1)</f>
        <v>1200</v>
      </c>
      <c r="AK12" s="23">
        <f>Personnel!AK15*Assumptions!$C$48*IF(ISNUMBER(SEARCH("yr",Assumptions!$G$48)),1/12,1)</f>
        <v>1200</v>
      </c>
      <c r="AL12" s="23">
        <f>Personnel!AL15*Assumptions!$C$48*IF(ISNUMBER(SEARCH("yr",Assumptions!$G$48)),1/12,1)</f>
        <v>1200</v>
      </c>
      <c r="AM12" s="23">
        <f>Personnel!AM15*Assumptions!$C$48*IF(ISNUMBER(SEARCH("yr",Assumptions!$G$48)),1/12,1)</f>
        <v>1200</v>
      </c>
      <c r="AN12" s="23">
        <f>Personnel!AN15*Assumptions!$C$48*IF(ISNUMBER(SEARCH("yr",Assumptions!$G$48)),1/12,1)</f>
        <v>1200</v>
      </c>
      <c r="AO12" s="23">
        <f>Personnel!AO15*Assumptions!$C$48*IF(ISNUMBER(SEARCH("yr",Assumptions!$G$48)),1/12,1)</f>
        <v>1200</v>
      </c>
      <c r="AP12" s="23">
        <f>Personnel!AP15*Assumptions!$C$48*IF(ISNUMBER(SEARCH("yr",Assumptions!$G$48)),1/12,1)</f>
        <v>1200</v>
      </c>
      <c r="AQ12" s="23">
        <f>Personnel!AQ15*Assumptions!$C$48*IF(ISNUMBER(SEARCH("yr",Assumptions!$G$48)),1/12,1)</f>
        <v>1200</v>
      </c>
      <c r="AR12" s="23">
        <f>Personnel!AR15*Assumptions!$C$48*IF(ISNUMBER(SEARCH("yr",Assumptions!$G$48)),1/12,1)</f>
        <v>1200</v>
      </c>
      <c r="AS12" s="23">
        <f>Personnel!AS15*Assumptions!$C$48*IF(ISNUMBER(SEARCH("yr",Assumptions!$G$48)),1/12,1)</f>
        <v>1200</v>
      </c>
      <c r="AT12" s="23">
        <f>Personnel!AT15*Assumptions!$C$48*IF(ISNUMBER(SEARCH("yr",Assumptions!$G$48)),1/12,1)</f>
        <v>1300</v>
      </c>
      <c r="AU12" s="23">
        <f>Personnel!AU15*Assumptions!$C$48*IF(ISNUMBER(SEARCH("yr",Assumptions!$G$48)),1/12,1)</f>
        <v>1300</v>
      </c>
      <c r="AV12" s="23">
        <f>Personnel!AV15*Assumptions!$C$48*IF(ISNUMBER(SEARCH("yr",Assumptions!$G$48)),1/12,1)</f>
        <v>1300</v>
      </c>
      <c r="AW12" s="23">
        <f>Personnel!AW15*Assumptions!$C$48*IF(ISNUMBER(SEARCH("yr",Assumptions!$G$48)),1/12,1)</f>
        <v>1300</v>
      </c>
      <c r="AX12" s="23">
        <f>Personnel!AX15*Assumptions!$C$48*IF(ISNUMBER(SEARCH("yr",Assumptions!$G$48)),1/12,1)</f>
        <v>1400</v>
      </c>
      <c r="AY12" s="23">
        <f>Personnel!AY15*Assumptions!$C$48*IF(ISNUMBER(SEARCH("yr",Assumptions!$G$48)),1/12,1)</f>
        <v>1400</v>
      </c>
      <c r="AZ12" s="23">
        <f>Personnel!AZ15*Assumptions!$C$48*IF(ISNUMBER(SEARCH("yr",Assumptions!$G$48)),1/12,1)</f>
        <v>1400</v>
      </c>
      <c r="BA12" s="23">
        <f>Personnel!BA15*Assumptions!$C$48*IF(ISNUMBER(SEARCH("yr",Assumptions!$G$48)),1/12,1)</f>
        <v>1400</v>
      </c>
      <c r="BB12" s="23"/>
      <c r="BC12" s="23">
        <f t="shared" ref="BC12:BF12" si="6">SUMPRODUCT((YEAR($F$3:$BA$3)=BC$3)*$F12:$BA12)</f>
        <v>10300</v>
      </c>
      <c r="BD12" s="23">
        <f t="shared" si="6"/>
        <v>12000</v>
      </c>
      <c r="BE12" s="23">
        <f t="shared" si="6"/>
        <v>13900</v>
      </c>
      <c r="BF12" s="23">
        <f t="shared" si="6"/>
        <v>15600</v>
      </c>
    </row>
    <row r="13">
      <c r="A13" s="1"/>
      <c r="B13" s="3" t="s">
        <v>126</v>
      </c>
      <c r="C13" s="1"/>
      <c r="D13" s="1"/>
      <c r="E13" s="3" t="s">
        <v>33</v>
      </c>
      <c r="F13" s="23">
        <f>Assumptions!$C$52*IF(ISNUMBER(SEARCH("yr",Assumptions!$G$52)),1/12,1)</f>
        <v>140</v>
      </c>
      <c r="G13" s="23">
        <f>Assumptions!$C$52*IF(ISNUMBER(SEARCH("yr",Assumptions!$G$52)),1/12,1)</f>
        <v>140</v>
      </c>
      <c r="H13" s="23">
        <f>Assumptions!$C$52*IF(ISNUMBER(SEARCH("yr",Assumptions!$G$52)),1/12,1)</f>
        <v>140</v>
      </c>
      <c r="I13" s="23">
        <f>Assumptions!$C$52*IF(ISNUMBER(SEARCH("yr",Assumptions!$G$52)),1/12,1)</f>
        <v>140</v>
      </c>
      <c r="J13" s="23">
        <f>Assumptions!$C$52*IF(ISNUMBER(SEARCH("yr",Assumptions!$G$52)),1/12,1)</f>
        <v>140</v>
      </c>
      <c r="K13" s="23">
        <f>Assumptions!$C$52*IF(ISNUMBER(SEARCH("yr",Assumptions!$G$52)),1/12,1)</f>
        <v>140</v>
      </c>
      <c r="L13" s="23">
        <f>Assumptions!$C$52*IF(ISNUMBER(SEARCH("yr",Assumptions!$G$52)),1/12,1)</f>
        <v>140</v>
      </c>
      <c r="M13" s="23">
        <f>Assumptions!$C$52*IF(ISNUMBER(SEARCH("yr",Assumptions!$G$52)),1/12,1)</f>
        <v>140</v>
      </c>
      <c r="N13" s="23">
        <f>Assumptions!$C$52*IF(ISNUMBER(SEARCH("yr",Assumptions!$G$52)),1/12,1)</f>
        <v>140</v>
      </c>
      <c r="O13" s="23">
        <f>Assumptions!$C$52*IF(ISNUMBER(SEARCH("yr",Assumptions!$G$52)),1/12,1)</f>
        <v>140</v>
      </c>
      <c r="P13" s="23">
        <f>Assumptions!$C$52*IF(ISNUMBER(SEARCH("yr",Assumptions!$G$52)),1/12,1)</f>
        <v>140</v>
      </c>
      <c r="Q13" s="23">
        <f>Assumptions!$C$52*IF(ISNUMBER(SEARCH("yr",Assumptions!$G$52)),1/12,1)</f>
        <v>140</v>
      </c>
      <c r="R13" s="23">
        <f>Assumptions!$C$52*IF(ISNUMBER(SEARCH("yr",Assumptions!$G$52)),1/12,1)</f>
        <v>140</v>
      </c>
      <c r="S13" s="23">
        <f>Assumptions!$C$52*IF(ISNUMBER(SEARCH("yr",Assumptions!$G$52)),1/12,1)</f>
        <v>140</v>
      </c>
      <c r="T13" s="23">
        <f>Assumptions!$C$52*IF(ISNUMBER(SEARCH("yr",Assumptions!$G$52)),1/12,1)</f>
        <v>140</v>
      </c>
      <c r="U13" s="23">
        <f>Assumptions!$C$52*IF(ISNUMBER(SEARCH("yr",Assumptions!$G$52)),1/12,1)</f>
        <v>140</v>
      </c>
      <c r="V13" s="23">
        <f>Assumptions!$C$52*IF(ISNUMBER(SEARCH("yr",Assumptions!$G$52)),1/12,1)</f>
        <v>140</v>
      </c>
      <c r="W13" s="23">
        <f>Assumptions!$C$52*IF(ISNUMBER(SEARCH("yr",Assumptions!$G$52)),1/12,1)</f>
        <v>140</v>
      </c>
      <c r="X13" s="23">
        <f>Assumptions!$C$52*IF(ISNUMBER(SEARCH("yr",Assumptions!$G$52)),1/12,1)</f>
        <v>140</v>
      </c>
      <c r="Y13" s="23">
        <f>Assumptions!$C$52*IF(ISNUMBER(SEARCH("yr",Assumptions!$G$52)),1/12,1)</f>
        <v>140</v>
      </c>
      <c r="Z13" s="23">
        <f>Assumptions!$C$52*IF(ISNUMBER(SEARCH("yr",Assumptions!$G$52)),1/12,1)</f>
        <v>140</v>
      </c>
      <c r="AA13" s="23">
        <f>Assumptions!$C$52*IF(ISNUMBER(SEARCH("yr",Assumptions!$G$52)),1/12,1)</f>
        <v>140</v>
      </c>
      <c r="AB13" s="23">
        <f>Assumptions!$C$52*IF(ISNUMBER(SEARCH("yr",Assumptions!$G$52)),1/12,1)</f>
        <v>140</v>
      </c>
      <c r="AC13" s="23">
        <f>Assumptions!$C$52*IF(ISNUMBER(SEARCH("yr",Assumptions!$G$52)),1/12,1)</f>
        <v>140</v>
      </c>
      <c r="AD13" s="23">
        <f>Assumptions!$C$52*IF(ISNUMBER(SEARCH("yr",Assumptions!$G$52)),1/12,1)</f>
        <v>140</v>
      </c>
      <c r="AE13" s="23">
        <f>Assumptions!$C$52*IF(ISNUMBER(SEARCH("yr",Assumptions!$G$52)),1/12,1)</f>
        <v>140</v>
      </c>
      <c r="AF13" s="23">
        <f>Assumptions!$C$52*IF(ISNUMBER(SEARCH("yr",Assumptions!$G$52)),1/12,1)</f>
        <v>140</v>
      </c>
      <c r="AG13" s="23">
        <f>Assumptions!$C$52*IF(ISNUMBER(SEARCH("yr",Assumptions!$G$52)),1/12,1)</f>
        <v>140</v>
      </c>
      <c r="AH13" s="23">
        <f>Assumptions!$C$52*IF(ISNUMBER(SEARCH("yr",Assumptions!$G$52)),1/12,1)</f>
        <v>140</v>
      </c>
      <c r="AI13" s="23">
        <f>Assumptions!$C$52*IF(ISNUMBER(SEARCH("yr",Assumptions!$G$52)),1/12,1)</f>
        <v>140</v>
      </c>
      <c r="AJ13" s="23">
        <f>Assumptions!$C$52*IF(ISNUMBER(SEARCH("yr",Assumptions!$G$52)),1/12,1)</f>
        <v>140</v>
      </c>
      <c r="AK13" s="23">
        <f>Assumptions!$C$52*IF(ISNUMBER(SEARCH("yr",Assumptions!$G$52)),1/12,1)</f>
        <v>140</v>
      </c>
      <c r="AL13" s="23">
        <f>Assumptions!$C$52*IF(ISNUMBER(SEARCH("yr",Assumptions!$G$52)),1/12,1)</f>
        <v>140</v>
      </c>
      <c r="AM13" s="23">
        <f>Assumptions!$C$52*IF(ISNUMBER(SEARCH("yr",Assumptions!$G$52)),1/12,1)</f>
        <v>140</v>
      </c>
      <c r="AN13" s="23">
        <f>Assumptions!$C$52*IF(ISNUMBER(SEARCH("yr",Assumptions!$G$52)),1/12,1)</f>
        <v>140</v>
      </c>
      <c r="AO13" s="23">
        <f>Assumptions!$C$52*IF(ISNUMBER(SEARCH("yr",Assumptions!$G$52)),1/12,1)</f>
        <v>140</v>
      </c>
      <c r="AP13" s="23">
        <f>Assumptions!$C$52*IF(ISNUMBER(SEARCH("yr",Assumptions!$G$52)),1/12,1)</f>
        <v>140</v>
      </c>
      <c r="AQ13" s="23">
        <f>Assumptions!$C$52*IF(ISNUMBER(SEARCH("yr",Assumptions!$G$52)),1/12,1)</f>
        <v>140</v>
      </c>
      <c r="AR13" s="23">
        <f>Assumptions!$C$52*IF(ISNUMBER(SEARCH("yr",Assumptions!$G$52)),1/12,1)</f>
        <v>140</v>
      </c>
      <c r="AS13" s="23">
        <f>Assumptions!$C$52*IF(ISNUMBER(SEARCH("yr",Assumptions!$G$52)),1/12,1)</f>
        <v>140</v>
      </c>
      <c r="AT13" s="23">
        <f>Assumptions!$C$52*IF(ISNUMBER(SEARCH("yr",Assumptions!$G$52)),1/12,1)</f>
        <v>140</v>
      </c>
      <c r="AU13" s="23">
        <f>Assumptions!$C$52*IF(ISNUMBER(SEARCH("yr",Assumptions!$G$52)),1/12,1)</f>
        <v>140</v>
      </c>
      <c r="AV13" s="23">
        <f>Assumptions!$C$52*IF(ISNUMBER(SEARCH("yr",Assumptions!$G$52)),1/12,1)</f>
        <v>140</v>
      </c>
      <c r="AW13" s="23">
        <f>Assumptions!$C$52*IF(ISNUMBER(SEARCH("yr",Assumptions!$G$52)),1/12,1)</f>
        <v>140</v>
      </c>
      <c r="AX13" s="23">
        <f>Assumptions!$C$52*IF(ISNUMBER(SEARCH("yr",Assumptions!$G$52)),1/12,1)</f>
        <v>140</v>
      </c>
      <c r="AY13" s="23">
        <f>Assumptions!$C$52*IF(ISNUMBER(SEARCH("yr",Assumptions!$G$52)),1/12,1)</f>
        <v>140</v>
      </c>
      <c r="AZ13" s="23">
        <f>Assumptions!$C$52*IF(ISNUMBER(SEARCH("yr",Assumptions!$G$52)),1/12,1)</f>
        <v>140</v>
      </c>
      <c r="BA13" s="23">
        <f>Assumptions!$C$52*IF(ISNUMBER(SEARCH("yr",Assumptions!$G$52)),1/12,1)</f>
        <v>140</v>
      </c>
      <c r="BB13" s="23"/>
      <c r="BC13" s="23">
        <f t="shared" ref="BC13:BF13" si="7">SUMPRODUCT((YEAR($F$3:$BA$3)=BC$3)*$F13:$BA13)</f>
        <v>1680</v>
      </c>
      <c r="BD13" s="23">
        <f t="shared" si="7"/>
        <v>1680</v>
      </c>
      <c r="BE13" s="23">
        <f t="shared" si="7"/>
        <v>1680</v>
      </c>
      <c r="BF13" s="23">
        <f t="shared" si="7"/>
        <v>1680</v>
      </c>
    </row>
    <row r="14">
      <c r="A14" s="1"/>
      <c r="B14" s="3" t="s">
        <v>127</v>
      </c>
      <c r="C14" s="1"/>
      <c r="D14" s="1"/>
      <c r="E14" s="3" t="s">
        <v>33</v>
      </c>
      <c r="F14" s="23">
        <f>Assumptions!$C$51*IF(ISNUMBER(SEARCH("yr",Assumptions!$G$51)),1/12,1)</f>
        <v>1307</v>
      </c>
      <c r="G14" s="23">
        <f>Assumptions!$C$51*IF(ISNUMBER(SEARCH("yr",Assumptions!$G$51)),1/12,1)</f>
        <v>1307</v>
      </c>
      <c r="H14" s="23">
        <f>Assumptions!$C$51*IF(ISNUMBER(SEARCH("yr",Assumptions!$G$51)),1/12,1)</f>
        <v>1307</v>
      </c>
      <c r="I14" s="23">
        <f>Assumptions!$C$51*IF(ISNUMBER(SEARCH("yr",Assumptions!$G$51)),1/12,1)</f>
        <v>1307</v>
      </c>
      <c r="J14" s="23">
        <f>Assumptions!$C$51*IF(ISNUMBER(SEARCH("yr",Assumptions!$G$51)),1/12,1)</f>
        <v>1307</v>
      </c>
      <c r="K14" s="23">
        <f>Assumptions!$C$51*IF(ISNUMBER(SEARCH("yr",Assumptions!$G$51)),1/12,1)</f>
        <v>1307</v>
      </c>
      <c r="L14" s="23">
        <f>Assumptions!$C$51*IF(ISNUMBER(SEARCH("yr",Assumptions!$G$51)),1/12,1)</f>
        <v>1307</v>
      </c>
      <c r="M14" s="23">
        <f>Assumptions!$C$51*IF(ISNUMBER(SEARCH("yr",Assumptions!$G$51)),1/12,1)</f>
        <v>1307</v>
      </c>
      <c r="N14" s="23">
        <f>Assumptions!$C$51*IF(ISNUMBER(SEARCH("yr",Assumptions!$G$51)),1/12,1)</f>
        <v>1307</v>
      </c>
      <c r="O14" s="23">
        <f>Assumptions!$C$51*IF(ISNUMBER(SEARCH("yr",Assumptions!$G$51)),1/12,1)</f>
        <v>1307</v>
      </c>
      <c r="P14" s="23">
        <f>Assumptions!$C$51*IF(ISNUMBER(SEARCH("yr",Assumptions!$G$51)),1/12,1)</f>
        <v>1307</v>
      </c>
      <c r="Q14" s="23">
        <f>Assumptions!$C$51*IF(ISNUMBER(SEARCH("yr",Assumptions!$G$51)),1/12,1)</f>
        <v>1307</v>
      </c>
      <c r="R14" s="23">
        <f>Assumptions!$C$51*IF(ISNUMBER(SEARCH("yr",Assumptions!$G$51)),1/12,1)</f>
        <v>1307</v>
      </c>
      <c r="S14" s="23">
        <f>Assumptions!$C$51*IF(ISNUMBER(SEARCH("yr",Assumptions!$G$51)),1/12,1)</f>
        <v>1307</v>
      </c>
      <c r="T14" s="23">
        <f>Assumptions!$C$51*IF(ISNUMBER(SEARCH("yr",Assumptions!$G$51)),1/12,1)</f>
        <v>1307</v>
      </c>
      <c r="U14" s="23">
        <f>Assumptions!$C$51*IF(ISNUMBER(SEARCH("yr",Assumptions!$G$51)),1/12,1)</f>
        <v>1307</v>
      </c>
      <c r="V14" s="23">
        <f>Assumptions!$C$51*IF(ISNUMBER(SEARCH("yr",Assumptions!$G$51)),1/12,1)</f>
        <v>1307</v>
      </c>
      <c r="W14" s="23">
        <f>Assumptions!$C$51*IF(ISNUMBER(SEARCH("yr",Assumptions!$G$51)),1/12,1)</f>
        <v>1307</v>
      </c>
      <c r="X14" s="23">
        <f>Assumptions!$C$51*IF(ISNUMBER(SEARCH("yr",Assumptions!$G$51)),1/12,1)</f>
        <v>1307</v>
      </c>
      <c r="Y14" s="23">
        <f>Assumptions!$C$51*IF(ISNUMBER(SEARCH("yr",Assumptions!$G$51)),1/12,1)</f>
        <v>1307</v>
      </c>
      <c r="Z14" s="23">
        <f>Assumptions!$C$51*IF(ISNUMBER(SEARCH("yr",Assumptions!$G$51)),1/12,1)</f>
        <v>1307</v>
      </c>
      <c r="AA14" s="23">
        <f>Assumptions!$C$51*IF(ISNUMBER(SEARCH("yr",Assumptions!$G$51)),1/12,1)</f>
        <v>1307</v>
      </c>
      <c r="AB14" s="23">
        <f>Assumptions!$C$51*IF(ISNUMBER(SEARCH("yr",Assumptions!$G$51)),1/12,1)</f>
        <v>1307</v>
      </c>
      <c r="AC14" s="23">
        <f>Assumptions!$C$51*IF(ISNUMBER(SEARCH("yr",Assumptions!$G$51)),1/12,1)</f>
        <v>1307</v>
      </c>
      <c r="AD14" s="23">
        <f>Assumptions!$C$51*IF(ISNUMBER(SEARCH("yr",Assumptions!$G$51)),1/12,1)</f>
        <v>1307</v>
      </c>
      <c r="AE14" s="23">
        <f>Assumptions!$C$51*IF(ISNUMBER(SEARCH("yr",Assumptions!$G$51)),1/12,1)</f>
        <v>1307</v>
      </c>
      <c r="AF14" s="23">
        <f>Assumptions!$C$51*IF(ISNUMBER(SEARCH("yr",Assumptions!$G$51)),1/12,1)</f>
        <v>1307</v>
      </c>
      <c r="AG14" s="23">
        <f>Assumptions!$C$51*IF(ISNUMBER(SEARCH("yr",Assumptions!$G$51)),1/12,1)</f>
        <v>1307</v>
      </c>
      <c r="AH14" s="23">
        <f>Assumptions!$C$51*IF(ISNUMBER(SEARCH("yr",Assumptions!$G$51)),1/12,1)</f>
        <v>1307</v>
      </c>
      <c r="AI14" s="23">
        <f>Assumptions!$C$51*IF(ISNUMBER(SEARCH("yr",Assumptions!$G$51)),1/12,1)</f>
        <v>1307</v>
      </c>
      <c r="AJ14" s="23">
        <f>Assumptions!$C$51*IF(ISNUMBER(SEARCH("yr",Assumptions!$G$51)),1/12,1)</f>
        <v>1307</v>
      </c>
      <c r="AK14" s="23">
        <f>Assumptions!$C$51*IF(ISNUMBER(SEARCH("yr",Assumptions!$G$51)),1/12,1)</f>
        <v>1307</v>
      </c>
      <c r="AL14" s="23">
        <f>Assumptions!$C$51*IF(ISNUMBER(SEARCH("yr",Assumptions!$G$51)),1/12,1)</f>
        <v>1307</v>
      </c>
      <c r="AM14" s="23">
        <f>Assumptions!$C$51*IF(ISNUMBER(SEARCH("yr",Assumptions!$G$51)),1/12,1)</f>
        <v>1307</v>
      </c>
      <c r="AN14" s="23">
        <f>Assumptions!$C$51*IF(ISNUMBER(SEARCH("yr",Assumptions!$G$51)),1/12,1)</f>
        <v>1307</v>
      </c>
      <c r="AO14" s="23">
        <f>Assumptions!$C$51*IF(ISNUMBER(SEARCH("yr",Assumptions!$G$51)),1/12,1)</f>
        <v>1307</v>
      </c>
      <c r="AP14" s="23">
        <f>Assumptions!$C$51*IF(ISNUMBER(SEARCH("yr",Assumptions!$G$51)),1/12,1)</f>
        <v>1307</v>
      </c>
      <c r="AQ14" s="23">
        <f>Assumptions!$C$51*IF(ISNUMBER(SEARCH("yr",Assumptions!$G$51)),1/12,1)</f>
        <v>1307</v>
      </c>
      <c r="AR14" s="23">
        <f>Assumptions!$C$51*IF(ISNUMBER(SEARCH("yr",Assumptions!$G$51)),1/12,1)</f>
        <v>1307</v>
      </c>
      <c r="AS14" s="23">
        <f>Assumptions!$C$51*IF(ISNUMBER(SEARCH("yr",Assumptions!$G$51)),1/12,1)</f>
        <v>1307</v>
      </c>
      <c r="AT14" s="23">
        <f>Assumptions!$C$51*IF(ISNUMBER(SEARCH("yr",Assumptions!$G$51)),1/12,1)</f>
        <v>1307</v>
      </c>
      <c r="AU14" s="23">
        <f>Assumptions!$C$51*IF(ISNUMBER(SEARCH("yr",Assumptions!$G$51)),1/12,1)</f>
        <v>1307</v>
      </c>
      <c r="AV14" s="23">
        <f>Assumptions!$C$51*IF(ISNUMBER(SEARCH("yr",Assumptions!$G$51)),1/12,1)</f>
        <v>1307</v>
      </c>
      <c r="AW14" s="23">
        <f>Assumptions!$C$51*IF(ISNUMBER(SEARCH("yr",Assumptions!$G$51)),1/12,1)</f>
        <v>1307</v>
      </c>
      <c r="AX14" s="23">
        <f>Assumptions!$C$51*IF(ISNUMBER(SEARCH("yr",Assumptions!$G$51)),1/12,1)</f>
        <v>1307</v>
      </c>
      <c r="AY14" s="23">
        <f>Assumptions!$C$51*IF(ISNUMBER(SEARCH("yr",Assumptions!$G$51)),1/12,1)</f>
        <v>1307</v>
      </c>
      <c r="AZ14" s="23">
        <f>Assumptions!$C$51*IF(ISNUMBER(SEARCH("yr",Assumptions!$G$51)),1/12,1)</f>
        <v>1307</v>
      </c>
      <c r="BA14" s="23">
        <f>Assumptions!$C$51*IF(ISNUMBER(SEARCH("yr",Assumptions!$G$51)),1/12,1)</f>
        <v>1307</v>
      </c>
      <c r="BB14" s="23"/>
      <c r="BC14" s="23">
        <f t="shared" ref="BC14:BF14" si="8">SUMPRODUCT((YEAR($F$3:$BA$3)=BC$3)*$F14:$BA14)</f>
        <v>15684</v>
      </c>
      <c r="BD14" s="23">
        <f t="shared" si="8"/>
        <v>15684</v>
      </c>
      <c r="BE14" s="23">
        <f t="shared" si="8"/>
        <v>15684</v>
      </c>
      <c r="BF14" s="23">
        <f t="shared" si="8"/>
        <v>15684</v>
      </c>
    </row>
    <row r="15">
      <c r="A15" s="1"/>
      <c r="B15" s="45" t="s">
        <v>128</v>
      </c>
      <c r="C15" s="46"/>
      <c r="D15" s="46"/>
      <c r="E15" s="45" t="s">
        <v>33</v>
      </c>
      <c r="F15" s="47">
        <f t="shared" ref="F15:BA15" si="9">SUM(F7:F14)</f>
        <v>12410.33333</v>
      </c>
      <c r="G15" s="47">
        <f t="shared" si="9"/>
        <v>12410.33333</v>
      </c>
      <c r="H15" s="47">
        <f t="shared" si="9"/>
        <v>12410.33333</v>
      </c>
      <c r="I15" s="47">
        <f t="shared" si="9"/>
        <v>12410.33333</v>
      </c>
      <c r="J15" s="47">
        <f t="shared" si="9"/>
        <v>12410.33333</v>
      </c>
      <c r="K15" s="47">
        <f t="shared" si="9"/>
        <v>13270.33333</v>
      </c>
      <c r="L15" s="47">
        <f t="shared" si="9"/>
        <v>13270.33333</v>
      </c>
      <c r="M15" s="47">
        <f t="shared" si="9"/>
        <v>13270.33333</v>
      </c>
      <c r="N15" s="47">
        <f t="shared" si="9"/>
        <v>13270.33333</v>
      </c>
      <c r="O15" s="47">
        <f t="shared" si="9"/>
        <v>13270.33333</v>
      </c>
      <c r="P15" s="47">
        <f t="shared" si="9"/>
        <v>13270.33333</v>
      </c>
      <c r="Q15" s="47">
        <f t="shared" si="9"/>
        <v>13270.33333</v>
      </c>
      <c r="R15" s="47">
        <f t="shared" si="9"/>
        <v>13395.33333</v>
      </c>
      <c r="S15" s="47">
        <f t="shared" si="9"/>
        <v>13395.33333</v>
      </c>
      <c r="T15" s="47">
        <f t="shared" si="9"/>
        <v>13395.33333</v>
      </c>
      <c r="U15" s="47">
        <f t="shared" si="9"/>
        <v>13395.33333</v>
      </c>
      <c r="V15" s="47">
        <f t="shared" si="9"/>
        <v>13395.33333</v>
      </c>
      <c r="W15" s="47">
        <f t="shared" si="9"/>
        <v>13395.33333</v>
      </c>
      <c r="X15" s="47">
        <f t="shared" si="9"/>
        <v>16782</v>
      </c>
      <c r="Y15" s="47">
        <f t="shared" si="9"/>
        <v>16782</v>
      </c>
      <c r="Z15" s="47">
        <f t="shared" si="9"/>
        <v>16782</v>
      </c>
      <c r="AA15" s="47">
        <f t="shared" si="9"/>
        <v>16782</v>
      </c>
      <c r="AB15" s="47">
        <f t="shared" si="9"/>
        <v>16782</v>
      </c>
      <c r="AC15" s="47">
        <f t="shared" si="9"/>
        <v>16782</v>
      </c>
      <c r="AD15" s="47">
        <f t="shared" si="9"/>
        <v>16907</v>
      </c>
      <c r="AE15" s="47">
        <f t="shared" si="9"/>
        <v>16907</v>
      </c>
      <c r="AF15" s="47">
        <f t="shared" si="9"/>
        <v>16907</v>
      </c>
      <c r="AG15" s="47">
        <f t="shared" si="9"/>
        <v>16907</v>
      </c>
      <c r="AH15" s="47">
        <f t="shared" si="9"/>
        <v>16907</v>
      </c>
      <c r="AI15" s="47">
        <f t="shared" si="9"/>
        <v>17767</v>
      </c>
      <c r="AJ15" s="47">
        <f t="shared" si="9"/>
        <v>17767</v>
      </c>
      <c r="AK15" s="47">
        <f t="shared" si="9"/>
        <v>17767</v>
      </c>
      <c r="AL15" s="47">
        <f t="shared" si="9"/>
        <v>17767</v>
      </c>
      <c r="AM15" s="47">
        <f t="shared" si="9"/>
        <v>17767</v>
      </c>
      <c r="AN15" s="47">
        <f t="shared" si="9"/>
        <v>17767</v>
      </c>
      <c r="AO15" s="47">
        <f t="shared" si="9"/>
        <v>17767</v>
      </c>
      <c r="AP15" s="47">
        <f t="shared" si="9"/>
        <v>17892</v>
      </c>
      <c r="AQ15" s="47">
        <f t="shared" si="9"/>
        <v>17892</v>
      </c>
      <c r="AR15" s="47">
        <f t="shared" si="9"/>
        <v>17892</v>
      </c>
      <c r="AS15" s="47">
        <f t="shared" si="9"/>
        <v>17892</v>
      </c>
      <c r="AT15" s="47">
        <f t="shared" si="9"/>
        <v>18752</v>
      </c>
      <c r="AU15" s="47">
        <f t="shared" si="9"/>
        <v>18752</v>
      </c>
      <c r="AV15" s="47">
        <f t="shared" si="9"/>
        <v>18752</v>
      </c>
      <c r="AW15" s="47">
        <f t="shared" si="9"/>
        <v>18752</v>
      </c>
      <c r="AX15" s="47">
        <f t="shared" si="9"/>
        <v>19612</v>
      </c>
      <c r="AY15" s="47">
        <f t="shared" si="9"/>
        <v>19612</v>
      </c>
      <c r="AZ15" s="47">
        <f t="shared" si="9"/>
        <v>19612</v>
      </c>
      <c r="BA15" s="47">
        <f t="shared" si="9"/>
        <v>19612</v>
      </c>
      <c r="BB15" s="47"/>
      <c r="BC15" s="47">
        <f t="shared" ref="BC15:BF15" si="10">SUMPRODUCT((YEAR($F$3:$BA$3)=BC$3)*$F15:$BA15)</f>
        <v>154944</v>
      </c>
      <c r="BD15" s="47">
        <f t="shared" si="10"/>
        <v>181064</v>
      </c>
      <c r="BE15" s="47">
        <f t="shared" si="10"/>
        <v>208904</v>
      </c>
      <c r="BF15" s="47">
        <f t="shared" si="10"/>
        <v>225024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4">
        <v>46388.0</v>
      </c>
      <c r="D2" s="44">
        <v>46419.0</v>
      </c>
      <c r="E2" s="44">
        <v>46447.0</v>
      </c>
      <c r="F2" s="44">
        <v>46478.0</v>
      </c>
      <c r="G2" s="44">
        <v>46508.0</v>
      </c>
      <c r="H2" s="44">
        <v>46539.0</v>
      </c>
      <c r="I2" s="44">
        <v>46569.0</v>
      </c>
      <c r="J2" s="44">
        <v>46600.0</v>
      </c>
      <c r="K2" s="44">
        <v>46631.0</v>
      </c>
      <c r="L2" s="44">
        <v>46661.0</v>
      </c>
      <c r="M2" s="44">
        <v>46692.0</v>
      </c>
      <c r="N2" s="44">
        <v>46722.0</v>
      </c>
      <c r="O2" s="44">
        <v>46753.0</v>
      </c>
      <c r="P2" s="44">
        <v>46784.0</v>
      </c>
      <c r="Q2" s="44">
        <v>46813.0</v>
      </c>
      <c r="R2" s="44">
        <v>46844.0</v>
      </c>
      <c r="S2" s="44">
        <v>46874.0</v>
      </c>
      <c r="T2" s="44">
        <v>46905.0</v>
      </c>
      <c r="U2" s="44">
        <v>46935.0</v>
      </c>
      <c r="V2" s="44">
        <v>46966.0</v>
      </c>
      <c r="W2" s="44">
        <v>46997.0</v>
      </c>
      <c r="X2" s="44">
        <v>47027.0</v>
      </c>
      <c r="Y2" s="44">
        <v>47058.0</v>
      </c>
      <c r="Z2" s="44">
        <v>47088.0</v>
      </c>
      <c r="AA2" s="44">
        <v>47119.0</v>
      </c>
      <c r="AB2" s="44">
        <v>47150.0</v>
      </c>
      <c r="AC2" s="44">
        <v>47178.0</v>
      </c>
      <c r="AD2" s="44">
        <v>47209.0</v>
      </c>
      <c r="AE2" s="44">
        <v>47239.0</v>
      </c>
      <c r="AF2" s="44">
        <v>47270.0</v>
      </c>
      <c r="AG2" s="44">
        <v>47300.0</v>
      </c>
      <c r="AH2" s="44">
        <v>47331.0</v>
      </c>
      <c r="AI2" s="44">
        <v>47362.0</v>
      </c>
      <c r="AJ2" s="44">
        <v>47392.0</v>
      </c>
      <c r="AK2" s="44">
        <v>47423.0</v>
      </c>
      <c r="AL2" s="44">
        <v>47453.0</v>
      </c>
      <c r="AM2" s="44">
        <v>47484.0</v>
      </c>
      <c r="AN2" s="44">
        <v>47515.0</v>
      </c>
      <c r="AO2" s="44">
        <v>47543.0</v>
      </c>
      <c r="AP2" s="44">
        <v>47574.0</v>
      </c>
      <c r="AQ2" s="44">
        <v>47604.0</v>
      </c>
      <c r="AR2" s="44">
        <v>47635.0</v>
      </c>
      <c r="AS2" s="44">
        <v>47665.0</v>
      </c>
      <c r="AT2" s="44">
        <v>47696.0</v>
      </c>
      <c r="AU2" s="44">
        <v>47727.0</v>
      </c>
      <c r="AV2" s="44">
        <v>47757.0</v>
      </c>
      <c r="AW2" s="44">
        <v>47788.0</v>
      </c>
      <c r="AX2" s="44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131</v>
      </c>
      <c r="C5" s="23">
        <f>'Revenue forecast'!F25</f>
        <v>28000</v>
      </c>
      <c r="D5" s="23">
        <f>'Revenue forecast'!G25</f>
        <v>43000</v>
      </c>
      <c r="E5" s="23">
        <f>'Revenue forecast'!H25</f>
        <v>36000</v>
      </c>
      <c r="F5" s="23">
        <f>'Revenue forecast'!I25</f>
        <v>43000</v>
      </c>
      <c r="G5" s="23">
        <f>'Revenue forecast'!J25</f>
        <v>44000</v>
      </c>
      <c r="H5" s="23">
        <f>'Revenue forecast'!K25</f>
        <v>52000</v>
      </c>
      <c r="I5" s="23">
        <f>'Revenue forecast'!L25</f>
        <v>52000</v>
      </c>
      <c r="J5" s="23">
        <f>'Revenue forecast'!M25</f>
        <v>52000</v>
      </c>
      <c r="K5" s="23">
        <f>'Revenue forecast'!N25</f>
        <v>44000</v>
      </c>
      <c r="L5" s="23">
        <f>'Revenue forecast'!O25</f>
        <v>59000</v>
      </c>
      <c r="M5" s="23">
        <f>'Revenue forecast'!P25</f>
        <v>59000</v>
      </c>
      <c r="N5" s="23">
        <f>'Revenue forecast'!Q25</f>
        <v>51000</v>
      </c>
      <c r="O5" s="23">
        <f>'Revenue forecast'!R25</f>
        <v>54500</v>
      </c>
      <c r="P5" s="23">
        <f>'Revenue forecast'!S25</f>
        <v>54500</v>
      </c>
      <c r="Q5" s="23">
        <f>'Revenue forecast'!T25</f>
        <v>63000</v>
      </c>
      <c r="R5" s="23">
        <f>'Revenue forecast'!U25</f>
        <v>71500</v>
      </c>
      <c r="S5" s="23">
        <f>'Revenue forecast'!V25</f>
        <v>63000</v>
      </c>
      <c r="T5" s="23">
        <f>'Revenue forecast'!W25</f>
        <v>71500</v>
      </c>
      <c r="U5" s="23">
        <f>'Revenue forecast'!X25</f>
        <v>80000</v>
      </c>
      <c r="V5" s="23">
        <f>'Revenue forecast'!Y25</f>
        <v>71500</v>
      </c>
      <c r="W5" s="23">
        <f>'Revenue forecast'!Z25</f>
        <v>80000</v>
      </c>
      <c r="X5" s="23">
        <f>'Revenue forecast'!AA25</f>
        <v>80000</v>
      </c>
      <c r="Y5" s="23">
        <f>'Revenue forecast'!AB25</f>
        <v>71500</v>
      </c>
      <c r="Z5" s="23">
        <f>'Revenue forecast'!AC25</f>
        <v>80000</v>
      </c>
      <c r="AA5" s="23">
        <f>'Revenue forecast'!AD25</f>
        <v>82500</v>
      </c>
      <c r="AB5" s="23">
        <f>'Revenue forecast'!AE25</f>
        <v>82000</v>
      </c>
      <c r="AC5" s="23">
        <f>'Revenue forecast'!AF25</f>
        <v>90500</v>
      </c>
      <c r="AD5" s="23">
        <f>'Revenue forecast'!AG25</f>
        <v>90500</v>
      </c>
      <c r="AE5" s="23">
        <f>'Revenue forecast'!AH25</f>
        <v>90000</v>
      </c>
      <c r="AF5" s="23">
        <f>'Revenue forecast'!AI25</f>
        <v>107000</v>
      </c>
      <c r="AG5" s="23">
        <f>'Revenue forecast'!AJ25</f>
        <v>99000</v>
      </c>
      <c r="AH5" s="23">
        <f>'Revenue forecast'!AK25</f>
        <v>98500</v>
      </c>
      <c r="AI5" s="23">
        <f>'Revenue forecast'!AL25</f>
        <v>107000</v>
      </c>
      <c r="AJ5" s="23">
        <f>'Revenue forecast'!AM25</f>
        <v>98500</v>
      </c>
      <c r="AK5" s="23">
        <f>'Revenue forecast'!AN25</f>
        <v>98500</v>
      </c>
      <c r="AL5" s="23">
        <f>'Revenue forecast'!AO25</f>
        <v>107000</v>
      </c>
      <c r="AM5" s="23">
        <f>'Revenue forecast'!AP25</f>
        <v>105000</v>
      </c>
      <c r="AN5" s="23">
        <f>'Revenue forecast'!AQ25</f>
        <v>104500</v>
      </c>
      <c r="AO5" s="23">
        <f>'Revenue forecast'!AR25</f>
        <v>114000</v>
      </c>
      <c r="AP5" s="23">
        <f>'Revenue forecast'!AS25</f>
        <v>114000</v>
      </c>
      <c r="AQ5" s="23">
        <f>'Revenue forecast'!AT25</f>
        <v>132000</v>
      </c>
      <c r="AR5" s="23">
        <f>'Revenue forecast'!AU25</f>
        <v>131500</v>
      </c>
      <c r="AS5" s="23">
        <f>'Revenue forecast'!AV25</f>
        <v>132000</v>
      </c>
      <c r="AT5" s="23">
        <f>'Revenue forecast'!AW25</f>
        <v>123000</v>
      </c>
      <c r="AU5" s="23">
        <f>'Revenue forecast'!AX25</f>
        <v>141000</v>
      </c>
      <c r="AV5" s="23">
        <f>'Revenue forecast'!AY25</f>
        <v>131500</v>
      </c>
      <c r="AW5" s="23">
        <f>'Revenue forecast'!AZ25</f>
        <v>132000</v>
      </c>
      <c r="AX5" s="23">
        <f>'Revenue forecast'!BA25</f>
        <v>123000</v>
      </c>
      <c r="AY5" s="23"/>
      <c r="AZ5" s="23">
        <f t="shared" ref="AZ5:BC5" si="1">SUMPRODUCT((YEAR($C$2:$AX$2)=AZ$2)*$C5:$AX5)</f>
        <v>563000</v>
      </c>
      <c r="BA5" s="23">
        <f t="shared" si="1"/>
        <v>841000</v>
      </c>
      <c r="BB5" s="23">
        <f t="shared" si="1"/>
        <v>1151000</v>
      </c>
      <c r="BC5" s="23">
        <f t="shared" si="1"/>
        <v>1483500</v>
      </c>
      <c r="BD5" s="1"/>
      <c r="BE5" s="1"/>
      <c r="BF5" s="1"/>
    </row>
    <row r="6">
      <c r="A6" s="1"/>
      <c r="B6" s="3" t="s">
        <v>132</v>
      </c>
      <c r="C6" s="23">
        <f>'Revenue forecast'!F26</f>
        <v>0</v>
      </c>
      <c r="D6" s="23">
        <f>'Revenue forecast'!G26</f>
        <v>100000</v>
      </c>
      <c r="E6" s="23">
        <f>'Revenue forecast'!H26</f>
        <v>0</v>
      </c>
      <c r="F6" s="23">
        <f>'Revenue forecast'!I26</f>
        <v>0</v>
      </c>
      <c r="G6" s="23">
        <f>'Revenue forecast'!J26</f>
        <v>0</v>
      </c>
      <c r="H6" s="23">
        <f>'Revenue forecast'!K26</f>
        <v>20000</v>
      </c>
      <c r="I6" s="23">
        <f>'Revenue forecast'!L26</f>
        <v>20000</v>
      </c>
      <c r="J6" s="23">
        <f>'Revenue forecast'!M26</f>
        <v>20000</v>
      </c>
      <c r="K6" s="23">
        <f>'Revenue forecast'!N26</f>
        <v>140000</v>
      </c>
      <c r="L6" s="23">
        <f>'Revenue forecast'!O26</f>
        <v>0</v>
      </c>
      <c r="M6" s="23">
        <f>'Revenue forecast'!P26</f>
        <v>20000</v>
      </c>
      <c r="N6" s="23">
        <f>'Revenue forecast'!Q26</f>
        <v>140000</v>
      </c>
      <c r="O6" s="23">
        <f>'Revenue forecast'!R26</f>
        <v>236600</v>
      </c>
      <c r="P6" s="23">
        <f>'Revenue forecast'!S26</f>
        <v>35000</v>
      </c>
      <c r="Q6" s="23">
        <f>'Revenue forecast'!T26</f>
        <v>35000</v>
      </c>
      <c r="R6" s="23">
        <f>'Revenue forecast'!U26</f>
        <v>35000</v>
      </c>
      <c r="S6" s="23">
        <f>'Revenue forecast'!V26</f>
        <v>236600</v>
      </c>
      <c r="T6" s="23">
        <f>'Revenue forecast'!W26</f>
        <v>35000</v>
      </c>
      <c r="U6" s="23">
        <f>'Revenue forecast'!X26</f>
        <v>35000</v>
      </c>
      <c r="V6" s="23">
        <f>'Revenue forecast'!Y26</f>
        <v>236600</v>
      </c>
      <c r="W6" s="23">
        <f>'Revenue forecast'!Z26</f>
        <v>35000</v>
      </c>
      <c r="X6" s="23">
        <f>'Revenue forecast'!AA26</f>
        <v>236600</v>
      </c>
      <c r="Y6" s="23">
        <f>'Revenue forecast'!AB26</f>
        <v>236600</v>
      </c>
      <c r="Z6" s="23">
        <f>'Revenue forecast'!AC26</f>
        <v>35000</v>
      </c>
      <c r="AA6" s="23">
        <f>'Revenue forecast'!AD26</f>
        <v>358400</v>
      </c>
      <c r="AB6" s="23">
        <f>'Revenue forecast'!AE26</f>
        <v>358400</v>
      </c>
      <c r="AC6" s="23">
        <f>'Revenue forecast'!AF26</f>
        <v>56000</v>
      </c>
      <c r="AD6" s="23">
        <f>'Revenue forecast'!AG26</f>
        <v>358400</v>
      </c>
      <c r="AE6" s="23">
        <f>'Revenue forecast'!AH26</f>
        <v>358400</v>
      </c>
      <c r="AF6" s="23">
        <f>'Revenue forecast'!AI26</f>
        <v>56000</v>
      </c>
      <c r="AG6" s="23">
        <f>'Revenue forecast'!AJ26</f>
        <v>414400</v>
      </c>
      <c r="AH6" s="23">
        <f>'Revenue forecast'!AK26</f>
        <v>358400</v>
      </c>
      <c r="AI6" s="23">
        <f>'Revenue forecast'!AL26</f>
        <v>56000</v>
      </c>
      <c r="AJ6" s="23">
        <f>'Revenue forecast'!AM26</f>
        <v>414400</v>
      </c>
      <c r="AK6" s="23">
        <f>'Revenue forecast'!AN26</f>
        <v>358400</v>
      </c>
      <c r="AL6" s="23">
        <f>'Revenue forecast'!AO26</f>
        <v>56000</v>
      </c>
      <c r="AM6" s="23">
        <f>'Revenue forecast'!AP26</f>
        <v>1032000</v>
      </c>
      <c r="AN6" s="23">
        <f>'Revenue forecast'!AQ26</f>
        <v>516000</v>
      </c>
      <c r="AO6" s="23">
        <f>'Revenue forecast'!AR26</f>
        <v>192000</v>
      </c>
      <c r="AP6" s="23">
        <f>'Revenue forecast'!AS26</f>
        <v>516000</v>
      </c>
      <c r="AQ6" s="23">
        <f>'Revenue forecast'!AT26</f>
        <v>96000</v>
      </c>
      <c r="AR6" s="23">
        <f>'Revenue forecast'!AU26</f>
        <v>516000</v>
      </c>
      <c r="AS6" s="23">
        <f>'Revenue forecast'!AV26</f>
        <v>612000</v>
      </c>
      <c r="AT6" s="23">
        <f>'Revenue forecast'!AW26</f>
        <v>936000</v>
      </c>
      <c r="AU6" s="23">
        <f>'Revenue forecast'!AX26</f>
        <v>96000</v>
      </c>
      <c r="AV6" s="23">
        <f>'Revenue forecast'!AY26</f>
        <v>936000</v>
      </c>
      <c r="AW6" s="23">
        <f>'Revenue forecast'!AZ26</f>
        <v>612000</v>
      </c>
      <c r="AX6" s="23">
        <f>'Revenue forecast'!BA26</f>
        <v>936000</v>
      </c>
      <c r="AY6" s="23"/>
      <c r="AZ6" s="23">
        <f t="shared" ref="AZ6:BC6" si="2">SUMPRODUCT((YEAR($C$2:$AX$2)=AZ$2)*$C6:$AX6)</f>
        <v>460000</v>
      </c>
      <c r="BA6" s="23">
        <f t="shared" si="2"/>
        <v>1428000</v>
      </c>
      <c r="BB6" s="23">
        <f t="shared" si="2"/>
        <v>3203200</v>
      </c>
      <c r="BC6" s="23">
        <f t="shared" si="2"/>
        <v>6996000</v>
      </c>
      <c r="BD6" s="1"/>
      <c r="BE6" s="1"/>
      <c r="BF6" s="1"/>
    </row>
    <row r="7">
      <c r="A7" s="1"/>
      <c r="B7" s="3" t="s">
        <v>93</v>
      </c>
      <c r="C7" s="23">
        <f>'Revenue forecast'!F28</f>
        <v>-2100</v>
      </c>
      <c r="D7" s="23">
        <f>'Revenue forecast'!G28</f>
        <v>-10725</v>
      </c>
      <c r="E7" s="23">
        <f>'Revenue forecast'!H28</f>
        <v>-2700</v>
      </c>
      <c r="F7" s="23">
        <f>'Revenue forecast'!I28</f>
        <v>-3225</v>
      </c>
      <c r="G7" s="23">
        <f>'Revenue forecast'!J28</f>
        <v>-3300</v>
      </c>
      <c r="H7" s="23">
        <f>'Revenue forecast'!K28</f>
        <v>-5400</v>
      </c>
      <c r="I7" s="23">
        <f>'Revenue forecast'!L28</f>
        <v>-5400</v>
      </c>
      <c r="J7" s="23">
        <f>'Revenue forecast'!M28</f>
        <v>-5400</v>
      </c>
      <c r="K7" s="23">
        <f>'Revenue forecast'!N28</f>
        <v>-13800</v>
      </c>
      <c r="L7" s="23">
        <f>'Revenue forecast'!O28</f>
        <v>-4425</v>
      </c>
      <c r="M7" s="23">
        <f>'Revenue forecast'!P28</f>
        <v>-5925</v>
      </c>
      <c r="N7" s="23">
        <f>'Revenue forecast'!Q28</f>
        <v>-14325</v>
      </c>
      <c r="O7" s="23">
        <f>'Revenue forecast'!R28</f>
        <v>-21832.5</v>
      </c>
      <c r="P7" s="23">
        <f>'Revenue forecast'!S28</f>
        <v>-6712.5</v>
      </c>
      <c r="Q7" s="23">
        <f>'Revenue forecast'!T28</f>
        <v>-7350</v>
      </c>
      <c r="R7" s="23">
        <f>'Revenue forecast'!U28</f>
        <v>-7987.5</v>
      </c>
      <c r="S7" s="23">
        <f>'Revenue forecast'!V28</f>
        <v>-22470</v>
      </c>
      <c r="T7" s="23">
        <f>'Revenue forecast'!W28</f>
        <v>-7987.5</v>
      </c>
      <c r="U7" s="23">
        <f>'Revenue forecast'!X28</f>
        <v>-8625</v>
      </c>
      <c r="V7" s="23">
        <f>'Revenue forecast'!Y28</f>
        <v>-23107.5</v>
      </c>
      <c r="W7" s="23">
        <f>'Revenue forecast'!Z28</f>
        <v>-8625</v>
      </c>
      <c r="X7" s="23">
        <f>'Revenue forecast'!AA28</f>
        <v>-23745</v>
      </c>
      <c r="Y7" s="23">
        <f>'Revenue forecast'!AB28</f>
        <v>-23107.5</v>
      </c>
      <c r="Z7" s="23">
        <f>'Revenue forecast'!AC28</f>
        <v>-8625</v>
      </c>
      <c r="AA7" s="23">
        <f>'Revenue forecast'!AD28</f>
        <v>-33067.5</v>
      </c>
      <c r="AB7" s="23">
        <f>'Revenue forecast'!AE28</f>
        <v>-33030</v>
      </c>
      <c r="AC7" s="23">
        <f>'Revenue forecast'!AF28</f>
        <v>-10987.5</v>
      </c>
      <c r="AD7" s="23">
        <f>'Revenue forecast'!AG28</f>
        <v>-33667.5</v>
      </c>
      <c r="AE7" s="23">
        <f>'Revenue forecast'!AH28</f>
        <v>-33630</v>
      </c>
      <c r="AF7" s="23">
        <f>'Revenue forecast'!AI28</f>
        <v>-12225</v>
      </c>
      <c r="AG7" s="23">
        <f>'Revenue forecast'!AJ28</f>
        <v>-38505</v>
      </c>
      <c r="AH7" s="23">
        <f>'Revenue forecast'!AK28</f>
        <v>-34267.5</v>
      </c>
      <c r="AI7" s="23">
        <f>'Revenue forecast'!AL28</f>
        <v>-12225</v>
      </c>
      <c r="AJ7" s="23">
        <f>'Revenue forecast'!AM28</f>
        <v>-38467.5</v>
      </c>
      <c r="AK7" s="23">
        <f>'Revenue forecast'!AN28</f>
        <v>-34267.5</v>
      </c>
      <c r="AL7" s="23">
        <f>'Revenue forecast'!AO28</f>
        <v>-12225</v>
      </c>
      <c r="AM7" s="23">
        <f>'Revenue forecast'!AP28</f>
        <v>-85275</v>
      </c>
      <c r="AN7" s="23">
        <f>'Revenue forecast'!AQ28</f>
        <v>-46537.5</v>
      </c>
      <c r="AO7" s="23">
        <f>'Revenue forecast'!AR28</f>
        <v>-22950</v>
      </c>
      <c r="AP7" s="23">
        <f>'Revenue forecast'!AS28</f>
        <v>-47250</v>
      </c>
      <c r="AQ7" s="23">
        <f>'Revenue forecast'!AT28</f>
        <v>-17100</v>
      </c>
      <c r="AR7" s="23">
        <f>'Revenue forecast'!AU28</f>
        <v>-48562.5</v>
      </c>
      <c r="AS7" s="23">
        <f>'Revenue forecast'!AV28</f>
        <v>-55800</v>
      </c>
      <c r="AT7" s="23">
        <f>'Revenue forecast'!AW28</f>
        <v>-79425</v>
      </c>
      <c r="AU7" s="23">
        <f>'Revenue forecast'!AX28</f>
        <v>-17775</v>
      </c>
      <c r="AV7" s="23">
        <f>'Revenue forecast'!AY28</f>
        <v>-80062.5</v>
      </c>
      <c r="AW7" s="23">
        <f>'Revenue forecast'!AZ28</f>
        <v>-55800</v>
      </c>
      <c r="AX7" s="23">
        <f>'Revenue forecast'!BA28</f>
        <v>-79425</v>
      </c>
      <c r="AY7" s="23"/>
      <c r="AZ7" s="23">
        <f t="shared" ref="AZ7:BC7" si="3">SUMPRODUCT((YEAR($C$2:$AX$2)=AZ$2)*$C7:$AX7)</f>
        <v>-76725</v>
      </c>
      <c r="BA7" s="23">
        <f t="shared" si="3"/>
        <v>-170175</v>
      </c>
      <c r="BB7" s="23">
        <f t="shared" si="3"/>
        <v>-326565</v>
      </c>
      <c r="BC7" s="23">
        <f t="shared" si="3"/>
        <v>-635962.5</v>
      </c>
      <c r="BD7" s="1"/>
      <c r="BE7" s="1"/>
      <c r="BF7" s="1"/>
    </row>
    <row r="8">
      <c r="A8" s="1"/>
      <c r="B8" s="45" t="s">
        <v>133</v>
      </c>
      <c r="C8" s="47">
        <f t="shared" ref="C8:AX8" si="4">C5+C6+C7</f>
        <v>25900</v>
      </c>
      <c r="D8" s="47">
        <f t="shared" si="4"/>
        <v>132275</v>
      </c>
      <c r="E8" s="47">
        <f t="shared" si="4"/>
        <v>33300</v>
      </c>
      <c r="F8" s="47">
        <f t="shared" si="4"/>
        <v>39775</v>
      </c>
      <c r="G8" s="47">
        <f t="shared" si="4"/>
        <v>40700</v>
      </c>
      <c r="H8" s="47">
        <f t="shared" si="4"/>
        <v>66600</v>
      </c>
      <c r="I8" s="47">
        <f t="shared" si="4"/>
        <v>66600</v>
      </c>
      <c r="J8" s="47">
        <f t="shared" si="4"/>
        <v>66600</v>
      </c>
      <c r="K8" s="47">
        <f t="shared" si="4"/>
        <v>170200</v>
      </c>
      <c r="L8" s="47">
        <f t="shared" si="4"/>
        <v>54575</v>
      </c>
      <c r="M8" s="47">
        <f t="shared" si="4"/>
        <v>73075</v>
      </c>
      <c r="N8" s="47">
        <f t="shared" si="4"/>
        <v>176675</v>
      </c>
      <c r="O8" s="47">
        <f t="shared" si="4"/>
        <v>269267.5</v>
      </c>
      <c r="P8" s="47">
        <f t="shared" si="4"/>
        <v>82787.5</v>
      </c>
      <c r="Q8" s="47">
        <f t="shared" si="4"/>
        <v>90650</v>
      </c>
      <c r="R8" s="47">
        <f t="shared" si="4"/>
        <v>98512.5</v>
      </c>
      <c r="S8" s="47">
        <f t="shared" si="4"/>
        <v>277130</v>
      </c>
      <c r="T8" s="47">
        <f t="shared" si="4"/>
        <v>98512.5</v>
      </c>
      <c r="U8" s="47">
        <f t="shared" si="4"/>
        <v>106375</v>
      </c>
      <c r="V8" s="47">
        <f t="shared" si="4"/>
        <v>284992.5</v>
      </c>
      <c r="W8" s="47">
        <f t="shared" si="4"/>
        <v>106375</v>
      </c>
      <c r="X8" s="47">
        <f t="shared" si="4"/>
        <v>292855</v>
      </c>
      <c r="Y8" s="47">
        <f t="shared" si="4"/>
        <v>284992.5</v>
      </c>
      <c r="Z8" s="47">
        <f t="shared" si="4"/>
        <v>106375</v>
      </c>
      <c r="AA8" s="47">
        <f t="shared" si="4"/>
        <v>407832.5</v>
      </c>
      <c r="AB8" s="47">
        <f t="shared" si="4"/>
        <v>407370</v>
      </c>
      <c r="AC8" s="47">
        <f t="shared" si="4"/>
        <v>135512.5</v>
      </c>
      <c r="AD8" s="47">
        <f t="shared" si="4"/>
        <v>415232.5</v>
      </c>
      <c r="AE8" s="47">
        <f t="shared" si="4"/>
        <v>414770</v>
      </c>
      <c r="AF8" s="47">
        <f t="shared" si="4"/>
        <v>150775</v>
      </c>
      <c r="AG8" s="47">
        <f t="shared" si="4"/>
        <v>474895</v>
      </c>
      <c r="AH8" s="47">
        <f t="shared" si="4"/>
        <v>422632.5</v>
      </c>
      <c r="AI8" s="47">
        <f t="shared" si="4"/>
        <v>150775</v>
      </c>
      <c r="AJ8" s="47">
        <f t="shared" si="4"/>
        <v>474432.5</v>
      </c>
      <c r="AK8" s="47">
        <f t="shared" si="4"/>
        <v>422632.5</v>
      </c>
      <c r="AL8" s="47">
        <f t="shared" si="4"/>
        <v>150775</v>
      </c>
      <c r="AM8" s="47">
        <f t="shared" si="4"/>
        <v>1051725</v>
      </c>
      <c r="AN8" s="47">
        <f t="shared" si="4"/>
        <v>573962.5</v>
      </c>
      <c r="AO8" s="47">
        <f t="shared" si="4"/>
        <v>283050</v>
      </c>
      <c r="AP8" s="47">
        <f t="shared" si="4"/>
        <v>582750</v>
      </c>
      <c r="AQ8" s="47">
        <f t="shared" si="4"/>
        <v>210900</v>
      </c>
      <c r="AR8" s="47">
        <f t="shared" si="4"/>
        <v>598937.5</v>
      </c>
      <c r="AS8" s="47">
        <f t="shared" si="4"/>
        <v>688200</v>
      </c>
      <c r="AT8" s="47">
        <f t="shared" si="4"/>
        <v>979575</v>
      </c>
      <c r="AU8" s="47">
        <f t="shared" si="4"/>
        <v>219225</v>
      </c>
      <c r="AV8" s="47">
        <f t="shared" si="4"/>
        <v>987437.5</v>
      </c>
      <c r="AW8" s="47">
        <f t="shared" si="4"/>
        <v>688200</v>
      </c>
      <c r="AX8" s="47">
        <f t="shared" si="4"/>
        <v>979575</v>
      </c>
      <c r="AY8" s="47"/>
      <c r="AZ8" s="47">
        <f t="shared" ref="AZ8:BC8" si="5">SUMPRODUCT((YEAR($C$2:$AX$2)=AZ$2)*$C8:$AX8)</f>
        <v>946275</v>
      </c>
      <c r="BA8" s="47">
        <f t="shared" si="5"/>
        <v>2098825</v>
      </c>
      <c r="BB8" s="47">
        <f t="shared" si="5"/>
        <v>4027635</v>
      </c>
      <c r="BC8" s="47">
        <f t="shared" si="5"/>
        <v>7843537.5</v>
      </c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6" t="s">
        <v>134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1"/>
      <c r="BE10" s="1"/>
      <c r="BF10" s="1"/>
    </row>
    <row r="11">
      <c r="A11" s="1"/>
      <c r="B11" s="3" t="s">
        <v>111</v>
      </c>
      <c r="C11" s="23">
        <f>Personnel!F18+Personnel!F21</f>
        <v>36000</v>
      </c>
      <c r="D11" s="23">
        <f>Personnel!G18+Personnel!G21</f>
        <v>36000</v>
      </c>
      <c r="E11" s="23">
        <f>Personnel!H18+Personnel!H21</f>
        <v>36000</v>
      </c>
      <c r="F11" s="23">
        <f>Personnel!I18+Personnel!I21</f>
        <v>36000</v>
      </c>
      <c r="G11" s="23">
        <f>Personnel!J18+Personnel!J21</f>
        <v>36000</v>
      </c>
      <c r="H11" s="23">
        <f>Personnel!K18+Personnel!K21</f>
        <v>39000</v>
      </c>
      <c r="I11" s="23">
        <f>Personnel!L18+Personnel!L21</f>
        <v>39000</v>
      </c>
      <c r="J11" s="23">
        <f>Personnel!M18+Personnel!M21</f>
        <v>39000</v>
      </c>
      <c r="K11" s="23">
        <f>Personnel!N18+Personnel!N21</f>
        <v>39000</v>
      </c>
      <c r="L11" s="23">
        <f>Personnel!O18+Personnel!O21</f>
        <v>39000</v>
      </c>
      <c r="M11" s="23">
        <f>Personnel!P18+Personnel!P21</f>
        <v>39000</v>
      </c>
      <c r="N11" s="23">
        <f>Personnel!Q18+Personnel!Q21</f>
        <v>39000</v>
      </c>
      <c r="O11" s="23">
        <f>Personnel!R18+Personnel!R21</f>
        <v>44950</v>
      </c>
      <c r="P11" s="23">
        <f>Personnel!S18+Personnel!S21</f>
        <v>44950</v>
      </c>
      <c r="Q11" s="23">
        <f>Personnel!T18+Personnel!T21</f>
        <v>44950</v>
      </c>
      <c r="R11" s="23">
        <f>Personnel!U18+Personnel!U21</f>
        <v>44950</v>
      </c>
      <c r="S11" s="23">
        <f>Personnel!V18+Personnel!V21</f>
        <v>44950</v>
      </c>
      <c r="T11" s="23">
        <f>Personnel!W18+Personnel!W21</f>
        <v>44950</v>
      </c>
      <c r="U11" s="23">
        <f>Personnel!X18+Personnel!X21</f>
        <v>52950</v>
      </c>
      <c r="V11" s="23">
        <f>Personnel!Y18+Personnel!Y21</f>
        <v>52950</v>
      </c>
      <c r="W11" s="23">
        <f>Personnel!Z18+Personnel!Z21</f>
        <v>52950</v>
      </c>
      <c r="X11" s="23">
        <f>Personnel!AA18+Personnel!AA21</f>
        <v>52950</v>
      </c>
      <c r="Y11" s="23">
        <f>Personnel!AB18+Personnel!AB21</f>
        <v>52950</v>
      </c>
      <c r="Z11" s="23">
        <f>Personnel!AC18+Personnel!AC21</f>
        <v>52950</v>
      </c>
      <c r="AA11" s="23">
        <f>Personnel!AD18+Personnel!AD21</f>
        <v>59400</v>
      </c>
      <c r="AB11" s="23">
        <f>Personnel!AE18+Personnel!AE21</f>
        <v>59400</v>
      </c>
      <c r="AC11" s="23">
        <f>Personnel!AF18+Personnel!AF21</f>
        <v>59400</v>
      </c>
      <c r="AD11" s="23">
        <f>Personnel!AG18+Personnel!AG21</f>
        <v>59400</v>
      </c>
      <c r="AE11" s="23">
        <f>Personnel!AH18+Personnel!AH21</f>
        <v>59400</v>
      </c>
      <c r="AF11" s="23">
        <f>Personnel!AI18+Personnel!AI21</f>
        <v>62900</v>
      </c>
      <c r="AG11" s="23">
        <f>Personnel!AJ18+Personnel!AJ21</f>
        <v>62900</v>
      </c>
      <c r="AH11" s="23">
        <f>Personnel!AK18+Personnel!AK21</f>
        <v>62900</v>
      </c>
      <c r="AI11" s="23">
        <f>Personnel!AL18+Personnel!AL21</f>
        <v>62900</v>
      </c>
      <c r="AJ11" s="23">
        <f>Personnel!AM18+Personnel!AM21</f>
        <v>62900</v>
      </c>
      <c r="AK11" s="23">
        <f>Personnel!AN18+Personnel!AN21</f>
        <v>62900</v>
      </c>
      <c r="AL11" s="23">
        <f>Personnel!AO18+Personnel!AO21</f>
        <v>62900</v>
      </c>
      <c r="AM11" s="23">
        <f>Personnel!AP18+Personnel!AP21</f>
        <v>69600</v>
      </c>
      <c r="AN11" s="23">
        <f>Personnel!AQ18+Personnel!AQ21</f>
        <v>69600</v>
      </c>
      <c r="AO11" s="23">
        <f>Personnel!AR18+Personnel!AR21</f>
        <v>69600</v>
      </c>
      <c r="AP11" s="23">
        <f>Personnel!AS18+Personnel!AS21</f>
        <v>69600</v>
      </c>
      <c r="AQ11" s="23">
        <f>Personnel!AT18+Personnel!AT21</f>
        <v>74850</v>
      </c>
      <c r="AR11" s="23">
        <f>Personnel!AU18+Personnel!AU21</f>
        <v>74850</v>
      </c>
      <c r="AS11" s="23">
        <f>Personnel!AV18+Personnel!AV21</f>
        <v>74850</v>
      </c>
      <c r="AT11" s="23">
        <f>Personnel!AW18+Personnel!AW21</f>
        <v>74850</v>
      </c>
      <c r="AU11" s="23">
        <f>Personnel!AX18+Personnel!AX21</f>
        <v>78600</v>
      </c>
      <c r="AV11" s="23">
        <f>Personnel!AY18+Personnel!AY21</f>
        <v>78600</v>
      </c>
      <c r="AW11" s="23">
        <f>Personnel!AZ18+Personnel!AZ21</f>
        <v>78600</v>
      </c>
      <c r="AX11" s="23">
        <f>Personnel!BA18+Personnel!BA21</f>
        <v>78600</v>
      </c>
      <c r="AY11" s="23"/>
      <c r="AZ11" s="23">
        <f t="shared" ref="AZ11:BC11" si="6">SUMPRODUCT((YEAR($C$2:$AX$2)=AZ$2)*$C11:$AX11)</f>
        <v>453000</v>
      </c>
      <c r="BA11" s="23">
        <f t="shared" si="6"/>
        <v>587400</v>
      </c>
      <c r="BB11" s="23">
        <f t="shared" si="6"/>
        <v>737300</v>
      </c>
      <c r="BC11" s="23">
        <f t="shared" si="6"/>
        <v>892200</v>
      </c>
      <c r="BD11" s="1"/>
      <c r="BE11" s="1"/>
      <c r="BF11" s="1"/>
    </row>
    <row r="12">
      <c r="A12" s="1"/>
      <c r="B12" s="3" t="s">
        <v>135</v>
      </c>
      <c r="C12" s="23">
        <f>Personnel!F22</f>
        <v>0</v>
      </c>
      <c r="D12" s="23">
        <f>Personnel!G22</f>
        <v>35797.5</v>
      </c>
      <c r="E12" s="23">
        <f>Personnel!H22</f>
        <v>0</v>
      </c>
      <c r="F12" s="23">
        <f>Personnel!I22</f>
        <v>0</v>
      </c>
      <c r="G12" s="23">
        <f>Personnel!J22</f>
        <v>0</v>
      </c>
      <c r="H12" s="23">
        <f>Personnel!K22</f>
        <v>7159.5</v>
      </c>
      <c r="I12" s="23">
        <f>Personnel!L22</f>
        <v>7159.5</v>
      </c>
      <c r="J12" s="23">
        <f>Personnel!M22</f>
        <v>7159.5</v>
      </c>
      <c r="K12" s="23">
        <f>Personnel!N22</f>
        <v>50116.5</v>
      </c>
      <c r="L12" s="23">
        <f>Personnel!O22</f>
        <v>0</v>
      </c>
      <c r="M12" s="23">
        <f>Personnel!P22</f>
        <v>7159.5</v>
      </c>
      <c r="N12" s="23">
        <f>Personnel!Q22</f>
        <v>50116.5</v>
      </c>
      <c r="O12" s="23">
        <f>Personnel!R22</f>
        <v>84915.74</v>
      </c>
      <c r="P12" s="23">
        <f>Personnel!S22</f>
        <v>12561.5</v>
      </c>
      <c r="Q12" s="23">
        <f>Personnel!T22</f>
        <v>12561.5</v>
      </c>
      <c r="R12" s="23">
        <f>Personnel!U22</f>
        <v>12561.5</v>
      </c>
      <c r="S12" s="23">
        <f>Personnel!V22</f>
        <v>84915.74</v>
      </c>
      <c r="T12" s="23">
        <f>Personnel!W22</f>
        <v>12561.5</v>
      </c>
      <c r="U12" s="23">
        <f>Personnel!X22</f>
        <v>12561.5</v>
      </c>
      <c r="V12" s="23">
        <f>Personnel!Y22</f>
        <v>84915.74</v>
      </c>
      <c r="W12" s="23">
        <f>Personnel!Z22</f>
        <v>12561.5</v>
      </c>
      <c r="X12" s="23">
        <f>Personnel!AA22</f>
        <v>84915.74</v>
      </c>
      <c r="Y12" s="23">
        <f>Personnel!AB22</f>
        <v>84915.74</v>
      </c>
      <c r="Z12" s="23">
        <f>Personnel!AC22</f>
        <v>12561.5</v>
      </c>
      <c r="AA12" s="23">
        <f>Personnel!AD22</f>
        <v>128894.976</v>
      </c>
      <c r="AB12" s="23">
        <f>Personnel!AE22</f>
        <v>128894.976</v>
      </c>
      <c r="AC12" s="23">
        <f>Personnel!AF22</f>
        <v>20139.84</v>
      </c>
      <c r="AD12" s="23">
        <f>Personnel!AG22</f>
        <v>128894.976</v>
      </c>
      <c r="AE12" s="23">
        <f>Personnel!AH22</f>
        <v>128894.976</v>
      </c>
      <c r="AF12" s="23">
        <f>Personnel!AI22</f>
        <v>20139.84</v>
      </c>
      <c r="AG12" s="23">
        <f>Personnel!AJ22</f>
        <v>149034.816</v>
      </c>
      <c r="AH12" s="23">
        <f>Personnel!AK22</f>
        <v>128894.976</v>
      </c>
      <c r="AI12" s="23">
        <f>Personnel!AL22</f>
        <v>20139.84</v>
      </c>
      <c r="AJ12" s="23">
        <f>Personnel!AM22</f>
        <v>149034.816</v>
      </c>
      <c r="AK12" s="23">
        <f>Personnel!AN22</f>
        <v>128894.976</v>
      </c>
      <c r="AL12" s="23">
        <f>Personnel!AO22</f>
        <v>20139.84</v>
      </c>
      <c r="AM12" s="23">
        <f>Personnel!AP22</f>
        <v>371912.16</v>
      </c>
      <c r="AN12" s="23">
        <f>Personnel!AQ22</f>
        <v>185956.08</v>
      </c>
      <c r="AO12" s="23">
        <f>Personnel!AR22</f>
        <v>69192.96</v>
      </c>
      <c r="AP12" s="23">
        <f>Personnel!AS22</f>
        <v>185956.08</v>
      </c>
      <c r="AQ12" s="23">
        <f>Personnel!AT22</f>
        <v>34596.48</v>
      </c>
      <c r="AR12" s="23">
        <f>Personnel!AU22</f>
        <v>185956.08</v>
      </c>
      <c r="AS12" s="23">
        <f>Personnel!AV22</f>
        <v>220552.56</v>
      </c>
      <c r="AT12" s="23">
        <f>Personnel!AW22</f>
        <v>337315.68</v>
      </c>
      <c r="AU12" s="23">
        <f>Personnel!AX22</f>
        <v>34596.48</v>
      </c>
      <c r="AV12" s="23">
        <f>Personnel!AY22</f>
        <v>337315.68</v>
      </c>
      <c r="AW12" s="23">
        <f>Personnel!AZ22</f>
        <v>220552.56</v>
      </c>
      <c r="AX12" s="23">
        <f>Personnel!BA22</f>
        <v>337315.68</v>
      </c>
      <c r="AY12" s="23"/>
      <c r="AZ12" s="23">
        <f t="shared" ref="AZ12:BC12" si="7">SUMPRODUCT((YEAR($C$2:$AX$2)=AZ$2)*$C12:$AX12)</f>
        <v>164668.5</v>
      </c>
      <c r="BA12" s="23">
        <f t="shared" si="7"/>
        <v>512509.2</v>
      </c>
      <c r="BB12" s="23">
        <f t="shared" si="7"/>
        <v>1151998.848</v>
      </c>
      <c r="BC12" s="23">
        <f t="shared" si="7"/>
        <v>2521218.48</v>
      </c>
      <c r="BD12" s="1"/>
      <c r="BE12" s="1"/>
      <c r="BF12" s="1"/>
    </row>
    <row r="13">
      <c r="A13" s="1"/>
      <c r="B13" s="3" t="s">
        <v>113</v>
      </c>
      <c r="C13" s="23">
        <f>Personnel!F19+Personnel!F20</f>
        <v>8413.4</v>
      </c>
      <c r="D13" s="23">
        <f>Personnel!G19+Personnel!G20</f>
        <v>8413.4</v>
      </c>
      <c r="E13" s="23">
        <f>Personnel!H19+Personnel!H20</f>
        <v>8413.4</v>
      </c>
      <c r="F13" s="23">
        <f>Personnel!I19+Personnel!I20</f>
        <v>8413.4</v>
      </c>
      <c r="G13" s="23">
        <f>Personnel!J19+Personnel!J20</f>
        <v>8413.4</v>
      </c>
      <c r="H13" s="23">
        <f>Personnel!K19+Personnel!K20</f>
        <v>9269</v>
      </c>
      <c r="I13" s="23">
        <f>Personnel!L19+Personnel!L20</f>
        <v>9269</v>
      </c>
      <c r="J13" s="23">
        <f>Personnel!M19+Personnel!M20</f>
        <v>9269</v>
      </c>
      <c r="K13" s="23">
        <f>Personnel!N19+Personnel!N20</f>
        <v>9269</v>
      </c>
      <c r="L13" s="23">
        <f>Personnel!O19+Personnel!O20</f>
        <v>9269</v>
      </c>
      <c r="M13" s="23">
        <f>Personnel!P19+Personnel!P20</f>
        <v>9269</v>
      </c>
      <c r="N13" s="23">
        <f>Personnel!Q19+Personnel!Q20</f>
        <v>9269</v>
      </c>
      <c r="O13" s="23">
        <f>Personnel!R19+Personnel!R20</f>
        <v>10823.34</v>
      </c>
      <c r="P13" s="23">
        <f>Personnel!S19+Personnel!S20</f>
        <v>10823.34</v>
      </c>
      <c r="Q13" s="23">
        <f>Personnel!T19+Personnel!T20</f>
        <v>10823.34</v>
      </c>
      <c r="R13" s="23">
        <f>Personnel!U19+Personnel!U20</f>
        <v>10823.34</v>
      </c>
      <c r="S13" s="23">
        <f>Personnel!V19+Personnel!V20</f>
        <v>10823.34</v>
      </c>
      <c r="T13" s="23">
        <f>Personnel!W19+Personnel!W20</f>
        <v>10823.34</v>
      </c>
      <c r="U13" s="23">
        <f>Personnel!X19+Personnel!X20</f>
        <v>13104.94</v>
      </c>
      <c r="V13" s="23">
        <f>Personnel!Y19+Personnel!Y20</f>
        <v>13104.94</v>
      </c>
      <c r="W13" s="23">
        <f>Personnel!Z19+Personnel!Z20</f>
        <v>13104.94</v>
      </c>
      <c r="X13" s="23">
        <f>Personnel!AA19+Personnel!AA20</f>
        <v>13104.94</v>
      </c>
      <c r="Y13" s="23">
        <f>Personnel!AB19+Personnel!AB20</f>
        <v>13104.94</v>
      </c>
      <c r="Z13" s="23">
        <f>Personnel!AC19+Personnel!AC20</f>
        <v>13104.94</v>
      </c>
      <c r="AA13" s="23">
        <f>Personnel!AD19+Personnel!AD20</f>
        <v>14801.88</v>
      </c>
      <c r="AB13" s="23">
        <f>Personnel!AE19+Personnel!AE20</f>
        <v>14801.88</v>
      </c>
      <c r="AC13" s="23">
        <f>Personnel!AF19+Personnel!AF20</f>
        <v>14801.88</v>
      </c>
      <c r="AD13" s="23">
        <f>Personnel!AG19+Personnel!AG20</f>
        <v>14801.88</v>
      </c>
      <c r="AE13" s="23">
        <f>Personnel!AH19+Personnel!AH20</f>
        <v>14801.88</v>
      </c>
      <c r="AF13" s="23">
        <f>Personnel!AI19+Personnel!AI20</f>
        <v>15800.08</v>
      </c>
      <c r="AG13" s="23">
        <f>Personnel!AJ19+Personnel!AJ20</f>
        <v>15800.08</v>
      </c>
      <c r="AH13" s="23">
        <f>Personnel!AK19+Personnel!AK20</f>
        <v>15800.08</v>
      </c>
      <c r="AI13" s="23">
        <f>Personnel!AL19+Personnel!AL20</f>
        <v>15800.08</v>
      </c>
      <c r="AJ13" s="23">
        <f>Personnel!AM19+Personnel!AM20</f>
        <v>15800.08</v>
      </c>
      <c r="AK13" s="23">
        <f>Personnel!AN19+Personnel!AN20</f>
        <v>15800.08</v>
      </c>
      <c r="AL13" s="23">
        <f>Personnel!AO19+Personnel!AO20</f>
        <v>15800.08</v>
      </c>
      <c r="AM13" s="23">
        <f>Personnel!AP19+Personnel!AP20</f>
        <v>17568.32</v>
      </c>
      <c r="AN13" s="23">
        <f>Personnel!AQ19+Personnel!AQ20</f>
        <v>17568.32</v>
      </c>
      <c r="AO13" s="23">
        <f>Personnel!AR19+Personnel!AR20</f>
        <v>17568.32</v>
      </c>
      <c r="AP13" s="23">
        <f>Personnel!AS19+Personnel!AS20</f>
        <v>17568.32</v>
      </c>
      <c r="AQ13" s="23">
        <f>Personnel!AT19+Personnel!AT20</f>
        <v>19065.62</v>
      </c>
      <c r="AR13" s="23">
        <f>Personnel!AU19+Personnel!AU20</f>
        <v>19065.62</v>
      </c>
      <c r="AS13" s="23">
        <f>Personnel!AV19+Personnel!AV20</f>
        <v>19065.62</v>
      </c>
      <c r="AT13" s="23">
        <f>Personnel!AW19+Personnel!AW20</f>
        <v>19065.62</v>
      </c>
      <c r="AU13" s="23">
        <f>Personnel!AX19+Personnel!AX20</f>
        <v>20135.12</v>
      </c>
      <c r="AV13" s="23">
        <f>Personnel!AY19+Personnel!AY20</f>
        <v>20135.12</v>
      </c>
      <c r="AW13" s="23">
        <f>Personnel!AZ19+Personnel!AZ20</f>
        <v>20135.12</v>
      </c>
      <c r="AX13" s="23">
        <f>Personnel!BA19+Personnel!BA20</f>
        <v>20135.12</v>
      </c>
      <c r="AY13" s="23"/>
      <c r="AZ13" s="23">
        <f t="shared" ref="AZ13:BC13" si="8">SUMPRODUCT((YEAR($C$2:$AX$2)=AZ$2)*$C13:$AX13)</f>
        <v>106950</v>
      </c>
      <c r="BA13" s="23">
        <f t="shared" si="8"/>
        <v>143569.68</v>
      </c>
      <c r="BB13" s="23">
        <f t="shared" si="8"/>
        <v>184609.96</v>
      </c>
      <c r="BC13" s="23">
        <f t="shared" si="8"/>
        <v>227076.24</v>
      </c>
      <c r="BD13" s="1"/>
      <c r="BE13" s="1"/>
      <c r="BF13" s="1"/>
    </row>
    <row r="14">
      <c r="A14" s="1"/>
      <c r="B14" s="3" t="s">
        <v>136</v>
      </c>
      <c r="C14" s="23">
        <f>Personnel!F23</f>
        <v>450</v>
      </c>
      <c r="D14" s="23">
        <f>Personnel!G23</f>
        <v>450</v>
      </c>
      <c r="E14" s="23">
        <f>Personnel!H23</f>
        <v>450</v>
      </c>
      <c r="F14" s="23">
        <f>Personnel!I23</f>
        <v>450</v>
      </c>
      <c r="G14" s="23">
        <f>Personnel!J23</f>
        <v>450</v>
      </c>
      <c r="H14" s="23">
        <f>Personnel!K23</f>
        <v>450</v>
      </c>
      <c r="I14" s="23">
        <f>Personnel!L23</f>
        <v>450</v>
      </c>
      <c r="J14" s="23">
        <f>Personnel!M23</f>
        <v>450</v>
      </c>
      <c r="K14" s="23">
        <f>Personnel!N23</f>
        <v>450</v>
      </c>
      <c r="L14" s="23">
        <f>Personnel!O23</f>
        <v>450</v>
      </c>
      <c r="M14" s="23">
        <f>Personnel!P23</f>
        <v>450</v>
      </c>
      <c r="N14" s="23">
        <f>Personnel!Q23</f>
        <v>450</v>
      </c>
      <c r="O14" s="23">
        <f>Personnel!R23</f>
        <v>450</v>
      </c>
      <c r="P14" s="23">
        <f>Personnel!S23</f>
        <v>450</v>
      </c>
      <c r="Q14" s="23">
        <f>Personnel!T23</f>
        <v>450</v>
      </c>
      <c r="R14" s="23">
        <f>Personnel!U23</f>
        <v>450</v>
      </c>
      <c r="S14" s="23">
        <f>Personnel!V23</f>
        <v>450</v>
      </c>
      <c r="T14" s="23">
        <f>Personnel!W23</f>
        <v>450</v>
      </c>
      <c r="U14" s="23">
        <f>Personnel!X23</f>
        <v>450</v>
      </c>
      <c r="V14" s="23">
        <f>Personnel!Y23</f>
        <v>450</v>
      </c>
      <c r="W14" s="23">
        <f>Personnel!Z23</f>
        <v>450</v>
      </c>
      <c r="X14" s="23">
        <f>Personnel!AA23</f>
        <v>450</v>
      </c>
      <c r="Y14" s="23">
        <f>Personnel!AB23</f>
        <v>450</v>
      </c>
      <c r="Z14" s="23">
        <f>Personnel!AC23</f>
        <v>450</v>
      </c>
      <c r="AA14" s="23">
        <f>Personnel!AD23</f>
        <v>450</v>
      </c>
      <c r="AB14" s="23">
        <f>Personnel!AE23</f>
        <v>450</v>
      </c>
      <c r="AC14" s="23">
        <f>Personnel!AF23</f>
        <v>450</v>
      </c>
      <c r="AD14" s="23">
        <f>Personnel!AG23</f>
        <v>450</v>
      </c>
      <c r="AE14" s="23">
        <f>Personnel!AH23</f>
        <v>450</v>
      </c>
      <c r="AF14" s="23">
        <f>Personnel!AI23</f>
        <v>450</v>
      </c>
      <c r="AG14" s="23">
        <f>Personnel!AJ23</f>
        <v>450</v>
      </c>
      <c r="AH14" s="23">
        <f>Personnel!AK23</f>
        <v>450</v>
      </c>
      <c r="AI14" s="23">
        <f>Personnel!AL23</f>
        <v>450</v>
      </c>
      <c r="AJ14" s="23">
        <f>Personnel!AM23</f>
        <v>450</v>
      </c>
      <c r="AK14" s="23">
        <f>Personnel!AN23</f>
        <v>450</v>
      </c>
      <c r="AL14" s="23">
        <f>Personnel!AO23</f>
        <v>450</v>
      </c>
      <c r="AM14" s="23">
        <f>Personnel!AP23</f>
        <v>450</v>
      </c>
      <c r="AN14" s="23">
        <f>Personnel!AQ23</f>
        <v>450</v>
      </c>
      <c r="AO14" s="23">
        <f>Personnel!AR23</f>
        <v>450</v>
      </c>
      <c r="AP14" s="23">
        <f>Personnel!AS23</f>
        <v>450</v>
      </c>
      <c r="AQ14" s="23">
        <f>Personnel!AT23</f>
        <v>450</v>
      </c>
      <c r="AR14" s="23">
        <f>Personnel!AU23</f>
        <v>450</v>
      </c>
      <c r="AS14" s="23">
        <f>Personnel!AV23</f>
        <v>450</v>
      </c>
      <c r="AT14" s="23">
        <f>Personnel!AW23</f>
        <v>450</v>
      </c>
      <c r="AU14" s="23">
        <f>Personnel!AX23</f>
        <v>450</v>
      </c>
      <c r="AV14" s="23">
        <f>Personnel!AY23</f>
        <v>450</v>
      </c>
      <c r="AW14" s="23">
        <f>Personnel!AZ23</f>
        <v>450</v>
      </c>
      <c r="AX14" s="23">
        <f>Personnel!BA23</f>
        <v>450</v>
      </c>
      <c r="AY14" s="23"/>
      <c r="AZ14" s="23">
        <f t="shared" ref="AZ14:BC14" si="9">SUMPRODUCT((YEAR($C$2:$AX$2)=AZ$2)*$C14:$AX14)</f>
        <v>5400</v>
      </c>
      <c r="BA14" s="23">
        <f t="shared" si="9"/>
        <v>5400</v>
      </c>
      <c r="BB14" s="23">
        <f t="shared" si="9"/>
        <v>5400</v>
      </c>
      <c r="BC14" s="23">
        <f t="shared" si="9"/>
        <v>5400</v>
      </c>
      <c r="BD14" s="1"/>
      <c r="BE14" s="1"/>
      <c r="BF14" s="1"/>
    </row>
    <row r="15">
      <c r="A15" s="1"/>
      <c r="B15" s="3" t="s">
        <v>137</v>
      </c>
      <c r="C15" s="9">
        <v>0.0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0.0</v>
      </c>
      <c r="AK15" s="9">
        <v>0.0</v>
      </c>
      <c r="AL15" s="9">
        <v>0.0</v>
      </c>
      <c r="AM15" s="9">
        <v>0.0</v>
      </c>
      <c r="AN15" s="9">
        <v>0.0</v>
      </c>
      <c r="AO15" s="9">
        <v>0.0</v>
      </c>
      <c r="AP15" s="9">
        <v>0.0</v>
      </c>
      <c r="AQ15" s="9">
        <v>0.0</v>
      </c>
      <c r="AR15" s="9">
        <v>0.0</v>
      </c>
      <c r="AS15" s="9">
        <v>0.0</v>
      </c>
      <c r="AT15" s="9">
        <v>0.0</v>
      </c>
      <c r="AU15" s="9">
        <v>0.0</v>
      </c>
      <c r="AV15" s="9">
        <v>0.0</v>
      </c>
      <c r="AW15" s="9">
        <v>0.0</v>
      </c>
      <c r="AX15" s="9">
        <v>0.0</v>
      </c>
      <c r="AY15" s="23"/>
      <c r="AZ15" s="23">
        <f t="shared" ref="AZ15:BC15" si="10">SUMPRODUCT((YEAR($C$2:$AX$2)=AZ$2)*$C15:$AX15)</f>
        <v>0</v>
      </c>
      <c r="BA15" s="23">
        <f t="shared" si="10"/>
        <v>0</v>
      </c>
      <c r="BB15" s="23">
        <f t="shared" si="10"/>
        <v>0</v>
      </c>
      <c r="BC15" s="23">
        <f t="shared" si="10"/>
        <v>0</v>
      </c>
      <c r="BD15" s="1"/>
      <c r="BE15" s="1"/>
      <c r="BF15" s="1"/>
    </row>
    <row r="16">
      <c r="A16" s="1"/>
      <c r="B16" s="3" t="s">
        <v>116</v>
      </c>
      <c r="C16" s="23">
        <f>Personnel!F24</f>
        <v>267</v>
      </c>
      <c r="D16" s="23">
        <f>Personnel!G24</f>
        <v>267</v>
      </c>
      <c r="E16" s="23">
        <f>Personnel!H24</f>
        <v>267</v>
      </c>
      <c r="F16" s="23">
        <f>Personnel!I24</f>
        <v>267</v>
      </c>
      <c r="G16" s="23">
        <f>Personnel!J24</f>
        <v>267</v>
      </c>
      <c r="H16" s="23">
        <f>Personnel!K24</f>
        <v>267</v>
      </c>
      <c r="I16" s="23">
        <f>Personnel!L24</f>
        <v>267</v>
      </c>
      <c r="J16" s="23">
        <f>Personnel!M24</f>
        <v>267</v>
      </c>
      <c r="K16" s="23">
        <f>Personnel!N24</f>
        <v>267</v>
      </c>
      <c r="L16" s="23">
        <f>Personnel!O24</f>
        <v>267</v>
      </c>
      <c r="M16" s="23">
        <f>Personnel!P24</f>
        <v>267</v>
      </c>
      <c r="N16" s="23">
        <f>Personnel!Q24</f>
        <v>267</v>
      </c>
      <c r="O16" s="23">
        <f>Personnel!R24</f>
        <v>267</v>
      </c>
      <c r="P16" s="23">
        <f>Personnel!S24</f>
        <v>267</v>
      </c>
      <c r="Q16" s="23">
        <f>Personnel!T24</f>
        <v>267</v>
      </c>
      <c r="R16" s="23">
        <f>Personnel!U24</f>
        <v>267</v>
      </c>
      <c r="S16" s="23">
        <f>Personnel!V24</f>
        <v>267</v>
      </c>
      <c r="T16" s="23">
        <f>Personnel!W24</f>
        <v>267</v>
      </c>
      <c r="U16" s="23">
        <f>Personnel!X24</f>
        <v>267</v>
      </c>
      <c r="V16" s="23">
        <f>Personnel!Y24</f>
        <v>267</v>
      </c>
      <c r="W16" s="23">
        <f>Personnel!Z24</f>
        <v>267</v>
      </c>
      <c r="X16" s="23">
        <f>Personnel!AA24</f>
        <v>267</v>
      </c>
      <c r="Y16" s="23">
        <f>Personnel!AB24</f>
        <v>267</v>
      </c>
      <c r="Z16" s="23">
        <f>Personnel!AC24</f>
        <v>267</v>
      </c>
      <c r="AA16" s="23">
        <f>Personnel!AD24</f>
        <v>267</v>
      </c>
      <c r="AB16" s="23">
        <f>Personnel!AE24</f>
        <v>267</v>
      </c>
      <c r="AC16" s="23">
        <f>Personnel!AF24</f>
        <v>267</v>
      </c>
      <c r="AD16" s="23">
        <f>Personnel!AG24</f>
        <v>267</v>
      </c>
      <c r="AE16" s="23">
        <f>Personnel!AH24</f>
        <v>267</v>
      </c>
      <c r="AF16" s="23">
        <f>Personnel!AI24</f>
        <v>267</v>
      </c>
      <c r="AG16" s="23">
        <f>Personnel!AJ24</f>
        <v>267</v>
      </c>
      <c r="AH16" s="23">
        <f>Personnel!AK24</f>
        <v>267</v>
      </c>
      <c r="AI16" s="23">
        <f>Personnel!AL24</f>
        <v>267</v>
      </c>
      <c r="AJ16" s="23">
        <f>Personnel!AM24</f>
        <v>267</v>
      </c>
      <c r="AK16" s="23">
        <f>Personnel!AN24</f>
        <v>267</v>
      </c>
      <c r="AL16" s="23">
        <f>Personnel!AO24</f>
        <v>267</v>
      </c>
      <c r="AM16" s="23">
        <f>Personnel!AP24</f>
        <v>267</v>
      </c>
      <c r="AN16" s="23">
        <f>Personnel!AQ24</f>
        <v>267</v>
      </c>
      <c r="AO16" s="23">
        <f>Personnel!AR24</f>
        <v>267</v>
      </c>
      <c r="AP16" s="23">
        <f>Personnel!AS24</f>
        <v>267</v>
      </c>
      <c r="AQ16" s="23">
        <f>Personnel!AT24</f>
        <v>267</v>
      </c>
      <c r="AR16" s="23">
        <f>Personnel!AU24</f>
        <v>267</v>
      </c>
      <c r="AS16" s="23">
        <f>Personnel!AV24</f>
        <v>267</v>
      </c>
      <c r="AT16" s="23">
        <f>Personnel!AW24</f>
        <v>267</v>
      </c>
      <c r="AU16" s="23">
        <f>Personnel!AX24</f>
        <v>267</v>
      </c>
      <c r="AV16" s="23">
        <f>Personnel!AY24</f>
        <v>267</v>
      </c>
      <c r="AW16" s="23">
        <f>Personnel!AZ24</f>
        <v>267</v>
      </c>
      <c r="AX16" s="23">
        <f>Personnel!BA24</f>
        <v>267</v>
      </c>
      <c r="AY16" s="23"/>
      <c r="AZ16" s="23">
        <f t="shared" ref="AZ16:BC16" si="11">SUMPRODUCT((YEAR($C$2:$AX$2)=AZ$2)*$C16:$AX16)</f>
        <v>3204</v>
      </c>
      <c r="BA16" s="23">
        <f t="shared" si="11"/>
        <v>3204</v>
      </c>
      <c r="BB16" s="23">
        <f t="shared" si="11"/>
        <v>3204</v>
      </c>
      <c r="BC16" s="23">
        <f t="shared" si="11"/>
        <v>3204</v>
      </c>
      <c r="BD16" s="1"/>
      <c r="BE16" s="1"/>
      <c r="BF16" s="1"/>
    </row>
    <row r="17">
      <c r="A17" s="1"/>
      <c r="B17" s="45" t="s">
        <v>117</v>
      </c>
      <c r="C17" s="47">
        <f t="shared" ref="C17:AX17" si="12">SUM(C11:C16)</f>
        <v>45130.4</v>
      </c>
      <c r="D17" s="47">
        <f t="shared" si="12"/>
        <v>80927.9</v>
      </c>
      <c r="E17" s="47">
        <f t="shared" si="12"/>
        <v>45130.4</v>
      </c>
      <c r="F17" s="47">
        <f t="shared" si="12"/>
        <v>45130.4</v>
      </c>
      <c r="G17" s="47">
        <f t="shared" si="12"/>
        <v>45130.4</v>
      </c>
      <c r="H17" s="47">
        <f t="shared" si="12"/>
        <v>56145.5</v>
      </c>
      <c r="I17" s="47">
        <f t="shared" si="12"/>
        <v>56145.5</v>
      </c>
      <c r="J17" s="47">
        <f t="shared" si="12"/>
        <v>56145.5</v>
      </c>
      <c r="K17" s="47">
        <f t="shared" si="12"/>
        <v>99102.5</v>
      </c>
      <c r="L17" s="47">
        <f t="shared" si="12"/>
        <v>48986</v>
      </c>
      <c r="M17" s="47">
        <f t="shared" si="12"/>
        <v>56145.5</v>
      </c>
      <c r="N17" s="47">
        <f t="shared" si="12"/>
        <v>99102.5</v>
      </c>
      <c r="O17" s="47">
        <f t="shared" si="12"/>
        <v>141406.08</v>
      </c>
      <c r="P17" s="47">
        <f t="shared" si="12"/>
        <v>69051.84</v>
      </c>
      <c r="Q17" s="47">
        <f t="shared" si="12"/>
        <v>69051.84</v>
      </c>
      <c r="R17" s="47">
        <f t="shared" si="12"/>
        <v>69051.84</v>
      </c>
      <c r="S17" s="47">
        <f t="shared" si="12"/>
        <v>141406.08</v>
      </c>
      <c r="T17" s="47">
        <f t="shared" si="12"/>
        <v>69051.84</v>
      </c>
      <c r="U17" s="47">
        <f t="shared" si="12"/>
        <v>79333.44</v>
      </c>
      <c r="V17" s="47">
        <f t="shared" si="12"/>
        <v>151687.68</v>
      </c>
      <c r="W17" s="47">
        <f t="shared" si="12"/>
        <v>79333.44</v>
      </c>
      <c r="X17" s="47">
        <f t="shared" si="12"/>
        <v>151687.68</v>
      </c>
      <c r="Y17" s="47">
        <f t="shared" si="12"/>
        <v>151687.68</v>
      </c>
      <c r="Z17" s="47">
        <f t="shared" si="12"/>
        <v>79333.44</v>
      </c>
      <c r="AA17" s="47">
        <f t="shared" si="12"/>
        <v>203813.856</v>
      </c>
      <c r="AB17" s="47">
        <f t="shared" si="12"/>
        <v>203813.856</v>
      </c>
      <c r="AC17" s="47">
        <f t="shared" si="12"/>
        <v>95058.72</v>
      </c>
      <c r="AD17" s="47">
        <f t="shared" si="12"/>
        <v>203813.856</v>
      </c>
      <c r="AE17" s="47">
        <f t="shared" si="12"/>
        <v>203813.856</v>
      </c>
      <c r="AF17" s="47">
        <f t="shared" si="12"/>
        <v>99556.92</v>
      </c>
      <c r="AG17" s="47">
        <f t="shared" si="12"/>
        <v>228451.896</v>
      </c>
      <c r="AH17" s="47">
        <f t="shared" si="12"/>
        <v>208312.056</v>
      </c>
      <c r="AI17" s="47">
        <f t="shared" si="12"/>
        <v>99556.92</v>
      </c>
      <c r="AJ17" s="47">
        <f t="shared" si="12"/>
        <v>228451.896</v>
      </c>
      <c r="AK17" s="47">
        <f t="shared" si="12"/>
        <v>208312.056</v>
      </c>
      <c r="AL17" s="47">
        <f t="shared" si="12"/>
        <v>99556.92</v>
      </c>
      <c r="AM17" s="47">
        <f t="shared" si="12"/>
        <v>459797.48</v>
      </c>
      <c r="AN17" s="47">
        <f t="shared" si="12"/>
        <v>273841.4</v>
      </c>
      <c r="AO17" s="47">
        <f t="shared" si="12"/>
        <v>157078.28</v>
      </c>
      <c r="AP17" s="47">
        <f t="shared" si="12"/>
        <v>273841.4</v>
      </c>
      <c r="AQ17" s="47">
        <f t="shared" si="12"/>
        <v>129229.1</v>
      </c>
      <c r="AR17" s="47">
        <f t="shared" si="12"/>
        <v>280588.7</v>
      </c>
      <c r="AS17" s="47">
        <f t="shared" si="12"/>
        <v>315185.18</v>
      </c>
      <c r="AT17" s="47">
        <f t="shared" si="12"/>
        <v>431948.3</v>
      </c>
      <c r="AU17" s="47">
        <f t="shared" si="12"/>
        <v>134048.6</v>
      </c>
      <c r="AV17" s="47">
        <f t="shared" si="12"/>
        <v>436767.8</v>
      </c>
      <c r="AW17" s="47">
        <f t="shared" si="12"/>
        <v>320004.68</v>
      </c>
      <c r="AX17" s="47">
        <f t="shared" si="12"/>
        <v>436767.8</v>
      </c>
      <c r="AY17" s="47"/>
      <c r="AZ17" s="47">
        <f t="shared" ref="AZ17:BC17" si="13">SUMPRODUCT((YEAR($C$2:$AX$2)=AZ$2)*$C17:$AX17)</f>
        <v>733222.5</v>
      </c>
      <c r="BA17" s="47">
        <f t="shared" si="13"/>
        <v>1252082.88</v>
      </c>
      <c r="BB17" s="47">
        <f t="shared" si="13"/>
        <v>2082512.808</v>
      </c>
      <c r="BC17" s="47">
        <f t="shared" si="13"/>
        <v>3649098.72</v>
      </c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45" t="s">
        <v>138</v>
      </c>
      <c r="C19" s="47">
        <f t="shared" ref="C19:AX19" si="14">C8-C17</f>
        <v>-19230.4</v>
      </c>
      <c r="D19" s="47">
        <f t="shared" si="14"/>
        <v>51347.1</v>
      </c>
      <c r="E19" s="47">
        <f t="shared" si="14"/>
        <v>-11830.4</v>
      </c>
      <c r="F19" s="47">
        <f t="shared" si="14"/>
        <v>-5355.4</v>
      </c>
      <c r="G19" s="47">
        <f t="shared" si="14"/>
        <v>-4430.4</v>
      </c>
      <c r="H19" s="47">
        <f t="shared" si="14"/>
        <v>10454.5</v>
      </c>
      <c r="I19" s="47">
        <f t="shared" si="14"/>
        <v>10454.5</v>
      </c>
      <c r="J19" s="47">
        <f t="shared" si="14"/>
        <v>10454.5</v>
      </c>
      <c r="K19" s="47">
        <f t="shared" si="14"/>
        <v>71097.5</v>
      </c>
      <c r="L19" s="47">
        <f t="shared" si="14"/>
        <v>5589</v>
      </c>
      <c r="M19" s="47">
        <f t="shared" si="14"/>
        <v>16929.5</v>
      </c>
      <c r="N19" s="47">
        <f t="shared" si="14"/>
        <v>77572.5</v>
      </c>
      <c r="O19" s="47">
        <f t="shared" si="14"/>
        <v>127861.42</v>
      </c>
      <c r="P19" s="47">
        <f t="shared" si="14"/>
        <v>13735.66</v>
      </c>
      <c r="Q19" s="47">
        <f t="shared" si="14"/>
        <v>21598.16</v>
      </c>
      <c r="R19" s="47">
        <f t="shared" si="14"/>
        <v>29460.66</v>
      </c>
      <c r="S19" s="47">
        <f t="shared" si="14"/>
        <v>135723.92</v>
      </c>
      <c r="T19" s="47">
        <f t="shared" si="14"/>
        <v>29460.66</v>
      </c>
      <c r="U19" s="47">
        <f t="shared" si="14"/>
        <v>27041.56</v>
      </c>
      <c r="V19" s="47">
        <f t="shared" si="14"/>
        <v>133304.82</v>
      </c>
      <c r="W19" s="47">
        <f t="shared" si="14"/>
        <v>27041.56</v>
      </c>
      <c r="X19" s="47">
        <f t="shared" si="14"/>
        <v>141167.32</v>
      </c>
      <c r="Y19" s="47">
        <f t="shared" si="14"/>
        <v>133304.82</v>
      </c>
      <c r="Z19" s="47">
        <f t="shared" si="14"/>
        <v>27041.56</v>
      </c>
      <c r="AA19" s="47">
        <f t="shared" si="14"/>
        <v>204018.644</v>
      </c>
      <c r="AB19" s="47">
        <f t="shared" si="14"/>
        <v>203556.144</v>
      </c>
      <c r="AC19" s="47">
        <f t="shared" si="14"/>
        <v>40453.78</v>
      </c>
      <c r="AD19" s="47">
        <f t="shared" si="14"/>
        <v>211418.644</v>
      </c>
      <c r="AE19" s="47">
        <f t="shared" si="14"/>
        <v>210956.144</v>
      </c>
      <c r="AF19" s="47">
        <f t="shared" si="14"/>
        <v>51218.08</v>
      </c>
      <c r="AG19" s="47">
        <f t="shared" si="14"/>
        <v>246443.104</v>
      </c>
      <c r="AH19" s="47">
        <f t="shared" si="14"/>
        <v>214320.444</v>
      </c>
      <c r="AI19" s="47">
        <f t="shared" si="14"/>
        <v>51218.08</v>
      </c>
      <c r="AJ19" s="47">
        <f t="shared" si="14"/>
        <v>245980.604</v>
      </c>
      <c r="AK19" s="47">
        <f t="shared" si="14"/>
        <v>214320.444</v>
      </c>
      <c r="AL19" s="47">
        <f t="shared" si="14"/>
        <v>51218.08</v>
      </c>
      <c r="AM19" s="47">
        <f t="shared" si="14"/>
        <v>591927.52</v>
      </c>
      <c r="AN19" s="47">
        <f t="shared" si="14"/>
        <v>300121.1</v>
      </c>
      <c r="AO19" s="47">
        <f t="shared" si="14"/>
        <v>125971.72</v>
      </c>
      <c r="AP19" s="47">
        <f t="shared" si="14"/>
        <v>308908.6</v>
      </c>
      <c r="AQ19" s="47">
        <f t="shared" si="14"/>
        <v>81670.9</v>
      </c>
      <c r="AR19" s="47">
        <f t="shared" si="14"/>
        <v>318348.8</v>
      </c>
      <c r="AS19" s="47">
        <f t="shared" si="14"/>
        <v>373014.82</v>
      </c>
      <c r="AT19" s="47">
        <f t="shared" si="14"/>
        <v>547626.7</v>
      </c>
      <c r="AU19" s="47">
        <f t="shared" si="14"/>
        <v>85176.4</v>
      </c>
      <c r="AV19" s="47">
        <f t="shared" si="14"/>
        <v>550669.7</v>
      </c>
      <c r="AW19" s="47">
        <f t="shared" si="14"/>
        <v>368195.32</v>
      </c>
      <c r="AX19" s="47">
        <f t="shared" si="14"/>
        <v>542807.2</v>
      </c>
      <c r="AY19" s="47"/>
      <c r="AZ19" s="47">
        <f t="shared" ref="AZ19:BC19" si="15">SUMPRODUCT((YEAR($C$2:$AX$2)=AZ$2)*$C19:$AX19)</f>
        <v>213052.5</v>
      </c>
      <c r="BA19" s="47">
        <f t="shared" si="15"/>
        <v>846742.12</v>
      </c>
      <c r="BB19" s="47">
        <f t="shared" si="15"/>
        <v>1945122.192</v>
      </c>
      <c r="BC19" s="47">
        <f t="shared" si="15"/>
        <v>4194438.78</v>
      </c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139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1"/>
      <c r="BE21" s="1"/>
      <c r="BF21" s="1"/>
    </row>
    <row r="22">
      <c r="A22" s="1"/>
      <c r="B22" s="3" t="s">
        <v>120</v>
      </c>
      <c r="C22" s="23">
        <f>OPEX!F7</f>
        <v>4800</v>
      </c>
      <c r="D22" s="23">
        <f>OPEX!G7</f>
        <v>4800</v>
      </c>
      <c r="E22" s="23">
        <f>OPEX!H7</f>
        <v>4800</v>
      </c>
      <c r="F22" s="23">
        <f>OPEX!I7</f>
        <v>4800</v>
      </c>
      <c r="G22" s="23">
        <f>OPEX!J7</f>
        <v>4800</v>
      </c>
      <c r="H22" s="23">
        <f>OPEX!K7</f>
        <v>5400</v>
      </c>
      <c r="I22" s="23">
        <f>OPEX!L7</f>
        <v>5400</v>
      </c>
      <c r="J22" s="23">
        <f>OPEX!M7</f>
        <v>5400</v>
      </c>
      <c r="K22" s="23">
        <f>OPEX!N7</f>
        <v>5400</v>
      </c>
      <c r="L22" s="23">
        <f>OPEX!O7</f>
        <v>5400</v>
      </c>
      <c r="M22" s="23">
        <f>OPEX!P7</f>
        <v>5400</v>
      </c>
      <c r="N22" s="23">
        <f>OPEX!Q7</f>
        <v>5400</v>
      </c>
      <c r="O22" s="23">
        <f>OPEX!R7</f>
        <v>5400</v>
      </c>
      <c r="P22" s="23">
        <f>OPEX!S7</f>
        <v>5400</v>
      </c>
      <c r="Q22" s="23">
        <f>OPEX!T7</f>
        <v>5400</v>
      </c>
      <c r="R22" s="23">
        <f>OPEX!U7</f>
        <v>5400</v>
      </c>
      <c r="S22" s="23">
        <f>OPEX!V7</f>
        <v>5400</v>
      </c>
      <c r="T22" s="23">
        <f>OPEX!W7</f>
        <v>5400</v>
      </c>
      <c r="U22" s="23">
        <f>OPEX!X7</f>
        <v>6600</v>
      </c>
      <c r="V22" s="23">
        <f>OPEX!Y7</f>
        <v>6600</v>
      </c>
      <c r="W22" s="23">
        <f>OPEX!Z7</f>
        <v>6600</v>
      </c>
      <c r="X22" s="23">
        <f>OPEX!AA7</f>
        <v>6600</v>
      </c>
      <c r="Y22" s="23">
        <f>OPEX!AB7</f>
        <v>6600</v>
      </c>
      <c r="Z22" s="23">
        <f>OPEX!AC7</f>
        <v>6600</v>
      </c>
      <c r="AA22" s="23">
        <f>OPEX!AD7</f>
        <v>6600</v>
      </c>
      <c r="AB22" s="23">
        <f>OPEX!AE7</f>
        <v>6600</v>
      </c>
      <c r="AC22" s="23">
        <f>OPEX!AF7</f>
        <v>6600</v>
      </c>
      <c r="AD22" s="23">
        <f>OPEX!AG7</f>
        <v>6600</v>
      </c>
      <c r="AE22" s="23">
        <f>OPEX!AH7</f>
        <v>6600</v>
      </c>
      <c r="AF22" s="23">
        <f>OPEX!AI7</f>
        <v>7200</v>
      </c>
      <c r="AG22" s="23">
        <f>OPEX!AJ7</f>
        <v>7200</v>
      </c>
      <c r="AH22" s="23">
        <f>OPEX!AK7</f>
        <v>7200</v>
      </c>
      <c r="AI22" s="23">
        <f>OPEX!AL7</f>
        <v>7200</v>
      </c>
      <c r="AJ22" s="23">
        <f>OPEX!AM7</f>
        <v>7200</v>
      </c>
      <c r="AK22" s="23">
        <f>OPEX!AN7</f>
        <v>7200</v>
      </c>
      <c r="AL22" s="23">
        <f>OPEX!AO7</f>
        <v>7200</v>
      </c>
      <c r="AM22" s="23">
        <f>OPEX!AP7</f>
        <v>7200</v>
      </c>
      <c r="AN22" s="23">
        <f>OPEX!AQ7</f>
        <v>7200</v>
      </c>
      <c r="AO22" s="23">
        <f>OPEX!AR7</f>
        <v>7200</v>
      </c>
      <c r="AP22" s="23">
        <f>OPEX!AS7</f>
        <v>7200</v>
      </c>
      <c r="AQ22" s="23">
        <f>OPEX!AT7</f>
        <v>7800</v>
      </c>
      <c r="AR22" s="23">
        <f>OPEX!AU7</f>
        <v>7800</v>
      </c>
      <c r="AS22" s="23">
        <f>OPEX!AV7</f>
        <v>7800</v>
      </c>
      <c r="AT22" s="23">
        <f>OPEX!AW7</f>
        <v>7800</v>
      </c>
      <c r="AU22" s="23">
        <f>OPEX!AX7</f>
        <v>8400</v>
      </c>
      <c r="AV22" s="23">
        <f>OPEX!AY7</f>
        <v>8400</v>
      </c>
      <c r="AW22" s="23">
        <f>OPEX!AZ7</f>
        <v>8400</v>
      </c>
      <c r="AX22" s="23">
        <f>OPEX!BA7</f>
        <v>8400</v>
      </c>
      <c r="AY22" s="23"/>
      <c r="AZ22" s="23">
        <f t="shared" ref="AZ22:BC22" si="16">SUMPRODUCT((YEAR($C$2:$AX$2)=AZ$2)*$C22:$AX22)</f>
        <v>61800</v>
      </c>
      <c r="BA22" s="23">
        <f t="shared" si="16"/>
        <v>72000</v>
      </c>
      <c r="BB22" s="23">
        <f t="shared" si="16"/>
        <v>83400</v>
      </c>
      <c r="BC22" s="23">
        <f t="shared" si="16"/>
        <v>93600</v>
      </c>
      <c r="BD22" s="1"/>
      <c r="BE22" s="1"/>
      <c r="BF22" s="1"/>
    </row>
    <row r="23">
      <c r="A23" s="1"/>
      <c r="B23" s="3" t="s">
        <v>121</v>
      </c>
      <c r="C23" s="23">
        <f>OPEX!F8</f>
        <v>4293.333333</v>
      </c>
      <c r="D23" s="23">
        <f>OPEX!G8</f>
        <v>4293.333333</v>
      </c>
      <c r="E23" s="23">
        <f>OPEX!H8</f>
        <v>4293.333333</v>
      </c>
      <c r="F23" s="23">
        <f>OPEX!I8</f>
        <v>4293.333333</v>
      </c>
      <c r="G23" s="23">
        <f>OPEX!J8</f>
        <v>4293.333333</v>
      </c>
      <c r="H23" s="23">
        <f>OPEX!K8</f>
        <v>4413.333333</v>
      </c>
      <c r="I23" s="23">
        <f>OPEX!L8</f>
        <v>4413.333333</v>
      </c>
      <c r="J23" s="23">
        <f>OPEX!M8</f>
        <v>4413.333333</v>
      </c>
      <c r="K23" s="23">
        <f>OPEX!N8</f>
        <v>4413.333333</v>
      </c>
      <c r="L23" s="23">
        <f>OPEX!O8</f>
        <v>4413.333333</v>
      </c>
      <c r="M23" s="23">
        <f>OPEX!P8</f>
        <v>4413.333333</v>
      </c>
      <c r="N23" s="23">
        <f>OPEX!Q8</f>
        <v>4413.333333</v>
      </c>
      <c r="O23" s="23">
        <f>OPEX!R8</f>
        <v>4413.333333</v>
      </c>
      <c r="P23" s="23">
        <f>OPEX!S8</f>
        <v>4413.333333</v>
      </c>
      <c r="Q23" s="23">
        <f>OPEX!T8</f>
        <v>4413.333333</v>
      </c>
      <c r="R23" s="23">
        <f>OPEX!U8</f>
        <v>4413.333333</v>
      </c>
      <c r="S23" s="23">
        <f>OPEX!V8</f>
        <v>4413.333333</v>
      </c>
      <c r="T23" s="23">
        <f>OPEX!W8</f>
        <v>4413.333333</v>
      </c>
      <c r="U23" s="23">
        <f>OPEX!X8</f>
        <v>6320</v>
      </c>
      <c r="V23" s="23">
        <f>OPEX!Y8</f>
        <v>6320</v>
      </c>
      <c r="W23" s="23">
        <f>OPEX!Z8</f>
        <v>6320</v>
      </c>
      <c r="X23" s="23">
        <f>OPEX!AA8</f>
        <v>6320</v>
      </c>
      <c r="Y23" s="23">
        <f>OPEX!AB8</f>
        <v>6320</v>
      </c>
      <c r="Z23" s="23">
        <f>OPEX!AC8</f>
        <v>6320</v>
      </c>
      <c r="AA23" s="23">
        <f>OPEX!AD8</f>
        <v>6320</v>
      </c>
      <c r="AB23" s="23">
        <f>OPEX!AE8</f>
        <v>6320</v>
      </c>
      <c r="AC23" s="23">
        <f>OPEX!AF8</f>
        <v>6320</v>
      </c>
      <c r="AD23" s="23">
        <f>OPEX!AG8</f>
        <v>6320</v>
      </c>
      <c r="AE23" s="23">
        <f>OPEX!AH8</f>
        <v>6320</v>
      </c>
      <c r="AF23" s="23">
        <f>OPEX!AI8</f>
        <v>6440</v>
      </c>
      <c r="AG23" s="23">
        <f>OPEX!AJ8</f>
        <v>6440</v>
      </c>
      <c r="AH23" s="23">
        <f>OPEX!AK8</f>
        <v>6440</v>
      </c>
      <c r="AI23" s="23">
        <f>OPEX!AL8</f>
        <v>6440</v>
      </c>
      <c r="AJ23" s="23">
        <f>OPEX!AM8</f>
        <v>6440</v>
      </c>
      <c r="AK23" s="23">
        <f>OPEX!AN8</f>
        <v>6440</v>
      </c>
      <c r="AL23" s="23">
        <f>OPEX!AO8</f>
        <v>6440</v>
      </c>
      <c r="AM23" s="23">
        <f>OPEX!AP8</f>
        <v>6440</v>
      </c>
      <c r="AN23" s="23">
        <f>OPEX!AQ8</f>
        <v>6440</v>
      </c>
      <c r="AO23" s="23">
        <f>OPEX!AR8</f>
        <v>6440</v>
      </c>
      <c r="AP23" s="23">
        <f>OPEX!AS8</f>
        <v>6440</v>
      </c>
      <c r="AQ23" s="23">
        <f>OPEX!AT8</f>
        <v>6560</v>
      </c>
      <c r="AR23" s="23">
        <f>OPEX!AU8</f>
        <v>6560</v>
      </c>
      <c r="AS23" s="23">
        <f>OPEX!AV8</f>
        <v>6560</v>
      </c>
      <c r="AT23" s="23">
        <f>OPEX!AW8</f>
        <v>6560</v>
      </c>
      <c r="AU23" s="23">
        <f>OPEX!AX8</f>
        <v>6680</v>
      </c>
      <c r="AV23" s="23">
        <f>OPEX!AY8</f>
        <v>6680</v>
      </c>
      <c r="AW23" s="23">
        <f>OPEX!AZ8</f>
        <v>6680</v>
      </c>
      <c r="AX23" s="23">
        <f>OPEX!BA8</f>
        <v>6680</v>
      </c>
      <c r="AY23" s="23"/>
      <c r="AZ23" s="23">
        <f t="shared" ref="AZ23:BC23" si="17">SUMPRODUCT((YEAR($C$2:$AX$2)=AZ$2)*$C23:$AX23)</f>
        <v>52360</v>
      </c>
      <c r="BA23" s="23">
        <f t="shared" si="17"/>
        <v>64400</v>
      </c>
      <c r="BB23" s="23">
        <f t="shared" si="17"/>
        <v>76680</v>
      </c>
      <c r="BC23" s="23">
        <f t="shared" si="17"/>
        <v>78720</v>
      </c>
      <c r="BD23" s="1"/>
      <c r="BE23" s="1"/>
      <c r="BF23" s="1"/>
    </row>
    <row r="24">
      <c r="A24" s="1"/>
      <c r="B24" s="3" t="s">
        <v>140</v>
      </c>
      <c r="C24" s="23">
        <f>OPEX!F9</f>
        <v>320</v>
      </c>
      <c r="D24" s="23">
        <f>OPEX!G9</f>
        <v>320</v>
      </c>
      <c r="E24" s="23">
        <f>OPEX!H9</f>
        <v>320</v>
      </c>
      <c r="F24" s="23">
        <f>OPEX!I9</f>
        <v>320</v>
      </c>
      <c r="G24" s="23">
        <f>OPEX!J9</f>
        <v>320</v>
      </c>
      <c r="H24" s="23">
        <f>OPEX!K9</f>
        <v>360</v>
      </c>
      <c r="I24" s="23">
        <f>OPEX!L9</f>
        <v>360</v>
      </c>
      <c r="J24" s="23">
        <f>OPEX!M9</f>
        <v>360</v>
      </c>
      <c r="K24" s="23">
        <f>OPEX!N9</f>
        <v>360</v>
      </c>
      <c r="L24" s="23">
        <f>OPEX!O9</f>
        <v>360</v>
      </c>
      <c r="M24" s="23">
        <f>OPEX!P9</f>
        <v>360</v>
      </c>
      <c r="N24" s="23">
        <f>OPEX!Q9</f>
        <v>360</v>
      </c>
      <c r="O24" s="23">
        <f>OPEX!R9</f>
        <v>360</v>
      </c>
      <c r="P24" s="23">
        <f>OPEX!S9</f>
        <v>360</v>
      </c>
      <c r="Q24" s="23">
        <f>OPEX!T9</f>
        <v>360</v>
      </c>
      <c r="R24" s="23">
        <f>OPEX!U9</f>
        <v>360</v>
      </c>
      <c r="S24" s="23">
        <f>OPEX!V9</f>
        <v>360</v>
      </c>
      <c r="T24" s="23">
        <f>OPEX!W9</f>
        <v>360</v>
      </c>
      <c r="U24" s="23">
        <f>OPEX!X9</f>
        <v>440</v>
      </c>
      <c r="V24" s="23">
        <f>OPEX!Y9</f>
        <v>440</v>
      </c>
      <c r="W24" s="23">
        <f>OPEX!Z9</f>
        <v>440</v>
      </c>
      <c r="X24" s="23">
        <f>OPEX!AA9</f>
        <v>440</v>
      </c>
      <c r="Y24" s="23">
        <f>OPEX!AB9</f>
        <v>440</v>
      </c>
      <c r="Z24" s="23">
        <f>OPEX!AC9</f>
        <v>440</v>
      </c>
      <c r="AA24" s="23">
        <f>OPEX!AD9</f>
        <v>440</v>
      </c>
      <c r="AB24" s="23">
        <f>OPEX!AE9</f>
        <v>440</v>
      </c>
      <c r="AC24" s="23">
        <f>OPEX!AF9</f>
        <v>440</v>
      </c>
      <c r="AD24" s="23">
        <f>OPEX!AG9</f>
        <v>440</v>
      </c>
      <c r="AE24" s="23">
        <f>OPEX!AH9</f>
        <v>440</v>
      </c>
      <c r="AF24" s="23">
        <f>OPEX!AI9</f>
        <v>480</v>
      </c>
      <c r="AG24" s="23">
        <f>OPEX!AJ9</f>
        <v>480</v>
      </c>
      <c r="AH24" s="23">
        <f>OPEX!AK9</f>
        <v>480</v>
      </c>
      <c r="AI24" s="23">
        <f>OPEX!AL9</f>
        <v>480</v>
      </c>
      <c r="AJ24" s="23">
        <f>OPEX!AM9</f>
        <v>480</v>
      </c>
      <c r="AK24" s="23">
        <f>OPEX!AN9</f>
        <v>480</v>
      </c>
      <c r="AL24" s="23">
        <f>OPEX!AO9</f>
        <v>480</v>
      </c>
      <c r="AM24" s="23">
        <f>OPEX!AP9</f>
        <v>480</v>
      </c>
      <c r="AN24" s="23">
        <f>OPEX!AQ9</f>
        <v>480</v>
      </c>
      <c r="AO24" s="23">
        <f>OPEX!AR9</f>
        <v>480</v>
      </c>
      <c r="AP24" s="23">
        <f>OPEX!AS9</f>
        <v>480</v>
      </c>
      <c r="AQ24" s="23">
        <f>OPEX!AT9</f>
        <v>520</v>
      </c>
      <c r="AR24" s="23">
        <f>OPEX!AU9</f>
        <v>520</v>
      </c>
      <c r="AS24" s="23">
        <f>OPEX!AV9</f>
        <v>520</v>
      </c>
      <c r="AT24" s="23">
        <f>OPEX!AW9</f>
        <v>520</v>
      </c>
      <c r="AU24" s="23">
        <f>OPEX!AX9</f>
        <v>560</v>
      </c>
      <c r="AV24" s="23">
        <f>OPEX!AY9</f>
        <v>560</v>
      </c>
      <c r="AW24" s="23">
        <f>OPEX!AZ9</f>
        <v>560</v>
      </c>
      <c r="AX24" s="23">
        <f>OPEX!BA9</f>
        <v>560</v>
      </c>
      <c r="AY24" s="23"/>
      <c r="AZ24" s="23">
        <f t="shared" ref="AZ24:BC24" si="18">SUMPRODUCT((YEAR($C$2:$AX$2)=AZ$2)*$C24:$AX24)</f>
        <v>4120</v>
      </c>
      <c r="BA24" s="23">
        <f t="shared" si="18"/>
        <v>4800</v>
      </c>
      <c r="BB24" s="23">
        <f t="shared" si="18"/>
        <v>5560</v>
      </c>
      <c r="BC24" s="23">
        <f t="shared" si="18"/>
        <v>6240</v>
      </c>
      <c r="BD24" s="1"/>
      <c r="BE24" s="1"/>
      <c r="BF24" s="1"/>
    </row>
    <row r="25">
      <c r="A25" s="1"/>
      <c r="B25" s="3" t="s">
        <v>123</v>
      </c>
      <c r="C25" s="23">
        <f>OPEX!F10</f>
        <v>250</v>
      </c>
      <c r="D25" s="23">
        <f>OPEX!G10</f>
        <v>250</v>
      </c>
      <c r="E25" s="23">
        <f>OPEX!H10</f>
        <v>250</v>
      </c>
      <c r="F25" s="23">
        <f>OPEX!I10</f>
        <v>250</v>
      </c>
      <c r="G25" s="23">
        <f>OPEX!J10</f>
        <v>250</v>
      </c>
      <c r="H25" s="23">
        <f>OPEX!K10</f>
        <v>250</v>
      </c>
      <c r="I25" s="23">
        <f>OPEX!L10</f>
        <v>250</v>
      </c>
      <c r="J25" s="23">
        <f>OPEX!M10</f>
        <v>250</v>
      </c>
      <c r="K25" s="23">
        <f>OPEX!N10</f>
        <v>250</v>
      </c>
      <c r="L25" s="23">
        <f>OPEX!O10</f>
        <v>250</v>
      </c>
      <c r="M25" s="23">
        <f>OPEX!P10</f>
        <v>250</v>
      </c>
      <c r="N25" s="23">
        <f>OPEX!Q10</f>
        <v>250</v>
      </c>
      <c r="O25" s="23">
        <f>OPEX!R10</f>
        <v>333.3333333</v>
      </c>
      <c r="P25" s="23">
        <f>OPEX!S10</f>
        <v>333.3333333</v>
      </c>
      <c r="Q25" s="23">
        <f>OPEX!T10</f>
        <v>333.3333333</v>
      </c>
      <c r="R25" s="23">
        <f>OPEX!U10</f>
        <v>333.3333333</v>
      </c>
      <c r="S25" s="23">
        <f>OPEX!V10</f>
        <v>333.3333333</v>
      </c>
      <c r="T25" s="23">
        <f>OPEX!W10</f>
        <v>333.3333333</v>
      </c>
      <c r="U25" s="23">
        <f>OPEX!X10</f>
        <v>333.3333333</v>
      </c>
      <c r="V25" s="23">
        <f>OPEX!Y10</f>
        <v>333.3333333</v>
      </c>
      <c r="W25" s="23">
        <f>OPEX!Z10</f>
        <v>333.3333333</v>
      </c>
      <c r="X25" s="23">
        <f>OPEX!AA10</f>
        <v>333.3333333</v>
      </c>
      <c r="Y25" s="23">
        <f>OPEX!AB10</f>
        <v>333.3333333</v>
      </c>
      <c r="Z25" s="23">
        <f>OPEX!AC10</f>
        <v>333.3333333</v>
      </c>
      <c r="AA25" s="23">
        <f>OPEX!AD10</f>
        <v>416.6666667</v>
      </c>
      <c r="AB25" s="23">
        <f>OPEX!AE10</f>
        <v>416.6666667</v>
      </c>
      <c r="AC25" s="23">
        <f>OPEX!AF10</f>
        <v>416.6666667</v>
      </c>
      <c r="AD25" s="23">
        <f>OPEX!AG10</f>
        <v>416.6666667</v>
      </c>
      <c r="AE25" s="23">
        <f>OPEX!AH10</f>
        <v>416.6666667</v>
      </c>
      <c r="AF25" s="23">
        <f>OPEX!AI10</f>
        <v>416.6666667</v>
      </c>
      <c r="AG25" s="23">
        <f>OPEX!AJ10</f>
        <v>416.6666667</v>
      </c>
      <c r="AH25" s="23">
        <f>OPEX!AK10</f>
        <v>416.6666667</v>
      </c>
      <c r="AI25" s="23">
        <f>OPEX!AL10</f>
        <v>416.6666667</v>
      </c>
      <c r="AJ25" s="23">
        <f>OPEX!AM10</f>
        <v>416.6666667</v>
      </c>
      <c r="AK25" s="23">
        <f>OPEX!AN10</f>
        <v>416.6666667</v>
      </c>
      <c r="AL25" s="23">
        <f>OPEX!AO10</f>
        <v>416.6666667</v>
      </c>
      <c r="AM25" s="23">
        <f>OPEX!AP10</f>
        <v>500</v>
      </c>
      <c r="AN25" s="23">
        <f>OPEX!AQ10</f>
        <v>500</v>
      </c>
      <c r="AO25" s="23">
        <f>OPEX!AR10</f>
        <v>500</v>
      </c>
      <c r="AP25" s="23">
        <f>OPEX!AS10</f>
        <v>500</v>
      </c>
      <c r="AQ25" s="23">
        <f>OPEX!AT10</f>
        <v>500</v>
      </c>
      <c r="AR25" s="23">
        <f>OPEX!AU10</f>
        <v>500</v>
      </c>
      <c r="AS25" s="23">
        <f>OPEX!AV10</f>
        <v>500</v>
      </c>
      <c r="AT25" s="23">
        <f>OPEX!AW10</f>
        <v>500</v>
      </c>
      <c r="AU25" s="23">
        <f>OPEX!AX10</f>
        <v>500</v>
      </c>
      <c r="AV25" s="23">
        <f>OPEX!AY10</f>
        <v>500</v>
      </c>
      <c r="AW25" s="23">
        <f>OPEX!AZ10</f>
        <v>500</v>
      </c>
      <c r="AX25" s="23">
        <f>OPEX!BA10</f>
        <v>500</v>
      </c>
      <c r="AY25" s="23"/>
      <c r="AZ25" s="23">
        <f t="shared" ref="AZ25:BC25" si="19">SUMPRODUCT((YEAR($C$2:$AX$2)=AZ$2)*$C25:$AX25)</f>
        <v>3000</v>
      </c>
      <c r="BA25" s="23">
        <f t="shared" si="19"/>
        <v>4000</v>
      </c>
      <c r="BB25" s="23">
        <f t="shared" si="19"/>
        <v>5000</v>
      </c>
      <c r="BC25" s="23">
        <f t="shared" si="19"/>
        <v>6000</v>
      </c>
      <c r="BD25" s="1"/>
      <c r="BE25" s="1"/>
      <c r="BF25" s="1"/>
    </row>
    <row r="26">
      <c r="A26" s="1"/>
      <c r="B26" s="3" t="s">
        <v>124</v>
      </c>
      <c r="C26" s="23">
        <f>OPEX!F11</f>
        <v>500</v>
      </c>
      <c r="D26" s="23">
        <f>OPEX!G11</f>
        <v>500</v>
      </c>
      <c r="E26" s="23">
        <f>OPEX!H11</f>
        <v>500</v>
      </c>
      <c r="F26" s="23">
        <f>OPEX!I11</f>
        <v>500</v>
      </c>
      <c r="G26" s="23">
        <f>OPEX!J11</f>
        <v>500</v>
      </c>
      <c r="H26" s="23">
        <f>OPEX!K11</f>
        <v>500</v>
      </c>
      <c r="I26" s="23">
        <f>OPEX!L11</f>
        <v>500</v>
      </c>
      <c r="J26" s="23">
        <f>OPEX!M11</f>
        <v>500</v>
      </c>
      <c r="K26" s="23">
        <f>OPEX!N11</f>
        <v>500</v>
      </c>
      <c r="L26" s="23">
        <f>OPEX!O11</f>
        <v>500</v>
      </c>
      <c r="M26" s="23">
        <f>OPEX!P11</f>
        <v>500</v>
      </c>
      <c r="N26" s="23">
        <f>OPEX!Q11</f>
        <v>500</v>
      </c>
      <c r="O26" s="23">
        <f>OPEX!R11</f>
        <v>541.6666667</v>
      </c>
      <c r="P26" s="23">
        <f>OPEX!S11</f>
        <v>541.6666667</v>
      </c>
      <c r="Q26" s="23">
        <f>OPEX!T11</f>
        <v>541.6666667</v>
      </c>
      <c r="R26" s="23">
        <f>OPEX!U11</f>
        <v>541.6666667</v>
      </c>
      <c r="S26" s="23">
        <f>OPEX!V11</f>
        <v>541.6666667</v>
      </c>
      <c r="T26" s="23">
        <f>OPEX!W11</f>
        <v>541.6666667</v>
      </c>
      <c r="U26" s="23">
        <f>OPEX!X11</f>
        <v>541.6666667</v>
      </c>
      <c r="V26" s="23">
        <f>OPEX!Y11</f>
        <v>541.6666667</v>
      </c>
      <c r="W26" s="23">
        <f>OPEX!Z11</f>
        <v>541.6666667</v>
      </c>
      <c r="X26" s="23">
        <f>OPEX!AA11</f>
        <v>541.6666667</v>
      </c>
      <c r="Y26" s="23">
        <f>OPEX!AB11</f>
        <v>541.6666667</v>
      </c>
      <c r="Z26" s="23">
        <f>OPEX!AC11</f>
        <v>541.6666667</v>
      </c>
      <c r="AA26" s="23">
        <f>OPEX!AD11</f>
        <v>583.3333333</v>
      </c>
      <c r="AB26" s="23">
        <f>OPEX!AE11</f>
        <v>583.3333333</v>
      </c>
      <c r="AC26" s="23">
        <f>OPEX!AF11</f>
        <v>583.3333333</v>
      </c>
      <c r="AD26" s="23">
        <f>OPEX!AG11</f>
        <v>583.3333333</v>
      </c>
      <c r="AE26" s="23">
        <f>OPEX!AH11</f>
        <v>583.3333333</v>
      </c>
      <c r="AF26" s="23">
        <f>OPEX!AI11</f>
        <v>583.3333333</v>
      </c>
      <c r="AG26" s="23">
        <f>OPEX!AJ11</f>
        <v>583.3333333</v>
      </c>
      <c r="AH26" s="23">
        <f>OPEX!AK11</f>
        <v>583.3333333</v>
      </c>
      <c r="AI26" s="23">
        <f>OPEX!AL11</f>
        <v>583.3333333</v>
      </c>
      <c r="AJ26" s="23">
        <f>OPEX!AM11</f>
        <v>583.3333333</v>
      </c>
      <c r="AK26" s="23">
        <f>OPEX!AN11</f>
        <v>583.3333333</v>
      </c>
      <c r="AL26" s="23">
        <f>OPEX!AO11</f>
        <v>583.3333333</v>
      </c>
      <c r="AM26" s="23">
        <f>OPEX!AP11</f>
        <v>625</v>
      </c>
      <c r="AN26" s="23">
        <f>OPEX!AQ11</f>
        <v>625</v>
      </c>
      <c r="AO26" s="23">
        <f>OPEX!AR11</f>
        <v>625</v>
      </c>
      <c r="AP26" s="23">
        <f>OPEX!AS11</f>
        <v>625</v>
      </c>
      <c r="AQ26" s="23">
        <f>OPEX!AT11</f>
        <v>625</v>
      </c>
      <c r="AR26" s="23">
        <f>OPEX!AU11</f>
        <v>625</v>
      </c>
      <c r="AS26" s="23">
        <f>OPEX!AV11</f>
        <v>625</v>
      </c>
      <c r="AT26" s="23">
        <f>OPEX!AW11</f>
        <v>625</v>
      </c>
      <c r="AU26" s="23">
        <f>OPEX!AX11</f>
        <v>625</v>
      </c>
      <c r="AV26" s="23">
        <f>OPEX!AY11</f>
        <v>625</v>
      </c>
      <c r="AW26" s="23">
        <f>OPEX!AZ11</f>
        <v>625</v>
      </c>
      <c r="AX26" s="23">
        <f>OPEX!BA11</f>
        <v>625</v>
      </c>
      <c r="AY26" s="23"/>
      <c r="AZ26" s="23">
        <f t="shared" ref="AZ26:BC26" si="20">SUMPRODUCT((YEAR($C$2:$AX$2)=AZ$2)*$C26:$AX26)</f>
        <v>6000</v>
      </c>
      <c r="BA26" s="23">
        <f t="shared" si="20"/>
        <v>6500</v>
      </c>
      <c r="BB26" s="23">
        <f t="shared" si="20"/>
        <v>7000</v>
      </c>
      <c r="BC26" s="23">
        <f t="shared" si="20"/>
        <v>7500</v>
      </c>
      <c r="BD26" s="1"/>
      <c r="BE26" s="1"/>
      <c r="BF26" s="1"/>
    </row>
    <row r="27">
      <c r="A27" s="1"/>
      <c r="B27" s="3" t="s">
        <v>141</v>
      </c>
      <c r="C27" s="23">
        <f>OPEX!F12</f>
        <v>800</v>
      </c>
      <c r="D27" s="23">
        <f>OPEX!G12</f>
        <v>800</v>
      </c>
      <c r="E27" s="23">
        <f>OPEX!H12</f>
        <v>800</v>
      </c>
      <c r="F27" s="23">
        <f>OPEX!I12</f>
        <v>800</v>
      </c>
      <c r="G27" s="23">
        <f>OPEX!J12</f>
        <v>800</v>
      </c>
      <c r="H27" s="23">
        <f>OPEX!K12</f>
        <v>900</v>
      </c>
      <c r="I27" s="23">
        <f>OPEX!L12</f>
        <v>900</v>
      </c>
      <c r="J27" s="23">
        <f>OPEX!M12</f>
        <v>900</v>
      </c>
      <c r="K27" s="23">
        <f>OPEX!N12</f>
        <v>900</v>
      </c>
      <c r="L27" s="23">
        <f>OPEX!O12</f>
        <v>900</v>
      </c>
      <c r="M27" s="23">
        <f>OPEX!P12</f>
        <v>900</v>
      </c>
      <c r="N27" s="23">
        <f>OPEX!Q12</f>
        <v>900</v>
      </c>
      <c r="O27" s="23">
        <f>OPEX!R12</f>
        <v>900</v>
      </c>
      <c r="P27" s="23">
        <f>OPEX!S12</f>
        <v>900</v>
      </c>
      <c r="Q27" s="23">
        <f>OPEX!T12</f>
        <v>900</v>
      </c>
      <c r="R27" s="23">
        <f>OPEX!U12</f>
        <v>900</v>
      </c>
      <c r="S27" s="23">
        <f>OPEX!V12</f>
        <v>900</v>
      </c>
      <c r="T27" s="23">
        <f>OPEX!W12</f>
        <v>900</v>
      </c>
      <c r="U27" s="23">
        <f>OPEX!X12</f>
        <v>1100</v>
      </c>
      <c r="V27" s="23">
        <f>OPEX!Y12</f>
        <v>1100</v>
      </c>
      <c r="W27" s="23">
        <f>OPEX!Z12</f>
        <v>1100</v>
      </c>
      <c r="X27" s="23">
        <f>OPEX!AA12</f>
        <v>1100</v>
      </c>
      <c r="Y27" s="23">
        <f>OPEX!AB12</f>
        <v>1100</v>
      </c>
      <c r="Z27" s="23">
        <f>OPEX!AC12</f>
        <v>1100</v>
      </c>
      <c r="AA27" s="23">
        <f>OPEX!AD12</f>
        <v>1100</v>
      </c>
      <c r="AB27" s="23">
        <f>OPEX!AE12</f>
        <v>1100</v>
      </c>
      <c r="AC27" s="23">
        <f>OPEX!AF12</f>
        <v>1100</v>
      </c>
      <c r="AD27" s="23">
        <f>OPEX!AG12</f>
        <v>1100</v>
      </c>
      <c r="AE27" s="23">
        <f>OPEX!AH12</f>
        <v>1100</v>
      </c>
      <c r="AF27" s="23">
        <f>OPEX!AI12</f>
        <v>1200</v>
      </c>
      <c r="AG27" s="23">
        <f>OPEX!AJ12</f>
        <v>1200</v>
      </c>
      <c r="AH27" s="23">
        <f>OPEX!AK12</f>
        <v>1200</v>
      </c>
      <c r="AI27" s="23">
        <f>OPEX!AL12</f>
        <v>1200</v>
      </c>
      <c r="AJ27" s="23">
        <f>OPEX!AM12</f>
        <v>1200</v>
      </c>
      <c r="AK27" s="23">
        <f>OPEX!AN12</f>
        <v>1200</v>
      </c>
      <c r="AL27" s="23">
        <f>OPEX!AO12</f>
        <v>1200</v>
      </c>
      <c r="AM27" s="23">
        <f>OPEX!AP12</f>
        <v>1200</v>
      </c>
      <c r="AN27" s="23">
        <f>OPEX!AQ12</f>
        <v>1200</v>
      </c>
      <c r="AO27" s="23">
        <f>OPEX!AR12</f>
        <v>1200</v>
      </c>
      <c r="AP27" s="23">
        <f>OPEX!AS12</f>
        <v>1200</v>
      </c>
      <c r="AQ27" s="23">
        <f>OPEX!AT12</f>
        <v>1300</v>
      </c>
      <c r="AR27" s="23">
        <f>OPEX!AU12</f>
        <v>1300</v>
      </c>
      <c r="AS27" s="23">
        <f>OPEX!AV12</f>
        <v>1300</v>
      </c>
      <c r="AT27" s="23">
        <f>OPEX!AW12</f>
        <v>1300</v>
      </c>
      <c r="AU27" s="23">
        <f>OPEX!AX12</f>
        <v>1400</v>
      </c>
      <c r="AV27" s="23">
        <f>OPEX!AY12</f>
        <v>1400</v>
      </c>
      <c r="AW27" s="23">
        <f>OPEX!AZ12</f>
        <v>1400</v>
      </c>
      <c r="AX27" s="23">
        <f>OPEX!BA12</f>
        <v>1400</v>
      </c>
      <c r="AY27" s="23"/>
      <c r="AZ27" s="23">
        <f t="shared" ref="AZ27:BC27" si="21">SUMPRODUCT((YEAR($C$2:$AX$2)=AZ$2)*$C27:$AX27)</f>
        <v>10300</v>
      </c>
      <c r="BA27" s="23">
        <f t="shared" si="21"/>
        <v>12000</v>
      </c>
      <c r="BB27" s="23">
        <f t="shared" si="21"/>
        <v>13900</v>
      </c>
      <c r="BC27" s="23">
        <f t="shared" si="21"/>
        <v>15600</v>
      </c>
      <c r="BD27" s="1"/>
      <c r="BE27" s="1"/>
      <c r="BF27" s="1"/>
    </row>
    <row r="28">
      <c r="A28" s="1"/>
      <c r="B28" s="3" t="s">
        <v>126</v>
      </c>
      <c r="C28" s="23">
        <f>OPEX!F13</f>
        <v>140</v>
      </c>
      <c r="D28" s="23">
        <f>OPEX!G13</f>
        <v>140</v>
      </c>
      <c r="E28" s="23">
        <f>OPEX!H13</f>
        <v>140</v>
      </c>
      <c r="F28" s="23">
        <f>OPEX!I13</f>
        <v>140</v>
      </c>
      <c r="G28" s="23">
        <f>OPEX!J13</f>
        <v>140</v>
      </c>
      <c r="H28" s="23">
        <f>OPEX!K13</f>
        <v>140</v>
      </c>
      <c r="I28" s="23">
        <f>OPEX!L13</f>
        <v>140</v>
      </c>
      <c r="J28" s="23">
        <f>OPEX!M13</f>
        <v>140</v>
      </c>
      <c r="K28" s="23">
        <f>OPEX!N13</f>
        <v>140</v>
      </c>
      <c r="L28" s="23">
        <f>OPEX!O13</f>
        <v>140</v>
      </c>
      <c r="M28" s="23">
        <f>OPEX!P13</f>
        <v>140</v>
      </c>
      <c r="N28" s="23">
        <f>OPEX!Q13</f>
        <v>140</v>
      </c>
      <c r="O28" s="23">
        <f>OPEX!R13</f>
        <v>140</v>
      </c>
      <c r="P28" s="23">
        <f>OPEX!S13</f>
        <v>140</v>
      </c>
      <c r="Q28" s="23">
        <f>OPEX!T13</f>
        <v>140</v>
      </c>
      <c r="R28" s="23">
        <f>OPEX!U13</f>
        <v>140</v>
      </c>
      <c r="S28" s="23">
        <f>OPEX!V13</f>
        <v>140</v>
      </c>
      <c r="T28" s="23">
        <f>OPEX!W13</f>
        <v>140</v>
      </c>
      <c r="U28" s="23">
        <f>OPEX!X13</f>
        <v>140</v>
      </c>
      <c r="V28" s="23">
        <f>OPEX!Y13</f>
        <v>140</v>
      </c>
      <c r="W28" s="23">
        <f>OPEX!Z13</f>
        <v>140</v>
      </c>
      <c r="X28" s="23">
        <f>OPEX!AA13</f>
        <v>140</v>
      </c>
      <c r="Y28" s="23">
        <f>OPEX!AB13</f>
        <v>140</v>
      </c>
      <c r="Z28" s="23">
        <f>OPEX!AC13</f>
        <v>140</v>
      </c>
      <c r="AA28" s="23">
        <f>OPEX!AD13</f>
        <v>140</v>
      </c>
      <c r="AB28" s="23">
        <f>OPEX!AE13</f>
        <v>140</v>
      </c>
      <c r="AC28" s="23">
        <f>OPEX!AF13</f>
        <v>140</v>
      </c>
      <c r="AD28" s="23">
        <f>OPEX!AG13</f>
        <v>140</v>
      </c>
      <c r="AE28" s="23">
        <f>OPEX!AH13</f>
        <v>140</v>
      </c>
      <c r="AF28" s="23">
        <f>OPEX!AI13</f>
        <v>140</v>
      </c>
      <c r="AG28" s="23">
        <f>OPEX!AJ13</f>
        <v>140</v>
      </c>
      <c r="AH28" s="23">
        <f>OPEX!AK13</f>
        <v>140</v>
      </c>
      <c r="AI28" s="23">
        <f>OPEX!AL13</f>
        <v>140</v>
      </c>
      <c r="AJ28" s="23">
        <f>OPEX!AM13</f>
        <v>140</v>
      </c>
      <c r="AK28" s="23">
        <f>OPEX!AN13</f>
        <v>140</v>
      </c>
      <c r="AL28" s="23">
        <f>OPEX!AO13</f>
        <v>140</v>
      </c>
      <c r="AM28" s="23">
        <f>OPEX!AP13</f>
        <v>140</v>
      </c>
      <c r="AN28" s="23">
        <f>OPEX!AQ13</f>
        <v>140</v>
      </c>
      <c r="AO28" s="23">
        <f>OPEX!AR13</f>
        <v>140</v>
      </c>
      <c r="AP28" s="23">
        <f>OPEX!AS13</f>
        <v>140</v>
      </c>
      <c r="AQ28" s="23">
        <f>OPEX!AT13</f>
        <v>140</v>
      </c>
      <c r="AR28" s="23">
        <f>OPEX!AU13</f>
        <v>140</v>
      </c>
      <c r="AS28" s="23">
        <f>OPEX!AV13</f>
        <v>140</v>
      </c>
      <c r="AT28" s="23">
        <f>OPEX!AW13</f>
        <v>140</v>
      </c>
      <c r="AU28" s="23">
        <f>OPEX!AX13</f>
        <v>140</v>
      </c>
      <c r="AV28" s="23">
        <f>OPEX!AY13</f>
        <v>140</v>
      </c>
      <c r="AW28" s="23">
        <f>OPEX!AZ13</f>
        <v>140</v>
      </c>
      <c r="AX28" s="23">
        <f>OPEX!BA13</f>
        <v>140</v>
      </c>
      <c r="AY28" s="23"/>
      <c r="AZ28" s="23">
        <f t="shared" ref="AZ28:BC28" si="22">SUMPRODUCT((YEAR($C$2:$AX$2)=AZ$2)*$C28:$AX28)</f>
        <v>1680</v>
      </c>
      <c r="BA28" s="23">
        <f t="shared" si="22"/>
        <v>1680</v>
      </c>
      <c r="BB28" s="23">
        <f t="shared" si="22"/>
        <v>1680</v>
      </c>
      <c r="BC28" s="23">
        <f t="shared" si="22"/>
        <v>1680</v>
      </c>
      <c r="BD28" s="1"/>
      <c r="BE28" s="1"/>
      <c r="BF28" s="1"/>
    </row>
    <row r="29">
      <c r="A29" s="1"/>
      <c r="B29" s="45" t="s">
        <v>128</v>
      </c>
      <c r="C29" s="47">
        <f t="shared" ref="C29:AX29" si="23">SUM(C22:C28)</f>
        <v>11103.33333</v>
      </c>
      <c r="D29" s="47">
        <f t="shared" si="23"/>
        <v>11103.33333</v>
      </c>
      <c r="E29" s="47">
        <f t="shared" si="23"/>
        <v>11103.33333</v>
      </c>
      <c r="F29" s="47">
        <f t="shared" si="23"/>
        <v>11103.33333</v>
      </c>
      <c r="G29" s="47">
        <f t="shared" si="23"/>
        <v>11103.33333</v>
      </c>
      <c r="H29" s="47">
        <f t="shared" si="23"/>
        <v>11963.33333</v>
      </c>
      <c r="I29" s="47">
        <f t="shared" si="23"/>
        <v>11963.33333</v>
      </c>
      <c r="J29" s="47">
        <f t="shared" si="23"/>
        <v>11963.33333</v>
      </c>
      <c r="K29" s="47">
        <f t="shared" si="23"/>
        <v>11963.33333</v>
      </c>
      <c r="L29" s="47">
        <f t="shared" si="23"/>
        <v>11963.33333</v>
      </c>
      <c r="M29" s="47">
        <f t="shared" si="23"/>
        <v>11963.33333</v>
      </c>
      <c r="N29" s="47">
        <f t="shared" si="23"/>
        <v>11963.33333</v>
      </c>
      <c r="O29" s="47">
        <f t="shared" si="23"/>
        <v>12088.33333</v>
      </c>
      <c r="P29" s="47">
        <f t="shared" si="23"/>
        <v>12088.33333</v>
      </c>
      <c r="Q29" s="47">
        <f t="shared" si="23"/>
        <v>12088.33333</v>
      </c>
      <c r="R29" s="47">
        <f t="shared" si="23"/>
        <v>12088.33333</v>
      </c>
      <c r="S29" s="47">
        <f t="shared" si="23"/>
        <v>12088.33333</v>
      </c>
      <c r="T29" s="47">
        <f t="shared" si="23"/>
        <v>12088.33333</v>
      </c>
      <c r="U29" s="47">
        <f t="shared" si="23"/>
        <v>15475</v>
      </c>
      <c r="V29" s="47">
        <f t="shared" si="23"/>
        <v>15475</v>
      </c>
      <c r="W29" s="47">
        <f t="shared" si="23"/>
        <v>15475</v>
      </c>
      <c r="X29" s="47">
        <f t="shared" si="23"/>
        <v>15475</v>
      </c>
      <c r="Y29" s="47">
        <f t="shared" si="23"/>
        <v>15475</v>
      </c>
      <c r="Z29" s="47">
        <f t="shared" si="23"/>
        <v>15475</v>
      </c>
      <c r="AA29" s="47">
        <f t="shared" si="23"/>
        <v>15600</v>
      </c>
      <c r="AB29" s="47">
        <f t="shared" si="23"/>
        <v>15600</v>
      </c>
      <c r="AC29" s="47">
        <f t="shared" si="23"/>
        <v>15600</v>
      </c>
      <c r="AD29" s="47">
        <f t="shared" si="23"/>
        <v>15600</v>
      </c>
      <c r="AE29" s="47">
        <f t="shared" si="23"/>
        <v>15600</v>
      </c>
      <c r="AF29" s="47">
        <f t="shared" si="23"/>
        <v>16460</v>
      </c>
      <c r="AG29" s="47">
        <f t="shared" si="23"/>
        <v>16460</v>
      </c>
      <c r="AH29" s="47">
        <f t="shared" si="23"/>
        <v>16460</v>
      </c>
      <c r="AI29" s="47">
        <f t="shared" si="23"/>
        <v>16460</v>
      </c>
      <c r="AJ29" s="47">
        <f t="shared" si="23"/>
        <v>16460</v>
      </c>
      <c r="AK29" s="47">
        <f t="shared" si="23"/>
        <v>16460</v>
      </c>
      <c r="AL29" s="47">
        <f t="shared" si="23"/>
        <v>16460</v>
      </c>
      <c r="AM29" s="47">
        <f t="shared" si="23"/>
        <v>16585</v>
      </c>
      <c r="AN29" s="47">
        <f t="shared" si="23"/>
        <v>16585</v>
      </c>
      <c r="AO29" s="47">
        <f t="shared" si="23"/>
        <v>16585</v>
      </c>
      <c r="AP29" s="47">
        <f t="shared" si="23"/>
        <v>16585</v>
      </c>
      <c r="AQ29" s="47">
        <f t="shared" si="23"/>
        <v>17445</v>
      </c>
      <c r="AR29" s="47">
        <f t="shared" si="23"/>
        <v>17445</v>
      </c>
      <c r="AS29" s="47">
        <f t="shared" si="23"/>
        <v>17445</v>
      </c>
      <c r="AT29" s="47">
        <f t="shared" si="23"/>
        <v>17445</v>
      </c>
      <c r="AU29" s="47">
        <f t="shared" si="23"/>
        <v>18305</v>
      </c>
      <c r="AV29" s="47">
        <f t="shared" si="23"/>
        <v>18305</v>
      </c>
      <c r="AW29" s="47">
        <f t="shared" si="23"/>
        <v>18305</v>
      </c>
      <c r="AX29" s="47">
        <f t="shared" si="23"/>
        <v>18305</v>
      </c>
      <c r="AY29" s="47"/>
      <c r="AZ29" s="47">
        <f t="shared" ref="AZ29:BC29" si="24">SUMPRODUCT((YEAR($C$2:$AX$2)=AZ$2)*$C29:$AX29)</f>
        <v>139260</v>
      </c>
      <c r="BA29" s="47">
        <f t="shared" si="24"/>
        <v>165380</v>
      </c>
      <c r="BB29" s="47">
        <f t="shared" si="24"/>
        <v>193220</v>
      </c>
      <c r="BC29" s="47">
        <f t="shared" si="24"/>
        <v>209340</v>
      </c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127</v>
      </c>
      <c r="C31" s="23">
        <f>OPEX!F14</f>
        <v>1307</v>
      </c>
      <c r="D31" s="23">
        <f>OPEX!G14</f>
        <v>1307</v>
      </c>
      <c r="E31" s="23">
        <f>OPEX!H14</f>
        <v>1307</v>
      </c>
      <c r="F31" s="23">
        <f>OPEX!I14</f>
        <v>1307</v>
      </c>
      <c r="G31" s="23">
        <f>OPEX!J14</f>
        <v>1307</v>
      </c>
      <c r="H31" s="23">
        <f>OPEX!K14</f>
        <v>1307</v>
      </c>
      <c r="I31" s="23">
        <f>OPEX!L14</f>
        <v>1307</v>
      </c>
      <c r="J31" s="23">
        <f>OPEX!M14</f>
        <v>1307</v>
      </c>
      <c r="K31" s="23">
        <f>OPEX!N14</f>
        <v>1307</v>
      </c>
      <c r="L31" s="23">
        <f>OPEX!O14</f>
        <v>1307</v>
      </c>
      <c r="M31" s="23">
        <f>OPEX!P14</f>
        <v>1307</v>
      </c>
      <c r="N31" s="23">
        <f>OPEX!Q14</f>
        <v>1307</v>
      </c>
      <c r="O31" s="23">
        <f>OPEX!R14</f>
        <v>1307</v>
      </c>
      <c r="P31" s="23">
        <f>OPEX!S14</f>
        <v>1307</v>
      </c>
      <c r="Q31" s="23">
        <f>OPEX!T14</f>
        <v>1307</v>
      </c>
      <c r="R31" s="23">
        <f>OPEX!U14</f>
        <v>1307</v>
      </c>
      <c r="S31" s="23">
        <f>OPEX!V14</f>
        <v>1307</v>
      </c>
      <c r="T31" s="23">
        <f>OPEX!W14</f>
        <v>1307</v>
      </c>
      <c r="U31" s="23">
        <f>OPEX!X14</f>
        <v>1307</v>
      </c>
      <c r="V31" s="23">
        <f>OPEX!Y14</f>
        <v>1307</v>
      </c>
      <c r="W31" s="23">
        <f>OPEX!Z14</f>
        <v>1307</v>
      </c>
      <c r="X31" s="23">
        <f>OPEX!AA14</f>
        <v>1307</v>
      </c>
      <c r="Y31" s="23">
        <f>OPEX!AB14</f>
        <v>1307</v>
      </c>
      <c r="Z31" s="23">
        <f>OPEX!AC14</f>
        <v>1307</v>
      </c>
      <c r="AA31" s="23">
        <f>OPEX!AD14</f>
        <v>1307</v>
      </c>
      <c r="AB31" s="23">
        <f>OPEX!AE14</f>
        <v>1307</v>
      </c>
      <c r="AC31" s="23">
        <f>OPEX!AF14</f>
        <v>1307</v>
      </c>
      <c r="AD31" s="23">
        <f>OPEX!AG14</f>
        <v>1307</v>
      </c>
      <c r="AE31" s="23">
        <f>OPEX!AH14</f>
        <v>1307</v>
      </c>
      <c r="AF31" s="23">
        <f>OPEX!AI14</f>
        <v>1307</v>
      </c>
      <c r="AG31" s="23">
        <f>OPEX!AJ14</f>
        <v>1307</v>
      </c>
      <c r="AH31" s="23">
        <f>OPEX!AK14</f>
        <v>1307</v>
      </c>
      <c r="AI31" s="23">
        <f>OPEX!AL14</f>
        <v>1307</v>
      </c>
      <c r="AJ31" s="23">
        <f>OPEX!AM14</f>
        <v>1307</v>
      </c>
      <c r="AK31" s="23">
        <f>OPEX!AN14</f>
        <v>1307</v>
      </c>
      <c r="AL31" s="23">
        <f>OPEX!AO14</f>
        <v>1307</v>
      </c>
      <c r="AM31" s="23">
        <f>OPEX!AP14</f>
        <v>1307</v>
      </c>
      <c r="AN31" s="23">
        <f>OPEX!AQ14</f>
        <v>1307</v>
      </c>
      <c r="AO31" s="23">
        <f>OPEX!AR14</f>
        <v>1307</v>
      </c>
      <c r="AP31" s="23">
        <f>OPEX!AS14</f>
        <v>1307</v>
      </c>
      <c r="AQ31" s="23">
        <f>OPEX!AT14</f>
        <v>1307</v>
      </c>
      <c r="AR31" s="23">
        <f>OPEX!AU14</f>
        <v>1307</v>
      </c>
      <c r="AS31" s="23">
        <f>OPEX!AV14</f>
        <v>1307</v>
      </c>
      <c r="AT31" s="23">
        <f>OPEX!AW14</f>
        <v>1307</v>
      </c>
      <c r="AU31" s="23">
        <f>OPEX!AX14</f>
        <v>1307</v>
      </c>
      <c r="AV31" s="23">
        <f>OPEX!AY14</f>
        <v>1307</v>
      </c>
      <c r="AW31" s="23">
        <f>OPEX!AZ14</f>
        <v>1307</v>
      </c>
      <c r="AX31" s="23">
        <f>OPEX!BA14</f>
        <v>1307</v>
      </c>
      <c r="AY31" s="23"/>
      <c r="AZ31" s="23">
        <f t="shared" ref="AZ31:BC31" si="25">SUMPRODUCT((YEAR($C$2:$AX$2)=AZ$2)*$C31:$AX31)</f>
        <v>15684</v>
      </c>
      <c r="BA31" s="23">
        <f t="shared" si="25"/>
        <v>15684</v>
      </c>
      <c r="BB31" s="23">
        <f t="shared" si="25"/>
        <v>15684</v>
      </c>
      <c r="BC31" s="23">
        <f t="shared" si="25"/>
        <v>15684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45" t="s">
        <v>142</v>
      </c>
      <c r="C33" s="47">
        <f t="shared" ref="C33:AX33" si="26">C17+C29+C31</f>
        <v>57540.73333</v>
      </c>
      <c r="D33" s="47">
        <f t="shared" si="26"/>
        <v>93338.23333</v>
      </c>
      <c r="E33" s="47">
        <f t="shared" si="26"/>
        <v>57540.73333</v>
      </c>
      <c r="F33" s="47">
        <f t="shared" si="26"/>
        <v>57540.73333</v>
      </c>
      <c r="G33" s="47">
        <f t="shared" si="26"/>
        <v>57540.73333</v>
      </c>
      <c r="H33" s="47">
        <f t="shared" si="26"/>
        <v>69415.83333</v>
      </c>
      <c r="I33" s="47">
        <f t="shared" si="26"/>
        <v>69415.83333</v>
      </c>
      <c r="J33" s="47">
        <f t="shared" si="26"/>
        <v>69415.83333</v>
      </c>
      <c r="K33" s="47">
        <f t="shared" si="26"/>
        <v>112372.8333</v>
      </c>
      <c r="L33" s="47">
        <f t="shared" si="26"/>
        <v>62256.33333</v>
      </c>
      <c r="M33" s="47">
        <f t="shared" si="26"/>
        <v>69415.83333</v>
      </c>
      <c r="N33" s="47">
        <f t="shared" si="26"/>
        <v>112372.8333</v>
      </c>
      <c r="O33" s="47">
        <f t="shared" si="26"/>
        <v>154801.4133</v>
      </c>
      <c r="P33" s="47">
        <f t="shared" si="26"/>
        <v>82447.17333</v>
      </c>
      <c r="Q33" s="47">
        <f t="shared" si="26"/>
        <v>82447.17333</v>
      </c>
      <c r="R33" s="47">
        <f t="shared" si="26"/>
        <v>82447.17333</v>
      </c>
      <c r="S33" s="47">
        <f t="shared" si="26"/>
        <v>154801.4133</v>
      </c>
      <c r="T33" s="47">
        <f t="shared" si="26"/>
        <v>82447.17333</v>
      </c>
      <c r="U33" s="47">
        <f t="shared" si="26"/>
        <v>96115.44</v>
      </c>
      <c r="V33" s="47">
        <f t="shared" si="26"/>
        <v>168469.68</v>
      </c>
      <c r="W33" s="47">
        <f t="shared" si="26"/>
        <v>96115.44</v>
      </c>
      <c r="X33" s="47">
        <f t="shared" si="26"/>
        <v>168469.68</v>
      </c>
      <c r="Y33" s="47">
        <f t="shared" si="26"/>
        <v>168469.68</v>
      </c>
      <c r="Z33" s="47">
        <f t="shared" si="26"/>
        <v>96115.44</v>
      </c>
      <c r="AA33" s="47">
        <f t="shared" si="26"/>
        <v>220720.856</v>
      </c>
      <c r="AB33" s="47">
        <f t="shared" si="26"/>
        <v>220720.856</v>
      </c>
      <c r="AC33" s="47">
        <f t="shared" si="26"/>
        <v>111965.72</v>
      </c>
      <c r="AD33" s="47">
        <f t="shared" si="26"/>
        <v>220720.856</v>
      </c>
      <c r="AE33" s="47">
        <f t="shared" si="26"/>
        <v>220720.856</v>
      </c>
      <c r="AF33" s="47">
        <f t="shared" si="26"/>
        <v>117323.92</v>
      </c>
      <c r="AG33" s="47">
        <f t="shared" si="26"/>
        <v>246218.896</v>
      </c>
      <c r="AH33" s="47">
        <f t="shared" si="26"/>
        <v>226079.056</v>
      </c>
      <c r="AI33" s="47">
        <f t="shared" si="26"/>
        <v>117323.92</v>
      </c>
      <c r="AJ33" s="47">
        <f t="shared" si="26"/>
        <v>246218.896</v>
      </c>
      <c r="AK33" s="47">
        <f t="shared" si="26"/>
        <v>226079.056</v>
      </c>
      <c r="AL33" s="47">
        <f t="shared" si="26"/>
        <v>117323.92</v>
      </c>
      <c r="AM33" s="47">
        <f t="shared" si="26"/>
        <v>477689.48</v>
      </c>
      <c r="AN33" s="47">
        <f t="shared" si="26"/>
        <v>291733.4</v>
      </c>
      <c r="AO33" s="47">
        <f t="shared" si="26"/>
        <v>174970.28</v>
      </c>
      <c r="AP33" s="47">
        <f t="shared" si="26"/>
        <v>291733.4</v>
      </c>
      <c r="AQ33" s="47">
        <f t="shared" si="26"/>
        <v>147981.1</v>
      </c>
      <c r="AR33" s="47">
        <f t="shared" si="26"/>
        <v>299340.7</v>
      </c>
      <c r="AS33" s="47">
        <f t="shared" si="26"/>
        <v>333937.18</v>
      </c>
      <c r="AT33" s="47">
        <f t="shared" si="26"/>
        <v>450700.3</v>
      </c>
      <c r="AU33" s="47">
        <f t="shared" si="26"/>
        <v>153660.6</v>
      </c>
      <c r="AV33" s="47">
        <f t="shared" si="26"/>
        <v>456379.8</v>
      </c>
      <c r="AW33" s="47">
        <f t="shared" si="26"/>
        <v>339616.68</v>
      </c>
      <c r="AX33" s="47">
        <f t="shared" si="26"/>
        <v>456379.8</v>
      </c>
      <c r="AY33" s="47"/>
      <c r="AZ33" s="47">
        <f t="shared" ref="AZ33:BC33" si="27">SUMPRODUCT((YEAR($C$2:$AX$2)=AZ$2)*$C33:$AX33)</f>
        <v>888166.5</v>
      </c>
      <c r="BA33" s="47">
        <f t="shared" si="27"/>
        <v>1433146.88</v>
      </c>
      <c r="BB33" s="47">
        <f t="shared" si="27"/>
        <v>2291416.808</v>
      </c>
      <c r="BC33" s="47">
        <f t="shared" si="27"/>
        <v>3874122.72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45" t="s">
        <v>143</v>
      </c>
      <c r="C35" s="47">
        <f t="shared" ref="C35:AX35" si="28">C8-C33</f>
        <v>-31640.73333</v>
      </c>
      <c r="D35" s="47">
        <f t="shared" si="28"/>
        <v>38936.76667</v>
      </c>
      <c r="E35" s="47">
        <f t="shared" si="28"/>
        <v>-24240.73333</v>
      </c>
      <c r="F35" s="47">
        <f t="shared" si="28"/>
        <v>-17765.73333</v>
      </c>
      <c r="G35" s="47">
        <f t="shared" si="28"/>
        <v>-16840.73333</v>
      </c>
      <c r="H35" s="47">
        <f t="shared" si="28"/>
        <v>-2815.833333</v>
      </c>
      <c r="I35" s="47">
        <f t="shared" si="28"/>
        <v>-2815.833333</v>
      </c>
      <c r="J35" s="47">
        <f t="shared" si="28"/>
        <v>-2815.833333</v>
      </c>
      <c r="K35" s="47">
        <f t="shared" si="28"/>
        <v>57827.16667</v>
      </c>
      <c r="L35" s="47">
        <f t="shared" si="28"/>
        <v>-7681.333333</v>
      </c>
      <c r="M35" s="47">
        <f t="shared" si="28"/>
        <v>3659.166667</v>
      </c>
      <c r="N35" s="47">
        <f t="shared" si="28"/>
        <v>64302.16667</v>
      </c>
      <c r="O35" s="47">
        <f t="shared" si="28"/>
        <v>114466.0867</v>
      </c>
      <c r="P35" s="47">
        <f t="shared" si="28"/>
        <v>340.3266667</v>
      </c>
      <c r="Q35" s="47">
        <f t="shared" si="28"/>
        <v>8202.826667</v>
      </c>
      <c r="R35" s="47">
        <f t="shared" si="28"/>
        <v>16065.32667</v>
      </c>
      <c r="S35" s="47">
        <f t="shared" si="28"/>
        <v>122328.5867</v>
      </c>
      <c r="T35" s="47">
        <f t="shared" si="28"/>
        <v>16065.32667</v>
      </c>
      <c r="U35" s="47">
        <f t="shared" si="28"/>
        <v>10259.56</v>
      </c>
      <c r="V35" s="47">
        <f t="shared" si="28"/>
        <v>116522.82</v>
      </c>
      <c r="W35" s="47">
        <f t="shared" si="28"/>
        <v>10259.56</v>
      </c>
      <c r="X35" s="47">
        <f t="shared" si="28"/>
        <v>124385.32</v>
      </c>
      <c r="Y35" s="47">
        <f t="shared" si="28"/>
        <v>116522.82</v>
      </c>
      <c r="Z35" s="47">
        <f t="shared" si="28"/>
        <v>10259.56</v>
      </c>
      <c r="AA35" s="47">
        <f t="shared" si="28"/>
        <v>187111.644</v>
      </c>
      <c r="AB35" s="47">
        <f t="shared" si="28"/>
        <v>186649.144</v>
      </c>
      <c r="AC35" s="47">
        <f t="shared" si="28"/>
        <v>23546.78</v>
      </c>
      <c r="AD35" s="47">
        <f t="shared" si="28"/>
        <v>194511.644</v>
      </c>
      <c r="AE35" s="47">
        <f t="shared" si="28"/>
        <v>194049.144</v>
      </c>
      <c r="AF35" s="47">
        <f t="shared" si="28"/>
        <v>33451.08</v>
      </c>
      <c r="AG35" s="47">
        <f t="shared" si="28"/>
        <v>228676.104</v>
      </c>
      <c r="AH35" s="47">
        <f t="shared" si="28"/>
        <v>196553.444</v>
      </c>
      <c r="AI35" s="47">
        <f t="shared" si="28"/>
        <v>33451.08</v>
      </c>
      <c r="AJ35" s="47">
        <f t="shared" si="28"/>
        <v>228213.604</v>
      </c>
      <c r="AK35" s="47">
        <f t="shared" si="28"/>
        <v>196553.444</v>
      </c>
      <c r="AL35" s="47">
        <f t="shared" si="28"/>
        <v>33451.08</v>
      </c>
      <c r="AM35" s="47">
        <f t="shared" si="28"/>
        <v>574035.52</v>
      </c>
      <c r="AN35" s="47">
        <f t="shared" si="28"/>
        <v>282229.1</v>
      </c>
      <c r="AO35" s="47">
        <f t="shared" si="28"/>
        <v>108079.72</v>
      </c>
      <c r="AP35" s="47">
        <f t="shared" si="28"/>
        <v>291016.6</v>
      </c>
      <c r="AQ35" s="47">
        <f t="shared" si="28"/>
        <v>62918.9</v>
      </c>
      <c r="AR35" s="47">
        <f t="shared" si="28"/>
        <v>299596.8</v>
      </c>
      <c r="AS35" s="47">
        <f t="shared" si="28"/>
        <v>354262.82</v>
      </c>
      <c r="AT35" s="47">
        <f t="shared" si="28"/>
        <v>528874.7</v>
      </c>
      <c r="AU35" s="47">
        <f t="shared" si="28"/>
        <v>65564.4</v>
      </c>
      <c r="AV35" s="47">
        <f t="shared" si="28"/>
        <v>531057.7</v>
      </c>
      <c r="AW35" s="47">
        <f t="shared" si="28"/>
        <v>348583.32</v>
      </c>
      <c r="AX35" s="47">
        <f t="shared" si="28"/>
        <v>523195.2</v>
      </c>
      <c r="AY35" s="47"/>
      <c r="AZ35" s="47">
        <f t="shared" ref="AZ35:BC35" si="29">SUMPRODUCT((YEAR($C$2:$AX$2)=AZ$2)*$C35:$AX35)</f>
        <v>58108.5</v>
      </c>
      <c r="BA35" s="47">
        <f t="shared" si="29"/>
        <v>665678.12</v>
      </c>
      <c r="BB35" s="47">
        <f t="shared" si="29"/>
        <v>1736218.192</v>
      </c>
      <c r="BC35" s="47">
        <f t="shared" si="29"/>
        <v>3969414.78</v>
      </c>
      <c r="BD35" s="1"/>
      <c r="BE35" s="1"/>
      <c r="BF35" s="1"/>
    </row>
    <row r="36">
      <c r="A36" s="1"/>
      <c r="B36" s="3" t="s">
        <v>144</v>
      </c>
      <c r="C36" s="14">
        <f t="shared" ref="C36:AX36" si="30">IF(C8=0,0,C35/C8)</f>
        <v>-1.221649936</v>
      </c>
      <c r="D36" s="14">
        <f t="shared" si="30"/>
        <v>0.2943622504</v>
      </c>
      <c r="E36" s="14">
        <f t="shared" si="30"/>
        <v>-0.7279499499</v>
      </c>
      <c r="F36" s="14">
        <f t="shared" si="30"/>
        <v>-0.4466557721</v>
      </c>
      <c r="G36" s="14">
        <f t="shared" si="30"/>
        <v>-0.4137772318</v>
      </c>
      <c r="H36" s="14">
        <f t="shared" si="30"/>
        <v>-0.04227977978</v>
      </c>
      <c r="I36" s="14">
        <f t="shared" si="30"/>
        <v>-0.04227977978</v>
      </c>
      <c r="J36" s="14">
        <f t="shared" si="30"/>
        <v>-0.04227977978</v>
      </c>
      <c r="K36" s="14">
        <f t="shared" si="30"/>
        <v>0.3397600862</v>
      </c>
      <c r="L36" s="14">
        <f t="shared" si="30"/>
        <v>-0.1407482058</v>
      </c>
      <c r="M36" s="14">
        <f t="shared" si="30"/>
        <v>0.05007412476</v>
      </c>
      <c r="N36" s="14">
        <f t="shared" si="30"/>
        <v>0.3639573605</v>
      </c>
      <c r="O36" s="14">
        <f t="shared" si="30"/>
        <v>0.4251017545</v>
      </c>
      <c r="P36" s="14">
        <f t="shared" si="30"/>
        <v>0.004110846042</v>
      </c>
      <c r="Q36" s="14">
        <f t="shared" si="30"/>
        <v>0.09048898695</v>
      </c>
      <c r="R36" s="14">
        <f t="shared" si="30"/>
        <v>0.1630790678</v>
      </c>
      <c r="S36" s="14">
        <f t="shared" si="30"/>
        <v>0.4414122854</v>
      </c>
      <c r="T36" s="14">
        <f t="shared" si="30"/>
        <v>0.1630790678</v>
      </c>
      <c r="U36" s="14">
        <f t="shared" si="30"/>
        <v>0.09644709753</v>
      </c>
      <c r="V36" s="14">
        <f t="shared" si="30"/>
        <v>0.4088627595</v>
      </c>
      <c r="W36" s="14">
        <f t="shared" si="30"/>
        <v>0.09644709753</v>
      </c>
      <c r="X36" s="14">
        <f t="shared" si="30"/>
        <v>0.4247334688</v>
      </c>
      <c r="Y36" s="14">
        <f t="shared" si="30"/>
        <v>0.4088627595</v>
      </c>
      <c r="Z36" s="14">
        <f t="shared" si="30"/>
        <v>0.09644709753</v>
      </c>
      <c r="AA36" s="14">
        <f t="shared" si="30"/>
        <v>0.4587953241</v>
      </c>
      <c r="AB36" s="14">
        <f t="shared" si="30"/>
        <v>0.4581808773</v>
      </c>
      <c r="AC36" s="14">
        <f t="shared" si="30"/>
        <v>0.1737609446</v>
      </c>
      <c r="AD36" s="14">
        <f t="shared" si="30"/>
        <v>0.4684403172</v>
      </c>
      <c r="AE36" s="14">
        <f t="shared" si="30"/>
        <v>0.4678475878</v>
      </c>
      <c r="AF36" s="14">
        <f t="shared" si="30"/>
        <v>0.2218609186</v>
      </c>
      <c r="AG36" s="14">
        <f t="shared" si="30"/>
        <v>0.4815298203</v>
      </c>
      <c r="AH36" s="14">
        <f t="shared" si="30"/>
        <v>0.4650694019</v>
      </c>
      <c r="AI36" s="14">
        <f t="shared" si="30"/>
        <v>0.2218609186</v>
      </c>
      <c r="AJ36" s="14">
        <f t="shared" si="30"/>
        <v>0.4810243902</v>
      </c>
      <c r="AK36" s="14">
        <f t="shared" si="30"/>
        <v>0.4650694019</v>
      </c>
      <c r="AL36" s="14">
        <f t="shared" si="30"/>
        <v>0.2218609186</v>
      </c>
      <c r="AM36" s="14">
        <f t="shared" si="30"/>
        <v>0.5458038175</v>
      </c>
      <c r="AN36" s="14">
        <f t="shared" si="30"/>
        <v>0.4917204521</v>
      </c>
      <c r="AO36" s="14">
        <f t="shared" si="30"/>
        <v>0.381839675</v>
      </c>
      <c r="AP36" s="14">
        <f t="shared" si="30"/>
        <v>0.499384985</v>
      </c>
      <c r="AQ36" s="14">
        <f t="shared" si="30"/>
        <v>0.29833523</v>
      </c>
      <c r="AR36" s="14">
        <f t="shared" si="30"/>
        <v>0.5002137953</v>
      </c>
      <c r="AS36" s="14">
        <f t="shared" si="30"/>
        <v>0.5147672479</v>
      </c>
      <c r="AT36" s="14">
        <f t="shared" si="30"/>
        <v>0.5399022025</v>
      </c>
      <c r="AU36" s="14">
        <f t="shared" si="30"/>
        <v>0.2990735546</v>
      </c>
      <c r="AV36" s="14">
        <f t="shared" si="30"/>
        <v>0.5378139882</v>
      </c>
      <c r="AW36" s="14">
        <f t="shared" si="30"/>
        <v>0.5065145597</v>
      </c>
      <c r="AX36" s="14">
        <f t="shared" si="30"/>
        <v>0.5341042799</v>
      </c>
      <c r="AY36" s="14"/>
      <c r="AZ36" s="14">
        <f t="shared" ref="AZ36:BC36" si="31">IF(AZ8=0,0,AZ35/AZ8)</f>
        <v>0.06140762463</v>
      </c>
      <c r="BA36" s="14">
        <f t="shared" si="31"/>
        <v>0.3171670435</v>
      </c>
      <c r="BB36" s="14">
        <f t="shared" si="31"/>
        <v>0.4310763493</v>
      </c>
      <c r="BC36" s="14">
        <f t="shared" si="31"/>
        <v>0.5060745588</v>
      </c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145</v>
      </c>
      <c r="C38" s="23">
        <f t="shared" ref="C38:AX38" si="32">C5-C33+C12</f>
        <v>-29540.73333</v>
      </c>
      <c r="D38" s="23">
        <f t="shared" si="32"/>
        <v>-14540.73333</v>
      </c>
      <c r="E38" s="23">
        <f t="shared" si="32"/>
        <v>-21540.73333</v>
      </c>
      <c r="F38" s="23">
        <f t="shared" si="32"/>
        <v>-14540.73333</v>
      </c>
      <c r="G38" s="23">
        <f t="shared" si="32"/>
        <v>-13540.73333</v>
      </c>
      <c r="H38" s="23">
        <f t="shared" si="32"/>
        <v>-10256.33333</v>
      </c>
      <c r="I38" s="23">
        <f t="shared" si="32"/>
        <v>-10256.33333</v>
      </c>
      <c r="J38" s="23">
        <f t="shared" si="32"/>
        <v>-10256.33333</v>
      </c>
      <c r="K38" s="23">
        <f t="shared" si="32"/>
        <v>-18256.33333</v>
      </c>
      <c r="L38" s="23">
        <f t="shared" si="32"/>
        <v>-3256.333333</v>
      </c>
      <c r="M38" s="23">
        <f t="shared" si="32"/>
        <v>-3256.333333</v>
      </c>
      <c r="N38" s="23">
        <f t="shared" si="32"/>
        <v>-11256.33333</v>
      </c>
      <c r="O38" s="23">
        <f t="shared" si="32"/>
        <v>-15385.67333</v>
      </c>
      <c r="P38" s="23">
        <f t="shared" si="32"/>
        <v>-15385.67333</v>
      </c>
      <c r="Q38" s="23">
        <f t="shared" si="32"/>
        <v>-6885.673333</v>
      </c>
      <c r="R38" s="23">
        <f t="shared" si="32"/>
        <v>1614.326667</v>
      </c>
      <c r="S38" s="23">
        <f t="shared" si="32"/>
        <v>-6885.673333</v>
      </c>
      <c r="T38" s="23">
        <f t="shared" si="32"/>
        <v>1614.326667</v>
      </c>
      <c r="U38" s="23">
        <f t="shared" si="32"/>
        <v>-3553.94</v>
      </c>
      <c r="V38" s="23">
        <f t="shared" si="32"/>
        <v>-12053.94</v>
      </c>
      <c r="W38" s="23">
        <f t="shared" si="32"/>
        <v>-3553.94</v>
      </c>
      <c r="X38" s="23">
        <f t="shared" si="32"/>
        <v>-3553.94</v>
      </c>
      <c r="Y38" s="23">
        <f t="shared" si="32"/>
        <v>-12053.94</v>
      </c>
      <c r="Z38" s="23">
        <f t="shared" si="32"/>
        <v>-3553.94</v>
      </c>
      <c r="AA38" s="23">
        <f t="shared" si="32"/>
        <v>-9325.88</v>
      </c>
      <c r="AB38" s="23">
        <f t="shared" si="32"/>
        <v>-9825.88</v>
      </c>
      <c r="AC38" s="23">
        <f t="shared" si="32"/>
        <v>-1325.88</v>
      </c>
      <c r="AD38" s="23">
        <f t="shared" si="32"/>
        <v>-1325.88</v>
      </c>
      <c r="AE38" s="23">
        <f t="shared" si="32"/>
        <v>-1825.88</v>
      </c>
      <c r="AF38" s="23">
        <f t="shared" si="32"/>
        <v>9815.92</v>
      </c>
      <c r="AG38" s="23">
        <f t="shared" si="32"/>
        <v>1815.92</v>
      </c>
      <c r="AH38" s="23">
        <f t="shared" si="32"/>
        <v>1315.92</v>
      </c>
      <c r="AI38" s="23">
        <f t="shared" si="32"/>
        <v>9815.92</v>
      </c>
      <c r="AJ38" s="23">
        <f t="shared" si="32"/>
        <v>1315.92</v>
      </c>
      <c r="AK38" s="23">
        <f t="shared" si="32"/>
        <v>1315.92</v>
      </c>
      <c r="AL38" s="23">
        <f t="shared" si="32"/>
        <v>9815.92</v>
      </c>
      <c r="AM38" s="23">
        <f t="shared" si="32"/>
        <v>-777.32</v>
      </c>
      <c r="AN38" s="23">
        <f t="shared" si="32"/>
        <v>-1277.32</v>
      </c>
      <c r="AO38" s="23">
        <f t="shared" si="32"/>
        <v>8222.68</v>
      </c>
      <c r="AP38" s="23">
        <f t="shared" si="32"/>
        <v>8222.68</v>
      </c>
      <c r="AQ38" s="23">
        <f t="shared" si="32"/>
        <v>18615.38</v>
      </c>
      <c r="AR38" s="23">
        <f t="shared" si="32"/>
        <v>18115.38</v>
      </c>
      <c r="AS38" s="23">
        <f t="shared" si="32"/>
        <v>18615.38</v>
      </c>
      <c r="AT38" s="23">
        <f t="shared" si="32"/>
        <v>9615.38</v>
      </c>
      <c r="AU38" s="23">
        <f t="shared" si="32"/>
        <v>21935.88</v>
      </c>
      <c r="AV38" s="23">
        <f t="shared" si="32"/>
        <v>12435.88</v>
      </c>
      <c r="AW38" s="23">
        <f t="shared" si="32"/>
        <v>12935.88</v>
      </c>
      <c r="AX38" s="23">
        <f t="shared" si="32"/>
        <v>3935.88</v>
      </c>
      <c r="AY38" s="23"/>
      <c r="AZ38" s="23">
        <f t="shared" ref="AZ38:BC38" si="33">SUMPRODUCT((YEAR($C$2:$AX$2)=AZ$2)*$C38:$AX38)</f>
        <v>-160498</v>
      </c>
      <c r="BA38" s="23">
        <f t="shared" si="33"/>
        <v>-79637.68</v>
      </c>
      <c r="BB38" s="23">
        <f t="shared" si="33"/>
        <v>11582.04</v>
      </c>
      <c r="BC38" s="23">
        <f t="shared" si="33"/>
        <v>130595.76</v>
      </c>
      <c r="BD38" s="1"/>
      <c r="BE38" s="1"/>
      <c r="BF38" s="1"/>
    </row>
    <row r="39">
      <c r="A39" s="1"/>
      <c r="B39" s="3" t="s">
        <v>146</v>
      </c>
      <c r="C39" s="14">
        <f t="shared" ref="C39:AX39" si="34">IF(C5=0,0,C38/C5)</f>
        <v>-1.05502619</v>
      </c>
      <c r="D39" s="14">
        <f t="shared" si="34"/>
        <v>-0.3381565891</v>
      </c>
      <c r="E39" s="14">
        <f t="shared" si="34"/>
        <v>-0.5983537037</v>
      </c>
      <c r="F39" s="14">
        <f t="shared" si="34"/>
        <v>-0.3381565891</v>
      </c>
      <c r="G39" s="14">
        <f t="shared" si="34"/>
        <v>-0.3077439394</v>
      </c>
      <c r="H39" s="14">
        <f t="shared" si="34"/>
        <v>-0.1972371795</v>
      </c>
      <c r="I39" s="14">
        <f t="shared" si="34"/>
        <v>-0.1972371795</v>
      </c>
      <c r="J39" s="14">
        <f t="shared" si="34"/>
        <v>-0.1972371795</v>
      </c>
      <c r="K39" s="14">
        <f t="shared" si="34"/>
        <v>-0.4149166667</v>
      </c>
      <c r="L39" s="14">
        <f t="shared" si="34"/>
        <v>-0.0551920904</v>
      </c>
      <c r="M39" s="14">
        <f t="shared" si="34"/>
        <v>-0.0551920904</v>
      </c>
      <c r="N39" s="14">
        <f t="shared" si="34"/>
        <v>-0.2207124183</v>
      </c>
      <c r="O39" s="14">
        <f t="shared" si="34"/>
        <v>-0.2823059327</v>
      </c>
      <c r="P39" s="14">
        <f t="shared" si="34"/>
        <v>-0.2823059327</v>
      </c>
      <c r="Q39" s="14">
        <f t="shared" si="34"/>
        <v>-0.1092964021</v>
      </c>
      <c r="R39" s="14">
        <f t="shared" si="34"/>
        <v>0.02257799534</v>
      </c>
      <c r="S39" s="14">
        <f t="shared" si="34"/>
        <v>-0.1092964021</v>
      </c>
      <c r="T39" s="14">
        <f t="shared" si="34"/>
        <v>0.02257799534</v>
      </c>
      <c r="U39" s="14">
        <f t="shared" si="34"/>
        <v>-0.04442425</v>
      </c>
      <c r="V39" s="14">
        <f t="shared" si="34"/>
        <v>-0.1685865734</v>
      </c>
      <c r="W39" s="14">
        <f t="shared" si="34"/>
        <v>-0.04442425</v>
      </c>
      <c r="X39" s="14">
        <f t="shared" si="34"/>
        <v>-0.04442425</v>
      </c>
      <c r="Y39" s="14">
        <f t="shared" si="34"/>
        <v>-0.1685865734</v>
      </c>
      <c r="Z39" s="14">
        <f t="shared" si="34"/>
        <v>-0.04442425</v>
      </c>
      <c r="AA39" s="14">
        <f t="shared" si="34"/>
        <v>-0.1130409697</v>
      </c>
      <c r="AB39" s="14">
        <f t="shared" si="34"/>
        <v>-0.1198278049</v>
      </c>
      <c r="AC39" s="14">
        <f t="shared" si="34"/>
        <v>-0.01465060773</v>
      </c>
      <c r="AD39" s="14">
        <f t="shared" si="34"/>
        <v>-0.01465060773</v>
      </c>
      <c r="AE39" s="14">
        <f t="shared" si="34"/>
        <v>-0.02028755556</v>
      </c>
      <c r="AF39" s="14">
        <f t="shared" si="34"/>
        <v>0.09173757009</v>
      </c>
      <c r="AG39" s="14">
        <f t="shared" si="34"/>
        <v>0.01834262626</v>
      </c>
      <c r="AH39" s="14">
        <f t="shared" si="34"/>
        <v>0.01335959391</v>
      </c>
      <c r="AI39" s="14">
        <f t="shared" si="34"/>
        <v>0.09173757009</v>
      </c>
      <c r="AJ39" s="14">
        <f t="shared" si="34"/>
        <v>0.01335959391</v>
      </c>
      <c r="AK39" s="14">
        <f t="shared" si="34"/>
        <v>0.01335959391</v>
      </c>
      <c r="AL39" s="14">
        <f t="shared" si="34"/>
        <v>0.09173757009</v>
      </c>
      <c r="AM39" s="14">
        <f t="shared" si="34"/>
        <v>-0.007403047619</v>
      </c>
      <c r="AN39" s="14">
        <f t="shared" si="34"/>
        <v>-0.01222315789</v>
      </c>
      <c r="AO39" s="14">
        <f t="shared" si="34"/>
        <v>0.07212877193</v>
      </c>
      <c r="AP39" s="14">
        <f t="shared" si="34"/>
        <v>0.07212877193</v>
      </c>
      <c r="AQ39" s="14">
        <f t="shared" si="34"/>
        <v>0.1410256061</v>
      </c>
      <c r="AR39" s="14">
        <f t="shared" si="34"/>
        <v>0.1377595437</v>
      </c>
      <c r="AS39" s="14">
        <f t="shared" si="34"/>
        <v>0.1410256061</v>
      </c>
      <c r="AT39" s="14">
        <f t="shared" si="34"/>
        <v>0.07817382114</v>
      </c>
      <c r="AU39" s="14">
        <f t="shared" si="34"/>
        <v>0.155573617</v>
      </c>
      <c r="AV39" s="14">
        <f t="shared" si="34"/>
        <v>0.09456942966</v>
      </c>
      <c r="AW39" s="14">
        <f t="shared" si="34"/>
        <v>0.09799909091</v>
      </c>
      <c r="AX39" s="14">
        <f t="shared" si="34"/>
        <v>0.03199902439</v>
      </c>
      <c r="AY39" s="14"/>
      <c r="AZ39" s="14">
        <f t="shared" ref="AZ39:BC39" si="35">IF(AZ5=0,0,AZ38/AZ5)</f>
        <v>-0.2850763766</v>
      </c>
      <c r="BA39" s="14">
        <f t="shared" si="35"/>
        <v>-0.09469403092</v>
      </c>
      <c r="BB39" s="14">
        <f t="shared" si="35"/>
        <v>0.01006258905</v>
      </c>
      <c r="BC39" s="14">
        <f t="shared" si="35"/>
        <v>0.08803219414</v>
      </c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147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148</v>
      </c>
      <c r="C5" s="23">
        <f>'Revenue forecast'!BC27</f>
        <v>1023000</v>
      </c>
      <c r="D5" s="23">
        <f>'Revenue forecast'!BD27</f>
        <v>2269000</v>
      </c>
      <c r="E5" s="23">
        <f>'Revenue forecast'!BE27</f>
        <v>4354200</v>
      </c>
      <c r="F5" s="23">
        <f>'Revenue forecast'!BF27</f>
        <v>8479500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94</v>
      </c>
      <c r="C6" s="23">
        <f>'Financial Statements'!AZ8</f>
        <v>946275</v>
      </c>
      <c r="D6" s="23">
        <f>'Financial Statements'!BA8</f>
        <v>2098825</v>
      </c>
      <c r="E6" s="23">
        <f>'Financial Statements'!BB8</f>
        <v>4027635</v>
      </c>
      <c r="F6" s="23">
        <f>'Financial Statements'!BC8</f>
        <v>7843537.5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149</v>
      </c>
      <c r="C7" s="23">
        <f>'Financial Statements'!AZ35</f>
        <v>58108.5</v>
      </c>
      <c r="D7" s="23">
        <f>'Financial Statements'!BA35</f>
        <v>665678.12</v>
      </c>
      <c r="E7" s="23">
        <f>'Financial Statements'!BB35</f>
        <v>1736218.192</v>
      </c>
      <c r="F7" s="23">
        <f>'Financial Statements'!BC35</f>
        <v>3969414.78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150</v>
      </c>
      <c r="C8" s="14">
        <f>'Financial Statements'!AZ36</f>
        <v>0.06140762463</v>
      </c>
      <c r="D8" s="14">
        <f>'Financial Statements'!BA36</f>
        <v>0.3171670435</v>
      </c>
      <c r="E8" s="14">
        <f>'Financial Statements'!BB36</f>
        <v>0.4310763493</v>
      </c>
      <c r="F8" s="14">
        <f>'Financial Statements'!BC36</f>
        <v>0.5060745588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151</v>
      </c>
      <c r="C9" s="32">
        <f>Assumptions!C17</f>
        <v>15</v>
      </c>
      <c r="D9" s="32">
        <f>Assumptions!D17</f>
        <v>20</v>
      </c>
      <c r="E9" s="32">
        <f>Assumptions!E17</f>
        <v>25</v>
      </c>
      <c r="F9" s="32">
        <f>Assumptions!F17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152</v>
      </c>
      <c r="C10" s="32">
        <f>Personnel!BC7</f>
        <v>7</v>
      </c>
      <c r="D10" s="32">
        <f>Personnel!BD7</f>
        <v>10</v>
      </c>
      <c r="E10" s="32">
        <f>Personnel!BE7</f>
        <v>13</v>
      </c>
      <c r="F10" s="32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109</v>
      </c>
      <c r="C11" s="32">
        <f>Personnel!BC15</f>
        <v>9</v>
      </c>
      <c r="D11" s="32">
        <f>Personnel!BD15</f>
        <v>11</v>
      </c>
      <c r="E11" s="32">
        <f>Personnel!BE15</f>
        <v>12</v>
      </c>
      <c r="F11" s="32">
        <f>Personnel!BF15</f>
        <v>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153</v>
      </c>
      <c r="C12" s="53">
        <f t="shared" ref="C12:F12" si="1">C6/C11</f>
        <v>105141.6667</v>
      </c>
      <c r="D12" s="53">
        <f t="shared" si="1"/>
        <v>190802.2727</v>
      </c>
      <c r="E12" s="53">
        <f t="shared" si="1"/>
        <v>335636.25</v>
      </c>
      <c r="F12" s="53">
        <f t="shared" si="1"/>
        <v>560252.6786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