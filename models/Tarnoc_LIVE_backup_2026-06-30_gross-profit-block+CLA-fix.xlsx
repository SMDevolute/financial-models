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How to read me" sheetId="2" r:id="rId6"/>
    <sheet state="visible" name="Assumptions" sheetId="3" r:id="rId7"/>
    <sheet state="visible" name="Financial Statements" sheetId="4" r:id="rId8"/>
    <sheet state="visible" name="Revenue Forecast" sheetId="5" r:id="rId9"/>
    <sheet state="visible" name="COGS" sheetId="6" r:id="rId10"/>
    <sheet state="visible" name="OPEX" sheetId="7" r:id="rId11"/>
    <sheet state="visible" name="Personnel" sheetId="8" r:id="rId12"/>
    <sheet state="hidden" name="Dasboard (FOR PITCHDECK)" sheetId="9" r:id="rId13"/>
    <sheet state="visible" name="Dashboard"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tc={04b96deb-2d9d-4f9e-8d24-bc52c4f9b278}</author>
    <author>tc={7fb3016c-e7f0-41a8-aca1-081b131a99a5}</author>
    <author>tc={c95485fe-4113-49f6-abe1-8bc27e6ca818}</author>
  </authors>
  <commentList>
    <comment authorId="0" xr:uid="{04b96deb-2d9d-4f9e-8d24-bc52c4f9b278}" ref="C30">
      <text>
        <t xml:space="preserve">[Threaded comment]
 Your version of Excel allows you to read this threaded comment; however, any edits to it will get removed if the file is opened in a newer version of Excel. Learn more: https://go.microsoft.com/fwlink/?linkid=870924
Comment:
	for calculation purposes only. Clients are tested on a higher price level.
</t>
      </text>
    </comment>
    <comment authorId="1" xr:uid="{7fb3016c-e7f0-41a8-aca1-081b131a99a5}" ref="C30">
      <text>
        <t xml:space="preserve">[Threaded comment]
 Your version of Excel allows you to read this threaded comment; however, any edits to it will get removed if the file is opened in a newer version of Excel. Learn more: https://go.microsoft.com/fwlink/?linkid=870924
Comment:
	is this the new increased price for the Turbine stand alone?
Reply:
	yes.
</t>
      </text>
    </comment>
    <comment authorId="2" xr:uid="{c95485fe-4113-49f6-abe1-8bc27e6ca818}" ref="E43">
      <text>
        <t xml:space="preserve">[Threaded comment]
 Your version of Excel allows you to read this threaded comment; however, any edits to it will get removed if the file is opened in a newer version of Excel. Learn more: https://go.microsoft.com/fwlink/?linkid=870924
Comment:
	This means the Fisher loan is a purely financing instrument; hence no effect on the P&amp;L.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tc={17e01269-188a-4a71-966b-d74bcd7b8460}</author>
    <author>tc={ad25e319-0f38-4212-b1d7-022191f8a783}</author>
    <author>tc={d93a8463-58c5-4a73-ad36-e8ba5ec59512}</author>
    <author>tc={f4785e07-892f-4c3e-b400-39d2be247a0a}</author>
  </authors>
  <commentList>
    <comment authorId="0" xr:uid="{17e01269-188a-4a71-966b-d74bcd7b8460}" ref="C26">
      <text>
        <t xml:space="preserve">[Threaded comment]
 Your version of Excel allows you to read this threaded comment; however, any edits to it will get removed if the file is opened in a newer version of Excel. Learn more: https://go.microsoft.com/fwlink/?linkid=870924
Comment:
	split into four gross profits ref. the different products, in order to see profitability directly per offering instead of having to make additional calculations.
</t>
      </text>
    </comment>
    <comment authorId="1" xr:uid="{ad25e319-0f38-4212-b1d7-022191f8a783}" ref="AC85">
      <text>
        <t xml:space="preserve">[Threaded comment]
 Your version of Excel allows you to read this threaded comment; however, any edits to it will get removed if the file is opened in a newer version of Excel. Learn more: https://go.microsoft.com/fwlink/?linkid=870924
Comment:
	@simon@evolute.partners Add interest.
</t>
      </text>
    </comment>
    <comment authorId="2" xr:uid="{d93a8463-58c5-4a73-ad36-e8ba5ec59512}" ref="Z58">
      <text>
        <t xml:space="preserve">[Threaded comment]
 Your version of Excel allows you to read this threaded comment; however, any edits to it will get removed if the file is opened in a newer version of Excel. Learn more: https://go.microsoft.com/fwlink/?linkid=870924
Comment:
	No "ask" in the model yet. Is this dataroom proof, or do we have to decide asap?
</t>
      </text>
    </comment>
    <comment authorId="3" xr:uid="{f4785e07-892f-4c3e-b400-39d2be247a0a}" ref="AC14">
      <text>
        <t xml:space="preserve">[Threaded comment]
 Your version of Excel allows you to read this threaded comment; however, any edits to it will get removed if the file is opened in a newer version of Excel. Learn more: https://go.microsoft.com/fwlink/?linkid=870924
Comment:
	COGS aligned with start revenue, also from a cashflow perspective. We must assume that vendors will bill us in Q4 2026; this to be covered by advance payments of clients?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tc={ed45a2c8-ced7-41a8-9e66-50726e988071}</author>
  </authors>
  <commentList>
    <comment authorId="0" xr:uid="{ed45a2c8-ced7-41a8-9e66-50726e988071}" ref="BF28">
      <text>
        <t xml:space="preserve">[Threaded comment]
 Your version of Excel allows you to read this threaded comment; however, any edits to it will get removed if the file is opened in a newer version of Excel. Learn more: https://go.microsoft.com/fwlink/?linkid=870924
Comment:
	is the calculation correct?
</t>
      </text>
    </comment>
  </commentList>
</comments>
</file>

<file path=xl/sharedStrings.xml><?xml version="1.0" encoding="utf-8"?>
<sst xmlns="http://schemas.openxmlformats.org/spreadsheetml/2006/main" count="884" uniqueCount="379">
  <si>
    <t xml:space="preserve">Financial Model </t>
  </si>
  <si>
    <t xml:space="preserve">Currency: EUR (€) </t>
  </si>
  <si>
    <t>STRICTLY CONFIDENTIAL</t>
  </si>
  <si>
    <t>Tarnoc — How to Read This Model</t>
  </si>
  <si>
    <t>COLOR CODING</t>
  </si>
  <si>
    <t>Sample</t>
  </si>
  <si>
    <t>Assumptions are hardcoded inputs (sourced from documents)</t>
  </si>
  <si>
    <t>Hardcoded historicalsis actual data from source documents</t>
  </si>
  <si>
    <t>Formula cells are calculated, not hardcoded</t>
  </si>
  <si>
    <t>Subtotal / total rows</t>
  </si>
  <si>
    <t>Section headers / grand totals</t>
  </si>
  <si>
    <t>Subsection headers</t>
  </si>
  <si>
    <t>Margin / ratio rows (grey)</t>
  </si>
  <si>
    <t>Balance sheet check rows (must = 0)</t>
  </si>
  <si>
    <t>FORMULA ARCHITECTURE</t>
  </si>
  <si>
    <t>Assumptions  →  Revenue Forecast, COGS, OPEX, CAPEX, Personnel (all drivers sourced here)</t>
  </si>
  <si>
    <t>Revenue Forecast  →  Financial Statements (revenue lines via cross-sheet links)</t>
  </si>
  <si>
    <t>COGS  →  Financial Statements (cost lines via cross-sheet links)</t>
  </si>
  <si>
    <t>OPEX  →  Financial Statements (opex lines via cross-sheet links)</t>
  </si>
  <si>
    <t>To change a number: ONLY edit cells in the Assumptions tab (yellow/orange).</t>
  </si>
  <si>
    <t>All other tabs will recalculate automatically.</t>
  </si>
  <si>
    <t>FURTHER EXPLANATIONS</t>
  </si>
  <si>
    <t xml:space="preserve">Subsidies: Tarnoc is and has been eligible for a number of subsidies. We will consider application for large projects, however this model excludes the forecast of any subsidy financing foing forward. </t>
  </si>
  <si>
    <t xml:space="preserve">Installation revenues: This is modelled fully as pass through revenue for now, as we plan to charge a customer exactly what we pay the installation partner for these services. This is subject to change in the future. </t>
  </si>
  <si>
    <t>Tarnoc's main products are the TTK (turbineketel), the Combi and Combi+ (turbineketel + outdoor unit), and the Twincycle (in development for 2027). Every unit contains a turbineketel; the Combi and Combi+ differ only by their outdoor unit and installation. We also plan to sell various add-ons such as performance booster units, boilers for hybrid setups, and sound reduction units.</t>
  </si>
  <si>
    <t>Service Revenues: Service revenues are calculated relative to installed base. We assume a certain percentage (see assumptions) of customers will purchase our Service package, and are charged annually.</t>
  </si>
  <si>
    <t xml:space="preserve">COGS: 1) is driven by the Bill of Materials and volume sales. As our volumes increase, our BOM reduces. We assume 2 year volume sales will determine our BOM, and is modedled as such. 2) We model in COGS as beginning in 2027, as we asume the AP and AR will be roughly equal due to downpayments. </t>
  </si>
  <si>
    <t xml:space="preserve">Sales and Marketing costs are largely driven by permfomance marketing, and are calcualted on a volume and CPL basis. </t>
  </si>
  <si>
    <t>Revenues: Customer deposits have so far been collected at a TTK sales price of €8,099. We recently increased the list price to €8,925. For the purposes of this financial model, we assume an average selling price of €8,526, which we view as a conservative lower-bound assumption. Based on current market feedback, we believe the long-term market-clearing price is more likely to be approximately €9,000, although this will be validated over time as commercial sales progress.</t>
  </si>
  <si>
    <t>Drivers &amp; Assumptions</t>
  </si>
  <si>
    <t>ASSUMPTIONS</t>
  </si>
  <si>
    <t>General Assumptions</t>
  </si>
  <si>
    <t>Opening Cash Balance (Jan 2024)</t>
  </si>
  <si>
    <t>Annual salary increase (%)</t>
  </si>
  <si>
    <t>Employer cost basis</t>
  </si>
  <si>
    <t>Werkgeverlasten (incl. taxes)</t>
  </si>
  <si>
    <t>Holiday pay (%)</t>
  </si>
  <si>
    <t>Income tax rate</t>
  </si>
  <si>
    <t>Interst on WC loan</t>
  </si>
  <si>
    <t>Working Capital</t>
  </si>
  <si>
    <t xml:space="preserve"> </t>
  </si>
  <si>
    <t>Days Sales Outstanding (DSO)</t>
  </si>
  <si>
    <t>days</t>
  </si>
  <si>
    <t>Days Payable Outstanding (DPO)</t>
  </si>
  <si>
    <t>Days Inventory Outstanding (DIO)</t>
  </si>
  <si>
    <t>Pre-payment</t>
  </si>
  <si>
    <t>%</t>
  </si>
  <si>
    <t>Revenue Build</t>
  </si>
  <si>
    <t>~Units sold</t>
  </si>
  <si>
    <t>TTK</t>
  </si>
  <si>
    <t>Combi</t>
  </si>
  <si>
    <t>Combi+</t>
  </si>
  <si>
    <t>Pricing</t>
  </si>
  <si>
    <t>PRICING — build-up (turbineketel + outdoor unit)</t>
  </si>
  <si>
    <t>(inc VAT)</t>
  </si>
  <si>
    <t>Turbineketel base price (all products)</t>
  </si>
  <si>
    <t>Outdoor unit — Combi</t>
  </si>
  <si>
    <t>Outdoor unit — Combi+</t>
  </si>
  <si>
    <t>Combi price (ketel + ODU)</t>
  </si>
  <si>
    <t>Combi+ price (ketel + ODU)</t>
  </si>
  <si>
    <t>INSTALLATION (PASS-THROUGH; REV=COST)</t>
  </si>
  <si>
    <t>Installation — TTK</t>
  </si>
  <si>
    <t>Installation — Combi</t>
  </si>
  <si>
    <t>Installation — Combi+</t>
  </si>
  <si>
    <t>COGS</t>
  </si>
  <si>
    <t>Bill of Materials TTK supplier 1</t>
  </si>
  <si>
    <t>#</t>
  </si>
  <si>
    <t>Category</t>
  </si>
  <si>
    <t>Component</t>
  </si>
  <si>
    <t>1,000 units</t>
  </si>
  <si>
    <t>5,000 units</t>
  </si>
  <si>
    <t>10,000 units</t>
  </si>
  <si>
    <t>Unit</t>
  </si>
  <si>
    <t>Source</t>
  </si>
  <si>
    <t>B1</t>
  </si>
  <si>
    <t>Supplier 1</t>
  </si>
  <si>
    <t>Compressor + VFD</t>
  </si>
  <si>
    <t>€/unit</t>
  </si>
  <si>
    <t>Source: BOM data provided</t>
  </si>
  <si>
    <t>B2</t>
  </si>
  <si>
    <t>Heat exchangers (set)</t>
  </si>
  <si>
    <t>B3</t>
  </si>
  <si>
    <t>Electronics &amp; Power Electronics</t>
  </si>
  <si>
    <t>B4</t>
  </si>
  <si>
    <t>Hydraulic Components (Pumps, Valves, etc.)</t>
  </si>
  <si>
    <t>B5</t>
  </si>
  <si>
    <t>Silencer &amp; Insulation</t>
  </si>
  <si>
    <t>B6</t>
  </si>
  <si>
    <t>Enclosure (Sheet Metal &amp; Coating)</t>
  </si>
  <si>
    <t>B7</t>
  </si>
  <si>
    <t>Other Components</t>
  </si>
  <si>
    <t>B8</t>
  </si>
  <si>
    <t>Assembly &amp; Final Testing</t>
  </si>
  <si>
    <t>B9</t>
  </si>
  <si>
    <t>Packaging &amp; Inbound Logistics</t>
  </si>
  <si>
    <t>B10</t>
  </si>
  <si>
    <t>Yield Loss &amp; Warranty Provision (~3%)</t>
  </si>
  <si>
    <t>B11</t>
  </si>
  <si>
    <t>Contingency/risk</t>
  </si>
  <si>
    <t>Contingency &amp; Risk Reserve</t>
  </si>
  <si>
    <t xml:space="preserve">Source: No source, added for risk purposes </t>
  </si>
  <si>
    <t>B-T</t>
  </si>
  <si>
    <t>Supplier 1 total</t>
  </si>
  <si>
    <t>Total COGS / unit (BOM)</t>
  </si>
  <si>
    <t>Bill of Materials TTK supplier 2</t>
  </si>
  <si>
    <t>D1</t>
  </si>
  <si>
    <t>Supplier 2</t>
  </si>
  <si>
    <t>D2</t>
  </si>
  <si>
    <t>D3</t>
  </si>
  <si>
    <t>Elektronica &amp; vermogenselektronica</t>
  </si>
  <si>
    <t>D4</t>
  </si>
  <si>
    <t>Hydraulisch (pompen/kleppen/etc.)</t>
  </si>
  <si>
    <t>D5</t>
  </si>
  <si>
    <t>Silencer + isolatie</t>
  </si>
  <si>
    <t>D6</t>
  </si>
  <si>
    <t>Enclosure (plaatwerk, coating)</t>
  </si>
  <si>
    <t>D7</t>
  </si>
  <si>
    <t>Everything Else</t>
  </si>
  <si>
    <t>D8</t>
  </si>
  <si>
    <t>Assemblage &amp; eindtest</t>
  </si>
  <si>
    <t>D9</t>
  </si>
  <si>
    <t>Verpakking &amp; logistiek inkomend</t>
  </si>
  <si>
    <t>D10</t>
  </si>
  <si>
    <t>Yield / garantie-reserve (~3%)</t>
  </si>
  <si>
    <t>Supplier 2 total</t>
  </si>
  <si>
    <t>TTK Volume tier breakpoints</t>
  </si>
  <si>
    <t>Min Units (≥)</t>
  </si>
  <si>
    <t>Cost / unit</t>
  </si>
  <si>
    <t>Note</t>
  </si>
  <si>
    <t>Linked from BOM Total row above</t>
  </si>
  <si>
    <t>OUTDOOR UNIT COGS (Combi / Combi+) — volume tiers</t>
  </si>
  <si>
    <t>Source: BOM data</t>
  </si>
  <si>
    <t>Shipping (Combi &amp; Combi+)</t>
  </si>
  <si>
    <t>Outdoor Unit tier breakpoints (for COGS VLOOKUP)</t>
  </si>
  <si>
    <t>Other operating expenditures</t>
  </si>
  <si>
    <t>Yearly increase:</t>
  </si>
  <si>
    <t>Office rent (part of General)</t>
  </si>
  <si>
    <t>G&amp;A</t>
  </si>
  <si>
    <t>ongoing</t>
  </si>
  <si>
    <t>Other General</t>
  </si>
  <si>
    <t>Baseline Sales &amp; Marketing</t>
  </si>
  <si>
    <t>S&amp;M</t>
  </si>
  <si>
    <t>Finance &amp; Legal etc.</t>
  </si>
  <si>
    <t>Ongoing Development costs</t>
  </si>
  <si>
    <t>R&amp;D</t>
  </si>
  <si>
    <t xml:space="preserve">Third party cost product development </t>
  </si>
  <si>
    <t>Kicker Development Cost</t>
  </si>
  <si>
    <t>one-off</t>
  </si>
  <si>
    <t>Customer journey (third party)</t>
  </si>
  <si>
    <t>Branding + Website (third party cost)</t>
  </si>
  <si>
    <t>Assembly partner</t>
  </si>
  <si>
    <t>Tooling Fisher (result: 2%-3%)</t>
  </si>
  <si>
    <t>Assumptions for costs per unit sold (3rd parties or expenses (NO personell)</t>
  </si>
  <si>
    <t>Units sold</t>
  </si>
  <si>
    <t>S&amp;M cost per unit</t>
  </si>
  <si>
    <t>Decrease</t>
  </si>
  <si>
    <t>Yearly costs</t>
  </si>
  <si>
    <t>Marketing spend per Customer</t>
  </si>
  <si>
    <t>third party</t>
  </si>
  <si>
    <t>Closing costs per customer</t>
  </si>
  <si>
    <t>(Calls, viewing location, etc)</t>
  </si>
  <si>
    <t>Aftersales and support</t>
  </si>
  <si>
    <t>Cost per unit sold (cost down driven by volume)</t>
  </si>
  <si>
    <t>costdown: S(n)=S(1)*n^-b, where b=0,2</t>
  </si>
  <si>
    <t>S(1)</t>
  </si>
  <si>
    <t>Product</t>
  </si>
  <si>
    <t>Upsell item</t>
  </si>
  <si>
    <t>Type</t>
  </si>
  <si>
    <t>Attach %</t>
  </si>
  <si>
    <t>Unit rev. (EX VAT)</t>
  </si>
  <si>
    <t>Unit COGS</t>
  </si>
  <si>
    <t>Gross profit</t>
  </si>
  <si>
    <t>avg. Value</t>
  </si>
  <si>
    <t>avg. profit</t>
  </si>
  <si>
    <t>TTK / Combi / Combi+</t>
  </si>
  <si>
    <t>Boiler variant 50</t>
  </si>
  <si>
    <t>One-time</t>
  </si>
  <si>
    <t>Boiler variant 100</t>
  </si>
  <si>
    <t>Sound reduction</t>
  </si>
  <si>
    <t>Upsell basket subtotal (per unit) — applies to TTK, Combi, Combi+</t>
  </si>
  <si>
    <t>Turbine Heat Pump</t>
  </si>
  <si>
    <t>Basic service contract</t>
  </si>
  <si>
    <t>Service contract (yearly)</t>
  </si>
  <si>
    <t>Premium service contract</t>
  </si>
  <si>
    <t>(Combi / Combi+ now use the shared upsell basket above — line below retired)</t>
  </si>
  <si>
    <t>Boiler variant 250 (retired — not used)</t>
  </si>
  <si>
    <t>Boiler variant 250</t>
  </si>
  <si>
    <t>Combi / Combi+ subtotal</t>
  </si>
  <si>
    <t>Combi / Combi+</t>
  </si>
  <si>
    <t/>
  </si>
  <si>
    <t>Tarnoc B.V. — Financial Statements (€)</t>
  </si>
  <si>
    <t>2025</t>
  </si>
  <si>
    <t>2026</t>
  </si>
  <si>
    <t>2027</t>
  </si>
  <si>
    <t>2028</t>
  </si>
  <si>
    <t>PROFIT &amp; LOSS STATEMENT</t>
  </si>
  <si>
    <t>Revenues</t>
  </si>
  <si>
    <t xml:space="preserve">TTK </t>
  </si>
  <si>
    <t>€</t>
  </si>
  <si>
    <t>Other</t>
  </si>
  <si>
    <t>Subsidies &amp; grants</t>
  </si>
  <si>
    <t>pm</t>
  </si>
  <si>
    <t>Total Revenue</t>
  </si>
  <si>
    <t>Cost of goods sold</t>
  </si>
  <si>
    <t xml:space="preserve">Other </t>
  </si>
  <si>
    <t>Total COGS</t>
  </si>
  <si>
    <t>Gross Profit</t>
  </si>
  <si>
    <t>Gross margin %</t>
  </si>
  <si>
    <t>Operational expenses</t>
  </si>
  <si>
    <t>Total OPEX</t>
  </si>
  <si>
    <t>EBITDA</t>
  </si>
  <si>
    <t>EBITDA margin %</t>
  </si>
  <si>
    <t>Depreciation &amp; Amortisation</t>
  </si>
  <si>
    <t>Interest payments</t>
  </si>
  <si>
    <t>EBT</t>
  </si>
  <si>
    <t>Income tax</t>
  </si>
  <si>
    <t>NET INCOME</t>
  </si>
  <si>
    <t>Profit margin %</t>
  </si>
  <si>
    <t xml:space="preserve">Tax carry over to be applied </t>
  </si>
  <si>
    <t>CASH FLOW STATEMENT</t>
  </si>
  <si>
    <t>Net income</t>
  </si>
  <si>
    <t>Depreciation &amp; amortisation</t>
  </si>
  <si>
    <t>Increase in accounts receivable (delta DSO)</t>
  </si>
  <si>
    <t>Increase in accounts payable (delta DPO)</t>
  </si>
  <si>
    <t>Change in inventory (delta DIO)</t>
  </si>
  <si>
    <t>Cash from Operations</t>
  </si>
  <si>
    <t>CAPEX</t>
  </si>
  <si>
    <t>Cash from Investing</t>
  </si>
  <si>
    <t>Equity injection</t>
  </si>
  <si>
    <t>Loan (CLA)</t>
  </si>
  <si>
    <t>Compressor WC loan (draw / repay)</t>
  </si>
  <si>
    <t>Cash from Financing</t>
  </si>
  <si>
    <t>Total Change in Cash</t>
  </si>
  <si>
    <t>Beginning cash balance</t>
  </si>
  <si>
    <t>Ending Cash Balance</t>
  </si>
  <si>
    <t>BALANCE SHEET</t>
  </si>
  <si>
    <t>ASSETS</t>
  </si>
  <si>
    <t>Cash and cash equivalents</t>
  </si>
  <si>
    <t>Deferred tax assest ("carry forward")</t>
  </si>
  <si>
    <t>Accounts receivable (DSO-based)</t>
  </si>
  <si>
    <t>Inventory (DIO-based)</t>
  </si>
  <si>
    <t>Total Current Assets</t>
  </si>
  <si>
    <t xml:space="preserve">Net PP&amp;E </t>
  </si>
  <si>
    <t>Total Fixed Assets</t>
  </si>
  <si>
    <t>TOTAL ASSETS</t>
  </si>
  <si>
    <t>EQUITY &amp; LIABILITIES</t>
  </si>
  <si>
    <t>Accounts payable (DPO-based)</t>
  </si>
  <si>
    <t>Total Current Liabilities</t>
  </si>
  <si>
    <t>Compressor WC loan (supplier financing)</t>
  </si>
  <si>
    <t>Total Long-Term Liabilities</t>
  </si>
  <si>
    <t>Share capital + premium</t>
  </si>
  <si>
    <t>Cumulative equity injections</t>
  </si>
  <si>
    <t>Retained earnings (cumulative net income)</t>
  </si>
  <si>
    <t>Total Equity</t>
  </si>
  <si>
    <t>TOTAL EQUITY &amp; LIABILITIES</t>
  </si>
  <si>
    <t>CHECK  (Total Assets − Total E&amp;L  =  0)</t>
  </si>
  <si>
    <t>Cumulative turbineketels (helper)</t>
  </si>
  <si>
    <t>Tarnoc B.V. — Revenue Forecast (€, ex VAT unless noted)</t>
  </si>
  <si>
    <t>TURBINEKETEL (TTK)</t>
  </si>
  <si>
    <t>TTK units sold</t>
  </si>
  <si>
    <t>TTK Revenue</t>
  </si>
  <si>
    <t>TTK upsell</t>
  </si>
  <si>
    <t>Total TTK Revenue</t>
  </si>
  <si>
    <t>COMBI</t>
  </si>
  <si>
    <t>Combi units sold</t>
  </si>
  <si>
    <t>Combi Revenue</t>
  </si>
  <si>
    <t>Combi upsell</t>
  </si>
  <si>
    <t>Total Combi Revenue</t>
  </si>
  <si>
    <t>COMBI+</t>
  </si>
  <si>
    <t>Combi+ units sold</t>
  </si>
  <si>
    <t>Combi+ Revenue</t>
  </si>
  <si>
    <t>Combi+ upsell</t>
  </si>
  <si>
    <t>Total Combi+ Revenue</t>
  </si>
  <si>
    <t>INSTALLATION REVENUES</t>
  </si>
  <si>
    <t>Units installed</t>
  </si>
  <si>
    <t>Total Installation Revenue</t>
  </si>
  <si>
    <t>SERVICE REVENUES</t>
  </si>
  <si>
    <t>Installed base (TTK)</t>
  </si>
  <si>
    <t>Installed base (Combi)</t>
  </si>
  <si>
    <t>Installed base (Combi+)</t>
  </si>
  <si>
    <t>Total Service Revenue</t>
  </si>
  <si>
    <t>SUBSIDIES &amp; GRANTS</t>
  </si>
  <si>
    <t>All other</t>
  </si>
  <si>
    <t>Total Subsidies &amp; Grants</t>
  </si>
  <si>
    <t>TOTAL REVENUE</t>
  </si>
  <si>
    <t>Installed Base</t>
  </si>
  <si>
    <t>Tarnoc B.V. — COGS Schedule (€)</t>
  </si>
  <si>
    <t>Upsell</t>
  </si>
  <si>
    <t>Total TTK COGS</t>
  </si>
  <si>
    <t>Total Combi COGS</t>
  </si>
  <si>
    <t>Total Combi+ COGS</t>
  </si>
  <si>
    <t>INSTALLATION</t>
  </si>
  <si>
    <t>Installation COGS (pass-through, = installation revenue)</t>
  </si>
  <si>
    <t>TOTAL COGS</t>
  </si>
  <si>
    <t>Tarnoc B.V. — OPEX Forecast (€, negative = cost)</t>
  </si>
  <si>
    <t>Actual</t>
  </si>
  <si>
    <t>Projected</t>
  </si>
  <si>
    <t>PERSONNEL</t>
  </si>
  <si>
    <t>Total Personnel</t>
  </si>
  <si>
    <t>NON-PERSONNEL</t>
  </si>
  <si>
    <t>R&amp;D COSTS</t>
  </si>
  <si>
    <t>Third party cost product development</t>
  </si>
  <si>
    <t>Total R&amp;D</t>
  </si>
  <si>
    <t>SALES &amp; MARKETING</t>
  </si>
  <si>
    <t>Baseline Sales &amp; Marketting</t>
  </si>
  <si>
    <t>Sales &amp; Marketing (3rd party)</t>
  </si>
  <si>
    <t>Total S&amp;M</t>
  </si>
  <si>
    <t>G&amp;A (NON-LABOUR)</t>
  </si>
  <si>
    <t>Total G&amp;A</t>
  </si>
  <si>
    <t>Total non-personnell</t>
  </si>
  <si>
    <t>TOTAL OPEX</t>
  </si>
  <si>
    <t>R&amp;D % of Total OPEX</t>
  </si>
  <si>
    <t>S&amp;M % of Total OPEX</t>
  </si>
  <si>
    <t>G&amp;A % of Total OPEX</t>
  </si>
  <si>
    <t>PERSONNEL — Monthly Employer Cost (€)</t>
  </si>
  <si>
    <t>Name</t>
  </si>
  <si>
    <t>Dept</t>
  </si>
  <si>
    <t>Role</t>
  </si>
  <si>
    <t>Start</t>
  </si>
  <si>
    <t>End</t>
  </si>
  <si>
    <t>Monthly Cost (€)</t>
  </si>
  <si>
    <t>R&amp;D Engineer</t>
  </si>
  <si>
    <t>Field Engineer</t>
  </si>
  <si>
    <t>Current</t>
  </si>
  <si>
    <t>Project manager</t>
  </si>
  <si>
    <t>Firmware Engineer</t>
  </si>
  <si>
    <t>Mechanical Engineer</t>
  </si>
  <si>
    <t>Electrical Engineer</t>
  </si>
  <si>
    <t>CFO (part time)</t>
  </si>
  <si>
    <t>CFO</t>
  </si>
  <si>
    <t>CTO</t>
  </si>
  <si>
    <t>Head of Growth</t>
  </si>
  <si>
    <t>Growth</t>
  </si>
  <si>
    <t>CEO</t>
  </si>
  <si>
    <t>PLANNED HIRES</t>
  </si>
  <si>
    <t>New hire</t>
  </si>
  <si>
    <t>Software Engineer</t>
  </si>
  <si>
    <t>Planned</t>
  </si>
  <si>
    <t>COO</t>
  </si>
  <si>
    <t>Maintenance Engineer</t>
  </si>
  <si>
    <t>Marketing</t>
  </si>
  <si>
    <t>Sales</t>
  </si>
  <si>
    <t>Office Support</t>
  </si>
  <si>
    <t>Logistics</t>
  </si>
  <si>
    <t>Partner Manager</t>
  </si>
  <si>
    <t>Finance</t>
  </si>
  <si>
    <t>Account Manager</t>
  </si>
  <si>
    <t>Operations</t>
  </si>
  <si>
    <t xml:space="preserve">How to use this section: </t>
  </si>
  <si>
    <t xml:space="preserve">When adding an employee, follow the structure above, filling in columns A through H. Then drag the formula from the row above in column H down, and accross. Additionally, add a new employee above row 38, as the formulas below will not capture the new employee. </t>
  </si>
  <si>
    <t>SUMMARY BY DEPARTMENT</t>
  </si>
  <si>
    <t>TOTAL</t>
  </si>
  <si>
    <t>HEADCOUNT BY DEPARTMENT</t>
  </si>
  <si>
    <t>TOTAL HEADCOUNT</t>
  </si>
  <si>
    <t>Financials</t>
  </si>
  <si>
    <t>Units &amp; Revenues</t>
  </si>
  <si>
    <t>Revenues (€)</t>
  </si>
  <si>
    <t>TTK revenues</t>
  </si>
  <si>
    <t>COGS (€)</t>
  </si>
  <si>
    <t>Combi revenues</t>
  </si>
  <si>
    <t>OPEX (€)</t>
  </si>
  <si>
    <t>TTK revenues (€)</t>
  </si>
  <si>
    <t>Combi revenues (€)</t>
  </si>
  <si>
    <t>Distribution of funds</t>
  </si>
  <si>
    <t>Production/Aasembly</t>
  </si>
  <si>
    <t>Product development</t>
  </si>
  <si>
    <t>Sales &amp; Marketing</t>
  </si>
  <si>
    <t>Combi+ revenues (€)</t>
  </si>
  <si>
    <t>REVENUES (€)</t>
  </si>
  <si>
    <t>Headcount</t>
  </si>
  <si>
    <t>Revenue/FTE</t>
  </si>
  <si>
    <t>EBITDA/FTE</t>
  </si>
  <si>
    <t>EBITDA (€)</t>
  </si>
  <si>
    <t>Seed Distribution of funds</t>
  </si>
  <si>
    <t>EBT (€)</t>
  </si>
  <si>
    <t>NET INCOME (€)</t>
  </si>
  <si>
    <t>Combi+ revenues</t>
  </si>
  <si>
    <t xml:space="preserve">Combi/+ revenues total </t>
  </si>
  <si>
    <t xml:space="preserve">Combi/+ units sold total </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</si>
</sst>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0%\);\-"/>
    <numFmt numFmtId="165" formatCode="0.0%"/>
    <numFmt numFmtId="166" formatCode="#,##0;\(#,##0\);\-"/>
    <numFmt numFmtId="167" formatCode="0.00\x"/>
    <numFmt numFmtId="168" formatCode="&quot;€&quot;#,##0"/>
    <numFmt numFmtId="169" formatCode="[$€]#,##0"/>
    <numFmt numFmtId="170" formatCode="\€#,##0.00;&quot;(€&quot;#,##0.00\);\-"/>
    <numFmt numFmtId="171" formatCode="&quot;€&quot;#,##0.00"/>
    <numFmt numFmtId="172" formatCode="\€#,##0;&quot;(€&quot;#,##0\);\-"/>
    <numFmt numFmtId="173" formatCode="[$€]#,##0.00"/>
    <numFmt numFmtId="174" formatCode="mmm&quot; &quot;yyyy"/>
    <numFmt numFmtId="175" formatCode="mmm&quot;-&quot;yy"/>
    <numFmt numFmtId="176" formatCode="mmm\-yy"/>
    <numFmt numFmtId="177" formatCode="mm/dd/yyyy"/>
    <numFmt numFmtId="178" formatCode="0;0;\-"/>
  </numFmts>
  <fonts count="39">
    <font>
      <sz val="11.0"/>
      <color theme="1"/>
      <name val="Calibri"/>
      <scheme val="minor"/>
    </font>
    <font>
      <sz val="11.0"/>
      <color theme="1"/>
      <name val="Calibri"/>
    </font>
    <font>
      <color theme="1"/>
      <name val="Calibri"/>
    </font>
    <font>
      <b/>
      <sz val="20.0"/>
      <color rgb="FFFFFFFF"/>
      <name val="Arial"/>
    </font>
    <font>
      <sz val="12.0"/>
      <color rgb="FFFFFFFF"/>
      <name val="Arial"/>
    </font>
    <font>
      <sz val="9.0"/>
      <color rgb="FFFFFFFF"/>
      <name val="Arial"/>
    </font>
    <font>
      <b/>
      <sz val="10.0"/>
      <color rgb="FFFF0000"/>
      <name val="Arial"/>
    </font>
    <font>
      <sz val="11.0"/>
      <color theme="1"/>
      <name val="Geist"/>
    </font>
    <font>
      <b/>
      <sz val="11.0"/>
      <color rgb="FFFFFFFF"/>
      <name val="Geist"/>
    </font>
    <font>
      <b/>
      <sz val="11.0"/>
      <color rgb="FF000000"/>
      <name val="Geist"/>
    </font>
    <font>
      <sz val="11.0"/>
      <color rgb="FF000000"/>
      <name val="Geist"/>
    </font>
    <font>
      <b/>
      <sz val="11.0"/>
      <color rgb="FF0000FF"/>
      <name val="Geist"/>
    </font>
    <font>
      <b/>
      <sz val="11.0"/>
      <color rgb="FF999999"/>
      <name val="Geist"/>
    </font>
    <font>
      <b/>
      <sz val="11.0"/>
      <color rgb="FFCCCCCC"/>
      <name val="Geist"/>
    </font>
    <font>
      <sz val="11.0"/>
      <color rgb="FF999999"/>
      <name val="Geist"/>
    </font>
    <font>
      <sz val="10.0"/>
      <color theme="1"/>
      <name val="Geist"/>
    </font>
    <font>
      <b/>
      <sz val="10.0"/>
      <color rgb="FF000000"/>
      <name val="Geist"/>
    </font>
    <font>
      <b/>
      <sz val="10.0"/>
      <color rgb="FFFFFFFF"/>
      <name val="Geist"/>
    </font>
    <font/>
    <font>
      <sz val="10.0"/>
      <color rgb="FF0000FF"/>
      <name val="Geist"/>
    </font>
    <font>
      <sz val="10.0"/>
      <color rgb="FF000000"/>
      <name val="Geist"/>
    </font>
    <font>
      <sz val="10.0"/>
      <color rgb="FF595959"/>
      <name val="Geist"/>
    </font>
    <font>
      <b/>
      <sz val="10.0"/>
      <color rgb="FF0000FF"/>
      <name val="Geist"/>
    </font>
    <font>
      <b/>
      <sz val="10.0"/>
      <color theme="1"/>
      <name val="Geist"/>
    </font>
    <font>
      <b/>
      <color theme="1"/>
      <name val="Calibri"/>
    </font>
    <font>
      <sz val="10.0"/>
      <color rgb="FFCCCCCC"/>
      <name val="Geist"/>
    </font>
    <font>
      <i/>
      <sz val="10.0"/>
      <color rgb="FFFFFFFF"/>
      <name val="Geist"/>
    </font>
    <font>
      <sz val="10.0"/>
      <color rgb="FFFFFFFF"/>
      <name val="Geist"/>
    </font>
    <font>
      <sz val="10.0"/>
      <color rgb="FF999999"/>
      <name val="Geist"/>
    </font>
    <font>
      <b/>
      <color theme="1"/>
      <name val="Geist"/>
    </font>
    <font>
      <i/>
      <sz val="10.0"/>
      <color rgb="FFCCCCCC"/>
      <name val="Geist"/>
    </font>
    <font>
      <i/>
      <sz val="10.0"/>
      <color rgb="FF000000"/>
      <name val="Geist"/>
    </font>
    <font>
      <i/>
      <sz val="10.0"/>
      <color theme="1"/>
      <name val="Geist"/>
    </font>
    <font>
      <i/>
      <sz val="10.0"/>
      <color rgb="FF0000FF"/>
      <name val="Geist"/>
    </font>
    <font>
      <sz val="10.0"/>
      <color rgb="FF008000"/>
      <name val="Geist"/>
    </font>
    <font>
      <i/>
      <sz val="10.0"/>
      <color rgb="FF999999"/>
      <name val="Geist"/>
    </font>
    <font>
      <b/>
      <sz val="10.0"/>
      <color rgb="FF999999"/>
      <name val="Geist"/>
    </font>
    <font>
      <i/>
      <sz val="10.0"/>
      <color rgb="FF2E75B6"/>
      <name val="Geist"/>
    </font>
    <font>
      <b/>
      <i/>
      <sz val="10.0"/>
      <color theme="1"/>
      <name val="Geist"/>
    </font>
  </fonts>
  <fills count="13">
    <fill>
      <patternFill patternType="none"/>
    </fill>
    <fill>
      <patternFill patternType="lightGray"/>
    </fill>
    <fill>
      <patternFill patternType="solid">
        <fgColor rgb="FF000000"/>
        <bgColor rgb="FF000000"/>
      </patternFill>
    </fill>
    <fill>
      <patternFill patternType="solid">
        <fgColor rgb="FF233145"/>
        <bgColor rgb="FF233145"/>
      </patternFill>
    </fill>
    <fill>
      <patternFill patternType="solid">
        <fgColor rgb="FFFFF2CC"/>
        <bgColor rgb="FFFFF2CC"/>
      </patternFill>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
      <patternFill patternType="solid">
        <fgColor rgb="FFFFE599"/>
        <bgColor rgb="FFFFE599"/>
      </patternFill>
    </fill>
    <fill>
      <patternFill patternType="solid">
        <fgColor rgb="FFFFFF00"/>
        <bgColor rgb="FFFFFF00"/>
      </patternFill>
    </fill>
    <fill>
      <patternFill patternType="solid">
        <fgColor theme="1"/>
        <bgColor theme="1"/>
      </patternFill>
    </fill>
    <fill>
      <patternFill patternType="solid">
        <fgColor theme="0"/>
        <bgColor theme="0"/>
      </patternFill>
    </fill>
    <fill>
      <patternFill patternType="solid">
        <fgColor rgb="FF3A5068"/>
        <bgColor rgb="FF3A5068"/>
      </patternFill>
    </fill>
  </fills>
  <borders count="19">
    <border/>
    <border>
      <left/>
      <right/>
      <top/>
      <bottom/>
    </border>
    <border>
      <left/>
      <top/>
      <bottom/>
    </border>
    <border>
      <top/>
      <bottom/>
    </border>
    <border>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top style="thin">
        <color rgb="FFB7B7B7"/>
      </top>
      <bottom style="thin">
        <color rgb="FFB7B7B7"/>
      </bottom>
    </border>
    <border>
      <bottom style="thin">
        <color rgb="FFB7B7B7"/>
      </bottom>
    </border>
    <border>
      <left style="thin">
        <color rgb="FFFF0000"/>
      </left>
      <top style="thin">
        <color rgb="FFFF0000"/>
      </top>
      <bottom style="thin">
        <color rgb="FFFF0000"/>
      </bottom>
    </border>
    <border>
      <top style="thin">
        <color rgb="FFFF0000"/>
      </top>
      <bottom style="thin">
        <color rgb="FFFF0000"/>
      </bottom>
    </border>
    <border>
      <right style="thin">
        <color rgb="FFFF0000"/>
      </right>
      <top style="thin">
        <color rgb="FFFF0000"/>
      </top>
      <bottom style="thin">
        <color rgb="FFFF0000"/>
      </bottom>
    </border>
    <border>
      <left/>
      <right/>
      <top/>
    </border>
    <border>
      <left/>
      <right/>
      <top/>
      <bottom style="thin">
        <color rgb="FF000000"/>
      </bottom>
    </border>
  </borders>
  <cellStyleXfs count="1">
    <xf borderId="0" fillId="0" fontId="0" numFmtId="0" applyAlignment="1" applyFont="1"/>
  </cellStyleXfs>
  <cellXfs count="333">
    <xf borderId="0" fillId="0" fontId="0" numFmtId="0" xfId="0" applyAlignment="1" applyFont="1">
      <alignment readingOrder="0" shrinkToFit="0" vertical="bottom" wrapText="0"/>
    </xf>
    <xf borderId="1" fillId="2" fontId="1" numFmtId="0" xfId="0" applyBorder="1" applyFill="1" applyFont="1"/>
    <xf borderId="0" fillId="2" fontId="2" numFmtId="0" xfId="0" applyFont="1"/>
    <xf borderId="1" fillId="2" fontId="3" numFmtId="0" xfId="0" applyBorder="1" applyFont="1"/>
    <xf borderId="1" fillId="2" fontId="4" numFmtId="0" xfId="0" applyBorder="1" applyFont="1"/>
    <xf borderId="1" fillId="2" fontId="5" numFmtId="0" xfId="0" applyBorder="1" applyFont="1"/>
    <xf borderId="1" fillId="2" fontId="6" numFmtId="0" xfId="0" applyBorder="1" applyFont="1"/>
    <xf borderId="1" fillId="3" fontId="7" numFmtId="0" xfId="0" applyBorder="1" applyFill="1" applyFont="1"/>
    <xf borderId="1" fillId="3" fontId="8" numFmtId="0" xfId="0" applyBorder="1" applyFont="1"/>
    <xf borderId="0" fillId="0" fontId="7" numFmtId="0" xfId="0" applyFont="1"/>
    <xf borderId="0" fillId="0" fontId="9" numFmtId="0" xfId="0" applyFont="1"/>
    <xf borderId="1" fillId="4" fontId="9" numFmtId="0" xfId="0" applyBorder="1" applyFill="1" applyFont="1"/>
    <xf borderId="0" fillId="0" fontId="10" numFmtId="0" xfId="0" applyFont="1"/>
    <xf borderId="0" fillId="0" fontId="11" numFmtId="0" xfId="0" applyFont="1"/>
    <xf borderId="1" fillId="5" fontId="9" numFmtId="0" xfId="0" applyBorder="1" applyFill="1" applyFont="1"/>
    <xf borderId="1" fillId="6" fontId="9" numFmtId="0" xfId="0" applyBorder="1" applyFill="1" applyFont="1"/>
    <xf borderId="0" fillId="0" fontId="12" numFmtId="0" xfId="0" applyFont="1"/>
    <xf borderId="0" fillId="0" fontId="13" numFmtId="0" xfId="0" applyFont="1"/>
    <xf borderId="0" fillId="0" fontId="14" numFmtId="0" xfId="0" applyFont="1"/>
    <xf borderId="0" fillId="0" fontId="7" numFmtId="0" xfId="0" applyAlignment="1" applyFont="1">
      <alignment shrinkToFit="0" vertical="top" wrapText="1"/>
    </xf>
    <xf borderId="0" fillId="0" fontId="7" numFmtId="0" xfId="0" applyAlignment="1" applyFont="1">
      <alignment readingOrder="0" shrinkToFit="0" vertical="top" wrapText="1"/>
    </xf>
    <xf borderId="0" fillId="0" fontId="7" numFmtId="0" xfId="0" applyAlignment="1" applyFont="1">
      <alignment readingOrder="0" shrinkToFit="0" wrapText="1"/>
    </xf>
    <xf borderId="0" fillId="2" fontId="15" numFmtId="0" xfId="0" applyAlignment="1" applyFont="1">
      <alignment vertical="bottom"/>
    </xf>
    <xf borderId="0" fillId="2" fontId="16" numFmtId="0" xfId="0" applyFont="1"/>
    <xf borderId="0" fillId="2" fontId="17" numFmtId="0" xfId="0" applyFont="1"/>
    <xf borderId="0" fillId="0" fontId="15" numFmtId="0" xfId="0" applyAlignment="1" applyFont="1">
      <alignment vertical="bottom"/>
    </xf>
    <xf borderId="0" fillId="7" fontId="15" numFmtId="0" xfId="0" applyAlignment="1" applyFill="1" applyFont="1">
      <alignment vertical="bottom"/>
    </xf>
    <xf borderId="2" fillId="2" fontId="17" numFmtId="0" xfId="0" applyBorder="1" applyFont="1"/>
    <xf borderId="3" fillId="0" fontId="18" numFmtId="0" xfId="0" applyBorder="1" applyFont="1"/>
    <xf borderId="2" fillId="7" fontId="17" numFmtId="0" xfId="0" applyBorder="1" applyFont="1"/>
    <xf borderId="0" fillId="0" fontId="15" numFmtId="0" xfId="0" applyFont="1"/>
    <xf borderId="0" fillId="0" fontId="19" numFmtId="3" xfId="0" applyAlignment="1" applyFont="1" applyNumberFormat="1">
      <alignment horizontal="right" vertical="bottom"/>
    </xf>
    <xf borderId="0" fillId="4" fontId="20" numFmtId="9" xfId="0" applyAlignment="1" applyFont="1" applyNumberFormat="1">
      <alignment horizontal="right" vertical="bottom"/>
    </xf>
    <xf borderId="0" fillId="4" fontId="20" numFmtId="0" xfId="0" applyAlignment="1" applyFont="1">
      <alignment vertical="bottom"/>
    </xf>
    <xf borderId="0" fillId="4" fontId="20" numFmtId="164" xfId="0" applyAlignment="1" applyFont="1" applyNumberFormat="1">
      <alignment horizontal="right" vertical="bottom"/>
    </xf>
    <xf borderId="0" fillId="4" fontId="20" numFmtId="165" xfId="0" applyAlignment="1" applyFont="1" applyNumberFormat="1">
      <alignment horizontal="right" vertical="bottom"/>
    </xf>
    <xf borderId="0" fillId="0" fontId="17" numFmtId="0" xfId="0" applyAlignment="1" applyFont="1">
      <alignment horizontal="left" vertical="center"/>
    </xf>
    <xf borderId="0" fillId="7" fontId="15" numFmtId="0" xfId="0" applyFont="1"/>
    <xf borderId="0" fillId="7" fontId="17" numFmtId="0" xfId="0" applyFont="1"/>
    <xf borderId="1" fillId="7" fontId="20" numFmtId="3" xfId="0" applyAlignment="1" applyBorder="1" applyFont="1" applyNumberFormat="1">
      <alignment horizontal="right" vertical="center"/>
    </xf>
    <xf borderId="0" fillId="0" fontId="20" numFmtId="0" xfId="0" applyAlignment="1" applyFont="1">
      <alignment horizontal="left" vertical="center"/>
    </xf>
    <xf borderId="0" fillId="4" fontId="20" numFmtId="166" xfId="0" applyFont="1" applyNumberFormat="1"/>
    <xf borderId="0" fillId="7" fontId="20" numFmtId="3" xfId="0" applyFont="1" applyNumberFormat="1"/>
    <xf borderId="0" fillId="4" fontId="20" numFmtId="9" xfId="0" applyFont="1" applyNumberFormat="1"/>
    <xf borderId="0" fillId="2" fontId="15" numFmtId="0" xfId="0" applyFont="1"/>
    <xf borderId="0" fillId="5" fontId="16" numFmtId="0" xfId="0" applyAlignment="1" applyFont="1">
      <alignment horizontal="left" vertical="center"/>
    </xf>
    <xf borderId="0" fillId="5" fontId="16" numFmtId="0" xfId="0" applyAlignment="1" applyFont="1">
      <alignment horizontal="right" readingOrder="0" vertical="center"/>
    </xf>
    <xf borderId="0" fillId="4" fontId="20" numFmtId="3" xfId="0" applyFont="1" applyNumberFormat="1"/>
    <xf borderId="0" fillId="0" fontId="2" numFmtId="9" xfId="0" applyAlignment="1" applyFont="1" applyNumberFormat="1">
      <alignment readingOrder="0"/>
    </xf>
    <xf borderId="0" fillId="0" fontId="20" numFmtId="0" xfId="0" applyFont="1"/>
    <xf borderId="0" fillId="7" fontId="21" numFmtId="0" xfId="0" applyFont="1"/>
    <xf borderId="0" fillId="7" fontId="22" numFmtId="167" xfId="0" applyAlignment="1" applyFont="1" applyNumberFormat="1">
      <alignment horizontal="center"/>
    </xf>
    <xf borderId="0" fillId="7" fontId="20" numFmtId="0" xfId="0" applyFont="1"/>
    <xf borderId="0" fillId="0" fontId="16" numFmtId="0" xfId="0" applyAlignment="1" applyFont="1">
      <alignment horizontal="left" vertical="bottom"/>
    </xf>
    <xf borderId="0" fillId="4" fontId="20" numFmtId="168" xfId="0" applyAlignment="1" applyFont="1" applyNumberFormat="1">
      <alignment readingOrder="0"/>
    </xf>
    <xf borderId="0" fillId="0" fontId="20" numFmtId="169" xfId="0" applyFont="1" applyNumberFormat="1"/>
    <xf borderId="0" fillId="4" fontId="20" numFmtId="168" xfId="0" applyFont="1" applyNumberFormat="1"/>
    <xf borderId="0" fillId="0" fontId="20" numFmtId="168" xfId="0" applyFont="1" applyNumberFormat="1"/>
    <xf borderId="0" fillId="0" fontId="16" numFmtId="0" xfId="0" applyAlignment="1" applyFont="1">
      <alignment horizontal="left" vertical="center"/>
    </xf>
    <xf borderId="2" fillId="3" fontId="17" numFmtId="0" xfId="0" applyBorder="1" applyFont="1"/>
    <xf borderId="0" fillId="7" fontId="20" numFmtId="170" xfId="0" applyAlignment="1" applyFont="1" applyNumberFormat="1">
      <alignment horizontal="center" vertical="bottom"/>
    </xf>
    <xf borderId="0" fillId="0" fontId="23" numFmtId="0" xfId="0" applyFont="1"/>
    <xf borderId="0" fillId="7" fontId="16" numFmtId="0" xfId="0" applyFont="1"/>
    <xf borderId="0" fillId="7" fontId="16" numFmtId="0" xfId="0" applyAlignment="1" applyFont="1">
      <alignment horizontal="left" vertical="bottom"/>
    </xf>
    <xf borderId="0" fillId="7" fontId="16" numFmtId="170" xfId="0" applyAlignment="1" applyFont="1" applyNumberFormat="1">
      <alignment horizontal="left" vertical="bottom"/>
    </xf>
    <xf borderId="0" fillId="7" fontId="16" numFmtId="170" xfId="0" applyAlignment="1" applyFont="1" applyNumberFormat="1">
      <alignment horizontal="center" vertical="bottom"/>
    </xf>
    <xf borderId="0" fillId="7" fontId="20" numFmtId="0" xfId="0" applyAlignment="1" applyFont="1">
      <alignment horizontal="left" vertical="bottom"/>
    </xf>
    <xf borderId="0" fillId="7" fontId="20" numFmtId="170" xfId="0" applyAlignment="1" applyFont="1" applyNumberFormat="1">
      <alignment horizontal="left" vertical="bottom"/>
    </xf>
    <xf borderId="0" fillId="7" fontId="20" numFmtId="168" xfId="0" applyAlignment="1" applyFont="1" applyNumberFormat="1">
      <alignment horizontal="right" vertical="bottom"/>
    </xf>
    <xf borderId="0" fillId="7" fontId="16" numFmtId="0" xfId="0" applyAlignment="1" applyFont="1">
      <alignment horizontal="left" vertical="center"/>
    </xf>
    <xf borderId="0" fillId="7" fontId="16" numFmtId="0" xfId="0" applyAlignment="1" applyFont="1">
      <alignment horizontal="left"/>
    </xf>
    <xf borderId="0" fillId="7" fontId="16" numFmtId="168" xfId="0" applyFont="1" applyNumberFormat="1"/>
    <xf borderId="0" fillId="7" fontId="20" numFmtId="0" xfId="0" applyAlignment="1" applyFont="1">
      <alignment horizontal="center" vertical="bottom"/>
    </xf>
    <xf borderId="0" fillId="4" fontId="20" numFmtId="171" xfId="0" applyFont="1" applyNumberFormat="1"/>
    <xf borderId="0" fillId="7" fontId="20" numFmtId="171" xfId="0" applyAlignment="1" applyFont="1" applyNumberFormat="1">
      <alignment vertical="bottom"/>
    </xf>
    <xf borderId="0" fillId="7" fontId="20" numFmtId="0" xfId="0" applyAlignment="1" applyFont="1">
      <alignment vertical="bottom"/>
    </xf>
    <xf borderId="0" fillId="7" fontId="20" numFmtId="170" xfId="0" applyAlignment="1" applyFont="1" applyNumberFormat="1">
      <alignment horizontal="right" vertical="bottom"/>
    </xf>
    <xf borderId="0" fillId="0" fontId="16" numFmtId="170" xfId="0" applyAlignment="1" applyFont="1" applyNumberFormat="1">
      <alignment horizontal="right"/>
    </xf>
    <xf borderId="0" fillId="7" fontId="16" numFmtId="170" xfId="0" applyAlignment="1" applyFont="1" applyNumberFormat="1">
      <alignment horizontal="right"/>
    </xf>
    <xf borderId="0" fillId="7" fontId="20" numFmtId="0" xfId="0" applyAlignment="1" applyFont="1">
      <alignment horizontal="right" vertical="bottom"/>
    </xf>
    <xf borderId="0" fillId="0" fontId="20" numFmtId="0" xfId="0" applyAlignment="1" applyFont="1">
      <alignment horizontal="center"/>
    </xf>
    <xf borderId="0" fillId="7" fontId="20" numFmtId="166" xfId="0" applyAlignment="1" applyFont="1" applyNumberFormat="1">
      <alignment horizontal="center" readingOrder="0"/>
    </xf>
    <xf borderId="0" fillId="7" fontId="20" numFmtId="172" xfId="0" applyAlignment="1" applyFont="1" applyNumberFormat="1">
      <alignment horizontal="right" vertical="bottom"/>
    </xf>
    <xf borderId="0" fillId="7" fontId="20" numFmtId="166" xfId="0" applyAlignment="1" applyFont="1" applyNumberFormat="1">
      <alignment horizontal="center"/>
    </xf>
    <xf borderId="0" fillId="0" fontId="15" numFmtId="0" xfId="0" applyAlignment="1" applyFont="1">
      <alignment horizontal="center"/>
    </xf>
    <xf borderId="0" fillId="7" fontId="15" numFmtId="0" xfId="0" applyAlignment="1" applyFont="1">
      <alignment horizontal="center"/>
    </xf>
    <xf borderId="0" fillId="4" fontId="15" numFmtId="172" xfId="0" applyAlignment="1" applyFont="1" applyNumberFormat="1">
      <alignment horizontal="center"/>
    </xf>
    <xf borderId="0" fillId="7" fontId="15" numFmtId="172" xfId="0" applyAlignment="1" applyFont="1" applyNumberFormat="1">
      <alignment horizontal="center"/>
    </xf>
    <xf borderId="0" fillId="0" fontId="16" numFmtId="0" xfId="0" applyFont="1"/>
    <xf borderId="0" fillId="0" fontId="23" numFmtId="0" xfId="0" applyAlignment="1" applyFont="1">
      <alignment horizontal="center"/>
    </xf>
    <xf borderId="0" fillId="7" fontId="23" numFmtId="172" xfId="0" applyAlignment="1" applyFont="1" applyNumberFormat="1">
      <alignment horizontal="center"/>
    </xf>
    <xf borderId="0" fillId="7" fontId="23" numFmtId="0" xfId="0" applyAlignment="1" applyFont="1">
      <alignment horizontal="center"/>
    </xf>
    <xf borderId="0" fillId="7" fontId="23" numFmtId="0" xfId="0" applyFont="1"/>
    <xf borderId="0" fillId="0" fontId="24" numFmtId="0" xfId="0" applyFont="1"/>
    <xf borderId="0" fillId="0" fontId="17" numFmtId="0" xfId="0" applyFont="1"/>
    <xf borderId="0" fillId="0" fontId="15" numFmtId="172" xfId="0" applyFont="1" applyNumberFormat="1"/>
    <xf borderId="0" fillId="7" fontId="20" numFmtId="0" xfId="0" applyAlignment="1" applyFont="1">
      <alignment horizontal="center"/>
    </xf>
    <xf borderId="3" fillId="2" fontId="17" numFmtId="9" xfId="0" applyAlignment="1" applyBorder="1" applyFont="1" applyNumberFormat="1">
      <alignment readingOrder="0"/>
    </xf>
    <xf borderId="4" fillId="2" fontId="17" numFmtId="0" xfId="0" applyBorder="1" applyFont="1"/>
    <xf borderId="4" fillId="7" fontId="17" numFmtId="0" xfId="0" applyBorder="1" applyFont="1"/>
    <xf borderId="0" fillId="0" fontId="16" numFmtId="0" xfId="0" applyAlignment="1" applyFont="1">
      <alignment horizontal="right"/>
    </xf>
    <xf borderId="0" fillId="7" fontId="15" numFmtId="173" xfId="0" applyAlignment="1" applyFont="1" applyNumberFormat="1">
      <alignment horizontal="left" vertical="center"/>
    </xf>
    <xf borderId="0" fillId="7" fontId="20" numFmtId="0" xfId="0" applyAlignment="1" applyFont="1">
      <alignment horizontal="left" vertical="center"/>
    </xf>
    <xf borderId="0" fillId="7" fontId="15" numFmtId="173" xfId="0" applyFont="1" applyNumberFormat="1"/>
    <xf borderId="0" fillId="7" fontId="20" numFmtId="173" xfId="0" applyAlignment="1" applyFont="1" applyNumberFormat="1">
      <alignment horizontal="left" vertical="center"/>
    </xf>
    <xf borderId="0" fillId="0" fontId="16" numFmtId="173" xfId="0" applyAlignment="1" applyFont="1" applyNumberFormat="1">
      <alignment horizontal="left" vertical="center"/>
    </xf>
    <xf borderId="0" fillId="0" fontId="20" numFmtId="3" xfId="0" applyAlignment="1" applyFont="1" applyNumberFormat="1">
      <alignment horizontal="right"/>
    </xf>
    <xf borderId="5" fillId="7" fontId="23" numFmtId="0" xfId="0" applyAlignment="1" applyBorder="1" applyFont="1">
      <alignment horizontal="right"/>
    </xf>
    <xf borderId="6" fillId="7" fontId="23" numFmtId="0" xfId="0" applyBorder="1" applyFont="1"/>
    <xf borderId="7" fillId="7" fontId="23" numFmtId="0" xfId="0" applyAlignment="1" applyBorder="1" applyFont="1">
      <alignment horizontal="right"/>
    </xf>
    <xf borderId="0" fillId="4" fontId="20" numFmtId="3" xfId="0" applyAlignment="1" applyFont="1" applyNumberFormat="1">
      <alignment horizontal="right" readingOrder="0"/>
    </xf>
    <xf borderId="8" fillId="4" fontId="15" numFmtId="0" xfId="0" applyBorder="1" applyFont="1"/>
    <xf borderId="0" fillId="7" fontId="15" numFmtId="3" xfId="0" applyFont="1" applyNumberFormat="1"/>
    <xf borderId="9" fillId="7" fontId="15" numFmtId="0" xfId="0" applyBorder="1" applyFont="1"/>
    <xf borderId="0" fillId="4" fontId="20" numFmtId="3" xfId="0" applyAlignment="1" applyFont="1" applyNumberFormat="1">
      <alignment horizontal="right"/>
    </xf>
    <xf borderId="0" fillId="7" fontId="20" numFmtId="169" xfId="0" applyAlignment="1" applyFont="1" applyNumberFormat="1">
      <alignment horizontal="right" shrinkToFit="0" wrapText="0"/>
    </xf>
    <xf borderId="8" fillId="7" fontId="15" numFmtId="0" xfId="0" applyBorder="1" applyFont="1"/>
    <xf borderId="0" fillId="7" fontId="15" numFmtId="1" xfId="0" applyFont="1" applyNumberFormat="1"/>
    <xf borderId="9" fillId="4" fontId="15" numFmtId="9" xfId="0" applyAlignment="1" applyBorder="1" applyFont="1" applyNumberFormat="1">
      <alignment readingOrder="0"/>
    </xf>
    <xf borderId="0" fillId="7" fontId="20" numFmtId="3" xfId="0" applyAlignment="1" applyFont="1" applyNumberFormat="1">
      <alignment horizontal="right"/>
    </xf>
    <xf borderId="0" fillId="7" fontId="16" numFmtId="3" xfId="0" applyAlignment="1" applyFont="1" applyNumberFormat="1">
      <alignment horizontal="right"/>
    </xf>
    <xf borderId="0" fillId="0" fontId="25" numFmtId="0" xfId="0" applyAlignment="1" applyFont="1">
      <alignment horizontal="right"/>
    </xf>
    <xf borderId="10" fillId="7" fontId="15" numFmtId="0" xfId="0" applyBorder="1" applyFont="1"/>
    <xf borderId="11" fillId="7" fontId="15" numFmtId="1" xfId="0" applyBorder="1" applyFont="1" applyNumberFormat="1"/>
    <xf borderId="12" fillId="2" fontId="17" numFmtId="0" xfId="0" applyAlignment="1" applyBorder="1" applyFont="1">
      <alignment horizontal="left"/>
    </xf>
    <xf borderId="12" fillId="2" fontId="17" numFmtId="0" xfId="0" applyAlignment="1" applyBorder="1" applyFont="1">
      <alignment horizontal="right"/>
    </xf>
    <xf borderId="13" fillId="2" fontId="17" numFmtId="0" xfId="0" applyAlignment="1" applyBorder="1" applyFont="1">
      <alignment horizontal="right"/>
    </xf>
    <xf borderId="0" fillId="0" fontId="20" numFmtId="0" xfId="0" applyAlignment="1" applyFont="1">
      <alignment shrinkToFit="0" wrapText="0"/>
    </xf>
    <xf borderId="0" fillId="4" fontId="20" numFmtId="9" xfId="0" applyAlignment="1" applyFont="1" applyNumberFormat="1">
      <alignment horizontal="right" shrinkToFit="0" wrapText="0"/>
    </xf>
    <xf borderId="0" fillId="4" fontId="20" numFmtId="169" xfId="0" applyAlignment="1" applyFont="1" applyNumberFormat="1">
      <alignment horizontal="right" shrinkToFit="0" wrapText="0"/>
    </xf>
    <xf borderId="0" fillId="0" fontId="16" numFmtId="169" xfId="0" applyAlignment="1" applyFont="1" applyNumberFormat="1">
      <alignment horizontal="right" shrinkToFit="0" wrapText="0"/>
    </xf>
    <xf borderId="0" fillId="0" fontId="15" numFmtId="169" xfId="0" applyFont="1" applyNumberFormat="1"/>
    <xf borderId="0" fillId="7" fontId="15" numFmtId="169" xfId="0" applyFont="1" applyNumberFormat="1"/>
    <xf borderId="0" fillId="0" fontId="23" numFmtId="0" xfId="0" applyAlignment="1" applyFont="1">
      <alignment shrinkToFit="0" wrapText="0"/>
    </xf>
    <xf borderId="0" fillId="0" fontId="20" numFmtId="0" xfId="0" applyAlignment="1" applyFont="1">
      <alignment shrinkToFit="0" vertical="bottom" wrapText="0"/>
    </xf>
    <xf borderId="0" fillId="7" fontId="20" numFmtId="9" xfId="0" applyAlignment="1" applyFont="1" applyNumberFormat="1">
      <alignment horizontal="right" shrinkToFit="0" wrapText="0"/>
    </xf>
    <xf borderId="0" fillId="0" fontId="16" numFmtId="169" xfId="0" applyAlignment="1" applyFont="1" applyNumberFormat="1">
      <alignment shrinkToFit="0" vertical="bottom" wrapText="0"/>
    </xf>
    <xf borderId="0" fillId="7" fontId="20" numFmtId="0" xfId="0" applyAlignment="1" applyFont="1">
      <alignment shrinkToFit="0" wrapText="0"/>
    </xf>
    <xf borderId="0" fillId="7" fontId="16" numFmtId="169" xfId="0" applyAlignment="1" applyFont="1" applyNumberFormat="1">
      <alignment horizontal="right" shrinkToFit="0" wrapText="0"/>
    </xf>
    <xf borderId="0" fillId="0" fontId="20" numFmtId="169" xfId="0" applyAlignment="1" applyFont="1" applyNumberFormat="1">
      <alignment shrinkToFit="0" vertical="bottom" wrapText="0"/>
    </xf>
    <xf borderId="0" fillId="0" fontId="20" numFmtId="173" xfId="0" applyAlignment="1" applyFont="1" applyNumberFormat="1">
      <alignment shrinkToFit="0" vertical="bottom" wrapText="0"/>
    </xf>
    <xf quotePrefix="1" borderId="1" fillId="7" fontId="15" numFmtId="0" xfId="0" applyBorder="1" applyFont="1"/>
    <xf borderId="1" fillId="2" fontId="17" numFmtId="0" xfId="0" applyAlignment="1" applyBorder="1" applyFont="1">
      <alignment horizontal="left" vertical="center"/>
    </xf>
    <xf borderId="1" fillId="2" fontId="15" numFmtId="0" xfId="0" applyBorder="1" applyFont="1"/>
    <xf borderId="1" fillId="2" fontId="26" numFmtId="0" xfId="0" applyBorder="1" applyFont="1"/>
    <xf borderId="1" fillId="2" fontId="27" numFmtId="0" xfId="0" applyBorder="1" applyFont="1"/>
    <xf borderId="2" fillId="2" fontId="27" numFmtId="0" xfId="0" applyBorder="1" applyFont="1"/>
    <xf borderId="0" fillId="2" fontId="27" numFmtId="0" xfId="0" applyFont="1"/>
    <xf borderId="4" fillId="2" fontId="27" numFmtId="0" xfId="0" applyBorder="1" applyFont="1"/>
    <xf borderId="0" fillId="7" fontId="27" numFmtId="0" xfId="0" applyFont="1"/>
    <xf borderId="1" fillId="7" fontId="15" numFmtId="0" xfId="0" applyAlignment="1" applyBorder="1" applyFont="1">
      <alignment horizontal="right"/>
    </xf>
    <xf borderId="1" fillId="2" fontId="15" numFmtId="0" xfId="0" applyAlignment="1" applyBorder="1" applyFont="1">
      <alignment horizontal="right"/>
    </xf>
    <xf borderId="1" fillId="2" fontId="17" numFmtId="0" xfId="0" applyAlignment="1" applyBorder="1" applyFont="1">
      <alignment horizontal="right" vertical="center"/>
    </xf>
    <xf borderId="2" fillId="2" fontId="17" numFmtId="0" xfId="0" applyAlignment="1" applyBorder="1" applyFont="1">
      <alignment horizontal="right" vertical="center"/>
    </xf>
    <xf borderId="0" fillId="2" fontId="17" numFmtId="0" xfId="0" applyAlignment="1" applyFont="1">
      <alignment horizontal="right" vertical="center"/>
    </xf>
    <xf borderId="4" fillId="2" fontId="17" numFmtId="0" xfId="0" applyAlignment="1" applyBorder="1" applyFont="1">
      <alignment horizontal="right" vertical="center"/>
    </xf>
    <xf borderId="1" fillId="2" fontId="27" numFmtId="0" xfId="0" applyAlignment="1" applyBorder="1" applyFont="1">
      <alignment horizontal="right" vertical="center"/>
    </xf>
    <xf borderId="2" fillId="2" fontId="27" numFmtId="0" xfId="0" applyAlignment="1" applyBorder="1" applyFont="1">
      <alignment horizontal="right" vertical="center"/>
    </xf>
    <xf borderId="0" fillId="7" fontId="15" numFmtId="0" xfId="0" applyAlignment="1" applyFont="1">
      <alignment horizontal="right" vertical="center"/>
    </xf>
    <xf borderId="0" fillId="7" fontId="27" numFmtId="0" xfId="0" applyAlignment="1" applyFont="1">
      <alignment horizontal="right" vertical="center"/>
    </xf>
    <xf borderId="1" fillId="2" fontId="27" numFmtId="174" xfId="0" applyAlignment="1" applyBorder="1" applyFont="1" applyNumberFormat="1">
      <alignment horizontal="right" vertical="center"/>
    </xf>
    <xf borderId="1" fillId="2" fontId="17" numFmtId="0" xfId="0" applyAlignment="1" applyBorder="1" applyFont="1">
      <alignment horizontal="right"/>
    </xf>
    <xf borderId="0" fillId="7" fontId="17" numFmtId="0" xfId="0" applyAlignment="1" applyFont="1">
      <alignment horizontal="right"/>
    </xf>
    <xf borderId="0" fillId="0" fontId="15" numFmtId="3" xfId="0" applyFont="1" applyNumberFormat="1"/>
    <xf borderId="0" fillId="0" fontId="20" numFmtId="3" xfId="0" applyFont="1" applyNumberFormat="1"/>
    <xf borderId="0" fillId="0" fontId="16" numFmtId="3" xfId="0" applyAlignment="1" applyFont="1" applyNumberFormat="1">
      <alignment horizontal="left" vertical="center"/>
    </xf>
    <xf borderId="1" fillId="7" fontId="15" numFmtId="3" xfId="0" applyBorder="1" applyFont="1" applyNumberFormat="1"/>
    <xf borderId="1" fillId="6" fontId="16" numFmtId="3" xfId="0" applyBorder="1" applyFont="1" applyNumberFormat="1"/>
    <xf borderId="1" fillId="6" fontId="15" numFmtId="3" xfId="0" applyBorder="1" applyFont="1" applyNumberFormat="1"/>
    <xf borderId="2" fillId="6" fontId="15" numFmtId="3" xfId="0" applyBorder="1" applyFont="1" applyNumberFormat="1"/>
    <xf borderId="0" fillId="6" fontId="15" numFmtId="3" xfId="0" applyFont="1" applyNumberFormat="1"/>
    <xf borderId="4" fillId="6" fontId="15" numFmtId="3" xfId="0" applyBorder="1" applyFont="1" applyNumberFormat="1"/>
    <xf borderId="0" fillId="0" fontId="20" numFmtId="3" xfId="0" applyAlignment="1" applyFont="1" applyNumberFormat="1">
      <alignment horizontal="center"/>
    </xf>
    <xf borderId="1" fillId="7" fontId="27" numFmtId="3" xfId="0" applyBorder="1" applyFont="1" applyNumberFormat="1"/>
    <xf borderId="1" fillId="2" fontId="17" numFmtId="3" xfId="0" applyBorder="1" applyFont="1" applyNumberFormat="1"/>
    <xf borderId="1" fillId="2" fontId="27" numFmtId="3" xfId="0" applyBorder="1" applyFont="1" applyNumberFormat="1"/>
    <xf borderId="0" fillId="7" fontId="27" numFmtId="3" xfId="0" applyFont="1" applyNumberFormat="1"/>
    <xf borderId="2" fillId="2" fontId="17" numFmtId="3" xfId="0" applyBorder="1" applyFont="1" applyNumberFormat="1"/>
    <xf borderId="0" fillId="7" fontId="17" numFmtId="3" xfId="0" applyFont="1" applyNumberFormat="1"/>
    <xf borderId="0" fillId="0" fontId="28" numFmtId="3" xfId="0" applyFont="1" applyNumberFormat="1"/>
    <xf borderId="0" fillId="0" fontId="16" numFmtId="3" xfId="0" applyFont="1" applyNumberFormat="1"/>
    <xf borderId="0" fillId="7" fontId="16" numFmtId="3" xfId="0" applyFont="1" applyNumberFormat="1"/>
    <xf borderId="1" fillId="7" fontId="1" numFmtId="3" xfId="0" applyAlignment="1" applyBorder="1" applyFont="1" applyNumberFormat="1">
      <alignment vertical="bottom"/>
    </xf>
    <xf borderId="1" fillId="6" fontId="29" numFmtId="3" xfId="0" applyAlignment="1" applyBorder="1" applyFont="1" applyNumberFormat="1">
      <alignment readingOrder="0" vertical="bottom"/>
    </xf>
    <xf borderId="1" fillId="6" fontId="1" numFmtId="3" xfId="0" applyAlignment="1" applyBorder="1" applyFont="1" applyNumberFormat="1">
      <alignment vertical="bottom"/>
    </xf>
    <xf borderId="2" fillId="6" fontId="1" numFmtId="3" xfId="0" applyAlignment="1" applyBorder="1" applyFont="1" applyNumberFormat="1">
      <alignment vertical="bottom"/>
    </xf>
    <xf borderId="0" fillId="6" fontId="1" numFmtId="3" xfId="0" applyAlignment="1" applyFont="1" applyNumberFormat="1">
      <alignment vertical="bottom"/>
    </xf>
    <xf borderId="4" fillId="6" fontId="1" numFmtId="3" xfId="0" applyAlignment="1" applyBorder="1" applyFont="1" applyNumberFormat="1">
      <alignment vertical="bottom"/>
    </xf>
    <xf borderId="0" fillId="7" fontId="1" numFmtId="3" xfId="0" applyAlignment="1" applyFont="1" applyNumberFormat="1">
      <alignment vertical="bottom"/>
    </xf>
    <xf borderId="0" fillId="7" fontId="15" numFmtId="9" xfId="0" applyFont="1" applyNumberFormat="1"/>
    <xf borderId="0" fillId="0" fontId="28" numFmtId="9" xfId="0" applyFont="1" applyNumberFormat="1"/>
    <xf borderId="0" fillId="0" fontId="15" numFmtId="9" xfId="0" applyFont="1" applyNumberFormat="1"/>
    <xf borderId="0" fillId="7" fontId="28" numFmtId="9" xfId="0" applyFont="1" applyNumberFormat="1"/>
    <xf borderId="1" fillId="5" fontId="16" numFmtId="3" xfId="0" applyBorder="1" applyFont="1" applyNumberFormat="1"/>
    <xf borderId="1" fillId="5" fontId="15" numFmtId="3" xfId="0" applyBorder="1" applyFont="1" applyNumberFormat="1"/>
    <xf borderId="1" fillId="5" fontId="23" numFmtId="3" xfId="0" applyBorder="1" applyFont="1" applyNumberFormat="1"/>
    <xf borderId="2" fillId="5" fontId="16" numFmtId="3" xfId="0" applyBorder="1" applyFont="1" applyNumberFormat="1"/>
    <xf borderId="0" fillId="5" fontId="16" numFmtId="3" xfId="0" applyFont="1" applyNumberFormat="1"/>
    <xf borderId="4" fillId="5" fontId="16" numFmtId="3" xfId="0" applyBorder="1" applyFont="1" applyNumberFormat="1"/>
    <xf borderId="0" fillId="7" fontId="15" numFmtId="10" xfId="0" applyFont="1" applyNumberFormat="1"/>
    <xf borderId="0" fillId="0" fontId="28" numFmtId="10" xfId="0" applyFont="1" applyNumberFormat="1"/>
    <xf borderId="0" fillId="0" fontId="15" numFmtId="10" xfId="0" applyFont="1" applyNumberFormat="1"/>
    <xf borderId="0" fillId="7" fontId="28" numFmtId="10" xfId="0" applyFont="1" applyNumberFormat="1"/>
    <xf borderId="0" fillId="0" fontId="28" numFmtId="0" xfId="0" applyFont="1"/>
    <xf borderId="0" fillId="0" fontId="30" numFmtId="0" xfId="0" applyFont="1"/>
    <xf borderId="0" fillId="0" fontId="30" numFmtId="3" xfId="0" applyFont="1" applyNumberFormat="1"/>
    <xf borderId="0" fillId="0" fontId="19" numFmtId="3" xfId="0" applyFont="1" applyNumberFormat="1"/>
    <xf borderId="0" fillId="8" fontId="20" numFmtId="3" xfId="0" applyFill="1" applyFont="1" applyNumberFormat="1"/>
    <xf borderId="0" fillId="8" fontId="20" numFmtId="3" xfId="0" applyAlignment="1" applyFont="1" applyNumberFormat="1">
      <alignment readingOrder="0"/>
    </xf>
    <xf borderId="1" fillId="8" fontId="20" numFmtId="3" xfId="0" applyBorder="1" applyFont="1" applyNumberFormat="1"/>
    <xf borderId="0" fillId="0" fontId="15" numFmtId="3" xfId="0" applyAlignment="1" applyFont="1" applyNumberFormat="1">
      <alignment readingOrder="0"/>
    </xf>
    <xf borderId="0" fillId="0" fontId="25" numFmtId="3" xfId="0" applyFont="1" applyNumberFormat="1"/>
    <xf borderId="0" fillId="7" fontId="25" numFmtId="3" xfId="0" applyFont="1" applyNumberFormat="1"/>
    <xf borderId="1" fillId="2" fontId="27" numFmtId="0" xfId="0" applyAlignment="1" applyBorder="1" applyFont="1">
      <alignment horizontal="right"/>
    </xf>
    <xf borderId="0" fillId="0" fontId="15" numFmtId="0" xfId="0" applyAlignment="1" applyFont="1">
      <alignment horizontal="right" vertical="center"/>
    </xf>
    <xf borderId="0" fillId="7" fontId="17" numFmtId="0" xfId="0" applyAlignment="1" applyFont="1">
      <alignment horizontal="right" vertical="center"/>
    </xf>
    <xf borderId="0" fillId="0" fontId="27" numFmtId="3" xfId="0" applyFont="1" applyNumberFormat="1"/>
    <xf borderId="1" fillId="6" fontId="15" numFmtId="0" xfId="0" applyBorder="1" applyFont="1"/>
    <xf borderId="1" fillId="6" fontId="23" numFmtId="0" xfId="0" applyBorder="1" applyFont="1"/>
    <xf borderId="0" fillId="0" fontId="31" numFmtId="3" xfId="0" applyFont="1" applyNumberFormat="1"/>
    <xf borderId="0" fillId="9" fontId="31" numFmtId="3" xfId="0" applyFill="1" applyFont="1" applyNumberFormat="1"/>
    <xf borderId="1" fillId="6" fontId="16" numFmtId="0" xfId="0" applyBorder="1" applyFont="1"/>
    <xf borderId="0" fillId="0" fontId="23" numFmtId="3" xfId="0" applyFont="1" applyNumberFormat="1"/>
    <xf borderId="0" fillId="6" fontId="23" numFmtId="3" xfId="0" applyFont="1" applyNumberFormat="1"/>
    <xf borderId="0" fillId="7" fontId="23" numFmtId="3" xfId="0" applyFont="1" applyNumberFormat="1"/>
    <xf borderId="0" fillId="0" fontId="2" numFmtId="3" xfId="0" applyFont="1" applyNumberFormat="1"/>
    <xf borderId="0" fillId="0" fontId="32" numFmtId="0" xfId="0" applyFont="1"/>
    <xf borderId="0" fillId="0" fontId="31" numFmtId="0" xfId="0" applyFont="1"/>
    <xf borderId="0" fillId="0" fontId="33" numFmtId="3" xfId="0" applyFont="1" applyNumberFormat="1"/>
    <xf borderId="0" fillId="0" fontId="32" numFmtId="3" xfId="0" applyFont="1" applyNumberFormat="1"/>
    <xf borderId="0" fillId="7" fontId="32" numFmtId="3" xfId="0" applyFont="1" applyNumberFormat="1"/>
    <xf borderId="0" fillId="7" fontId="15" numFmtId="3" xfId="0" applyAlignment="1" applyFont="1" applyNumberFormat="1">
      <alignment readingOrder="0"/>
    </xf>
    <xf borderId="0" fillId="9" fontId="32" numFmtId="3" xfId="0" applyFont="1" applyNumberFormat="1"/>
    <xf borderId="0" fillId="0" fontId="20" numFmtId="3" xfId="0" applyAlignment="1" applyFont="1" applyNumberFormat="1">
      <alignment readingOrder="0"/>
    </xf>
    <xf borderId="1" fillId="5" fontId="16" numFmtId="0" xfId="0" applyBorder="1" applyFont="1"/>
    <xf borderId="1" fillId="5" fontId="23" numFmtId="0" xfId="0" applyBorder="1" applyFont="1"/>
    <xf borderId="0" fillId="5" fontId="23" numFmtId="3" xfId="0" applyFont="1" applyNumberFormat="1"/>
    <xf borderId="1" fillId="10" fontId="15" numFmtId="0" xfId="0" applyBorder="1" applyFill="1" applyFont="1"/>
    <xf borderId="1" fillId="10" fontId="17" numFmtId="0" xfId="0" applyAlignment="1" applyBorder="1" applyFont="1">
      <alignment horizontal="left" vertical="center"/>
    </xf>
    <xf borderId="1" fillId="10" fontId="17" numFmtId="3" xfId="0" applyBorder="1" applyFont="1" applyNumberFormat="1"/>
    <xf borderId="1" fillId="2" fontId="17" numFmtId="0" xfId="0" applyAlignment="1" applyBorder="1" applyFont="1">
      <alignment horizontal="center" vertical="center"/>
    </xf>
    <xf borderId="1" fillId="2" fontId="17" numFmtId="0" xfId="0" applyBorder="1" applyFont="1"/>
    <xf borderId="0" fillId="0" fontId="20" numFmtId="172" xfId="0" applyFont="1" applyNumberFormat="1"/>
    <xf borderId="0" fillId="0" fontId="20" numFmtId="0" xfId="0" applyAlignment="1" applyFont="1">
      <alignment readingOrder="0"/>
    </xf>
    <xf borderId="0" fillId="6" fontId="16" numFmtId="0" xfId="0" applyFont="1"/>
    <xf borderId="0" fillId="6" fontId="23" numFmtId="0" xfId="0" applyFont="1"/>
    <xf borderId="0" fillId="6" fontId="16" numFmtId="3" xfId="0" applyFont="1" applyNumberFormat="1"/>
    <xf borderId="0" fillId="2" fontId="17" numFmtId="3" xfId="0" applyFont="1" applyNumberFormat="1"/>
    <xf borderId="0" fillId="11" fontId="15" numFmtId="3" xfId="0" applyFill="1" applyFont="1" applyNumberFormat="1"/>
    <xf borderId="1" fillId="7" fontId="15" numFmtId="0" xfId="0" applyBorder="1" applyFont="1"/>
    <xf borderId="1" fillId="2" fontId="15" numFmtId="0" xfId="0" applyAlignment="1" applyBorder="1" applyFont="1">
      <alignment horizontal="center"/>
    </xf>
    <xf borderId="1" fillId="2" fontId="15" numFmtId="3" xfId="0" applyBorder="1" applyFont="1" applyNumberFormat="1"/>
    <xf borderId="1" fillId="2" fontId="17" numFmtId="3" xfId="0" applyAlignment="1" applyBorder="1" applyFont="1" applyNumberFormat="1">
      <alignment horizontal="right" vertical="center"/>
    </xf>
    <xf borderId="1" fillId="2" fontId="27" numFmtId="3" xfId="0" applyAlignment="1" applyBorder="1" applyFont="1" applyNumberFormat="1">
      <alignment horizontal="right"/>
    </xf>
    <xf borderId="1" fillId="6" fontId="16" numFmtId="0" xfId="0" applyAlignment="1" applyBorder="1" applyFont="1">
      <alignment horizontal="left" vertical="center"/>
    </xf>
    <xf borderId="1" fillId="6" fontId="16" numFmtId="3" xfId="0" applyAlignment="1" applyBorder="1" applyFont="1" applyNumberFormat="1">
      <alignment horizontal="left" vertical="center"/>
    </xf>
    <xf borderId="0" fillId="0" fontId="28" numFmtId="0" xfId="0" applyAlignment="1" applyFont="1">
      <alignment horizontal="center" vertical="center"/>
    </xf>
    <xf borderId="0" fillId="0" fontId="34" numFmtId="3" xfId="0" applyAlignment="1" applyFont="1" applyNumberFormat="1">
      <alignment horizontal="right" vertical="center"/>
    </xf>
    <xf borderId="0" fillId="0" fontId="20" numFmtId="3" xfId="0" applyAlignment="1" applyFont="1" applyNumberFormat="1">
      <alignment horizontal="right" vertical="center"/>
    </xf>
    <xf borderId="0" fillId="0" fontId="27" numFmtId="3" xfId="0" applyAlignment="1" applyFont="1" applyNumberFormat="1">
      <alignment horizontal="right" vertical="center"/>
    </xf>
    <xf borderId="0" fillId="0" fontId="34" numFmtId="166" xfId="0" applyAlignment="1" applyFont="1" applyNumberFormat="1">
      <alignment horizontal="right" vertical="center"/>
    </xf>
    <xf borderId="1" fillId="2" fontId="17" numFmtId="166" xfId="0" applyAlignment="1" applyBorder="1" applyFont="1" applyNumberFormat="1">
      <alignment horizontal="right" vertical="center"/>
    </xf>
    <xf borderId="0" fillId="6" fontId="15" numFmtId="0" xfId="0" applyFont="1"/>
    <xf borderId="1" fillId="6" fontId="15" numFmtId="0" xfId="0" applyAlignment="1" applyBorder="1" applyFont="1">
      <alignment horizontal="center"/>
    </xf>
    <xf borderId="0" fillId="0" fontId="28" numFmtId="0" xfId="0" applyAlignment="1" applyFont="1">
      <alignment horizontal="center"/>
    </xf>
    <xf borderId="0" fillId="0" fontId="20" numFmtId="173" xfId="0" applyFont="1" applyNumberFormat="1"/>
    <xf borderId="0" fillId="0" fontId="20" numFmtId="3" xfId="0" applyAlignment="1" applyFont="1" applyNumberFormat="1">
      <alignment horizontal="right" readingOrder="0" vertical="center"/>
    </xf>
    <xf borderId="1" fillId="5" fontId="15" numFmtId="0" xfId="0" applyBorder="1" applyFont="1"/>
    <xf borderId="1" fillId="5" fontId="15" numFmtId="0" xfId="0" applyAlignment="1" applyBorder="1" applyFont="1">
      <alignment horizontal="center"/>
    </xf>
    <xf borderId="1" fillId="5" fontId="16" numFmtId="172" xfId="0" applyBorder="1" applyFont="1" applyNumberFormat="1"/>
    <xf borderId="1" fillId="7" fontId="17" numFmtId="0" xfId="0" applyBorder="1" applyFont="1"/>
    <xf borderId="1" fillId="2" fontId="17" numFmtId="0" xfId="0" applyAlignment="1" applyBorder="1" applyFont="1">
      <alignment horizontal="center"/>
    </xf>
    <xf borderId="0" fillId="7" fontId="17" numFmtId="0" xfId="0" applyAlignment="1" applyFont="1">
      <alignment horizontal="left" vertical="center"/>
    </xf>
    <xf borderId="0" fillId="7" fontId="17" numFmtId="0" xfId="0" applyAlignment="1" applyFont="1">
      <alignment horizontal="center"/>
    </xf>
    <xf borderId="0" fillId="7" fontId="17" numFmtId="166" xfId="0" applyAlignment="1" applyFont="1" applyNumberFormat="1">
      <alignment horizontal="right" vertical="center"/>
    </xf>
    <xf borderId="0" fillId="7" fontId="17" numFmtId="3" xfId="0" applyAlignment="1" applyFont="1" applyNumberFormat="1">
      <alignment horizontal="right" vertical="center"/>
    </xf>
    <xf borderId="0" fillId="0" fontId="35" numFmtId="0" xfId="0" applyFont="1"/>
    <xf borderId="0" fillId="0" fontId="35" numFmtId="9" xfId="0" applyFont="1" applyNumberFormat="1"/>
    <xf borderId="0" fillId="0" fontId="36" numFmtId="0" xfId="0" applyFont="1"/>
    <xf borderId="0" fillId="2" fontId="27" numFmtId="0" xfId="0" applyAlignment="1" applyFont="1">
      <alignment vertical="bottom"/>
    </xf>
    <xf borderId="0" fillId="7" fontId="15" numFmtId="49" xfId="0" applyAlignment="1" applyFont="1" applyNumberFormat="1">
      <alignment horizontal="right" vertical="bottom"/>
    </xf>
    <xf borderId="1" fillId="7" fontId="23" numFmtId="0" xfId="0" applyAlignment="1" applyBorder="1" applyFont="1">
      <alignment vertical="bottom"/>
    </xf>
    <xf borderId="1" fillId="7" fontId="15" numFmtId="0" xfId="0" applyAlignment="1" applyBorder="1" applyFont="1">
      <alignment vertical="bottom"/>
    </xf>
    <xf borderId="1" fillId="8" fontId="20" numFmtId="175" xfId="0" applyAlignment="1" applyBorder="1" applyFont="1" applyNumberFormat="1">
      <alignment horizontal="right" vertical="bottom"/>
    </xf>
    <xf borderId="0" fillId="8" fontId="19" numFmtId="176" xfId="0" applyAlignment="1" applyFont="1" applyNumberFormat="1">
      <alignment vertical="bottom"/>
    </xf>
    <xf borderId="1" fillId="8" fontId="20" numFmtId="166" xfId="0" applyAlignment="1" applyBorder="1" applyFont="1" applyNumberFormat="1">
      <alignment horizontal="right" vertical="bottom"/>
    </xf>
    <xf borderId="0" fillId="7" fontId="15" numFmtId="3" xfId="0" applyAlignment="1" applyFont="1" applyNumberFormat="1">
      <alignment horizontal="right" vertical="bottom"/>
    </xf>
    <xf borderId="0" fillId="7" fontId="15" numFmtId="3" xfId="0" applyAlignment="1" applyFont="1" applyNumberFormat="1">
      <alignment vertical="bottom"/>
    </xf>
    <xf borderId="1" fillId="7" fontId="15" numFmtId="0" xfId="0" applyAlignment="1" applyBorder="1" applyFont="1">
      <alignment horizontal="right" vertical="bottom"/>
    </xf>
    <xf borderId="1" fillId="7" fontId="15" numFmtId="177" xfId="0" applyAlignment="1" applyBorder="1" applyFont="1" applyNumberFormat="1">
      <alignment vertical="bottom"/>
    </xf>
    <xf borderId="1" fillId="8" fontId="15" numFmtId="176" xfId="0" applyAlignment="1" applyBorder="1" applyFont="1" applyNumberFormat="1">
      <alignment vertical="bottom"/>
    </xf>
    <xf borderId="1" fillId="7" fontId="15" numFmtId="3" xfId="0" applyAlignment="1" applyBorder="1" applyFont="1" applyNumberFormat="1">
      <alignment horizontal="right" vertical="bottom"/>
    </xf>
    <xf borderId="0" fillId="7" fontId="15" numFmtId="0" xfId="0" applyAlignment="1" applyFont="1">
      <alignment horizontal="right" vertical="bottom"/>
    </xf>
    <xf borderId="0" fillId="7" fontId="15" numFmtId="177" xfId="0" applyAlignment="1" applyFont="1" applyNumberFormat="1">
      <alignment vertical="bottom"/>
    </xf>
    <xf borderId="0" fillId="8" fontId="15" numFmtId="176" xfId="0" applyAlignment="1" applyFont="1" applyNumberFormat="1">
      <alignment vertical="bottom"/>
    </xf>
    <xf borderId="0" fillId="7" fontId="23" numFmtId="0" xfId="0" applyAlignment="1" applyFont="1">
      <alignment vertical="bottom"/>
    </xf>
    <xf borderId="0" fillId="8" fontId="19" numFmtId="176" xfId="0" applyAlignment="1" applyFont="1" applyNumberFormat="1">
      <alignment horizontal="right" vertical="bottom"/>
    </xf>
    <xf borderId="3" fillId="2" fontId="17" numFmtId="0" xfId="0" applyBorder="1" applyFont="1"/>
    <xf borderId="0" fillId="0" fontId="2" numFmtId="0" xfId="0" applyAlignment="1" applyFont="1">
      <alignment readingOrder="0"/>
    </xf>
    <xf borderId="1" fillId="7" fontId="20" numFmtId="0" xfId="0" applyAlignment="1" applyBorder="1" applyFont="1">
      <alignment vertical="bottom"/>
    </xf>
    <xf borderId="1" fillId="8" fontId="20" numFmtId="175" xfId="0" applyAlignment="1" applyBorder="1" applyFont="1" applyNumberFormat="1">
      <alignment horizontal="right" readingOrder="0" vertical="bottom"/>
    </xf>
    <xf borderId="1" fillId="8" fontId="20" numFmtId="176" xfId="0" applyAlignment="1" applyBorder="1" applyFont="1" applyNumberFormat="1">
      <alignment vertical="bottom"/>
    </xf>
    <xf borderId="0" fillId="8" fontId="20" numFmtId="176" xfId="0" applyAlignment="1" applyFont="1" applyNumberFormat="1">
      <alignment vertical="bottom"/>
    </xf>
    <xf borderId="0" fillId="0" fontId="2" numFmtId="0" xfId="0" applyFont="1"/>
    <xf borderId="0" fillId="7" fontId="37" numFmtId="0" xfId="0" applyAlignment="1" applyFont="1">
      <alignment vertical="bottom"/>
    </xf>
    <xf borderId="0" fillId="7" fontId="34" numFmtId="176" xfId="0" applyAlignment="1" applyFont="1" applyNumberFormat="1">
      <alignment horizontal="right" vertical="bottom"/>
    </xf>
    <xf borderId="0" fillId="7" fontId="15" numFmtId="176" xfId="0" applyAlignment="1" applyFont="1" applyNumberFormat="1">
      <alignment vertical="bottom"/>
    </xf>
    <xf borderId="0" fillId="7" fontId="34" numFmtId="166" xfId="0" applyAlignment="1" applyFont="1" applyNumberFormat="1">
      <alignment horizontal="right" vertical="bottom"/>
    </xf>
    <xf borderId="0" fillId="0" fontId="32" numFmtId="0" xfId="0" applyAlignment="1" applyFont="1">
      <alignment vertical="bottom"/>
    </xf>
    <xf borderId="0" fillId="0" fontId="38" numFmtId="0" xfId="0" applyAlignment="1" applyFont="1">
      <alignment vertical="bottom"/>
    </xf>
    <xf borderId="14" fillId="0" fontId="32" numFmtId="0" xfId="0" applyAlignment="1" applyBorder="1" applyFont="1">
      <alignment shrinkToFit="0" vertical="bottom" wrapText="1"/>
    </xf>
    <xf borderId="15" fillId="0" fontId="18" numFmtId="0" xfId="0" applyBorder="1" applyFont="1"/>
    <xf borderId="16" fillId="0" fontId="18" numFmtId="0" xfId="0" applyBorder="1" applyFont="1"/>
    <xf borderId="0" fillId="5" fontId="15" numFmtId="3" xfId="0" applyAlignment="1" applyFont="1" applyNumberFormat="1">
      <alignment vertical="bottom"/>
    </xf>
    <xf borderId="1" fillId="5" fontId="23" numFmtId="3" xfId="0" applyAlignment="1" applyBorder="1" applyFont="1" applyNumberFormat="1">
      <alignment vertical="bottom"/>
    </xf>
    <xf borderId="1" fillId="5" fontId="15" numFmtId="3" xfId="0" applyAlignment="1" applyBorder="1" applyFont="1" applyNumberFormat="1">
      <alignment horizontal="right" vertical="bottom"/>
    </xf>
    <xf borderId="17" fillId="5" fontId="23" numFmtId="3" xfId="0" applyAlignment="1" applyBorder="1" applyFont="1" applyNumberFormat="1">
      <alignment vertical="bottom"/>
    </xf>
    <xf borderId="17" fillId="5" fontId="15" numFmtId="3" xfId="0" applyAlignment="1" applyBorder="1" applyFont="1" applyNumberFormat="1">
      <alignment horizontal="right" vertical="bottom"/>
    </xf>
    <xf borderId="11" fillId="2" fontId="15" numFmtId="0" xfId="0" applyAlignment="1" applyBorder="1" applyFont="1">
      <alignment vertical="bottom"/>
    </xf>
    <xf borderId="11" fillId="2" fontId="17" numFmtId="0" xfId="0" applyAlignment="1" applyBorder="1" applyFont="1">
      <alignment vertical="bottom"/>
    </xf>
    <xf borderId="11" fillId="2" fontId="17" numFmtId="166" xfId="0" applyAlignment="1" applyBorder="1" applyFont="1" applyNumberFormat="1">
      <alignment horizontal="right" vertical="bottom"/>
    </xf>
    <xf borderId="0" fillId="5" fontId="15" numFmtId="178" xfId="0" applyAlignment="1" applyFont="1" applyNumberFormat="1">
      <alignment vertical="bottom"/>
    </xf>
    <xf borderId="1" fillId="5" fontId="23" numFmtId="178" xfId="0" applyAlignment="1" applyBorder="1" applyFont="1" applyNumberFormat="1">
      <alignment vertical="bottom"/>
    </xf>
    <xf borderId="1" fillId="5" fontId="15" numFmtId="178" xfId="0" applyAlignment="1" applyBorder="1" applyFont="1" applyNumberFormat="1">
      <alignment horizontal="right" vertical="bottom"/>
    </xf>
    <xf borderId="18" fillId="2" fontId="17" numFmtId="0" xfId="0" applyAlignment="1" applyBorder="1" applyFont="1">
      <alignment vertical="bottom"/>
    </xf>
    <xf borderId="18" fillId="2" fontId="17" numFmtId="178" xfId="0" applyAlignment="1" applyBorder="1" applyFont="1" applyNumberFormat="1">
      <alignment horizontal="right" vertical="bottom"/>
    </xf>
    <xf borderId="11" fillId="2" fontId="15" numFmtId="0" xfId="0" applyBorder="1" applyFont="1"/>
    <xf borderId="1" fillId="3" fontId="27" numFmtId="0" xfId="0" applyBorder="1" applyFont="1"/>
    <xf borderId="1" fillId="3" fontId="17" numFmtId="0" xfId="0" applyAlignment="1" applyBorder="1" applyFont="1">
      <alignment horizontal="left" vertical="center"/>
    </xf>
    <xf borderId="1" fillId="3" fontId="17" numFmtId="0" xfId="0" applyAlignment="1" applyBorder="1" applyFont="1">
      <alignment horizontal="center" vertical="center"/>
    </xf>
    <xf borderId="1" fillId="12" fontId="17" numFmtId="0" xfId="0" applyAlignment="1" applyBorder="1" applyFill="1" applyFont="1">
      <alignment horizontal="center" vertical="center"/>
    </xf>
    <xf borderId="0" fillId="0" fontId="27" numFmtId="0" xfId="0" applyAlignment="1" applyFont="1">
      <alignment horizontal="center" vertical="center"/>
    </xf>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'Dasboard (FOR PITCHDECK)'!$S$3</c:f>
            </c:strRef>
          </c:tx>
          <c:spPr>
            <a:solidFill>
              <a:schemeClr val="lt1"/>
            </a:solidFill>
            <a:ln cmpd="sng">
              <a:noFill/>
            </a:ln>
          </c:spPr>
          <c:cat>
            <c:strRef>
              <c:f>'Dasboard (FOR PITCHDECK)'!$T$2:$W$2</c:f>
            </c:strRef>
          </c:cat>
          <c:val>
            <c:numRef>
              <c:f>'Dasboard (FOR PITCHDECK)'!$T$3:$W$3</c:f>
              <c:numCache/>
            </c:numRef>
          </c:val>
        </c:ser>
        <c:ser>
          <c:idx val="1"/>
          <c:order val="1"/>
          <c:tx>
            <c:strRef>
              <c:f>'Dasboard (FOR PITCHDECK)'!$S$4</c:f>
            </c:strRef>
          </c:tx>
          <c:spPr>
            <a:solidFill>
              <a:srgbClr val="DF5B0E"/>
            </a:solidFill>
            <a:ln cmpd="sng">
              <a:noFill/>
            </a:ln>
          </c:spPr>
          <c:cat>
            <c:strRef>
              <c:f>'Dasboard (FOR PITCHDECK)'!$T$2:$W$2</c:f>
            </c:strRef>
          </c:cat>
          <c:val>
            <c:numRef>
              <c:f>'Dasboard (FOR PITCHDECK)'!$T$4:$W$4</c:f>
              <c:numCache/>
            </c:numRef>
          </c:val>
        </c:ser>
        <c:overlap val="100"/>
        <c:axId val="713269763"/>
        <c:axId val="1978185009"/>
      </c:barChart>
      <c:catAx>
        <c:axId val="7132697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978185009"/>
      </c:catAx>
      <c:valAx>
        <c:axId val="19781850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713269763"/>
      </c:valAx>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spPr>
            <a:solidFill>
              <a:schemeClr val="accent1"/>
            </a:solidFill>
            <a:ln cmpd="sng">
              <a:noFill/>
            </a:ln>
          </c:spPr>
          <c:val>
            <c:numRef>
              <c:f>'Dasboard (FOR PITCHDECK)'!$S$2:$V$2</c:f>
              <c:numCache/>
            </c:numRef>
          </c:val>
        </c:ser>
        <c:ser>
          <c:idx val="1"/>
          <c:order val="1"/>
          <c:spPr>
            <a:solidFill>
              <a:srgbClr val="E63211"/>
            </a:solidFill>
            <a:ln cmpd="sng">
              <a:noFill/>
            </a:ln>
          </c:spPr>
          <c:dLbls>
            <c:numFmt formatCode="General" sourceLinked="1"/>
            <c:txPr>
              <a:bodyPr/>
              <a:lstStyle/>
              <a:p>
                <a:pPr lvl="0">
                  <a:defRPr b="1" i="0"/>
                </a:pPr>
              </a:p>
            </c:txPr>
            <c:showLegendKey val="0"/>
            <c:showVal val="1"/>
            <c:showCatName val="0"/>
            <c:showSerName val="0"/>
            <c:showPercent val="0"/>
            <c:showBubbleSize val="0"/>
          </c:dLbls>
          <c:val>
            <c:numRef>
              <c:f>'Dasboard (FOR PITCHDECK)'!$S$3:$V$3</c:f>
              <c:numCache/>
            </c:numRef>
          </c:val>
        </c:ser>
        <c:ser>
          <c:idx val="2"/>
          <c:order val="2"/>
          <c:spPr>
            <a:solidFill>
              <a:srgbClr val="F68F65"/>
            </a:solidFill>
            <a:ln cmpd="sng">
              <a:noFill/>
            </a:ln>
          </c:spPr>
          <c:dLbls>
            <c:numFmt formatCode="General" sourceLinked="1"/>
            <c:txPr>
              <a:bodyPr/>
              <a:lstStyle/>
              <a:p>
                <a:pPr lvl="0">
                  <a:defRPr b="1" i="0"/>
                </a:pPr>
              </a:p>
            </c:txPr>
            <c:showLegendKey val="0"/>
            <c:showVal val="1"/>
            <c:showCatName val="0"/>
            <c:showSerName val="0"/>
            <c:showPercent val="0"/>
            <c:showBubbleSize val="0"/>
          </c:dLbls>
          <c:val>
            <c:numRef>
              <c:f>'Dasboard (FOR PITCHDECK)'!$S$4:$V$4</c:f>
              <c:numCache/>
            </c:numRef>
          </c:val>
        </c:ser>
        <c:overlap val="100"/>
        <c:axId val="1527065941"/>
        <c:axId val="655088586"/>
      </c:barChart>
      <c:catAx>
        <c:axId val="15270659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655088586"/>
      </c:catAx>
      <c:valAx>
        <c:axId val="6550885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527065941"/>
      </c:valAx>
    </c:plotArea>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FF6503"/>
              </a:solidFill>
            </c:spPr>
          </c:dPt>
          <c:dLbls>
            <c:showLegendKey val="0"/>
            <c:showVal val="0"/>
            <c:showCatName val="0"/>
            <c:showSerName val="0"/>
            <c:showPercent val="0"/>
            <c:showBubbleSize val="0"/>
            <c:showLeaderLines val="1"/>
          </c:dLbls>
          <c:val>
            <c:numRef>
              <c:f>'Dasboard (FOR PITCHDECK)'!$V$7:$X$7</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E63211"/>
              </a:solidFill>
            </a:ln>
          </c:spPr>
          <c:marker>
            <c:symbol val="circle"/>
            <c:size val="10"/>
            <c:spPr>
              <a:solidFill>
                <a:srgbClr val="E63211"/>
              </a:solidFill>
              <a:ln cmpd="sng">
                <a:solidFill>
                  <a:srgbClr val="E63211"/>
                </a:solidFill>
              </a:ln>
            </c:spPr>
          </c:marker>
          <c:dLbls>
            <c:numFmt formatCode="General" sourceLinked="1"/>
            <c:txPr>
              <a:bodyPr/>
              <a:lstStyle/>
              <a:p>
                <a:pPr lvl="0">
                  <a:defRPr b="1" i="0"/>
                </a:pPr>
              </a:p>
            </c:txPr>
            <c:showLegendKey val="0"/>
            <c:showVal val="1"/>
            <c:showCatName val="0"/>
            <c:showSerName val="0"/>
            <c:showPercent val="0"/>
            <c:showBubbleSize val="0"/>
          </c:dLbls>
          <c:cat>
            <c:strRef>
              <c:f>'Dasboard (FOR PITCHDECK)'!$M$2:$P$2</c:f>
            </c:strRef>
          </c:cat>
          <c:val>
            <c:numRef>
              <c:f>'Dasboard (FOR PITCHDECK)'!$M$3:$P$3</c:f>
              <c:numCache/>
            </c:numRef>
          </c:val>
          <c:smooth val="0"/>
        </c:ser>
        <c:ser>
          <c:idx val="1"/>
          <c:order val="1"/>
          <c:spPr>
            <a:ln cmpd="sng">
              <a:solidFill>
                <a:srgbClr val="CCCCCC"/>
              </a:solidFill>
            </a:ln>
          </c:spPr>
          <c:marker>
            <c:symbol val="circle"/>
            <c:size val="10"/>
            <c:spPr>
              <a:solidFill>
                <a:srgbClr val="CCCCCC"/>
              </a:solidFill>
              <a:ln cmpd="sng">
                <a:solidFill>
                  <a:srgbClr val="CCCCCC"/>
                </a:solidFill>
              </a:ln>
            </c:spPr>
          </c:marker>
          <c:dLbls>
            <c:numFmt formatCode="General" sourceLinked="1"/>
            <c:txPr>
              <a:bodyPr/>
              <a:lstStyle/>
              <a:p>
                <a:pPr lvl="0">
                  <a:defRPr b="1" i="0"/>
                </a:pPr>
              </a:p>
            </c:txPr>
            <c:showLegendKey val="0"/>
            <c:showVal val="1"/>
            <c:showCatName val="0"/>
            <c:showSerName val="0"/>
            <c:showPercent val="0"/>
            <c:showBubbleSize val="0"/>
          </c:dLbls>
          <c:cat>
            <c:strRef>
              <c:f>'Dasboard (FOR PITCHDECK)'!$M$2:$P$2</c:f>
            </c:strRef>
          </c:cat>
          <c:val>
            <c:numRef>
              <c:f>'Dasboard (FOR PITCHDECK)'!$M$4:$P$4</c:f>
              <c:numCache/>
            </c:numRef>
          </c:val>
          <c:smooth val="0"/>
        </c:ser>
        <c:axId val="879630178"/>
        <c:axId val="759310311"/>
      </c:lineChart>
      <c:catAx>
        <c:axId val="8796301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759310311"/>
      </c:catAx>
      <c:valAx>
        <c:axId val="7593103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879630178"/>
      </c:valAx>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Units sold</a:t>
            </a:r>
          </a:p>
        </c:rich>
      </c:tx>
      <c:overlay val="0"/>
    </c:title>
    <c:plotArea>
      <c:layout/>
      <c:lineChart>
        <c:ser>
          <c:idx val="0"/>
          <c:order val="0"/>
          <c:tx>
            <c:strRef>
              <c:f>Dashboard!$J$3</c:f>
            </c:strRef>
          </c:tx>
          <c:spPr>
            <a:ln cmpd="sng">
              <a:solidFill>
                <a:srgbClr val="E63211"/>
              </a:solidFill>
            </a:ln>
          </c:spPr>
          <c:marker>
            <c:symbol val="circle"/>
            <c:size val="10"/>
            <c:spPr>
              <a:solidFill>
                <a:srgbClr val="E63211"/>
              </a:solidFill>
              <a:ln cmpd="sng">
                <a:solidFill>
                  <a:srgbClr val="E63211"/>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Dashboard!$K$2:$O$2</c:f>
            </c:strRef>
          </c:cat>
          <c:val>
            <c:numRef>
              <c:f>Dashboard!$K$3:$O$3</c:f>
              <c:numCache/>
            </c:numRef>
          </c:val>
          <c:smooth val="0"/>
        </c:ser>
        <c:ser>
          <c:idx val="1"/>
          <c:order val="1"/>
          <c:tx>
            <c:strRef>
              <c:f>Dashboard!$J$10</c:f>
            </c:strRef>
          </c:tx>
          <c:spPr>
            <a:ln cmpd="sng">
              <a:solidFill>
                <a:srgbClr val="CCCCCC"/>
              </a:solidFill>
            </a:ln>
          </c:spPr>
          <c:marker>
            <c:symbol val="circle"/>
            <c:size val="10"/>
            <c:spPr>
              <a:solidFill>
                <a:srgbClr val="CCCCCC"/>
              </a:solidFill>
              <a:ln cmpd="sng">
                <a:solidFill>
                  <a:srgbClr val="CCCCCC"/>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Dashboard!$K$2:$O$2</c:f>
            </c:strRef>
          </c:cat>
          <c:val>
            <c:numRef>
              <c:f>Dashboard!$K$10:$O$10</c:f>
              <c:numCache/>
            </c:numRef>
          </c:val>
          <c:smooth val="0"/>
        </c:ser>
        <c:axId val="2075226795"/>
        <c:axId val="474529600"/>
      </c:lineChart>
      <c:catAx>
        <c:axId val="20752267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474529600"/>
      </c:catAx>
      <c:valAx>
        <c:axId val="474529600"/>
        <c:scaling>
          <c:orientation val="minMax"/>
          <c:max val="6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075226795"/>
      </c:valAx>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Unit Revenues</a:t>
            </a:r>
          </a:p>
        </c:rich>
      </c:tx>
      <c:overlay val="0"/>
    </c:title>
    <c:plotArea>
      <c:layout/>
      <c:barChart>
        <c:barDir val="col"/>
        <c:grouping val="stacked"/>
        <c:ser>
          <c:idx val="0"/>
          <c:order val="0"/>
          <c:tx>
            <c:strRef>
              <c:f>Dashboard!$J$5</c:f>
            </c:strRef>
          </c:tx>
          <c:spPr>
            <a:solidFill>
              <a:srgbClr val="E53517"/>
            </a:solidFill>
            <a:ln cmpd="sng">
              <a:noFill/>
            </a:ln>
          </c:spPr>
          <c:dLbls>
            <c:numFmt formatCode="General" sourceLinked="1"/>
            <c:txPr>
              <a:bodyPr/>
              <a:lstStyle/>
              <a:p>
                <a:pPr lvl="0">
                  <a:defRPr b="1" i="0">
                    <a:solidFill>
                      <a:srgbClr val="000000"/>
                    </a:solidFill>
                  </a:defRPr>
                </a:pPr>
              </a:p>
            </c:txPr>
            <c:showLegendKey val="0"/>
            <c:showVal val="1"/>
            <c:showCatName val="0"/>
            <c:showSerName val="0"/>
            <c:showPercent val="0"/>
            <c:showBubbleSize val="0"/>
          </c:dLbls>
          <c:cat>
            <c:strRef>
              <c:f>Dashboard!$K$2:$O$2</c:f>
            </c:strRef>
          </c:cat>
          <c:val>
            <c:numRef>
              <c:f>Dashboard!$K$5:$O$5</c:f>
              <c:numCache/>
            </c:numRef>
          </c:val>
        </c:ser>
        <c:ser>
          <c:idx val="1"/>
          <c:order val="1"/>
          <c:tx>
            <c:strRef>
              <c:f>Dashboard!$J$9</c:f>
            </c:strRef>
          </c:tx>
          <c:spPr>
            <a:solidFill>
              <a:srgbClr val="FF6503"/>
            </a:solidFill>
            <a:ln cmpd="sng">
              <a:noFill/>
            </a:ln>
          </c:spPr>
          <c:dLbls>
            <c:numFmt formatCode="General" sourceLinked="1"/>
            <c:txPr>
              <a:bodyPr/>
              <a:lstStyle/>
              <a:p>
                <a:pPr lvl="0">
                  <a:defRPr b="1" i="0">
                    <a:solidFill>
                      <a:srgbClr val="FFFFFF"/>
                    </a:solidFill>
                  </a:defRPr>
                </a:pPr>
              </a:p>
            </c:txPr>
            <c:showLegendKey val="0"/>
            <c:showVal val="1"/>
            <c:showCatName val="0"/>
            <c:showSerName val="0"/>
            <c:showPercent val="0"/>
            <c:showBubbleSize val="0"/>
          </c:dLbls>
          <c:cat>
            <c:strRef>
              <c:f>Dashboard!$K$2:$O$2</c:f>
            </c:strRef>
          </c:cat>
          <c:val>
            <c:numRef>
              <c:f>Dashboard!$K$9:$O$9</c:f>
              <c:numCache/>
            </c:numRef>
          </c:val>
        </c:ser>
        <c:overlap val="100"/>
        <c:axId val="1517007945"/>
        <c:axId val="1451271570"/>
      </c:barChart>
      <c:catAx>
        <c:axId val="15170079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451271570"/>
      </c:catAx>
      <c:valAx>
        <c:axId val="14512715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517007945"/>
      </c:valAx>
    </c:plotArea>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Seed Capital Allocation</a:t>
            </a:r>
          </a:p>
        </c:rich>
      </c:tx>
      <c:overlay val="0"/>
    </c:title>
    <c:plotArea>
      <c:layout/>
      <c:doughnutChart>
        <c:varyColors val="1"/>
        <c:ser>
          <c:idx val="0"/>
          <c:order val="0"/>
          <c:dPt>
            <c:idx val="0"/>
            <c:spPr>
              <a:solidFill>
                <a:srgbClr val="E53517"/>
              </a:solidFill>
            </c:spPr>
          </c:dPt>
          <c:dLbls>
            <c:showLegendKey val="0"/>
            <c:showVal val="0"/>
            <c:showCatName val="0"/>
            <c:showSerName val="0"/>
            <c:showPercent val="0"/>
            <c:showBubbleSize val="0"/>
            <c:showLeaderLines val="1"/>
          </c:dLbls>
          <c:cat>
            <c:strRef>
              <c:f>Dashboard!$X$6:$Z$6</c:f>
            </c:strRef>
          </c:cat>
          <c:val>
            <c:numRef>
              <c:f>Dashboard!$X$7:$Z$7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Headcount</a:t>
            </a:r>
          </a:p>
        </c:rich>
      </c:tx>
      <c:overlay val="0"/>
    </c:title>
    <c:plotArea>
      <c:layout/>
      <c:lineChart>
        <c:varyColors val="0"/>
        <c:ser>
          <c:idx val="0"/>
          <c:order val="0"/>
          <c:tx>
            <c:strRef>
              <c:f>Dashboard!$S$3</c:f>
            </c:strRef>
          </c:tx>
          <c:spPr>
            <a:ln cmpd="sng">
              <a:solidFill>
                <a:srgbClr val="E53517"/>
              </a:solidFill>
            </a:ln>
          </c:spPr>
          <c:marker>
            <c:symbol val="circle"/>
            <c:size val="10"/>
            <c:spPr>
              <a:solidFill>
                <a:srgbClr val="E53517"/>
              </a:solidFill>
              <a:ln cmpd="sng">
                <a:solidFill>
                  <a:srgbClr val="E53517"/>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Dashboard!$T$2:$X$2</c:f>
            </c:strRef>
          </c:cat>
          <c:val>
            <c:numRef>
              <c:f>Dashboard!$T$3:$X$3</c:f>
              <c:numCache/>
            </c:numRef>
          </c:val>
          <c:smooth val="0"/>
        </c:ser>
        <c:axId val="202902395"/>
        <c:axId val="1114539946"/>
      </c:lineChart>
      <c:catAx>
        <c:axId val="2029023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114539946"/>
      </c:catAx>
      <c:valAx>
        <c:axId val="1114539946"/>
        <c:scaling>
          <c:orientation val="minMax"/>
          <c:max val="6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02902395"/>
      </c:valAx>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Revenue/FTE</a:t>
            </a:r>
          </a:p>
        </c:rich>
      </c:tx>
      <c:overlay val="0"/>
    </c:title>
    <c:plotArea>
      <c:layout/>
      <c:lineChart>
        <c:varyColors val="0"/>
        <c:ser>
          <c:idx val="0"/>
          <c:order val="0"/>
          <c:tx>
            <c:strRef>
              <c:f>Dashboard!$S$4</c:f>
            </c:strRef>
          </c:tx>
          <c:spPr>
            <a:ln cmpd="sng">
              <a:solidFill>
                <a:srgbClr val="E53517"/>
              </a:solidFill>
            </a:ln>
          </c:spPr>
          <c:marker>
            <c:symbol val="circle"/>
            <c:size val="10"/>
            <c:spPr>
              <a:solidFill>
                <a:srgbClr val="E53517"/>
              </a:solidFill>
              <a:ln cmpd="sng">
                <a:solidFill>
                  <a:srgbClr val="E53517"/>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Dashboard!$T$2:$X$2</c:f>
            </c:strRef>
          </c:cat>
          <c:val>
            <c:numRef>
              <c:f>Dashboard!$T$4:$X$4</c:f>
              <c:numCache/>
            </c:numRef>
          </c:val>
          <c:smooth val="0"/>
        </c:ser>
        <c:axId val="1657468641"/>
        <c:axId val="672278465"/>
      </c:lineChart>
      <c:catAx>
        <c:axId val="16574686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672278465"/>
      </c:catAx>
      <c:valAx>
        <c:axId val="672278465"/>
        <c:scaling>
          <c:orientation val="minMax"/>
          <c:max val="20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657468641"/>
      </c:valAx>
    </c:plotArea>
    <c:legend>
      <c:legendPos val="r"/>
      <c:overlay val="0"/>
      <c:txPr>
        <a:bodyPr/>
        <a:lstStyle/>
        <a:p>
          <a:pPr lvl="0">
            <a:defRPr b="0" i="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571500</xdr:colOff>
      <xdr:row>2</xdr:row>
      <xdr:rowOff>171450</xdr:rowOff>
    </xdr:from>
    <xdr:ext cx="4524375" cy="1238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171450</xdr:colOff>
      <xdr:row>11</xdr:row>
      <xdr:rowOff>0</xdr:rowOff>
    </xdr:from>
    <xdr:ext cx="7105650" cy="4400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695325</xdr:colOff>
      <xdr:row>10</xdr:row>
      <xdr:rowOff>123825</xdr:rowOff>
    </xdr:from>
    <xdr:ext cx="7105650" cy="44005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133350</xdr:colOff>
      <xdr:row>32</xdr:row>
      <xdr:rowOff>104775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10</xdr:row>
      <xdr:rowOff>133350</xdr:rowOff>
    </xdr:from>
    <xdr:ext cx="7105650" cy="44005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676275</xdr:colOff>
      <xdr:row>10</xdr:row>
      <xdr:rowOff>123825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1352550</xdr:colOff>
      <xdr:row>10</xdr:row>
      <xdr:rowOff>123825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1219200</xdr:colOff>
      <xdr:row>29</xdr:row>
      <xdr:rowOff>38100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676275</xdr:colOff>
      <xdr:row>29</xdr:row>
      <xdr:rowOff>38100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257175</xdr:colOff>
      <xdr:row>10</xdr:row>
      <xdr:rowOff>123825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x18tc:person displayName="Vincent Wijdeveld" id="{67de9da1-b282-4200-ac00-991c59e4ece7}" providerId="google-sheets"/>
  <x18tc:person displayName="Vincent Wijdeveld" id="{f81c3825-8ae0-4235-aa92-a2e85c75ec4f}" providerId="google-sheets"/>
  <x18tc:person displayName="simon@evolute.partners" id="{afeb118c-02a9-4fb5-9338-456e548ee15e}" userId="simon@evolute.partners" providerId="google-sheets"/>
  <x18tc:person displayName="Pieter Pijper" id="{4c3080a6-e031-4f0f-af9d-ecf9a5d5512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3" dT="2026-06-27T09:31:23.00" personId="{4c3080a6-e031-4f0f-af9d-ecf9a5d5512f}" id="{c95485fe-4113-49f6-abe1-8bc27e6ca818}" done="1">
    <x18tc:text xml:space="preserve">This means the Fisher loan is a purely financing instrument; hence no effect on the P&amp;L.</x18tc:text>
  </x18tc:threadedComment>
  <x18tc:threadedComment ref="C30" dT="2026-06-27T09:30:31.00" personId="{4c3080a6-e031-4f0f-af9d-ecf9a5d5512f}" id="{7fb3016c-e7f0-41a8-aca1-081b131a99a5}" done="1">
    <x18tc:text xml:space="preserve">is this the new increased price for the Turbine stand alone?</x18tc:text>
  </x18tc:threadedComment>
  <x18tc:threadedComment ref="C30" dT="2026-06-30T08:53:11.00" personId="{f81c3825-8ae0-4235-aa92-a2e85c75ec4f}" id="{281c8116-2acf-4b4c-8251-90ee21d81d35}" parentId="{7fb3016c-e7f0-41a8-aca1-081b131a99a5}">
    <x18tc:text xml:space="preserve">yes.</x18tc:text>
  </x18tc:threadedComment>
  <x18tc:threadedComment ref="C30" dT="2026-06-30T08:54:40.00" personId="{4c3080a6-e031-4f0f-af9d-ecf9a5d5512f}" id="{04b96deb-2d9d-4f9e-8d24-bc52c4f9b278}" done="1">
    <x18tc:text xml:space="preserve">for calculation purposes only. Clients are tested on a higher price level.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5" dT="2026-06-26T12:08:31.00" personId="{67de9da1-b282-4200-ac00-991c59e4ece7}" id="{ad25e319-0f38-4212-b1d7-022191f8a783}" done="1">
    <x18tc:text xml:space="preserve">@simon@evolute.partners Add interest.</x18tc:text>
    <x18tc:mentions>
      <x18tc:mention mentionpersonId="{afeb118c-02a9-4fb5-9338-456e548ee15e}" mentionId="{a6c2cc71-1058-4d13-a30b-f43f414e7922}" startIndex="0" length="23"/>
    </x18tc:mentions>
  </x18tc:threadedComment>
  <x18tc:threadedComment ref="AC14" dT="2026-06-27T10:16:11.00" personId="{4c3080a6-e031-4f0f-af9d-ecf9a5d5512f}" id="{f4785e07-892f-4c3e-b400-39d2be247a0a}" done="1">
    <x18tc:text xml:space="preserve">COGS aligned with start revenue, also from a cashflow perspective. We must assume that vendors will bill us in Q4 2026; this to be covered by advance payments of clients?</x18tc:text>
  </x18tc:threadedComment>
  <x18tc:threadedComment ref="C26" dT="2026-06-30T08:58:09.00" personId="{4c3080a6-e031-4f0f-af9d-ecf9a5d5512f}" id="{17e01269-188a-4a71-966b-d74bcd7b8460}" done="1">
    <x18tc:text xml:space="preserve">split into four gross profits ref. the different products, in order to see profitability directly per offering instead of having to make additional calculations.</x18tc:text>
  </x18tc:threadedComment>
  <x18tc:threadedComment ref="Z58" dT="2026-06-27T09:33:04.00" personId="{4c3080a6-e031-4f0f-af9d-ecf9a5d5512f}" id="{d93a8463-58c5-4a73-ad36-e8ba5ec59512}" done="1">
    <x18tc:text xml:space="preserve">No "ask" in the model yet. Is this dataroom proof, or do we have to decide asap?</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F28" dT="2026-06-27T09:27:00.00" personId="{4c3080a6-e031-4f0f-af9d-ecf9a5d5512f}" id="{ed45a2c8-ced7-41a8-9e66-50726e988071}" done="0">
    <x18tc:text xml:space="preserve">is the calculation correct?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2" width="60.0"/>
    <col customWidth="1" min="3" max="19" width="8.86"/>
  </cols>
  <sheetData>
    <row r="1" ht="15.0" customHeight="1">
      <c r="A1" s="1"/>
      <c r="B1" s="1"/>
      <c r="C1" s="1"/>
      <c r="D1" s="1"/>
      <c r="E1" s="1"/>
      <c r="F1" s="1"/>
      <c r="G1" s="1"/>
      <c r="H1" s="1"/>
      <c r="I1" s="1"/>
      <c r="J1" s="1"/>
      <c r="K1" s="1"/>
      <c r="L1" s="1"/>
      <c r="M1" s="1"/>
      <c r="N1" s="1"/>
      <c r="O1" s="1"/>
      <c r="P1" s="1"/>
      <c r="Q1" s="1"/>
      <c r="R1" s="1"/>
      <c r="S1" s="1"/>
    </row>
    <row r="2" ht="15.0" customHeight="1">
      <c r="A2" s="1"/>
      <c r="B2" s="1"/>
      <c r="C2" s="1"/>
      <c r="D2" s="1"/>
      <c r="E2" s="1"/>
      <c r="F2" s="1"/>
      <c r="G2" s="1"/>
      <c r="H2" s="1"/>
      <c r="I2" s="1"/>
      <c r="J2" s="1"/>
      <c r="K2" s="1"/>
      <c r="L2" s="1"/>
      <c r="M2" s="1"/>
      <c r="N2" s="1"/>
      <c r="O2" s="1"/>
      <c r="P2" s="1"/>
      <c r="Q2" s="1"/>
      <c r="R2" s="1"/>
      <c r="S2" s="1"/>
    </row>
    <row r="3" ht="15.0" customHeight="1">
      <c r="A3" s="1"/>
      <c r="B3" s="1"/>
      <c r="C3" s="1"/>
      <c r="D3" s="1"/>
      <c r="E3" s="1"/>
      <c r="F3" s="1"/>
      <c r="G3" s="1"/>
      <c r="H3" s="1"/>
      <c r="I3" s="1"/>
      <c r="J3" s="1"/>
      <c r="K3" s="1"/>
      <c r="L3" s="1"/>
      <c r="M3" s="1"/>
      <c r="N3" s="1"/>
      <c r="O3" s="1"/>
      <c r="P3" s="1"/>
      <c r="Q3" s="1"/>
      <c r="R3" s="1"/>
      <c r="S3" s="1"/>
    </row>
    <row r="4" ht="15.0" customHeight="1">
      <c r="A4" s="1"/>
      <c r="B4" s="1"/>
      <c r="C4" s="1"/>
      <c r="D4" s="1"/>
      <c r="E4" s="1"/>
      <c r="F4" s="1"/>
      <c r="G4" s="1"/>
      <c r="H4" s="1"/>
      <c r="I4" s="1"/>
      <c r="J4" s="1"/>
      <c r="K4" s="1"/>
      <c r="L4" s="1"/>
      <c r="M4" s="1"/>
      <c r="N4" s="1"/>
      <c r="O4" s="1"/>
      <c r="P4" s="1"/>
      <c r="Q4" s="1"/>
      <c r="R4" s="1"/>
      <c r="S4" s="1"/>
    </row>
    <row r="5" ht="24.0" customHeight="1">
      <c r="A5" s="1"/>
      <c r="B5" s="2"/>
      <c r="C5" s="1"/>
      <c r="D5" s="1"/>
      <c r="E5" s="1"/>
      <c r="F5" s="1"/>
      <c r="G5" s="1"/>
      <c r="H5" s="1"/>
      <c r="I5" s="1"/>
      <c r="J5" s="1"/>
      <c r="K5" s="1"/>
      <c r="L5" s="1"/>
      <c r="M5" s="1"/>
      <c r="N5" s="1"/>
      <c r="O5" s="1"/>
      <c r="P5" s="1"/>
      <c r="Q5" s="1"/>
      <c r="R5" s="1"/>
      <c r="S5" s="1"/>
    </row>
    <row r="6" ht="15.0" customHeight="1">
      <c r="A6" s="1"/>
      <c r="B6" s="2"/>
      <c r="C6" s="1"/>
      <c r="D6" s="1"/>
      <c r="E6" s="1"/>
      <c r="F6" s="1"/>
      <c r="G6" s="1"/>
      <c r="H6" s="1"/>
      <c r="I6" s="1"/>
      <c r="J6" s="1"/>
      <c r="K6" s="1"/>
      <c r="L6" s="1"/>
      <c r="M6" s="1"/>
      <c r="N6" s="1"/>
      <c r="O6" s="1"/>
      <c r="P6" s="1"/>
      <c r="Q6" s="1"/>
      <c r="R6" s="1"/>
      <c r="S6" s="1"/>
    </row>
    <row r="7" ht="15.0" customHeight="1">
      <c r="A7" s="1"/>
      <c r="B7" s="2"/>
      <c r="C7" s="1"/>
      <c r="D7" s="1"/>
      <c r="E7" s="1"/>
      <c r="F7" s="1"/>
      <c r="G7" s="1"/>
      <c r="H7" s="1"/>
      <c r="I7" s="1"/>
      <c r="J7" s="1"/>
      <c r="K7" s="1"/>
      <c r="L7" s="1"/>
      <c r="M7" s="1"/>
      <c r="N7" s="1"/>
      <c r="O7" s="1"/>
      <c r="P7" s="1"/>
      <c r="Q7" s="1"/>
      <c r="R7" s="1"/>
      <c r="S7" s="1"/>
    </row>
    <row r="8" ht="15.0" customHeight="1">
      <c r="A8" s="1"/>
      <c r="B8" s="2"/>
      <c r="C8" s="1"/>
      <c r="D8" s="1"/>
      <c r="E8" s="1"/>
      <c r="F8" s="1"/>
      <c r="G8" s="1"/>
      <c r="H8" s="1"/>
      <c r="I8" s="1"/>
      <c r="J8" s="1"/>
      <c r="K8" s="1"/>
      <c r="L8" s="1"/>
      <c r="M8" s="1"/>
      <c r="N8" s="1"/>
      <c r="O8" s="1"/>
      <c r="P8" s="1"/>
      <c r="Q8" s="1"/>
      <c r="R8" s="1"/>
      <c r="S8" s="1"/>
    </row>
    <row r="9" ht="15.0" customHeight="1">
      <c r="A9" s="1"/>
      <c r="B9" s="2"/>
      <c r="C9" s="1"/>
      <c r="D9" s="1"/>
      <c r="E9" s="1"/>
      <c r="F9" s="1"/>
      <c r="G9" s="1"/>
      <c r="H9" s="1"/>
      <c r="I9" s="1"/>
      <c r="J9" s="1"/>
      <c r="K9" s="1"/>
      <c r="L9" s="1"/>
      <c r="M9" s="1"/>
      <c r="N9" s="1"/>
      <c r="O9" s="1"/>
      <c r="P9" s="1"/>
      <c r="Q9" s="1"/>
      <c r="R9" s="1"/>
      <c r="S9" s="1"/>
    </row>
    <row r="10" ht="15.0" customHeight="1">
      <c r="A10" s="1"/>
      <c r="B10" s="2"/>
      <c r="C10" s="1"/>
      <c r="D10" s="1"/>
      <c r="E10" s="1"/>
      <c r="F10" s="1"/>
      <c r="G10" s="1"/>
      <c r="H10" s="1"/>
      <c r="I10" s="1"/>
      <c r="J10" s="1"/>
      <c r="K10" s="1"/>
      <c r="L10" s="1"/>
      <c r="M10" s="1"/>
      <c r="N10" s="1"/>
      <c r="O10" s="1"/>
      <c r="P10" s="1"/>
      <c r="Q10" s="1"/>
      <c r="R10" s="1"/>
      <c r="S10" s="1"/>
    </row>
    <row r="11" ht="15.0" customHeight="1">
      <c r="A11" s="1"/>
      <c r="B11" s="2"/>
      <c r="C11" s="1"/>
      <c r="D11" s="1"/>
      <c r="E11" s="1"/>
      <c r="F11" s="1"/>
      <c r="G11" s="1"/>
      <c r="H11" s="1"/>
      <c r="I11" s="1"/>
      <c r="J11" s="1"/>
      <c r="K11" s="1"/>
      <c r="L11" s="1"/>
      <c r="M11" s="1"/>
      <c r="N11" s="1"/>
      <c r="O11" s="1"/>
      <c r="P11" s="1"/>
      <c r="Q11" s="1"/>
      <c r="R11" s="1"/>
      <c r="S11" s="1"/>
    </row>
    <row r="12" ht="15.0" customHeight="1">
      <c r="A12" s="1"/>
      <c r="B12" s="2"/>
      <c r="C12" s="1"/>
      <c r="D12" s="1"/>
      <c r="E12" s="1"/>
      <c r="F12" s="1"/>
      <c r="G12" s="1"/>
      <c r="H12" s="1"/>
      <c r="I12" s="1"/>
      <c r="J12" s="1"/>
      <c r="K12" s="1"/>
      <c r="L12" s="1"/>
      <c r="M12" s="1"/>
      <c r="N12" s="1"/>
      <c r="O12" s="1"/>
      <c r="P12" s="1"/>
      <c r="Q12" s="1"/>
      <c r="R12" s="1"/>
      <c r="S12" s="1"/>
    </row>
    <row r="13" ht="25.5" customHeight="1">
      <c r="A13" s="1"/>
      <c r="B13" s="3"/>
      <c r="C13" s="1"/>
      <c r="D13" s="1"/>
      <c r="E13" s="1"/>
      <c r="F13" s="1"/>
      <c r="G13" s="1"/>
      <c r="H13" s="1"/>
      <c r="I13" s="1"/>
      <c r="J13" s="1"/>
      <c r="K13" s="1"/>
      <c r="L13" s="1"/>
      <c r="M13" s="1"/>
      <c r="N13" s="1"/>
      <c r="O13" s="1"/>
      <c r="P13" s="1"/>
      <c r="Q13" s="1"/>
      <c r="R13" s="1"/>
      <c r="S13" s="1"/>
    </row>
    <row r="14" ht="15.0" customHeight="1">
      <c r="A14" s="1"/>
      <c r="B14" s="1"/>
      <c r="C14" s="1"/>
      <c r="D14" s="1"/>
      <c r="E14" s="1"/>
      <c r="F14" s="1"/>
      <c r="G14" s="1"/>
      <c r="H14" s="1"/>
      <c r="I14" s="1"/>
      <c r="J14" s="1"/>
      <c r="K14" s="1"/>
      <c r="L14" s="1"/>
      <c r="M14" s="1"/>
      <c r="N14" s="1"/>
      <c r="O14" s="1"/>
      <c r="P14" s="1"/>
      <c r="Q14" s="1"/>
      <c r="R14" s="1"/>
      <c r="S14" s="1"/>
    </row>
    <row r="15" ht="15.0" customHeight="1">
      <c r="A15" s="1"/>
      <c r="B15" s="4" t="s">
        <v>0</v>
      </c>
      <c r="C15" s="1"/>
      <c r="D15" s="1"/>
      <c r="E15" s="1"/>
      <c r="F15" s="1"/>
      <c r="G15" s="1"/>
      <c r="H15" s="1"/>
      <c r="I15" s="1"/>
      <c r="J15" s="1"/>
      <c r="K15" s="1"/>
      <c r="L15" s="1"/>
      <c r="M15" s="1"/>
      <c r="N15" s="1"/>
      <c r="O15" s="1"/>
      <c r="P15" s="1"/>
      <c r="Q15" s="1"/>
      <c r="R15" s="1"/>
      <c r="S15" s="1"/>
    </row>
    <row r="16" ht="15.0" customHeight="1">
      <c r="A16" s="1"/>
      <c r="B16" s="1"/>
      <c r="C16" s="1"/>
      <c r="D16" s="1"/>
      <c r="E16" s="1"/>
      <c r="F16" s="1"/>
      <c r="G16" s="1"/>
      <c r="H16" s="1"/>
      <c r="I16" s="1"/>
      <c r="J16" s="1"/>
      <c r="K16" s="1"/>
      <c r="L16" s="1"/>
      <c r="M16" s="1"/>
      <c r="N16" s="1"/>
      <c r="O16" s="1"/>
      <c r="P16" s="1"/>
      <c r="Q16" s="1"/>
      <c r="R16" s="1"/>
      <c r="S16" s="1"/>
    </row>
    <row r="17" ht="15.0" customHeight="1">
      <c r="A17" s="1"/>
      <c r="B17" s="5"/>
      <c r="C17" s="1"/>
      <c r="D17" s="1"/>
      <c r="E17" s="1"/>
      <c r="F17" s="1"/>
      <c r="G17" s="1"/>
      <c r="H17" s="1"/>
      <c r="I17" s="1"/>
      <c r="J17" s="1"/>
      <c r="K17" s="1"/>
      <c r="L17" s="1"/>
      <c r="M17" s="1"/>
      <c r="N17" s="1"/>
      <c r="O17" s="1"/>
      <c r="P17" s="1"/>
      <c r="Q17" s="1"/>
      <c r="R17" s="1"/>
      <c r="S17" s="1"/>
    </row>
    <row r="18" ht="15.0" customHeight="1">
      <c r="A18" s="1"/>
      <c r="B18" s="5"/>
      <c r="C18" s="1"/>
      <c r="D18" s="1"/>
      <c r="E18" s="1"/>
      <c r="F18" s="1"/>
      <c r="G18" s="1"/>
      <c r="H18" s="1"/>
      <c r="I18" s="1"/>
      <c r="J18" s="1"/>
      <c r="K18" s="1"/>
      <c r="L18" s="1"/>
      <c r="M18" s="1"/>
      <c r="N18" s="1"/>
      <c r="O18" s="1"/>
      <c r="P18" s="1"/>
      <c r="Q18" s="1"/>
      <c r="R18" s="1"/>
      <c r="S18" s="1"/>
    </row>
    <row r="19" ht="15.0" customHeight="1">
      <c r="A19" s="1"/>
      <c r="B19" s="5" t="s">
        <v>1</v>
      </c>
      <c r="C19" s="1"/>
      <c r="D19" s="1"/>
      <c r="E19" s="1"/>
      <c r="F19" s="1"/>
      <c r="G19" s="1"/>
      <c r="H19" s="1"/>
      <c r="I19" s="1"/>
      <c r="J19" s="1"/>
      <c r="K19" s="1"/>
      <c r="L19" s="1"/>
      <c r="M19" s="1"/>
      <c r="N19" s="1"/>
      <c r="O19" s="1"/>
      <c r="P19" s="1"/>
      <c r="Q19" s="1"/>
      <c r="R19" s="1"/>
      <c r="S19" s="1"/>
    </row>
    <row r="20" ht="15.0" customHeight="1">
      <c r="A20" s="1"/>
      <c r="B20" s="1"/>
      <c r="C20" s="1"/>
      <c r="D20" s="1"/>
      <c r="E20" s="1"/>
      <c r="F20" s="1"/>
      <c r="G20" s="1"/>
      <c r="H20" s="1"/>
      <c r="I20" s="1"/>
      <c r="J20" s="1"/>
      <c r="K20" s="1"/>
      <c r="L20" s="1"/>
      <c r="M20" s="1"/>
      <c r="N20" s="1"/>
      <c r="O20" s="1"/>
      <c r="P20" s="1"/>
      <c r="Q20" s="1"/>
      <c r="R20" s="1"/>
      <c r="S20" s="1"/>
    </row>
    <row r="21" ht="15.75" customHeight="1">
      <c r="A21" s="1"/>
      <c r="B21" s="6" t="s">
        <v>2</v>
      </c>
      <c r="C21" s="1"/>
      <c r="D21" s="1"/>
      <c r="E21" s="1"/>
      <c r="F21" s="1"/>
      <c r="G21" s="1"/>
      <c r="H21" s="1"/>
      <c r="I21" s="1"/>
      <c r="J21" s="1"/>
      <c r="K21" s="1"/>
      <c r="L21" s="1"/>
      <c r="M21" s="1"/>
      <c r="N21" s="1"/>
      <c r="O21" s="1"/>
      <c r="P21" s="1"/>
      <c r="Q21" s="1"/>
      <c r="R21" s="1"/>
      <c r="S21" s="1"/>
    </row>
    <row r="22" ht="15.75" customHeight="1">
      <c r="A22" s="1"/>
      <c r="B22" s="1"/>
      <c r="C22" s="1"/>
      <c r="D22" s="1"/>
      <c r="E22" s="1"/>
      <c r="F22" s="1"/>
      <c r="G22" s="1"/>
      <c r="H22" s="1"/>
      <c r="I22" s="1"/>
      <c r="J22" s="1"/>
      <c r="K22" s="1"/>
      <c r="L22" s="1"/>
      <c r="M22" s="1"/>
      <c r="N22" s="1"/>
      <c r="O22" s="1"/>
      <c r="P22" s="1"/>
      <c r="Q22" s="1"/>
      <c r="R22" s="1"/>
      <c r="S22" s="1"/>
    </row>
    <row r="23" ht="15.75" customHeight="1">
      <c r="A23" s="1"/>
      <c r="B23" s="1"/>
      <c r="C23" s="1"/>
      <c r="D23" s="1"/>
      <c r="E23" s="1"/>
      <c r="F23" s="1"/>
      <c r="G23" s="1"/>
      <c r="H23" s="1"/>
      <c r="I23" s="1"/>
      <c r="J23" s="1"/>
      <c r="K23" s="1"/>
      <c r="L23" s="1"/>
      <c r="M23" s="1"/>
      <c r="N23" s="1"/>
      <c r="O23" s="1"/>
      <c r="P23" s="1"/>
      <c r="Q23" s="1"/>
      <c r="R23" s="1"/>
      <c r="S23" s="1"/>
    </row>
    <row r="24" ht="15.75" customHeight="1">
      <c r="A24" s="1"/>
      <c r="B24" s="1"/>
      <c r="C24" s="1"/>
      <c r="D24" s="1"/>
      <c r="E24" s="1"/>
      <c r="F24" s="1"/>
      <c r="G24" s="1"/>
      <c r="H24" s="1"/>
      <c r="I24" s="1"/>
      <c r="J24" s="1"/>
      <c r="K24" s="1"/>
      <c r="L24" s="1"/>
      <c r="M24" s="1"/>
      <c r="N24" s="1"/>
      <c r="O24" s="1"/>
      <c r="P24" s="1"/>
      <c r="Q24" s="1"/>
      <c r="R24" s="1"/>
      <c r="S24" s="1"/>
    </row>
    <row r="25" ht="15.75" customHeight="1">
      <c r="A25" s="1"/>
      <c r="B25" s="1"/>
      <c r="C25" s="1"/>
      <c r="D25" s="1"/>
      <c r="E25" s="1"/>
      <c r="F25" s="1"/>
      <c r="G25" s="1"/>
      <c r="H25" s="1"/>
      <c r="I25" s="1"/>
      <c r="J25" s="1"/>
      <c r="K25" s="1"/>
      <c r="L25" s="1"/>
      <c r="M25" s="1"/>
      <c r="N25" s="1"/>
      <c r="O25" s="1"/>
      <c r="P25" s="1"/>
      <c r="Q25" s="1"/>
      <c r="R25" s="1"/>
      <c r="S25" s="1"/>
    </row>
    <row r="26" ht="15.75" customHeight="1">
      <c r="A26" s="1"/>
      <c r="B26" s="1"/>
      <c r="C26" s="1"/>
      <c r="D26" s="1"/>
      <c r="E26" s="1"/>
      <c r="F26" s="1"/>
      <c r="G26" s="1"/>
      <c r="H26" s="1"/>
      <c r="I26" s="1"/>
      <c r="J26" s="1"/>
      <c r="K26" s="1"/>
      <c r="L26" s="1"/>
      <c r="M26" s="1"/>
      <c r="N26" s="1"/>
      <c r="O26" s="1"/>
      <c r="P26" s="1"/>
      <c r="Q26" s="1"/>
      <c r="R26" s="1"/>
      <c r="S26" s="1"/>
    </row>
    <row r="27" ht="15.75" customHeight="1">
      <c r="A27" s="1"/>
      <c r="B27" s="1"/>
      <c r="C27" s="1"/>
      <c r="D27" s="1"/>
      <c r="E27" s="1"/>
      <c r="F27" s="1"/>
      <c r="G27" s="1"/>
      <c r="H27" s="1"/>
      <c r="I27" s="1"/>
      <c r="J27" s="1"/>
      <c r="K27" s="1"/>
      <c r="L27" s="1"/>
      <c r="M27" s="1"/>
      <c r="N27" s="1"/>
      <c r="O27" s="1"/>
      <c r="P27" s="1"/>
      <c r="Q27" s="1"/>
      <c r="R27" s="1"/>
      <c r="S27" s="1"/>
    </row>
    <row r="28" ht="15.75" customHeight="1">
      <c r="A28" s="1"/>
      <c r="B28" s="1"/>
      <c r="C28" s="1"/>
      <c r="D28" s="1"/>
      <c r="E28" s="1"/>
      <c r="F28" s="1"/>
      <c r="G28" s="1"/>
      <c r="H28" s="1"/>
      <c r="I28" s="1"/>
      <c r="J28" s="1"/>
      <c r="K28" s="1"/>
      <c r="L28" s="1"/>
      <c r="M28" s="1"/>
      <c r="N28" s="1"/>
      <c r="O28" s="1"/>
      <c r="P28" s="1"/>
      <c r="Q28" s="1"/>
      <c r="R28" s="1"/>
      <c r="S28" s="1"/>
    </row>
    <row r="29" ht="15.75" customHeight="1">
      <c r="A29" s="1"/>
      <c r="B29" s="1"/>
      <c r="C29" s="1"/>
      <c r="D29" s="1"/>
      <c r="E29" s="1"/>
      <c r="F29" s="1"/>
      <c r="G29" s="1"/>
      <c r="H29" s="1"/>
      <c r="I29" s="1"/>
      <c r="J29" s="1"/>
      <c r="K29" s="1"/>
      <c r="L29" s="1"/>
      <c r="M29" s="1"/>
      <c r="N29" s="1"/>
      <c r="O29" s="1"/>
      <c r="P29" s="1"/>
      <c r="Q29" s="1"/>
      <c r="R29" s="1"/>
      <c r="S29" s="1"/>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2" width="40.0"/>
    <col customWidth="1" min="3" max="3" width="73.29"/>
    <col customWidth="1" min="4" max="7" width="8.86"/>
  </cols>
  <sheetData>
    <row r="1" ht="15.0" customHeight="1">
      <c r="A1" s="7"/>
      <c r="B1" s="8" t="s">
        <v>3</v>
      </c>
      <c r="C1" s="7"/>
      <c r="D1" s="7"/>
      <c r="E1" s="7"/>
      <c r="F1" s="7"/>
      <c r="G1" s="7"/>
      <c r="H1" s="9"/>
      <c r="I1" s="9"/>
      <c r="J1" s="9"/>
      <c r="K1" s="9"/>
      <c r="L1" s="9"/>
      <c r="M1" s="9"/>
      <c r="N1" s="9"/>
      <c r="O1" s="9"/>
      <c r="P1" s="9"/>
      <c r="Q1" s="9"/>
      <c r="R1" s="9"/>
      <c r="S1" s="9"/>
      <c r="T1" s="9"/>
      <c r="U1" s="9"/>
      <c r="V1" s="9"/>
      <c r="W1" s="9"/>
      <c r="X1" s="9"/>
      <c r="Y1" s="9"/>
      <c r="Z1" s="9"/>
    </row>
    <row r="2">
      <c r="A2" s="9"/>
      <c r="B2" s="9"/>
      <c r="C2" s="9"/>
      <c r="D2" s="9"/>
      <c r="E2" s="9"/>
      <c r="F2" s="9"/>
      <c r="G2" s="9"/>
      <c r="H2" s="9"/>
      <c r="I2" s="9"/>
      <c r="J2" s="9"/>
      <c r="K2" s="9"/>
      <c r="L2" s="9"/>
      <c r="M2" s="9"/>
      <c r="N2" s="9"/>
      <c r="O2" s="9"/>
      <c r="P2" s="9"/>
      <c r="Q2" s="9"/>
      <c r="R2" s="9"/>
      <c r="S2" s="9"/>
      <c r="T2" s="9"/>
      <c r="U2" s="9"/>
      <c r="V2" s="9"/>
      <c r="W2" s="9"/>
      <c r="X2" s="9"/>
      <c r="Y2" s="9"/>
      <c r="Z2" s="9"/>
    </row>
    <row r="3" ht="15.0" customHeight="1">
      <c r="A3" s="9"/>
      <c r="B3" s="10" t="s">
        <v>4</v>
      </c>
      <c r="C3" s="9"/>
      <c r="D3" s="9"/>
      <c r="E3" s="9"/>
      <c r="F3" s="9"/>
      <c r="G3" s="9"/>
      <c r="H3" s="9"/>
      <c r="I3" s="9"/>
      <c r="J3" s="9"/>
      <c r="K3" s="9"/>
      <c r="L3" s="9"/>
      <c r="M3" s="9"/>
      <c r="N3" s="9"/>
      <c r="O3" s="9"/>
      <c r="P3" s="9"/>
      <c r="Q3" s="9"/>
      <c r="R3" s="9"/>
      <c r="S3" s="9"/>
      <c r="T3" s="9"/>
      <c r="U3" s="9"/>
      <c r="V3" s="9"/>
      <c r="W3" s="9"/>
      <c r="X3" s="9"/>
      <c r="Y3" s="9"/>
      <c r="Z3" s="9"/>
    </row>
    <row r="4" ht="15.0" customHeight="1">
      <c r="A4" s="9"/>
      <c r="B4" s="11" t="s">
        <v>5</v>
      </c>
      <c r="C4" s="12" t="s">
        <v>6</v>
      </c>
      <c r="D4" s="9"/>
      <c r="E4" s="9"/>
      <c r="F4" s="9"/>
      <c r="G4" s="9"/>
      <c r="H4" s="9"/>
      <c r="I4" s="9"/>
      <c r="J4" s="9"/>
      <c r="K4" s="9"/>
      <c r="L4" s="9"/>
      <c r="M4" s="9"/>
      <c r="N4" s="9"/>
      <c r="O4" s="9"/>
      <c r="P4" s="9"/>
      <c r="Q4" s="9"/>
      <c r="R4" s="9"/>
      <c r="S4" s="9"/>
      <c r="T4" s="9"/>
      <c r="U4" s="9"/>
      <c r="V4" s="9"/>
      <c r="W4" s="9"/>
      <c r="X4" s="9"/>
      <c r="Y4" s="9"/>
      <c r="Z4" s="9"/>
    </row>
    <row r="5" ht="15.0" customHeight="1">
      <c r="A5" s="9"/>
      <c r="B5" s="13" t="s">
        <v>5</v>
      </c>
      <c r="C5" s="12" t="s">
        <v>7</v>
      </c>
      <c r="D5" s="9"/>
      <c r="E5" s="9"/>
      <c r="F5" s="9"/>
      <c r="G5" s="9"/>
      <c r="H5" s="9"/>
      <c r="I5" s="9"/>
      <c r="J5" s="9"/>
      <c r="K5" s="9"/>
      <c r="L5" s="9"/>
      <c r="M5" s="9"/>
      <c r="N5" s="9"/>
      <c r="O5" s="9"/>
      <c r="P5" s="9"/>
      <c r="Q5" s="9"/>
      <c r="R5" s="9"/>
      <c r="S5" s="9"/>
      <c r="T5" s="9"/>
      <c r="U5" s="9"/>
      <c r="V5" s="9"/>
      <c r="W5" s="9"/>
      <c r="X5" s="9"/>
      <c r="Y5" s="9"/>
      <c r="Z5" s="9"/>
    </row>
    <row r="6" ht="15.0" customHeight="1">
      <c r="A6" s="9"/>
      <c r="B6" s="10" t="s">
        <v>5</v>
      </c>
      <c r="C6" s="12" t="s">
        <v>8</v>
      </c>
      <c r="D6" s="9"/>
      <c r="E6" s="9"/>
      <c r="F6" s="9"/>
      <c r="G6" s="9"/>
      <c r="H6" s="9"/>
      <c r="I6" s="9"/>
      <c r="J6" s="9"/>
      <c r="K6" s="9"/>
      <c r="L6" s="9"/>
      <c r="M6" s="9"/>
      <c r="N6" s="9"/>
      <c r="O6" s="9"/>
      <c r="P6" s="9"/>
      <c r="Q6" s="9"/>
      <c r="R6" s="9"/>
      <c r="S6" s="9"/>
      <c r="T6" s="9"/>
      <c r="U6" s="9"/>
      <c r="V6" s="9"/>
      <c r="W6" s="9"/>
      <c r="X6" s="9"/>
      <c r="Y6" s="9"/>
      <c r="Z6" s="9"/>
    </row>
    <row r="7" ht="15.0" customHeight="1">
      <c r="A7" s="9"/>
      <c r="B7" s="14" t="s">
        <v>5</v>
      </c>
      <c r="C7" s="12" t="s">
        <v>9</v>
      </c>
      <c r="D7" s="9"/>
      <c r="E7" s="9"/>
      <c r="F7" s="9"/>
      <c r="G7" s="9"/>
      <c r="H7" s="9"/>
      <c r="I7" s="9"/>
      <c r="J7" s="9"/>
      <c r="K7" s="9"/>
      <c r="L7" s="9"/>
      <c r="M7" s="9"/>
      <c r="N7" s="9"/>
      <c r="O7" s="9"/>
      <c r="P7" s="9"/>
      <c r="Q7" s="9"/>
      <c r="R7" s="9"/>
      <c r="S7" s="9"/>
      <c r="T7" s="9"/>
      <c r="U7" s="9"/>
      <c r="V7" s="9"/>
      <c r="W7" s="9"/>
      <c r="X7" s="9"/>
      <c r="Y7" s="9"/>
      <c r="Z7" s="9"/>
    </row>
    <row r="8" ht="15.0" customHeight="1">
      <c r="A8" s="9"/>
      <c r="B8" s="8" t="s">
        <v>5</v>
      </c>
      <c r="C8" s="12" t="s">
        <v>10</v>
      </c>
      <c r="D8" s="9"/>
      <c r="E8" s="9"/>
      <c r="F8" s="9"/>
      <c r="G8" s="9"/>
      <c r="H8" s="9"/>
      <c r="I8" s="9"/>
      <c r="J8" s="9"/>
      <c r="K8" s="9"/>
      <c r="L8" s="9"/>
      <c r="M8" s="9"/>
      <c r="N8" s="9"/>
      <c r="O8" s="9"/>
      <c r="P8" s="9"/>
      <c r="Q8" s="9"/>
      <c r="R8" s="9"/>
      <c r="S8" s="9"/>
      <c r="T8" s="9"/>
      <c r="U8" s="9"/>
      <c r="V8" s="9"/>
      <c r="W8" s="9"/>
      <c r="X8" s="9"/>
      <c r="Y8" s="9"/>
      <c r="Z8" s="9"/>
    </row>
    <row r="9" ht="15.0" customHeight="1">
      <c r="A9" s="9"/>
      <c r="B9" s="15" t="s">
        <v>5</v>
      </c>
      <c r="C9" s="12" t="s">
        <v>11</v>
      </c>
      <c r="D9" s="9"/>
      <c r="E9" s="9"/>
      <c r="F9" s="9"/>
      <c r="G9" s="9"/>
      <c r="H9" s="9"/>
      <c r="I9" s="9"/>
      <c r="J9" s="9"/>
      <c r="K9" s="9"/>
      <c r="L9" s="9"/>
      <c r="M9" s="9"/>
      <c r="N9" s="9"/>
      <c r="O9" s="9"/>
      <c r="P9" s="9"/>
      <c r="Q9" s="9"/>
      <c r="R9" s="9"/>
      <c r="S9" s="9"/>
      <c r="T9" s="9"/>
      <c r="U9" s="9"/>
      <c r="V9" s="9"/>
      <c r="W9" s="9"/>
      <c r="X9" s="9"/>
      <c r="Y9" s="9"/>
      <c r="Z9" s="9"/>
    </row>
    <row r="10" ht="15.0" customHeight="1">
      <c r="A10" s="9"/>
      <c r="B10" s="16" t="s">
        <v>5</v>
      </c>
      <c r="C10" s="12" t="s">
        <v>12</v>
      </c>
      <c r="D10" s="9"/>
      <c r="E10" s="9"/>
      <c r="F10" s="9"/>
      <c r="G10" s="9"/>
      <c r="H10" s="9"/>
      <c r="I10" s="9"/>
      <c r="J10" s="9"/>
      <c r="K10" s="9"/>
      <c r="L10" s="9"/>
      <c r="M10" s="9"/>
      <c r="N10" s="9"/>
      <c r="O10" s="9"/>
      <c r="P10" s="9"/>
      <c r="Q10" s="9"/>
      <c r="R10" s="9"/>
      <c r="S10" s="9"/>
      <c r="T10" s="9"/>
      <c r="U10" s="9"/>
      <c r="V10" s="9"/>
      <c r="W10" s="9"/>
      <c r="X10" s="9"/>
      <c r="Y10" s="9"/>
      <c r="Z10" s="9"/>
    </row>
    <row r="11" ht="15.0" customHeight="1">
      <c r="A11" s="9"/>
      <c r="B11" s="17" t="s">
        <v>5</v>
      </c>
      <c r="C11" s="12" t="s">
        <v>13</v>
      </c>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ht="15.0" customHeight="1">
      <c r="A14" s="9"/>
      <c r="B14" s="10" t="s">
        <v>14</v>
      </c>
      <c r="C14" s="9"/>
      <c r="D14" s="9"/>
      <c r="E14" s="9"/>
      <c r="F14" s="9"/>
      <c r="G14" s="9"/>
      <c r="H14" s="9"/>
      <c r="I14" s="9"/>
      <c r="J14" s="9"/>
      <c r="K14" s="9"/>
      <c r="L14" s="9"/>
      <c r="M14" s="9"/>
      <c r="N14" s="9"/>
      <c r="O14" s="9"/>
      <c r="P14" s="9"/>
      <c r="Q14" s="9"/>
      <c r="R14" s="9"/>
      <c r="S14" s="9"/>
      <c r="T14" s="9"/>
      <c r="U14" s="9"/>
      <c r="V14" s="9"/>
      <c r="W14" s="9"/>
      <c r="X14" s="9"/>
      <c r="Y14" s="9"/>
      <c r="Z14" s="9"/>
    </row>
    <row r="15" ht="15.0" customHeight="1">
      <c r="A15" s="9"/>
      <c r="B15" s="12" t="s">
        <v>15</v>
      </c>
      <c r="C15" s="9"/>
      <c r="D15" s="9"/>
      <c r="E15" s="9"/>
      <c r="F15" s="9"/>
      <c r="G15" s="9"/>
      <c r="H15" s="9"/>
      <c r="I15" s="9"/>
      <c r="J15" s="9"/>
      <c r="K15" s="9"/>
      <c r="L15" s="9"/>
      <c r="M15" s="9"/>
      <c r="N15" s="9"/>
      <c r="O15" s="9"/>
      <c r="P15" s="9"/>
      <c r="Q15" s="9"/>
      <c r="R15" s="9"/>
      <c r="S15" s="9"/>
      <c r="T15" s="9"/>
      <c r="U15" s="9"/>
      <c r="V15" s="9"/>
      <c r="W15" s="9"/>
      <c r="X15" s="9"/>
      <c r="Y15" s="9"/>
      <c r="Z15" s="9"/>
    </row>
    <row r="16" ht="15.0" customHeight="1">
      <c r="A16" s="9"/>
      <c r="B16" s="12" t="s">
        <v>16</v>
      </c>
      <c r="C16" s="9"/>
      <c r="D16" s="9"/>
      <c r="E16" s="9"/>
      <c r="F16" s="9"/>
      <c r="G16" s="9"/>
      <c r="H16" s="9"/>
      <c r="I16" s="9"/>
      <c r="J16" s="9"/>
      <c r="K16" s="9"/>
      <c r="L16" s="9"/>
      <c r="M16" s="9"/>
      <c r="N16" s="9"/>
      <c r="O16" s="9"/>
      <c r="P16" s="9"/>
      <c r="Q16" s="9"/>
      <c r="R16" s="9"/>
      <c r="S16" s="9"/>
      <c r="T16" s="9"/>
      <c r="U16" s="9"/>
      <c r="V16" s="9"/>
      <c r="W16" s="9"/>
      <c r="X16" s="9"/>
      <c r="Y16" s="9"/>
      <c r="Z16" s="9"/>
    </row>
    <row r="17" ht="15.0" customHeight="1">
      <c r="A17" s="9"/>
      <c r="B17" s="12" t="s">
        <v>17</v>
      </c>
      <c r="C17" s="9"/>
      <c r="D17" s="9"/>
      <c r="E17" s="9"/>
      <c r="F17" s="9"/>
      <c r="G17" s="9"/>
      <c r="H17" s="9"/>
      <c r="I17" s="9"/>
      <c r="J17" s="9"/>
      <c r="K17" s="9"/>
      <c r="L17" s="9"/>
      <c r="M17" s="9"/>
      <c r="N17" s="9"/>
      <c r="O17" s="9"/>
      <c r="P17" s="9"/>
      <c r="Q17" s="9"/>
      <c r="R17" s="9"/>
      <c r="S17" s="9"/>
      <c r="T17" s="9"/>
      <c r="U17" s="9"/>
      <c r="V17" s="9"/>
      <c r="W17" s="9"/>
      <c r="X17" s="9"/>
      <c r="Y17" s="9"/>
      <c r="Z17" s="9"/>
    </row>
    <row r="18" ht="15.0" customHeight="1">
      <c r="A18" s="9"/>
      <c r="B18" s="12" t="s">
        <v>18</v>
      </c>
      <c r="C18" s="9"/>
      <c r="D18" s="9"/>
      <c r="E18" s="9"/>
      <c r="F18" s="9"/>
      <c r="G18" s="9"/>
      <c r="H18" s="9"/>
      <c r="I18" s="9"/>
      <c r="J18" s="9"/>
      <c r="K18" s="9"/>
      <c r="L18" s="9"/>
      <c r="M18" s="9"/>
      <c r="N18" s="9"/>
      <c r="O18" s="9"/>
      <c r="P18" s="9"/>
      <c r="Q18" s="9"/>
      <c r="R18" s="9"/>
      <c r="S18" s="9"/>
      <c r="T18" s="9"/>
      <c r="U18" s="9"/>
      <c r="V18" s="9"/>
      <c r="W18" s="9"/>
      <c r="X18" s="9"/>
      <c r="Y18" s="9"/>
      <c r="Z18" s="9"/>
    </row>
    <row r="19" ht="15.75" customHeight="1">
      <c r="A19" s="9"/>
      <c r="B19" s="18"/>
      <c r="C19" s="9"/>
      <c r="D19" s="9"/>
      <c r="E19" s="9"/>
      <c r="F19" s="9"/>
      <c r="G19" s="9"/>
      <c r="H19" s="9"/>
      <c r="I19" s="9"/>
      <c r="J19" s="9"/>
      <c r="K19" s="9"/>
      <c r="L19" s="9"/>
      <c r="M19" s="9"/>
      <c r="N19" s="9"/>
      <c r="O19" s="9"/>
      <c r="P19" s="9"/>
      <c r="Q19" s="9"/>
      <c r="R19" s="9"/>
      <c r="S19" s="9"/>
      <c r="T19" s="9"/>
      <c r="U19" s="9"/>
      <c r="V19" s="9"/>
      <c r="W19" s="9"/>
      <c r="X19" s="9"/>
      <c r="Y19" s="9"/>
      <c r="Z19" s="9"/>
    </row>
    <row r="20" ht="15.75" customHeight="1">
      <c r="A20" s="9"/>
      <c r="B20" s="12" t="s">
        <v>19</v>
      </c>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12" t="s">
        <v>20</v>
      </c>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10" t="s">
        <v>21</v>
      </c>
      <c r="C24" s="9"/>
      <c r="D24" s="9"/>
      <c r="E24" s="9"/>
      <c r="F24" s="9"/>
      <c r="G24" s="9"/>
      <c r="H24" s="9"/>
      <c r="I24" s="9"/>
      <c r="J24" s="9"/>
      <c r="K24" s="9"/>
      <c r="L24" s="9"/>
      <c r="M24" s="9"/>
      <c r="N24" s="9"/>
      <c r="O24" s="9"/>
      <c r="P24" s="9"/>
      <c r="Q24" s="9"/>
      <c r="R24" s="9"/>
      <c r="S24" s="9"/>
      <c r="T24" s="9"/>
      <c r="U24" s="9"/>
      <c r="V24" s="9"/>
      <c r="W24" s="9"/>
      <c r="X24" s="9"/>
      <c r="Y24" s="9"/>
      <c r="Z24" s="9"/>
    </row>
    <row r="25" ht="51.0" customHeight="1">
      <c r="A25" s="9"/>
      <c r="B25" s="19" t="s">
        <v>22</v>
      </c>
      <c r="D25" s="9"/>
      <c r="E25" s="9"/>
      <c r="F25" s="9"/>
      <c r="G25" s="9"/>
      <c r="H25" s="9"/>
      <c r="I25" s="9"/>
      <c r="J25" s="9"/>
      <c r="K25" s="9"/>
      <c r="L25" s="9"/>
      <c r="M25" s="9"/>
      <c r="N25" s="9"/>
      <c r="O25" s="9"/>
      <c r="P25" s="9"/>
      <c r="Q25" s="9"/>
      <c r="R25" s="9"/>
      <c r="S25" s="9"/>
      <c r="T25" s="9"/>
      <c r="U25" s="9"/>
      <c r="V25" s="9"/>
      <c r="W25" s="9"/>
      <c r="X25" s="9"/>
      <c r="Y25" s="9"/>
      <c r="Z25" s="9"/>
    </row>
    <row r="26" ht="62.25" customHeight="1">
      <c r="A26" s="9"/>
      <c r="B26" s="19" t="s">
        <v>23</v>
      </c>
      <c r="D26" s="9"/>
      <c r="E26" s="9"/>
      <c r="F26" s="9"/>
      <c r="G26" s="9"/>
      <c r="H26" s="9"/>
      <c r="I26" s="9"/>
      <c r="J26" s="9"/>
      <c r="K26" s="9"/>
      <c r="L26" s="9"/>
      <c r="M26" s="9"/>
      <c r="N26" s="9"/>
      <c r="O26" s="9"/>
      <c r="P26" s="9"/>
      <c r="Q26" s="9"/>
      <c r="R26" s="9"/>
      <c r="S26" s="9"/>
      <c r="T26" s="9"/>
      <c r="U26" s="9"/>
      <c r="V26" s="9"/>
      <c r="W26" s="9"/>
      <c r="X26" s="9"/>
      <c r="Y26" s="9"/>
      <c r="Z26" s="9"/>
    </row>
    <row r="27" ht="65.25" customHeight="1">
      <c r="A27" s="9"/>
      <c r="B27" s="19" t="s">
        <v>24</v>
      </c>
      <c r="D27" s="9"/>
      <c r="E27" s="9"/>
      <c r="F27" s="9"/>
      <c r="G27" s="9"/>
      <c r="H27" s="9"/>
      <c r="I27" s="9"/>
      <c r="J27" s="9"/>
      <c r="K27" s="9"/>
      <c r="L27" s="9"/>
      <c r="M27" s="9"/>
      <c r="N27" s="9"/>
      <c r="O27" s="9"/>
      <c r="P27" s="9"/>
      <c r="Q27" s="9"/>
      <c r="R27" s="9"/>
      <c r="S27" s="9"/>
      <c r="T27" s="9"/>
      <c r="U27" s="9"/>
      <c r="V27" s="9"/>
      <c r="W27" s="9"/>
      <c r="X27" s="9"/>
      <c r="Y27" s="9"/>
      <c r="Z27" s="9"/>
    </row>
    <row r="28" ht="51.0" customHeight="1">
      <c r="A28" s="9"/>
      <c r="B28" s="19" t="s">
        <v>25</v>
      </c>
      <c r="D28" s="9"/>
      <c r="E28" s="9"/>
      <c r="F28" s="9"/>
      <c r="G28" s="9"/>
      <c r="H28" s="9"/>
      <c r="I28" s="9"/>
      <c r="J28" s="9"/>
      <c r="K28" s="9"/>
      <c r="L28" s="9"/>
      <c r="M28" s="9"/>
      <c r="N28" s="9"/>
      <c r="O28" s="9"/>
      <c r="P28" s="9"/>
      <c r="Q28" s="9"/>
      <c r="R28" s="9"/>
      <c r="S28" s="9"/>
      <c r="T28" s="9"/>
      <c r="U28" s="9"/>
      <c r="V28" s="9"/>
      <c r="W28" s="9"/>
      <c r="X28" s="9"/>
      <c r="Y28" s="9"/>
      <c r="Z28" s="9"/>
    </row>
    <row r="29" ht="51.0" customHeight="1">
      <c r="A29" s="9"/>
      <c r="B29" s="20" t="s">
        <v>26</v>
      </c>
      <c r="D29" s="9"/>
      <c r="E29" s="9"/>
      <c r="F29" s="9"/>
      <c r="G29" s="9"/>
      <c r="H29" s="9"/>
      <c r="I29" s="9"/>
      <c r="J29" s="9"/>
      <c r="K29" s="9"/>
      <c r="L29" s="9"/>
      <c r="M29" s="9"/>
      <c r="N29" s="9"/>
      <c r="O29" s="9"/>
      <c r="P29" s="9"/>
      <c r="Q29" s="9"/>
      <c r="R29" s="9"/>
      <c r="S29" s="9"/>
      <c r="T29" s="9"/>
      <c r="U29" s="9"/>
      <c r="V29" s="9"/>
      <c r="W29" s="9"/>
      <c r="X29" s="9"/>
      <c r="Y29" s="9"/>
      <c r="Z29" s="9"/>
    </row>
    <row r="30" ht="51.0" customHeight="1">
      <c r="A30" s="9"/>
      <c r="B30" s="20" t="s">
        <v>27</v>
      </c>
      <c r="D30" s="9"/>
      <c r="E30" s="9"/>
      <c r="F30" s="9"/>
      <c r="G30" s="9"/>
      <c r="H30" s="9"/>
      <c r="I30" s="9"/>
      <c r="J30" s="9"/>
      <c r="K30" s="9"/>
      <c r="L30" s="9"/>
      <c r="M30" s="9"/>
      <c r="N30" s="9"/>
      <c r="O30" s="9"/>
      <c r="P30" s="9"/>
      <c r="Q30" s="9"/>
      <c r="R30" s="9"/>
      <c r="S30" s="9"/>
      <c r="T30" s="9"/>
      <c r="U30" s="9"/>
      <c r="V30" s="9"/>
      <c r="W30" s="9"/>
      <c r="X30" s="9"/>
      <c r="Y30" s="9"/>
      <c r="Z30" s="9"/>
    </row>
    <row r="31">
      <c r="A31" s="9"/>
      <c r="B31" s="21" t="s">
        <v>28</v>
      </c>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5:C25"/>
    <mergeCell ref="B26:C26"/>
    <mergeCell ref="B27:C27"/>
    <mergeCell ref="B28:C28"/>
    <mergeCell ref="B29:C29"/>
    <mergeCell ref="B30:C30"/>
    <mergeCell ref="B31:C3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86"/>
    <col customWidth="1" min="2" max="2" width="44.0"/>
    <col customWidth="1" min="3" max="3" width="25.43"/>
    <col customWidth="1" min="4" max="4" width="46.86"/>
    <col customWidth="1" min="5" max="5" width="13.43"/>
    <col customWidth="1" min="6" max="6" width="17.57"/>
    <col customWidth="1" min="7" max="7" width="17.86"/>
    <col customWidth="1" min="8" max="8" width="17.71"/>
    <col customWidth="1" min="9" max="30" width="13.43"/>
  </cols>
  <sheetData>
    <row r="1" ht="21.75" customHeight="1">
      <c r="A1" s="22"/>
      <c r="B1" s="23"/>
      <c r="C1" s="23"/>
      <c r="D1" s="23"/>
      <c r="E1" s="22"/>
      <c r="F1" s="22"/>
      <c r="G1" s="22"/>
      <c r="H1" s="22"/>
      <c r="I1" s="22"/>
      <c r="J1" s="22"/>
      <c r="K1" s="22"/>
      <c r="L1" s="22"/>
      <c r="M1" s="22"/>
      <c r="N1" s="22"/>
      <c r="O1" s="22"/>
      <c r="P1" s="22"/>
      <c r="Q1" s="22"/>
      <c r="R1" s="22"/>
      <c r="S1" s="22"/>
      <c r="T1" s="22"/>
      <c r="U1" s="22"/>
      <c r="V1" s="22"/>
      <c r="W1" s="22"/>
      <c r="X1" s="22"/>
      <c r="Y1" s="22"/>
      <c r="Z1" s="22"/>
      <c r="AA1" s="22"/>
      <c r="AB1" s="22"/>
      <c r="AC1" s="22"/>
      <c r="AD1" s="22"/>
    </row>
    <row r="2" ht="21.75" customHeight="1">
      <c r="A2" s="22"/>
      <c r="B2" s="24" t="s">
        <v>29</v>
      </c>
      <c r="C2" s="23"/>
      <c r="D2" s="23"/>
      <c r="E2" s="22"/>
      <c r="F2" s="22"/>
      <c r="G2" s="22"/>
      <c r="H2" s="22"/>
      <c r="I2" s="22"/>
      <c r="J2" s="22"/>
      <c r="K2" s="22"/>
      <c r="L2" s="22"/>
      <c r="M2" s="22"/>
      <c r="N2" s="22"/>
      <c r="O2" s="22"/>
      <c r="P2" s="22"/>
      <c r="Q2" s="22"/>
      <c r="R2" s="22"/>
      <c r="S2" s="22"/>
      <c r="T2" s="22"/>
      <c r="U2" s="22"/>
      <c r="V2" s="22"/>
      <c r="W2" s="22"/>
      <c r="X2" s="22"/>
      <c r="Y2" s="22"/>
      <c r="Z2" s="22"/>
      <c r="AA2" s="22"/>
      <c r="AB2" s="22"/>
      <c r="AC2" s="22"/>
      <c r="AD2" s="22"/>
    </row>
    <row r="3" ht="21.75" customHeight="1">
      <c r="A3" s="22"/>
      <c r="B3" s="23" t="s">
        <v>30</v>
      </c>
      <c r="E3" s="22"/>
      <c r="F3" s="22"/>
      <c r="G3" s="22"/>
      <c r="H3" s="22"/>
      <c r="I3" s="22"/>
      <c r="J3" s="22"/>
      <c r="K3" s="22"/>
      <c r="L3" s="22"/>
      <c r="M3" s="22"/>
      <c r="N3" s="22"/>
      <c r="O3" s="22"/>
      <c r="P3" s="22"/>
      <c r="Q3" s="22"/>
      <c r="R3" s="22"/>
      <c r="S3" s="22"/>
      <c r="T3" s="22"/>
      <c r="U3" s="22"/>
      <c r="V3" s="22"/>
      <c r="W3" s="22"/>
      <c r="X3" s="22"/>
      <c r="Y3" s="22"/>
      <c r="Z3" s="22"/>
      <c r="AA3" s="22"/>
      <c r="AB3" s="22"/>
      <c r="AC3" s="22"/>
      <c r="AD3" s="22"/>
    </row>
    <row r="4" ht="21.75" customHeight="1">
      <c r="A4" s="25"/>
      <c r="B4" s="25"/>
      <c r="C4" s="25"/>
      <c r="D4" s="25"/>
      <c r="E4" s="25"/>
      <c r="F4" s="25"/>
      <c r="G4" s="25"/>
      <c r="H4" s="26"/>
      <c r="I4" s="26"/>
      <c r="J4" s="26"/>
      <c r="K4" s="26"/>
      <c r="L4" s="26"/>
      <c r="M4" s="26"/>
      <c r="N4" s="25"/>
      <c r="O4" s="25"/>
      <c r="P4" s="25"/>
      <c r="Q4" s="25"/>
      <c r="R4" s="25"/>
      <c r="S4" s="25"/>
      <c r="T4" s="25"/>
      <c r="U4" s="25"/>
      <c r="V4" s="25"/>
      <c r="W4" s="25"/>
      <c r="X4" s="25"/>
      <c r="Y4" s="25"/>
      <c r="Z4" s="25"/>
      <c r="AA4" s="25"/>
      <c r="AB4" s="25"/>
      <c r="AC4" s="25"/>
      <c r="AD4" s="25"/>
    </row>
    <row r="5" ht="21.75" customHeight="1">
      <c r="A5" s="25"/>
      <c r="B5" s="27" t="s">
        <v>31</v>
      </c>
      <c r="C5" s="28"/>
      <c r="D5" s="28"/>
      <c r="E5" s="27"/>
      <c r="F5" s="28"/>
      <c r="G5" s="28"/>
      <c r="H5" s="29"/>
      <c r="I5" s="28"/>
      <c r="J5" s="28"/>
      <c r="K5" s="29"/>
      <c r="L5" s="28"/>
      <c r="M5" s="28"/>
      <c r="N5" s="25"/>
      <c r="O5" s="25"/>
      <c r="P5" s="25"/>
      <c r="Q5" s="25"/>
      <c r="R5" s="25"/>
      <c r="S5" s="25"/>
      <c r="T5" s="25"/>
      <c r="U5" s="25"/>
      <c r="V5" s="25"/>
      <c r="W5" s="25"/>
      <c r="X5" s="25"/>
      <c r="Y5" s="25"/>
      <c r="Z5" s="25"/>
      <c r="AA5" s="25"/>
      <c r="AB5" s="25"/>
      <c r="AC5" s="25"/>
      <c r="AD5" s="25"/>
    </row>
    <row r="6" ht="21.75" hidden="1" customHeight="1">
      <c r="A6" s="25"/>
      <c r="B6" s="30" t="s">
        <v>32</v>
      </c>
      <c r="C6" s="31">
        <v>29538.9</v>
      </c>
      <c r="D6" s="25"/>
      <c r="E6" s="25"/>
      <c r="F6" s="25"/>
      <c r="G6" s="25"/>
      <c r="H6" s="26"/>
      <c r="I6" s="26"/>
      <c r="J6" s="26"/>
      <c r="K6" s="26"/>
      <c r="L6" s="26"/>
      <c r="M6" s="26"/>
      <c r="N6" s="25"/>
      <c r="O6" s="25"/>
      <c r="P6" s="25"/>
      <c r="Q6" s="25"/>
      <c r="R6" s="25"/>
      <c r="S6" s="25"/>
      <c r="T6" s="25"/>
      <c r="U6" s="25"/>
      <c r="V6" s="25"/>
      <c r="W6" s="25"/>
      <c r="X6" s="25"/>
      <c r="Y6" s="25"/>
      <c r="Z6" s="25"/>
      <c r="AA6" s="25"/>
      <c r="AB6" s="25"/>
      <c r="AC6" s="25"/>
      <c r="AD6" s="25"/>
    </row>
    <row r="7" ht="21.75" customHeight="1">
      <c r="A7" s="25"/>
      <c r="B7" s="30" t="s">
        <v>33</v>
      </c>
      <c r="C7" s="32">
        <v>0.08</v>
      </c>
      <c r="D7" s="25"/>
      <c r="E7" s="25"/>
      <c r="F7" s="25"/>
      <c r="G7" s="25"/>
      <c r="H7" s="26"/>
      <c r="I7" s="26"/>
      <c r="J7" s="26"/>
      <c r="K7" s="26"/>
      <c r="L7" s="26"/>
      <c r="M7" s="26"/>
      <c r="N7" s="25"/>
      <c r="O7" s="25"/>
      <c r="P7" s="25"/>
      <c r="Q7" s="25"/>
      <c r="R7" s="25"/>
      <c r="S7" s="25"/>
      <c r="T7" s="25"/>
      <c r="U7" s="25"/>
      <c r="V7" s="25"/>
      <c r="W7" s="25"/>
      <c r="X7" s="25"/>
      <c r="Y7" s="25"/>
      <c r="Z7" s="25"/>
      <c r="AA7" s="25"/>
      <c r="AB7" s="25"/>
      <c r="AC7" s="25"/>
      <c r="AD7" s="25"/>
    </row>
    <row r="8" ht="21.75" customHeight="1">
      <c r="A8" s="25"/>
      <c r="B8" s="30" t="s">
        <v>34</v>
      </c>
      <c r="C8" s="33" t="s">
        <v>35</v>
      </c>
      <c r="D8" s="25"/>
      <c r="E8" s="25"/>
      <c r="F8" s="25"/>
      <c r="G8" s="25"/>
      <c r="H8" s="26"/>
      <c r="I8" s="26"/>
      <c r="J8" s="26"/>
      <c r="K8" s="26"/>
      <c r="L8" s="26"/>
      <c r="M8" s="26"/>
      <c r="N8" s="25"/>
      <c r="O8" s="25"/>
      <c r="P8" s="25"/>
      <c r="Q8" s="25"/>
      <c r="R8" s="25"/>
      <c r="S8" s="25"/>
      <c r="T8" s="25"/>
      <c r="U8" s="25"/>
      <c r="V8" s="25"/>
      <c r="W8" s="25"/>
      <c r="X8" s="25"/>
      <c r="Y8" s="25"/>
      <c r="Z8" s="25"/>
      <c r="AA8" s="25"/>
      <c r="AB8" s="25"/>
      <c r="AC8" s="25"/>
      <c r="AD8" s="25"/>
    </row>
    <row r="9" ht="21.75" customHeight="1">
      <c r="A9" s="25"/>
      <c r="B9" s="30" t="s">
        <v>36</v>
      </c>
      <c r="C9" s="34">
        <v>0.08</v>
      </c>
      <c r="D9" s="25"/>
      <c r="E9" s="25"/>
      <c r="F9" s="25"/>
      <c r="G9" s="25"/>
      <c r="H9" s="26"/>
      <c r="I9" s="26"/>
      <c r="J9" s="26"/>
      <c r="K9" s="26"/>
      <c r="L9" s="26"/>
      <c r="M9" s="26"/>
      <c r="N9" s="25"/>
      <c r="O9" s="25"/>
      <c r="P9" s="25"/>
      <c r="Q9" s="25"/>
      <c r="R9" s="25"/>
      <c r="S9" s="25"/>
      <c r="T9" s="25"/>
      <c r="U9" s="25"/>
      <c r="V9" s="25"/>
      <c r="W9" s="25"/>
      <c r="X9" s="25"/>
      <c r="Y9" s="25"/>
      <c r="Z9" s="25"/>
      <c r="AA9" s="25"/>
      <c r="AB9" s="25"/>
      <c r="AC9" s="25"/>
      <c r="AD9" s="25"/>
    </row>
    <row r="10" ht="21.75" customHeight="1">
      <c r="A10" s="25"/>
      <c r="B10" s="25" t="s">
        <v>37</v>
      </c>
      <c r="C10" s="35">
        <v>0.258</v>
      </c>
      <c r="D10" s="25"/>
      <c r="E10" s="25"/>
      <c r="F10" s="25"/>
      <c r="G10" s="25"/>
      <c r="H10" s="26"/>
      <c r="I10" s="26"/>
      <c r="J10" s="26"/>
      <c r="K10" s="26"/>
      <c r="L10" s="26"/>
      <c r="M10" s="26"/>
      <c r="N10" s="25"/>
      <c r="O10" s="25"/>
      <c r="P10" s="25"/>
      <c r="Q10" s="25"/>
      <c r="R10" s="25"/>
      <c r="S10" s="25"/>
      <c r="T10" s="25"/>
      <c r="U10" s="25"/>
      <c r="V10" s="25"/>
      <c r="W10" s="25"/>
      <c r="X10" s="25"/>
      <c r="Y10" s="25"/>
      <c r="Z10" s="25"/>
      <c r="AA10" s="25"/>
      <c r="AB10" s="25"/>
      <c r="AC10" s="25"/>
      <c r="AD10" s="25"/>
    </row>
    <row r="11" ht="21.75" customHeight="1">
      <c r="A11" s="25"/>
      <c r="B11" s="25" t="s">
        <v>38</v>
      </c>
      <c r="C11" s="35">
        <v>0.05</v>
      </c>
      <c r="D11" s="25"/>
      <c r="E11" s="25"/>
      <c r="F11" s="25"/>
      <c r="G11" s="25"/>
      <c r="H11" s="26"/>
      <c r="I11" s="26"/>
      <c r="J11" s="26"/>
      <c r="K11" s="26"/>
      <c r="L11" s="26"/>
      <c r="M11" s="26"/>
      <c r="N11" s="25"/>
      <c r="O11" s="25"/>
      <c r="P11" s="25"/>
      <c r="Q11" s="25"/>
      <c r="R11" s="25"/>
      <c r="S11" s="25"/>
      <c r="T11" s="25"/>
      <c r="U11" s="25"/>
      <c r="V11" s="25"/>
      <c r="W11" s="25"/>
      <c r="X11" s="25"/>
      <c r="Y11" s="25"/>
      <c r="Z11" s="25"/>
      <c r="AA11" s="25"/>
      <c r="AB11" s="25"/>
      <c r="AC11" s="25"/>
      <c r="AD11" s="25"/>
    </row>
    <row r="12" ht="21.75" customHeight="1">
      <c r="A12" s="30"/>
      <c r="B12" s="36"/>
      <c r="C12" s="30"/>
      <c r="D12" s="30"/>
      <c r="E12" s="30"/>
      <c r="F12" s="30"/>
      <c r="G12" s="30"/>
      <c r="H12" s="37"/>
      <c r="I12" s="37"/>
      <c r="J12" s="37"/>
      <c r="K12" s="37"/>
      <c r="L12" s="37"/>
      <c r="M12" s="37"/>
      <c r="N12" s="30"/>
      <c r="O12" s="30"/>
      <c r="P12" s="30"/>
      <c r="Q12" s="30"/>
      <c r="R12" s="30"/>
      <c r="S12" s="30"/>
      <c r="T12" s="30"/>
      <c r="U12" s="30"/>
      <c r="V12" s="30"/>
      <c r="W12" s="30"/>
      <c r="X12" s="30"/>
      <c r="Y12" s="30"/>
      <c r="Z12" s="30"/>
      <c r="AA12" s="30"/>
      <c r="AB12" s="30"/>
      <c r="AC12" s="30"/>
      <c r="AD12" s="30"/>
    </row>
    <row r="13" ht="21.75" customHeight="1">
      <c r="A13" s="30"/>
      <c r="B13" s="27" t="s">
        <v>39</v>
      </c>
      <c r="C13" s="28"/>
      <c r="D13" s="28"/>
      <c r="E13" s="30"/>
      <c r="F13" s="30"/>
      <c r="G13" s="30"/>
      <c r="H13" s="38">
        <v>20.0</v>
      </c>
      <c r="I13" s="37"/>
      <c r="J13" s="37"/>
      <c r="K13" s="37"/>
      <c r="L13" s="37"/>
      <c r="M13" s="37"/>
      <c r="N13" s="37"/>
      <c r="O13" s="37"/>
      <c r="P13" s="37"/>
      <c r="Q13" s="37"/>
      <c r="R13" s="37"/>
      <c r="S13" s="37"/>
      <c r="T13" s="37"/>
      <c r="U13" s="37"/>
      <c r="V13" s="37"/>
      <c r="W13" s="37"/>
      <c r="X13" s="37"/>
      <c r="Y13" s="37"/>
      <c r="Z13" s="37"/>
      <c r="AA13" s="37"/>
      <c r="AB13" s="37"/>
      <c r="AC13" s="37"/>
      <c r="AD13" s="37"/>
    </row>
    <row r="14" ht="21.75" customHeight="1">
      <c r="A14" s="30"/>
      <c r="B14" s="30"/>
      <c r="C14" s="30"/>
      <c r="D14" s="30"/>
      <c r="E14" s="30"/>
      <c r="F14" s="30"/>
      <c r="G14" s="30"/>
      <c r="H14" s="37" t="s">
        <v>40</v>
      </c>
      <c r="I14" s="39"/>
      <c r="J14" s="39"/>
      <c r="K14" s="39"/>
      <c r="L14" s="39"/>
      <c r="M14" s="39"/>
      <c r="N14" s="39"/>
      <c r="O14" s="39"/>
      <c r="P14" s="39"/>
      <c r="Q14" s="39"/>
      <c r="R14" s="39"/>
      <c r="S14" s="39"/>
      <c r="T14" s="39"/>
      <c r="U14" s="39"/>
      <c r="V14" s="39"/>
      <c r="W14" s="39"/>
      <c r="X14" s="39"/>
      <c r="Y14" s="39"/>
      <c r="Z14" s="39"/>
      <c r="AA14" s="39"/>
      <c r="AB14" s="39"/>
      <c r="AC14" s="39"/>
      <c r="AD14" s="39"/>
    </row>
    <row r="15" ht="21.75" customHeight="1">
      <c r="A15" s="30"/>
      <c r="B15" s="40" t="s">
        <v>41</v>
      </c>
      <c r="C15" s="30" t="s">
        <v>42</v>
      </c>
      <c r="D15" s="41">
        <v>20.0</v>
      </c>
      <c r="E15" s="30"/>
      <c r="F15" s="30"/>
      <c r="G15" s="30"/>
      <c r="H15" s="37"/>
      <c r="I15" s="42"/>
      <c r="J15" s="42"/>
      <c r="K15" s="42"/>
      <c r="L15" s="42"/>
      <c r="M15" s="42"/>
      <c r="N15" s="42"/>
      <c r="O15" s="42"/>
      <c r="P15" s="42"/>
      <c r="Q15" s="42"/>
      <c r="R15" s="42"/>
      <c r="S15" s="42"/>
      <c r="T15" s="42"/>
      <c r="U15" s="37"/>
      <c r="V15" s="37"/>
      <c r="W15" s="37"/>
      <c r="X15" s="37"/>
      <c r="Y15" s="37"/>
      <c r="Z15" s="37"/>
      <c r="AA15" s="37"/>
      <c r="AB15" s="37"/>
      <c r="AC15" s="37"/>
      <c r="AD15" s="37"/>
    </row>
    <row r="16" ht="21.75" customHeight="1">
      <c r="A16" s="30"/>
      <c r="B16" s="40" t="s">
        <v>43</v>
      </c>
      <c r="C16" s="30" t="s">
        <v>42</v>
      </c>
      <c r="D16" s="41">
        <v>45.0</v>
      </c>
      <c r="E16" s="30"/>
      <c r="F16" s="30"/>
      <c r="G16" s="30"/>
      <c r="H16" s="37"/>
      <c r="I16" s="42"/>
      <c r="J16" s="42"/>
      <c r="K16" s="42"/>
      <c r="L16" s="42"/>
      <c r="M16" s="42"/>
      <c r="N16" s="42"/>
      <c r="O16" s="42"/>
      <c r="P16" s="42"/>
      <c r="Q16" s="42"/>
      <c r="R16" s="42"/>
      <c r="S16" s="42"/>
      <c r="T16" s="42"/>
      <c r="U16" s="37"/>
      <c r="V16" s="37"/>
      <c r="W16" s="37"/>
      <c r="X16" s="37"/>
      <c r="Y16" s="37"/>
      <c r="Z16" s="37"/>
      <c r="AA16" s="37"/>
      <c r="AB16" s="37"/>
      <c r="AC16" s="37"/>
      <c r="AD16" s="37"/>
    </row>
    <row r="17" ht="21.75" customHeight="1">
      <c r="A17" s="30"/>
      <c r="B17" s="40" t="s">
        <v>44</v>
      </c>
      <c r="C17" s="30" t="s">
        <v>42</v>
      </c>
      <c r="D17" s="41">
        <v>0.0</v>
      </c>
      <c r="E17" s="30"/>
      <c r="F17" s="30"/>
      <c r="G17" s="30"/>
      <c r="H17" s="30"/>
      <c r="I17" s="30"/>
      <c r="J17" s="30"/>
      <c r="K17" s="37"/>
      <c r="L17" s="37"/>
      <c r="M17" s="37"/>
      <c r="N17" s="30"/>
      <c r="O17" s="30"/>
      <c r="P17" s="30"/>
      <c r="Q17" s="30"/>
      <c r="R17" s="30"/>
      <c r="S17" s="30"/>
      <c r="T17" s="30"/>
      <c r="U17" s="30"/>
      <c r="V17" s="30"/>
      <c r="W17" s="30"/>
      <c r="X17" s="30"/>
      <c r="Y17" s="30"/>
      <c r="Z17" s="30"/>
      <c r="AA17" s="30"/>
      <c r="AB17" s="30"/>
      <c r="AC17" s="30"/>
      <c r="AD17" s="30"/>
    </row>
    <row r="18" ht="21.75" customHeight="1">
      <c r="A18" s="30"/>
      <c r="B18" s="40" t="s">
        <v>45</v>
      </c>
      <c r="C18" s="30" t="s">
        <v>46</v>
      </c>
      <c r="D18" s="43"/>
      <c r="E18" s="30"/>
      <c r="F18" s="30"/>
      <c r="G18" s="30"/>
      <c r="H18" s="30"/>
      <c r="I18" s="30"/>
      <c r="J18" s="30"/>
      <c r="K18" s="37"/>
      <c r="L18" s="37"/>
      <c r="M18" s="37"/>
      <c r="N18" s="30"/>
      <c r="O18" s="30"/>
      <c r="P18" s="30"/>
      <c r="Q18" s="30"/>
      <c r="R18" s="30"/>
      <c r="S18" s="30"/>
      <c r="T18" s="30"/>
      <c r="U18" s="30"/>
      <c r="V18" s="30"/>
      <c r="W18" s="30"/>
      <c r="X18" s="30"/>
      <c r="Y18" s="30"/>
      <c r="Z18" s="30"/>
      <c r="AA18" s="30"/>
      <c r="AB18" s="30"/>
      <c r="AC18" s="30"/>
      <c r="AD18" s="30"/>
    </row>
    <row r="19" ht="21.75" customHeight="1">
      <c r="A19" s="30"/>
      <c r="B19" s="36"/>
      <c r="C19" s="30"/>
      <c r="D19" s="30"/>
      <c r="E19" s="30"/>
      <c r="F19" s="30"/>
      <c r="G19" s="30"/>
      <c r="M19" s="37"/>
      <c r="N19" s="30"/>
      <c r="O19" s="30"/>
      <c r="P19" s="30"/>
      <c r="Q19" s="30"/>
      <c r="R19" s="30"/>
      <c r="S19" s="30"/>
      <c r="T19" s="30"/>
      <c r="U19" s="30"/>
      <c r="V19" s="30"/>
      <c r="W19" s="30"/>
      <c r="X19" s="30"/>
      <c r="Y19" s="30"/>
      <c r="Z19" s="30"/>
      <c r="AA19" s="30"/>
      <c r="AB19" s="30"/>
      <c r="AC19" s="30"/>
      <c r="AD19" s="30"/>
    </row>
    <row r="20" ht="21.75" customHeight="1">
      <c r="A20" s="30"/>
      <c r="B20" s="24" t="s">
        <v>47</v>
      </c>
      <c r="C20" s="44"/>
      <c r="D20" s="44"/>
      <c r="E20" s="44"/>
      <c r="F20" s="44"/>
      <c r="G20" s="44"/>
      <c r="M20" s="37"/>
      <c r="N20" s="30"/>
      <c r="O20" s="30"/>
      <c r="P20" s="30"/>
      <c r="Q20" s="30"/>
      <c r="R20" s="30"/>
      <c r="S20" s="30"/>
      <c r="T20" s="30"/>
      <c r="U20" s="30"/>
      <c r="V20" s="30"/>
      <c r="W20" s="30"/>
      <c r="X20" s="30"/>
      <c r="Y20" s="30"/>
      <c r="Z20" s="30"/>
      <c r="AA20" s="30"/>
      <c r="AB20" s="30"/>
      <c r="AC20" s="30"/>
      <c r="AD20" s="30"/>
    </row>
    <row r="21" ht="21.75" customHeight="1">
      <c r="A21" s="30"/>
      <c r="B21" s="45" t="s">
        <v>48</v>
      </c>
      <c r="C21" s="45"/>
      <c r="D21" s="46">
        <v>1000.0</v>
      </c>
      <c r="E21" s="46">
        <v>3000.0</v>
      </c>
      <c r="F21" s="46">
        <v>6000.0</v>
      </c>
      <c r="G21" s="46">
        <v>12000.0</v>
      </c>
      <c r="M21" s="37"/>
      <c r="N21" s="30"/>
      <c r="O21" s="30"/>
      <c r="P21" s="30"/>
      <c r="Q21" s="30"/>
      <c r="R21" s="30"/>
      <c r="S21" s="30"/>
      <c r="T21" s="30"/>
      <c r="U21" s="30"/>
      <c r="V21" s="30"/>
      <c r="W21" s="30"/>
      <c r="X21" s="30"/>
      <c r="Y21" s="30"/>
      <c r="Z21" s="30"/>
      <c r="AA21" s="30"/>
      <c r="AB21" s="30"/>
      <c r="AC21" s="30"/>
      <c r="AD21" s="30"/>
    </row>
    <row r="22" ht="21.75" customHeight="1">
      <c r="A22" s="30"/>
      <c r="B22" s="37"/>
      <c r="C22" s="30">
        <v>2026.0</v>
      </c>
      <c r="D22" s="30">
        <v>2027.0</v>
      </c>
      <c r="E22" s="30">
        <v>2028.0</v>
      </c>
      <c r="F22" s="30">
        <v>2029.0</v>
      </c>
      <c r="G22" s="30">
        <v>2030.0</v>
      </c>
      <c r="M22" s="37"/>
      <c r="N22" s="30"/>
      <c r="O22" s="30"/>
      <c r="P22" s="30"/>
      <c r="Q22" s="30"/>
      <c r="R22" s="30"/>
      <c r="S22" s="30"/>
      <c r="T22" s="30"/>
      <c r="U22" s="30"/>
      <c r="V22" s="30"/>
      <c r="W22" s="30"/>
      <c r="X22" s="30"/>
      <c r="Y22" s="30"/>
      <c r="Z22" s="30"/>
      <c r="AA22" s="30"/>
      <c r="AB22" s="30"/>
      <c r="AC22" s="30"/>
      <c r="AD22" s="30"/>
    </row>
    <row r="23" ht="21.75" customHeight="1">
      <c r="A23" s="30"/>
      <c r="B23" s="37" t="s">
        <v>49</v>
      </c>
      <c r="C23" s="47">
        <v>0.0</v>
      </c>
      <c r="D23" s="47">
        <f t="shared" ref="D23:G23" si="1">D$21*$H23</f>
        <v>400</v>
      </c>
      <c r="E23" s="47">
        <f t="shared" si="1"/>
        <v>1200</v>
      </c>
      <c r="F23" s="47">
        <f t="shared" si="1"/>
        <v>2400</v>
      </c>
      <c r="G23" s="47">
        <f t="shared" si="1"/>
        <v>4800</v>
      </c>
      <c r="H23" s="48">
        <v>0.4</v>
      </c>
      <c r="M23" s="37"/>
      <c r="N23" s="30"/>
      <c r="O23" s="30"/>
      <c r="P23" s="30"/>
      <c r="Q23" s="30"/>
      <c r="R23" s="30"/>
      <c r="S23" s="30"/>
      <c r="T23" s="30"/>
      <c r="U23" s="30"/>
      <c r="V23" s="30"/>
      <c r="W23" s="30"/>
      <c r="X23" s="30"/>
      <c r="Y23" s="30"/>
      <c r="Z23" s="30"/>
      <c r="AA23" s="30"/>
      <c r="AB23" s="30"/>
      <c r="AC23" s="30"/>
      <c r="AD23" s="30"/>
    </row>
    <row r="24" ht="21.75" customHeight="1">
      <c r="A24" s="30"/>
      <c r="B24" s="30" t="s">
        <v>50</v>
      </c>
      <c r="C24" s="47">
        <v>0.0</v>
      </c>
      <c r="D24" s="47">
        <f t="shared" ref="D24:G24" si="2">D$21*$H24</f>
        <v>300</v>
      </c>
      <c r="E24" s="47">
        <f t="shared" si="2"/>
        <v>900</v>
      </c>
      <c r="F24" s="47">
        <f t="shared" si="2"/>
        <v>1800</v>
      </c>
      <c r="G24" s="47">
        <f t="shared" si="2"/>
        <v>3600</v>
      </c>
      <c r="H24" s="48">
        <v>0.3</v>
      </c>
      <c r="M24" s="37"/>
      <c r="N24" s="30"/>
      <c r="O24" s="30"/>
      <c r="P24" s="30"/>
      <c r="Q24" s="30"/>
      <c r="R24" s="30"/>
      <c r="S24" s="30"/>
      <c r="T24" s="30"/>
      <c r="U24" s="30"/>
      <c r="V24" s="30"/>
      <c r="W24" s="30"/>
      <c r="X24" s="30"/>
      <c r="Y24" s="30"/>
      <c r="Z24" s="30"/>
      <c r="AA24" s="30"/>
      <c r="AB24" s="30"/>
      <c r="AC24" s="30"/>
      <c r="AD24" s="30"/>
    </row>
    <row r="25" ht="21.75" customHeight="1">
      <c r="A25" s="30"/>
      <c r="B25" s="30" t="s">
        <v>51</v>
      </c>
      <c r="C25" s="47">
        <v>0.0</v>
      </c>
      <c r="D25" s="47">
        <f t="shared" ref="D25:G25" si="3">D$21*$H25</f>
        <v>300</v>
      </c>
      <c r="E25" s="47">
        <f t="shared" si="3"/>
        <v>900</v>
      </c>
      <c r="F25" s="47">
        <f t="shared" si="3"/>
        <v>1800</v>
      </c>
      <c r="G25" s="47">
        <f t="shared" si="3"/>
        <v>3600</v>
      </c>
      <c r="H25" s="48">
        <v>0.3</v>
      </c>
      <c r="M25" s="37"/>
      <c r="N25" s="30"/>
      <c r="O25" s="30"/>
      <c r="P25" s="30"/>
      <c r="Q25" s="30"/>
      <c r="R25" s="30"/>
      <c r="S25" s="30"/>
      <c r="T25" s="30"/>
      <c r="U25" s="30"/>
      <c r="V25" s="30"/>
      <c r="W25" s="30"/>
      <c r="X25" s="30"/>
      <c r="Y25" s="30"/>
      <c r="Z25" s="30"/>
      <c r="AA25" s="30"/>
      <c r="AB25" s="30"/>
      <c r="AC25" s="30"/>
      <c r="AD25" s="30"/>
    </row>
    <row r="26" ht="21.75" customHeight="1">
      <c r="A26" s="30"/>
      <c r="B26" s="30"/>
      <c r="C26" s="30"/>
      <c r="D26" s="30"/>
      <c r="E26" s="30"/>
      <c r="F26" s="30"/>
      <c r="G26" s="30"/>
      <c r="M26" s="37"/>
      <c r="N26" s="30"/>
      <c r="O26" s="30"/>
      <c r="P26" s="30"/>
      <c r="Q26" s="30"/>
      <c r="R26" s="30"/>
      <c r="S26" s="30"/>
      <c r="T26" s="30"/>
      <c r="U26" s="30"/>
      <c r="V26" s="30"/>
      <c r="W26" s="30"/>
      <c r="X26" s="30"/>
      <c r="Y26" s="30"/>
      <c r="Z26" s="30"/>
      <c r="AA26" s="30"/>
      <c r="AB26" s="30"/>
      <c r="AC26" s="30"/>
      <c r="AD26" s="30"/>
    </row>
    <row r="27" ht="21.75" customHeight="1">
      <c r="A27" s="49"/>
      <c r="B27" s="50"/>
      <c r="C27" s="37"/>
      <c r="D27" s="51"/>
      <c r="E27" s="51"/>
      <c r="F27" s="51"/>
      <c r="G27" s="51"/>
      <c r="M27" s="52"/>
      <c r="N27" s="49"/>
      <c r="O27" s="49"/>
      <c r="P27" s="49"/>
      <c r="Q27" s="49"/>
      <c r="R27" s="49"/>
      <c r="S27" s="49"/>
      <c r="T27" s="49"/>
      <c r="U27" s="49"/>
      <c r="V27" s="49"/>
      <c r="W27" s="49"/>
      <c r="X27" s="49"/>
      <c r="Y27" s="49"/>
      <c r="Z27" s="49"/>
      <c r="AA27" s="49"/>
      <c r="AB27" s="49"/>
      <c r="AC27" s="49"/>
      <c r="AD27" s="49"/>
    </row>
    <row r="28" ht="21.75" customHeight="1">
      <c r="A28" s="49"/>
      <c r="B28" s="45" t="s">
        <v>52</v>
      </c>
      <c r="C28" s="45"/>
      <c r="D28" s="45"/>
      <c r="E28" s="45"/>
      <c r="F28" s="45"/>
      <c r="G28" s="45"/>
      <c r="H28" s="52"/>
      <c r="I28" s="52"/>
      <c r="J28" s="52"/>
      <c r="K28" s="52"/>
      <c r="L28" s="52"/>
      <c r="M28" s="52"/>
      <c r="N28" s="49"/>
      <c r="O28" s="49"/>
      <c r="P28" s="49"/>
      <c r="Q28" s="49"/>
      <c r="R28" s="49"/>
      <c r="S28" s="49"/>
      <c r="T28" s="49"/>
      <c r="U28" s="49"/>
      <c r="V28" s="49"/>
      <c r="W28" s="49"/>
      <c r="X28" s="49"/>
      <c r="Y28" s="49"/>
      <c r="Z28" s="49"/>
      <c r="AA28" s="49"/>
      <c r="AB28" s="49"/>
      <c r="AC28" s="49"/>
      <c r="AD28" s="49"/>
    </row>
    <row r="29" ht="21.75" customHeight="1">
      <c r="A29" s="49"/>
      <c r="B29" s="53" t="s">
        <v>53</v>
      </c>
      <c r="C29" s="37"/>
      <c r="D29" s="51" t="s">
        <v>54</v>
      </c>
      <c r="E29" s="51"/>
      <c r="F29" s="51"/>
      <c r="G29" s="51"/>
      <c r="H29" s="52"/>
      <c r="I29" s="52"/>
      <c r="J29" s="52"/>
      <c r="K29" s="52"/>
      <c r="L29" s="52"/>
      <c r="M29" s="52"/>
      <c r="N29" s="49"/>
      <c r="O29" s="49"/>
      <c r="P29" s="49"/>
      <c r="Q29" s="49"/>
      <c r="R29" s="49"/>
      <c r="S29" s="49"/>
      <c r="T29" s="49"/>
      <c r="U29" s="49"/>
      <c r="V29" s="49"/>
      <c r="W29" s="49"/>
      <c r="X29" s="49"/>
      <c r="Y29" s="49"/>
      <c r="Z29" s="49"/>
      <c r="AA29" s="49"/>
      <c r="AB29" s="49"/>
      <c r="AC29" s="49"/>
      <c r="AD29" s="49"/>
    </row>
    <row r="30" ht="21.75" customHeight="1">
      <c r="A30" s="49"/>
      <c r="B30" s="49" t="s">
        <v>55</v>
      </c>
      <c r="C30" s="54">
        <v>8525.62</v>
      </c>
      <c r="D30" s="55">
        <f t="shared" ref="D30:D34" si="4">C30*1.21</f>
        <v>10316.0002</v>
      </c>
      <c r="E30" s="51"/>
      <c r="F30" s="51"/>
      <c r="G30" s="51"/>
      <c r="H30" s="52"/>
      <c r="I30" s="52"/>
      <c r="J30" s="52"/>
      <c r="K30" s="37"/>
      <c r="L30" s="52"/>
      <c r="M30" s="52"/>
      <c r="N30" s="49"/>
      <c r="O30" s="49"/>
      <c r="P30" s="49"/>
      <c r="Q30" s="49"/>
      <c r="R30" s="49"/>
      <c r="S30" s="49"/>
      <c r="T30" s="49"/>
      <c r="U30" s="49"/>
      <c r="V30" s="49"/>
      <c r="W30" s="49"/>
      <c r="X30" s="49"/>
      <c r="Y30" s="49"/>
      <c r="Z30" s="49"/>
      <c r="AA30" s="49"/>
      <c r="AB30" s="49"/>
      <c r="AC30" s="49"/>
      <c r="AD30" s="49"/>
    </row>
    <row r="31" ht="21.75" customHeight="1">
      <c r="A31" s="49"/>
      <c r="B31" s="53" t="s">
        <v>56</v>
      </c>
      <c r="C31" s="56">
        <v>2252.07</v>
      </c>
      <c r="D31" s="55">
        <f t="shared" si="4"/>
        <v>2725.0047</v>
      </c>
      <c r="E31" s="30"/>
      <c r="F31" s="49"/>
      <c r="G31" s="49"/>
      <c r="H31" s="52"/>
      <c r="I31" s="52"/>
      <c r="J31" s="52"/>
      <c r="K31" s="37"/>
      <c r="L31" s="52"/>
      <c r="M31" s="52"/>
      <c r="N31" s="49"/>
      <c r="O31" s="49"/>
      <c r="P31" s="49"/>
      <c r="Q31" s="49"/>
      <c r="R31" s="49"/>
      <c r="S31" s="49"/>
      <c r="T31" s="49"/>
      <c r="U31" s="49"/>
      <c r="V31" s="49"/>
      <c r="W31" s="49"/>
      <c r="X31" s="49"/>
      <c r="Y31" s="49"/>
      <c r="Z31" s="49"/>
      <c r="AA31" s="49"/>
      <c r="AB31" s="49"/>
      <c r="AC31" s="49"/>
      <c r="AD31" s="49"/>
    </row>
    <row r="32" ht="21.75" customHeight="1">
      <c r="A32" s="49"/>
      <c r="B32" s="53" t="s">
        <v>57</v>
      </c>
      <c r="C32" s="56">
        <v>5309.92</v>
      </c>
      <c r="D32" s="55">
        <f t="shared" si="4"/>
        <v>6425.0032</v>
      </c>
      <c r="E32" s="30"/>
      <c r="F32" s="49"/>
      <c r="G32" s="49"/>
      <c r="H32" s="52"/>
      <c r="I32" s="52"/>
      <c r="J32" s="52"/>
      <c r="K32" s="37"/>
      <c r="L32" s="52"/>
      <c r="M32" s="52"/>
      <c r="N32" s="49"/>
      <c r="O32" s="49"/>
      <c r="P32" s="49"/>
      <c r="Q32" s="49"/>
      <c r="R32" s="49"/>
      <c r="S32" s="49"/>
      <c r="T32" s="49"/>
      <c r="U32" s="49"/>
      <c r="V32" s="49"/>
      <c r="W32" s="49"/>
      <c r="X32" s="49"/>
      <c r="Y32" s="49"/>
      <c r="Z32" s="49"/>
      <c r="AA32" s="49"/>
      <c r="AB32" s="49"/>
      <c r="AC32" s="49"/>
      <c r="AD32" s="49"/>
    </row>
    <row r="33" ht="21.75" customHeight="1">
      <c r="A33" s="49"/>
      <c r="B33" s="49" t="s">
        <v>58</v>
      </c>
      <c r="C33" s="57">
        <f>C30+C31</f>
        <v>10777.69</v>
      </c>
      <c r="D33" s="55">
        <f t="shared" si="4"/>
        <v>13041.0049</v>
      </c>
      <c r="E33" s="30"/>
      <c r="F33" s="30"/>
      <c r="G33" s="49"/>
      <c r="H33" s="52"/>
      <c r="I33" s="52"/>
      <c r="J33" s="52"/>
      <c r="K33" s="37"/>
      <c r="L33" s="52"/>
      <c r="M33" s="52"/>
      <c r="N33" s="49"/>
      <c r="O33" s="49"/>
      <c r="P33" s="49"/>
      <c r="Q33" s="49"/>
      <c r="R33" s="49"/>
      <c r="S33" s="49"/>
      <c r="T33" s="49"/>
      <c r="U33" s="49"/>
      <c r="V33" s="49"/>
      <c r="W33" s="49"/>
      <c r="X33" s="49"/>
      <c r="Y33" s="49"/>
      <c r="Z33" s="49"/>
      <c r="AA33" s="49"/>
      <c r="AB33" s="49"/>
      <c r="AC33" s="49"/>
      <c r="AD33" s="49"/>
    </row>
    <row r="34" ht="21.75" customHeight="1">
      <c r="A34" s="49"/>
      <c r="B34" s="49" t="s">
        <v>59</v>
      </c>
      <c r="C34" s="57">
        <f>C30+C32</f>
        <v>13835.54</v>
      </c>
      <c r="D34" s="55">
        <f t="shared" si="4"/>
        <v>16741.0034</v>
      </c>
      <c r="E34" s="49"/>
      <c r="F34" s="49"/>
      <c r="G34" s="49"/>
      <c r="H34" s="52"/>
      <c r="I34" s="52"/>
      <c r="J34" s="52"/>
      <c r="K34" s="52"/>
      <c r="L34" s="52"/>
      <c r="M34" s="52"/>
      <c r="N34" s="49"/>
      <c r="O34" s="49"/>
      <c r="P34" s="49"/>
      <c r="Q34" s="49"/>
      <c r="R34" s="49"/>
      <c r="S34" s="49"/>
      <c r="T34" s="49"/>
      <c r="U34" s="49"/>
      <c r="V34" s="49"/>
      <c r="W34" s="49"/>
      <c r="X34" s="49"/>
      <c r="Y34" s="49"/>
      <c r="Z34" s="49"/>
      <c r="AA34" s="49"/>
      <c r="AB34" s="49"/>
      <c r="AC34" s="49"/>
      <c r="AD34" s="49"/>
    </row>
    <row r="35" ht="21.75" customHeight="1">
      <c r="A35" s="49"/>
      <c r="B35" s="53" t="s">
        <v>60</v>
      </c>
      <c r="C35" s="49"/>
      <c r="D35" s="49"/>
      <c r="E35" s="49"/>
      <c r="F35" s="49"/>
      <c r="G35" s="49"/>
      <c r="H35" s="52"/>
      <c r="I35" s="52"/>
      <c r="J35" s="52"/>
      <c r="K35" s="52"/>
      <c r="L35" s="52"/>
      <c r="M35" s="52"/>
      <c r="N35" s="49"/>
      <c r="O35" s="49"/>
      <c r="P35" s="49"/>
      <c r="Q35" s="49"/>
      <c r="R35" s="49"/>
      <c r="S35" s="49"/>
      <c r="T35" s="49"/>
      <c r="U35" s="49"/>
      <c r="V35" s="49"/>
      <c r="W35" s="49"/>
      <c r="X35" s="49"/>
      <c r="Y35" s="49"/>
      <c r="Z35" s="49"/>
      <c r="AA35" s="49"/>
      <c r="AB35" s="49"/>
      <c r="AC35" s="49"/>
      <c r="AD35" s="49"/>
    </row>
    <row r="36" ht="21.75" customHeight="1">
      <c r="A36" s="49"/>
      <c r="B36" s="58" t="s">
        <v>61</v>
      </c>
      <c r="C36" s="57">
        <v>2800.0</v>
      </c>
      <c r="D36" s="49"/>
      <c r="E36" s="49"/>
      <c r="F36" s="49"/>
      <c r="G36" s="49"/>
      <c r="H36" s="52"/>
      <c r="I36" s="52"/>
      <c r="J36" s="52"/>
      <c r="K36" s="52"/>
      <c r="L36" s="52"/>
      <c r="M36" s="52"/>
      <c r="N36" s="49"/>
      <c r="O36" s="49"/>
      <c r="P36" s="49"/>
      <c r="Q36" s="49"/>
      <c r="R36" s="49"/>
      <c r="S36" s="49"/>
      <c r="T36" s="49"/>
      <c r="U36" s="49"/>
      <c r="V36" s="49"/>
      <c r="W36" s="49"/>
      <c r="X36" s="49"/>
      <c r="Y36" s="49"/>
      <c r="Z36" s="49"/>
      <c r="AA36" s="49"/>
      <c r="AB36" s="49"/>
      <c r="AC36" s="49"/>
      <c r="AD36" s="49"/>
    </row>
    <row r="37" ht="21.75" customHeight="1">
      <c r="A37" s="49"/>
      <c r="B37" s="58" t="s">
        <v>62</v>
      </c>
      <c r="C37" s="57">
        <v>3800.0</v>
      </c>
      <c r="D37" s="49"/>
      <c r="E37" s="49"/>
      <c r="F37" s="49"/>
      <c r="G37" s="49"/>
      <c r="H37" s="52"/>
      <c r="I37" s="52"/>
      <c r="J37" s="52"/>
      <c r="K37" s="52"/>
      <c r="L37" s="52"/>
      <c r="M37" s="52"/>
      <c r="N37" s="49"/>
      <c r="O37" s="49"/>
      <c r="P37" s="49"/>
      <c r="Q37" s="49"/>
      <c r="R37" s="49"/>
      <c r="S37" s="49"/>
      <c r="T37" s="49"/>
      <c r="U37" s="49"/>
      <c r="V37" s="49"/>
      <c r="W37" s="49"/>
      <c r="X37" s="49"/>
      <c r="Y37" s="49"/>
      <c r="Z37" s="49"/>
      <c r="AA37" s="49"/>
      <c r="AB37" s="49"/>
      <c r="AC37" s="49"/>
      <c r="AD37" s="49"/>
    </row>
    <row r="38" ht="21.75" customHeight="1">
      <c r="A38" s="49"/>
      <c r="B38" s="58" t="s">
        <v>63</v>
      </c>
      <c r="C38" s="57">
        <v>3800.0</v>
      </c>
      <c r="D38" s="49"/>
      <c r="E38" s="49"/>
      <c r="F38" s="49"/>
      <c r="G38" s="49"/>
      <c r="H38" s="52"/>
      <c r="I38" s="52"/>
      <c r="J38" s="52"/>
      <c r="K38" s="52"/>
      <c r="L38" s="52"/>
      <c r="M38" s="52"/>
      <c r="N38" s="49"/>
      <c r="O38" s="49"/>
      <c r="P38" s="49"/>
      <c r="Q38" s="49"/>
      <c r="R38" s="49"/>
      <c r="S38" s="49"/>
      <c r="T38" s="49"/>
      <c r="U38" s="49"/>
      <c r="V38" s="49"/>
      <c r="W38" s="49"/>
      <c r="X38" s="49"/>
      <c r="Y38" s="49"/>
      <c r="Z38" s="49"/>
      <c r="AA38" s="49"/>
      <c r="AB38" s="49"/>
      <c r="AC38" s="49"/>
      <c r="AD38" s="49"/>
    </row>
    <row r="39" ht="23.25" customHeight="1">
      <c r="A39" s="49"/>
      <c r="B39" s="59" t="s">
        <v>64</v>
      </c>
      <c r="C39" s="28"/>
      <c r="D39" s="28"/>
      <c r="E39" s="59"/>
      <c r="F39" s="28"/>
      <c r="G39" s="28"/>
      <c r="H39" s="29"/>
      <c r="I39" s="28"/>
      <c r="J39" s="28"/>
      <c r="K39" s="29"/>
      <c r="L39" s="28"/>
      <c r="M39" s="28"/>
      <c r="N39" s="49"/>
      <c r="O39" s="49"/>
      <c r="P39" s="49"/>
      <c r="Q39" s="49"/>
      <c r="R39" s="49"/>
      <c r="S39" s="49"/>
      <c r="T39" s="49"/>
      <c r="U39" s="49"/>
      <c r="V39" s="49"/>
      <c r="W39" s="49"/>
      <c r="X39" s="49"/>
      <c r="Y39" s="49"/>
      <c r="Z39" s="49"/>
      <c r="AA39" s="49"/>
      <c r="AB39" s="49"/>
      <c r="AC39" s="49"/>
      <c r="AD39" s="49"/>
    </row>
    <row r="40" ht="21.75" customHeight="1">
      <c r="A40" s="49"/>
      <c r="B40" s="58" t="s">
        <v>49</v>
      </c>
      <c r="C40" s="49"/>
      <c r="D40" s="49"/>
      <c r="E40" s="49"/>
      <c r="F40" s="49"/>
      <c r="G40" s="49"/>
      <c r="H40" s="52"/>
      <c r="I40" s="60"/>
      <c r="J40" s="52"/>
      <c r="K40" s="52"/>
      <c r="L40" s="52"/>
      <c r="M40" s="52"/>
      <c r="N40" s="49"/>
      <c r="O40" s="49"/>
      <c r="P40" s="49"/>
      <c r="Q40" s="49"/>
      <c r="R40" s="49"/>
      <c r="S40" s="49"/>
      <c r="T40" s="49"/>
      <c r="U40" s="49"/>
      <c r="V40" s="49"/>
      <c r="W40" s="49"/>
      <c r="X40" s="49"/>
      <c r="Y40" s="49"/>
      <c r="Z40" s="49"/>
      <c r="AA40" s="49"/>
      <c r="AB40" s="49"/>
      <c r="AC40" s="49"/>
      <c r="AD40" s="49"/>
    </row>
    <row r="41" ht="21.75" customHeight="1">
      <c r="A41" s="49"/>
      <c r="B41" s="61" t="s">
        <v>65</v>
      </c>
      <c r="C41" s="30"/>
      <c r="D41" s="30"/>
      <c r="E41" s="30"/>
      <c r="H41" s="37"/>
      <c r="I41" s="37"/>
      <c r="J41" s="52"/>
      <c r="M41" s="52"/>
      <c r="N41" s="49"/>
      <c r="O41" s="49"/>
      <c r="P41" s="49"/>
      <c r="Q41" s="49"/>
      <c r="R41" s="49"/>
      <c r="S41" s="49"/>
      <c r="T41" s="49"/>
      <c r="U41" s="49"/>
      <c r="V41" s="49"/>
      <c r="W41" s="49"/>
      <c r="X41" s="49"/>
      <c r="Y41" s="49"/>
      <c r="Z41" s="49"/>
      <c r="AA41" s="49"/>
      <c r="AB41" s="49"/>
      <c r="AC41" s="49"/>
      <c r="AD41" s="49"/>
    </row>
    <row r="42" ht="21.75" customHeight="1">
      <c r="A42" s="49"/>
      <c r="B42" s="62" t="s">
        <v>66</v>
      </c>
      <c r="C42" s="63" t="s">
        <v>67</v>
      </c>
      <c r="D42" s="64" t="s">
        <v>68</v>
      </c>
      <c r="E42" s="65" t="s">
        <v>69</v>
      </c>
      <c r="F42" s="65" t="s">
        <v>70</v>
      </c>
      <c r="G42" s="62" t="s">
        <v>71</v>
      </c>
      <c r="H42" s="62" t="s">
        <v>72</v>
      </c>
      <c r="I42" s="62" t="s">
        <v>73</v>
      </c>
      <c r="J42" s="52"/>
      <c r="M42" s="52"/>
      <c r="N42" s="49"/>
      <c r="O42" s="49"/>
      <c r="P42" s="49"/>
      <c r="Q42" s="49"/>
      <c r="R42" s="49"/>
      <c r="S42" s="49"/>
      <c r="T42" s="49"/>
      <c r="U42" s="49"/>
      <c r="V42" s="49"/>
      <c r="W42" s="49"/>
      <c r="X42" s="49"/>
      <c r="Y42" s="49"/>
      <c r="Z42" s="49"/>
      <c r="AA42" s="49"/>
      <c r="AB42" s="49"/>
      <c r="AC42" s="49"/>
      <c r="AD42" s="49"/>
    </row>
    <row r="43" ht="21.75" customHeight="1">
      <c r="A43" s="49"/>
      <c r="B43" s="52" t="s">
        <v>74</v>
      </c>
      <c r="C43" s="66" t="s">
        <v>75</v>
      </c>
      <c r="D43" s="67" t="s">
        <v>76</v>
      </c>
      <c r="E43" s="56">
        <v>6314.0</v>
      </c>
      <c r="F43" s="56">
        <v>4500.0</v>
      </c>
      <c r="G43" s="56">
        <v>2692.44</v>
      </c>
      <c r="H43" s="52" t="s">
        <v>77</v>
      </c>
      <c r="I43" s="52" t="s">
        <v>78</v>
      </c>
      <c r="J43" s="52"/>
      <c r="M43" s="52"/>
      <c r="N43" s="49"/>
      <c r="O43" s="49"/>
      <c r="P43" s="49"/>
      <c r="Q43" s="49"/>
      <c r="R43" s="49"/>
      <c r="S43" s="49"/>
      <c r="T43" s="49"/>
      <c r="U43" s="49"/>
      <c r="V43" s="49"/>
      <c r="W43" s="49"/>
      <c r="X43" s="49"/>
      <c r="Y43" s="49"/>
      <c r="Z43" s="49"/>
      <c r="AA43" s="49"/>
      <c r="AB43" s="49"/>
      <c r="AC43" s="49"/>
      <c r="AD43" s="49"/>
    </row>
    <row r="44" ht="21.75" customHeight="1">
      <c r="A44" s="49"/>
      <c r="B44" s="52" t="s">
        <v>79</v>
      </c>
      <c r="C44" s="66" t="s">
        <v>75</v>
      </c>
      <c r="D44" s="67" t="s">
        <v>80</v>
      </c>
      <c r="E44" s="56">
        <v>805.5</v>
      </c>
      <c r="F44" s="68">
        <f t="shared" ref="F44:F52" si="5">E44*0.7</f>
        <v>563.85</v>
      </c>
      <c r="G44" s="68">
        <f t="shared" ref="G44:G48" si="6">0.6*F44</f>
        <v>338.31</v>
      </c>
      <c r="H44" s="52" t="s">
        <v>77</v>
      </c>
      <c r="I44" s="52" t="s">
        <v>78</v>
      </c>
      <c r="J44" s="52"/>
      <c r="M44" s="52"/>
      <c r="N44" s="49"/>
      <c r="O44" s="49"/>
      <c r="P44" s="49"/>
      <c r="Q44" s="49"/>
      <c r="R44" s="49"/>
      <c r="S44" s="49"/>
      <c r="T44" s="49"/>
      <c r="U44" s="49"/>
      <c r="V44" s="49"/>
      <c r="W44" s="49"/>
      <c r="X44" s="49"/>
      <c r="Y44" s="49"/>
      <c r="Z44" s="49"/>
      <c r="AA44" s="49"/>
      <c r="AB44" s="49"/>
      <c r="AC44" s="49"/>
      <c r="AD44" s="49"/>
    </row>
    <row r="45" ht="21.75" customHeight="1">
      <c r="A45" s="49"/>
      <c r="B45" s="52" t="s">
        <v>81</v>
      </c>
      <c r="C45" s="66" t="s">
        <v>75</v>
      </c>
      <c r="D45" s="67" t="s">
        <v>82</v>
      </c>
      <c r="E45" s="56">
        <v>632.92</v>
      </c>
      <c r="F45" s="68">
        <f t="shared" si="5"/>
        <v>443.044</v>
      </c>
      <c r="G45" s="68">
        <f t="shared" si="6"/>
        <v>265.8264</v>
      </c>
      <c r="H45" s="52" t="s">
        <v>77</v>
      </c>
      <c r="I45" s="52" t="s">
        <v>78</v>
      </c>
      <c r="J45" s="52"/>
      <c r="M45" s="52"/>
      <c r="N45" s="49"/>
      <c r="O45" s="49"/>
      <c r="P45" s="49"/>
      <c r="Q45" s="49"/>
      <c r="R45" s="49"/>
      <c r="S45" s="49"/>
      <c r="T45" s="49"/>
      <c r="U45" s="49"/>
      <c r="V45" s="49"/>
      <c r="W45" s="49"/>
      <c r="X45" s="49"/>
      <c r="Y45" s="49"/>
      <c r="Z45" s="49"/>
      <c r="AA45" s="49"/>
      <c r="AB45" s="49"/>
      <c r="AC45" s="49"/>
      <c r="AD45" s="49"/>
    </row>
    <row r="46" ht="21.75" customHeight="1">
      <c r="A46" s="49"/>
      <c r="B46" s="52" t="s">
        <v>83</v>
      </c>
      <c r="C46" s="66" t="s">
        <v>75</v>
      </c>
      <c r="D46" s="67" t="s">
        <v>84</v>
      </c>
      <c r="E46" s="56">
        <v>283.76</v>
      </c>
      <c r="F46" s="68">
        <f t="shared" si="5"/>
        <v>198.632</v>
      </c>
      <c r="G46" s="68">
        <f t="shared" si="6"/>
        <v>119.1792</v>
      </c>
      <c r="H46" s="52" t="s">
        <v>77</v>
      </c>
      <c r="I46" s="52" t="s">
        <v>78</v>
      </c>
      <c r="J46" s="52"/>
      <c r="M46" s="52"/>
      <c r="N46" s="49"/>
      <c r="O46" s="49"/>
      <c r="P46" s="49"/>
      <c r="Q46" s="49"/>
      <c r="R46" s="49"/>
      <c r="S46" s="49"/>
      <c r="T46" s="49"/>
      <c r="U46" s="49"/>
      <c r="V46" s="49"/>
      <c r="W46" s="49"/>
      <c r="X46" s="49"/>
      <c r="Y46" s="49"/>
      <c r="Z46" s="49"/>
      <c r="AA46" s="49"/>
      <c r="AB46" s="49"/>
      <c r="AC46" s="49"/>
      <c r="AD46" s="49"/>
    </row>
    <row r="47" ht="21.75" customHeight="1">
      <c r="A47" s="49"/>
      <c r="B47" s="52" t="s">
        <v>85</v>
      </c>
      <c r="C47" s="66" t="s">
        <v>75</v>
      </c>
      <c r="D47" s="67" t="s">
        <v>86</v>
      </c>
      <c r="E47" s="56">
        <v>118.48</v>
      </c>
      <c r="F47" s="68">
        <f t="shared" si="5"/>
        <v>82.936</v>
      </c>
      <c r="G47" s="68">
        <f t="shared" si="6"/>
        <v>49.7616</v>
      </c>
      <c r="H47" s="52" t="s">
        <v>77</v>
      </c>
      <c r="I47" s="52" t="s">
        <v>78</v>
      </c>
      <c r="J47" s="52"/>
      <c r="M47" s="52"/>
      <c r="N47" s="49"/>
      <c r="O47" s="49"/>
      <c r="P47" s="49"/>
      <c r="Q47" s="49"/>
      <c r="R47" s="49"/>
      <c r="S47" s="49"/>
      <c r="T47" s="49"/>
      <c r="U47" s="49"/>
      <c r="V47" s="49"/>
      <c r="W47" s="49"/>
      <c r="X47" s="49"/>
      <c r="Y47" s="49"/>
      <c r="Z47" s="49"/>
      <c r="AA47" s="49"/>
      <c r="AB47" s="49"/>
      <c r="AC47" s="49"/>
      <c r="AD47" s="49"/>
    </row>
    <row r="48" ht="21.75" customHeight="1">
      <c r="A48" s="49"/>
      <c r="B48" s="52" t="s">
        <v>87</v>
      </c>
      <c r="C48" s="66" t="s">
        <v>75</v>
      </c>
      <c r="D48" s="67" t="s">
        <v>88</v>
      </c>
      <c r="E48" s="56">
        <v>653.03</v>
      </c>
      <c r="F48" s="68">
        <f t="shared" si="5"/>
        <v>457.121</v>
      </c>
      <c r="G48" s="68">
        <f t="shared" si="6"/>
        <v>274.2726</v>
      </c>
      <c r="H48" s="52" t="s">
        <v>77</v>
      </c>
      <c r="I48" s="52" t="s">
        <v>78</v>
      </c>
      <c r="J48" s="52"/>
      <c r="M48" s="52"/>
      <c r="N48" s="49"/>
      <c r="O48" s="49"/>
      <c r="P48" s="49"/>
      <c r="Q48" s="49"/>
      <c r="R48" s="49"/>
      <c r="S48" s="49"/>
      <c r="T48" s="49"/>
      <c r="U48" s="49"/>
      <c r="V48" s="49"/>
      <c r="W48" s="49"/>
      <c r="X48" s="49"/>
      <c r="Y48" s="49"/>
      <c r="Z48" s="49"/>
      <c r="AA48" s="49"/>
      <c r="AB48" s="49"/>
      <c r="AC48" s="49"/>
      <c r="AD48" s="49"/>
    </row>
    <row r="49" ht="21.75" customHeight="1">
      <c r="A49" s="49"/>
      <c r="B49" s="52" t="s">
        <v>89</v>
      </c>
      <c r="C49" s="66" t="s">
        <v>75</v>
      </c>
      <c r="D49" s="67" t="s">
        <v>90</v>
      </c>
      <c r="E49" s="56">
        <v>290.0</v>
      </c>
      <c r="F49" s="68">
        <f t="shared" si="5"/>
        <v>203</v>
      </c>
      <c r="G49" s="68">
        <v>126.0</v>
      </c>
      <c r="H49" s="52" t="s">
        <v>77</v>
      </c>
      <c r="I49" s="52" t="s">
        <v>78</v>
      </c>
      <c r="J49" s="52"/>
      <c r="M49" s="52"/>
      <c r="N49" s="49"/>
      <c r="O49" s="49"/>
      <c r="P49" s="49"/>
      <c r="Q49" s="49"/>
      <c r="R49" s="49"/>
      <c r="S49" s="49"/>
      <c r="T49" s="49"/>
      <c r="U49" s="49"/>
      <c r="V49" s="49"/>
      <c r="W49" s="49"/>
      <c r="X49" s="49"/>
      <c r="Y49" s="49"/>
      <c r="Z49" s="49"/>
      <c r="AA49" s="49"/>
      <c r="AB49" s="49"/>
      <c r="AC49" s="49"/>
      <c r="AD49" s="49"/>
    </row>
    <row r="50" ht="21.75" customHeight="1">
      <c r="A50" s="49"/>
      <c r="B50" s="52" t="s">
        <v>91</v>
      </c>
      <c r="C50" s="66" t="s">
        <v>75</v>
      </c>
      <c r="D50" s="67" t="s">
        <v>92</v>
      </c>
      <c r="E50" s="56">
        <v>200.0</v>
      </c>
      <c r="F50" s="68">
        <f t="shared" si="5"/>
        <v>140</v>
      </c>
      <c r="G50" s="68">
        <f t="shared" ref="G50:G52" si="7">0.6*F50</f>
        <v>84</v>
      </c>
      <c r="H50" s="52" t="s">
        <v>77</v>
      </c>
      <c r="I50" s="52" t="s">
        <v>78</v>
      </c>
      <c r="J50" s="52"/>
      <c r="M50" s="52"/>
      <c r="N50" s="49"/>
      <c r="O50" s="49"/>
      <c r="P50" s="49"/>
      <c r="Q50" s="49"/>
      <c r="R50" s="49"/>
      <c r="S50" s="49"/>
      <c r="T50" s="49"/>
      <c r="U50" s="49"/>
      <c r="V50" s="49"/>
      <c r="W50" s="49"/>
      <c r="X50" s="49"/>
      <c r="Y50" s="49"/>
      <c r="Z50" s="49"/>
      <c r="AA50" s="49"/>
      <c r="AB50" s="49"/>
      <c r="AC50" s="49"/>
      <c r="AD50" s="49"/>
    </row>
    <row r="51" ht="21.75" customHeight="1">
      <c r="A51" s="49"/>
      <c r="B51" s="52" t="s">
        <v>93</v>
      </c>
      <c r="C51" s="66" t="s">
        <v>75</v>
      </c>
      <c r="D51" s="67" t="s">
        <v>94</v>
      </c>
      <c r="E51" s="56">
        <v>395.0</v>
      </c>
      <c r="F51" s="68">
        <f t="shared" si="5"/>
        <v>276.5</v>
      </c>
      <c r="G51" s="68">
        <f t="shared" si="7"/>
        <v>165.9</v>
      </c>
      <c r="H51" s="52" t="s">
        <v>77</v>
      </c>
      <c r="I51" s="52" t="s">
        <v>78</v>
      </c>
      <c r="J51" s="52"/>
      <c r="M51" s="52"/>
      <c r="N51" s="49"/>
      <c r="O51" s="49"/>
      <c r="P51" s="49"/>
      <c r="Q51" s="49"/>
      <c r="R51" s="49"/>
      <c r="S51" s="49"/>
      <c r="T51" s="49"/>
      <c r="U51" s="49"/>
      <c r="V51" s="49"/>
      <c r="W51" s="49"/>
      <c r="X51" s="49"/>
      <c r="Y51" s="49"/>
      <c r="Z51" s="49"/>
      <c r="AA51" s="49"/>
      <c r="AB51" s="49"/>
      <c r="AC51" s="49"/>
      <c r="AD51" s="49"/>
    </row>
    <row r="52" ht="21.75" customHeight="1">
      <c r="A52" s="49"/>
      <c r="B52" s="52" t="s">
        <v>95</v>
      </c>
      <c r="C52" s="66" t="s">
        <v>75</v>
      </c>
      <c r="D52" s="67" t="s">
        <v>96</v>
      </c>
      <c r="E52" s="56">
        <v>291.23</v>
      </c>
      <c r="F52" s="68">
        <f t="shared" si="5"/>
        <v>203.861</v>
      </c>
      <c r="G52" s="68">
        <f t="shared" si="7"/>
        <v>122.3166</v>
      </c>
      <c r="H52" s="52" t="s">
        <v>77</v>
      </c>
      <c r="I52" s="52" t="s">
        <v>78</v>
      </c>
      <c r="J52" s="52"/>
      <c r="M52" s="52"/>
      <c r="N52" s="49"/>
      <c r="O52" s="49"/>
      <c r="P52" s="49"/>
      <c r="Q52" s="49"/>
      <c r="R52" s="49"/>
      <c r="S52" s="49"/>
      <c r="T52" s="49"/>
      <c r="U52" s="49"/>
      <c r="V52" s="49"/>
      <c r="W52" s="49"/>
      <c r="X52" s="49"/>
      <c r="Y52" s="49"/>
      <c r="Z52" s="49"/>
      <c r="AA52" s="49"/>
      <c r="AB52" s="49"/>
      <c r="AC52" s="49"/>
      <c r="AD52" s="49"/>
    </row>
    <row r="53" ht="21.75" customHeight="1">
      <c r="A53" s="49"/>
      <c r="B53" s="52" t="s">
        <v>97</v>
      </c>
      <c r="C53" s="67" t="s">
        <v>98</v>
      </c>
      <c r="D53" s="67" t="s">
        <v>99</v>
      </c>
      <c r="E53" s="56">
        <v>0.0</v>
      </c>
      <c r="F53" s="68">
        <v>0.0</v>
      </c>
      <c r="G53" s="68">
        <v>760.0</v>
      </c>
      <c r="H53" s="52" t="s">
        <v>77</v>
      </c>
      <c r="I53" s="52" t="s">
        <v>100</v>
      </c>
      <c r="J53" s="52"/>
      <c r="M53" s="52"/>
      <c r="N53" s="49"/>
      <c r="O53" s="49"/>
      <c r="P53" s="49"/>
      <c r="Q53" s="49"/>
      <c r="R53" s="49"/>
      <c r="S53" s="49"/>
      <c r="T53" s="49"/>
      <c r="U53" s="49"/>
      <c r="V53" s="49"/>
      <c r="W53" s="49"/>
      <c r="X53" s="49"/>
      <c r="Y53" s="49"/>
      <c r="Z53" s="49"/>
      <c r="AA53" s="49"/>
      <c r="AB53" s="49"/>
      <c r="AC53" s="49"/>
      <c r="AD53" s="49"/>
    </row>
    <row r="54" ht="21.75" customHeight="1">
      <c r="A54" s="49"/>
      <c r="B54" s="69" t="s">
        <v>101</v>
      </c>
      <c r="C54" s="70" t="s">
        <v>102</v>
      </c>
      <c r="D54" s="70" t="s">
        <v>103</v>
      </c>
      <c r="E54" s="71">
        <f t="shared" ref="E54:F54" si="8">SUM(E43:E53)</f>
        <v>9983.92</v>
      </c>
      <c r="F54" s="71">
        <f t="shared" si="8"/>
        <v>7068.944</v>
      </c>
      <c r="G54" s="71">
        <f>round(SUM(G43:G53),0)</f>
        <v>4998</v>
      </c>
      <c r="H54" s="62" t="s">
        <v>77</v>
      </c>
      <c r="I54" s="62"/>
      <c r="J54" s="62"/>
      <c r="M54" s="52"/>
      <c r="N54" s="49"/>
      <c r="O54" s="49"/>
      <c r="P54" s="49"/>
      <c r="Q54" s="49"/>
      <c r="R54" s="49"/>
      <c r="S54" s="49"/>
      <c r="T54" s="49"/>
      <c r="U54" s="49"/>
      <c r="V54" s="49"/>
      <c r="W54" s="49"/>
      <c r="X54" s="49"/>
      <c r="Y54" s="49"/>
      <c r="Z54" s="49"/>
      <c r="AA54" s="49"/>
      <c r="AB54" s="49"/>
      <c r="AC54" s="49"/>
      <c r="AD54" s="49"/>
    </row>
    <row r="55" ht="21.75" customHeight="1">
      <c r="A55" s="49"/>
      <c r="B55" s="69"/>
      <c r="C55" s="62"/>
      <c r="D55" s="62"/>
      <c r="E55" s="71"/>
      <c r="F55" s="71"/>
      <c r="G55" s="71"/>
      <c r="H55" s="62"/>
      <c r="I55" s="62"/>
      <c r="J55" s="62"/>
      <c r="M55" s="52"/>
      <c r="N55" s="49"/>
      <c r="O55" s="49"/>
      <c r="P55" s="49"/>
      <c r="Q55" s="49"/>
      <c r="R55" s="49"/>
      <c r="S55" s="49"/>
      <c r="T55" s="49"/>
      <c r="U55" s="49"/>
      <c r="V55" s="49"/>
      <c r="W55" s="49"/>
      <c r="X55" s="49"/>
      <c r="Y55" s="49"/>
      <c r="Z55" s="49"/>
      <c r="AA55" s="49"/>
      <c r="AB55" s="49"/>
      <c r="AC55" s="49"/>
      <c r="AD55" s="49"/>
    </row>
    <row r="56" ht="21.75" hidden="1" customHeight="1">
      <c r="A56" s="49"/>
      <c r="B56" s="58" t="s">
        <v>104</v>
      </c>
      <c r="C56" s="49"/>
      <c r="D56" s="49"/>
      <c r="E56" s="49"/>
      <c r="F56" s="52"/>
      <c r="G56" s="52"/>
      <c r="H56" s="52"/>
      <c r="I56" s="52"/>
      <c r="J56" s="52"/>
      <c r="M56" s="52"/>
      <c r="N56" s="49"/>
      <c r="O56" s="49"/>
      <c r="P56" s="49"/>
      <c r="Q56" s="49"/>
      <c r="R56" s="49"/>
      <c r="S56" s="49"/>
      <c r="T56" s="49"/>
      <c r="U56" s="49"/>
      <c r="V56" s="49"/>
      <c r="W56" s="49"/>
      <c r="X56" s="49"/>
      <c r="Y56" s="49"/>
      <c r="Z56" s="49"/>
      <c r="AA56" s="49"/>
      <c r="AB56" s="49"/>
      <c r="AC56" s="49"/>
      <c r="AD56" s="49"/>
    </row>
    <row r="57" ht="21.75" hidden="1" customHeight="1">
      <c r="A57" s="49"/>
      <c r="B57" s="49" t="s">
        <v>105</v>
      </c>
      <c r="C57" s="72" t="s">
        <v>106</v>
      </c>
      <c r="D57" s="49" t="s">
        <v>76</v>
      </c>
      <c r="E57" s="73">
        <v>2568.0</v>
      </c>
      <c r="F57" s="74">
        <v>2311.2</v>
      </c>
      <c r="G57" s="74">
        <v>2080.08</v>
      </c>
      <c r="H57" s="75" t="s">
        <v>77</v>
      </c>
      <c r="I57" s="52" t="s">
        <v>78</v>
      </c>
      <c r="J57" s="52"/>
      <c r="M57" s="52"/>
      <c r="N57" s="49"/>
      <c r="O57" s="49"/>
      <c r="P57" s="49"/>
      <c r="Q57" s="49"/>
      <c r="R57" s="49"/>
      <c r="S57" s="49"/>
      <c r="T57" s="49"/>
      <c r="U57" s="49"/>
      <c r="V57" s="49"/>
      <c r="W57" s="49"/>
      <c r="X57" s="49"/>
      <c r="Y57" s="49"/>
      <c r="Z57" s="49"/>
      <c r="AA57" s="49"/>
      <c r="AB57" s="49"/>
      <c r="AC57" s="49"/>
      <c r="AD57" s="49"/>
    </row>
    <row r="58" ht="21.75" hidden="1" customHeight="1">
      <c r="A58" s="49"/>
      <c r="B58" s="49" t="s">
        <v>107</v>
      </c>
      <c r="C58" s="72" t="s">
        <v>106</v>
      </c>
      <c r="D58" s="49" t="s">
        <v>80</v>
      </c>
      <c r="E58" s="73">
        <v>805.5</v>
      </c>
      <c r="F58" s="76">
        <f t="shared" ref="F58:F66" si="9">E58*0.7</f>
        <v>563.85</v>
      </c>
      <c r="G58" s="76">
        <f t="shared" ref="G58:G66" si="10">F58*0.6</f>
        <v>338.31</v>
      </c>
      <c r="H58" s="75" t="s">
        <v>77</v>
      </c>
      <c r="I58" s="52" t="s">
        <v>78</v>
      </c>
      <c r="J58" s="52"/>
      <c r="M58" s="52"/>
      <c r="N58" s="49"/>
      <c r="O58" s="49"/>
      <c r="P58" s="49"/>
      <c r="Q58" s="49"/>
      <c r="R58" s="49"/>
      <c r="S58" s="49"/>
      <c r="T58" s="49"/>
      <c r="U58" s="49"/>
      <c r="V58" s="49"/>
      <c r="W58" s="49"/>
      <c r="X58" s="49"/>
      <c r="Y58" s="49"/>
      <c r="Z58" s="49"/>
      <c r="AA58" s="49"/>
      <c r="AB58" s="49"/>
      <c r="AC58" s="49"/>
      <c r="AD58" s="49"/>
    </row>
    <row r="59" ht="21.75" hidden="1" customHeight="1">
      <c r="A59" s="49"/>
      <c r="B59" s="49" t="s">
        <v>108</v>
      </c>
      <c r="C59" s="72" t="s">
        <v>106</v>
      </c>
      <c r="D59" s="49" t="s">
        <v>109</v>
      </c>
      <c r="E59" s="73">
        <v>257.92</v>
      </c>
      <c r="F59" s="76">
        <f t="shared" si="9"/>
        <v>180.544</v>
      </c>
      <c r="G59" s="76">
        <f t="shared" si="10"/>
        <v>108.3264</v>
      </c>
      <c r="H59" s="75" t="s">
        <v>77</v>
      </c>
      <c r="I59" s="52" t="s">
        <v>78</v>
      </c>
      <c r="J59" s="52"/>
      <c r="M59" s="52"/>
      <c r="N59" s="49"/>
      <c r="O59" s="49"/>
      <c r="P59" s="49"/>
      <c r="Q59" s="49"/>
      <c r="R59" s="49"/>
      <c r="S59" s="49"/>
      <c r="T59" s="49"/>
      <c r="U59" s="49"/>
      <c r="V59" s="49"/>
      <c r="W59" s="49"/>
      <c r="X59" s="49"/>
      <c r="Y59" s="49"/>
      <c r="Z59" s="49"/>
      <c r="AA59" s="49"/>
      <c r="AB59" s="49"/>
      <c r="AC59" s="49"/>
      <c r="AD59" s="49"/>
    </row>
    <row r="60" ht="21.75" hidden="1" customHeight="1">
      <c r="A60" s="49"/>
      <c r="B60" s="49" t="s">
        <v>110</v>
      </c>
      <c r="C60" s="72" t="s">
        <v>106</v>
      </c>
      <c r="D60" s="49" t="s">
        <v>111</v>
      </c>
      <c r="E60" s="73">
        <v>283.76</v>
      </c>
      <c r="F60" s="76">
        <f t="shared" si="9"/>
        <v>198.632</v>
      </c>
      <c r="G60" s="76">
        <f t="shared" si="10"/>
        <v>119.1792</v>
      </c>
      <c r="H60" s="75" t="s">
        <v>77</v>
      </c>
      <c r="I60" s="52" t="s">
        <v>78</v>
      </c>
      <c r="J60" s="52"/>
      <c r="M60" s="52"/>
      <c r="N60" s="49"/>
      <c r="O60" s="49"/>
      <c r="P60" s="49"/>
      <c r="Q60" s="49"/>
      <c r="R60" s="49"/>
      <c r="S60" s="49"/>
      <c r="T60" s="49"/>
      <c r="U60" s="49"/>
      <c r="V60" s="49"/>
      <c r="W60" s="49"/>
      <c r="X60" s="49"/>
      <c r="Y60" s="49"/>
      <c r="Z60" s="49"/>
      <c r="AA60" s="49"/>
      <c r="AB60" s="49"/>
      <c r="AC60" s="49"/>
      <c r="AD60" s="49"/>
    </row>
    <row r="61" ht="21.75" hidden="1" customHeight="1">
      <c r="A61" s="49"/>
      <c r="B61" s="49" t="s">
        <v>112</v>
      </c>
      <c r="C61" s="72" t="s">
        <v>106</v>
      </c>
      <c r="D61" s="49" t="s">
        <v>113</v>
      </c>
      <c r="E61" s="73">
        <v>118.48</v>
      </c>
      <c r="F61" s="76">
        <f t="shared" si="9"/>
        <v>82.936</v>
      </c>
      <c r="G61" s="76">
        <f t="shared" si="10"/>
        <v>49.7616</v>
      </c>
      <c r="H61" s="75" t="s">
        <v>77</v>
      </c>
      <c r="I61" s="52" t="s">
        <v>78</v>
      </c>
      <c r="J61" s="52"/>
      <c r="M61" s="52"/>
      <c r="N61" s="49"/>
      <c r="O61" s="49"/>
      <c r="P61" s="49"/>
      <c r="Q61" s="49"/>
      <c r="R61" s="49"/>
      <c r="S61" s="49"/>
      <c r="T61" s="49"/>
      <c r="U61" s="49"/>
      <c r="V61" s="49"/>
      <c r="W61" s="49"/>
      <c r="X61" s="49"/>
      <c r="Y61" s="49"/>
      <c r="Z61" s="49"/>
      <c r="AA61" s="49"/>
      <c r="AB61" s="49"/>
      <c r="AC61" s="49"/>
      <c r="AD61" s="49"/>
    </row>
    <row r="62" ht="21.75" hidden="1" customHeight="1">
      <c r="A62" s="49"/>
      <c r="B62" s="49" t="s">
        <v>114</v>
      </c>
      <c r="C62" s="72" t="s">
        <v>106</v>
      </c>
      <c r="D62" s="49" t="s">
        <v>115</v>
      </c>
      <c r="E62" s="73">
        <v>653.03</v>
      </c>
      <c r="F62" s="76">
        <f t="shared" si="9"/>
        <v>457.121</v>
      </c>
      <c r="G62" s="76">
        <f t="shared" si="10"/>
        <v>274.2726</v>
      </c>
      <c r="H62" s="75" t="s">
        <v>77</v>
      </c>
      <c r="I62" s="52" t="s">
        <v>78</v>
      </c>
      <c r="J62" s="52"/>
      <c r="M62" s="52"/>
      <c r="N62" s="49"/>
      <c r="O62" s="49"/>
      <c r="P62" s="49"/>
      <c r="Q62" s="49"/>
      <c r="R62" s="49"/>
      <c r="S62" s="49"/>
      <c r="T62" s="49"/>
      <c r="U62" s="49"/>
      <c r="V62" s="49"/>
      <c r="W62" s="49"/>
      <c r="X62" s="49"/>
      <c r="Y62" s="49"/>
      <c r="Z62" s="49"/>
      <c r="AA62" s="49"/>
      <c r="AB62" s="49"/>
      <c r="AC62" s="49"/>
      <c r="AD62" s="49"/>
    </row>
    <row r="63" ht="21.75" hidden="1" customHeight="1">
      <c r="A63" s="49"/>
      <c r="B63" s="49" t="s">
        <v>116</v>
      </c>
      <c r="C63" s="72" t="s">
        <v>106</v>
      </c>
      <c r="D63" s="49" t="s">
        <v>117</v>
      </c>
      <c r="E63" s="73">
        <v>300.0</v>
      </c>
      <c r="F63" s="76">
        <f t="shared" si="9"/>
        <v>210</v>
      </c>
      <c r="G63" s="76">
        <f t="shared" si="10"/>
        <v>126</v>
      </c>
      <c r="H63" s="75" t="s">
        <v>77</v>
      </c>
      <c r="I63" s="52" t="s">
        <v>78</v>
      </c>
      <c r="J63" s="52"/>
      <c r="M63" s="52"/>
      <c r="N63" s="49"/>
      <c r="O63" s="49"/>
      <c r="P63" s="49"/>
      <c r="Q63" s="49"/>
      <c r="R63" s="49"/>
      <c r="S63" s="49"/>
      <c r="T63" s="49"/>
      <c r="U63" s="49"/>
      <c r="V63" s="49"/>
      <c r="W63" s="49"/>
      <c r="X63" s="49"/>
      <c r="Y63" s="49"/>
      <c r="Z63" s="49"/>
      <c r="AA63" s="49"/>
      <c r="AB63" s="49"/>
      <c r="AC63" s="49"/>
      <c r="AD63" s="49"/>
    </row>
    <row r="64" ht="21.75" hidden="1" customHeight="1">
      <c r="A64" s="49"/>
      <c r="B64" s="49" t="s">
        <v>118</v>
      </c>
      <c r="C64" s="72" t="s">
        <v>106</v>
      </c>
      <c r="D64" s="49" t="s">
        <v>119</v>
      </c>
      <c r="E64" s="73">
        <v>200.0</v>
      </c>
      <c r="F64" s="76">
        <f t="shared" si="9"/>
        <v>140</v>
      </c>
      <c r="G64" s="76">
        <f t="shared" si="10"/>
        <v>84</v>
      </c>
      <c r="H64" s="75" t="s">
        <v>77</v>
      </c>
      <c r="I64" s="52" t="s">
        <v>78</v>
      </c>
      <c r="J64" s="52"/>
      <c r="M64" s="52"/>
      <c r="N64" s="49"/>
      <c r="O64" s="49"/>
      <c r="P64" s="49"/>
      <c r="Q64" s="49"/>
      <c r="R64" s="49"/>
      <c r="S64" s="49"/>
      <c r="T64" s="49"/>
      <c r="U64" s="49"/>
      <c r="V64" s="49"/>
      <c r="W64" s="49"/>
      <c r="X64" s="49"/>
      <c r="Y64" s="49"/>
      <c r="Z64" s="49"/>
      <c r="AA64" s="49"/>
      <c r="AB64" s="49"/>
      <c r="AC64" s="49"/>
      <c r="AD64" s="49"/>
    </row>
    <row r="65" ht="21.75" hidden="1" customHeight="1">
      <c r="A65" s="49"/>
      <c r="B65" s="49" t="s">
        <v>120</v>
      </c>
      <c r="C65" s="72" t="s">
        <v>106</v>
      </c>
      <c r="D65" s="49" t="s">
        <v>121</v>
      </c>
      <c r="E65" s="73">
        <v>400.0</v>
      </c>
      <c r="F65" s="76">
        <f t="shared" si="9"/>
        <v>280</v>
      </c>
      <c r="G65" s="76">
        <f t="shared" si="10"/>
        <v>168</v>
      </c>
      <c r="H65" s="75" t="s">
        <v>77</v>
      </c>
      <c r="I65" s="52" t="s">
        <v>78</v>
      </c>
      <c r="J65" s="52"/>
      <c r="M65" s="52"/>
      <c r="N65" s="49"/>
      <c r="O65" s="49"/>
      <c r="P65" s="49"/>
      <c r="Q65" s="49"/>
      <c r="R65" s="49"/>
      <c r="S65" s="49"/>
      <c r="T65" s="49"/>
      <c r="U65" s="49"/>
      <c r="V65" s="49"/>
      <c r="W65" s="49"/>
      <c r="X65" s="49"/>
      <c r="Y65" s="49"/>
      <c r="Z65" s="49"/>
      <c r="AA65" s="49"/>
      <c r="AB65" s="49"/>
      <c r="AC65" s="49"/>
      <c r="AD65" s="49"/>
    </row>
    <row r="66" ht="21.75" hidden="1" customHeight="1">
      <c r="A66" s="49"/>
      <c r="B66" s="49" t="s">
        <v>122</v>
      </c>
      <c r="C66" s="72" t="s">
        <v>106</v>
      </c>
      <c r="D66" s="49" t="s">
        <v>123</v>
      </c>
      <c r="E66" s="73">
        <v>236.81</v>
      </c>
      <c r="F66" s="76">
        <f t="shared" si="9"/>
        <v>165.767</v>
      </c>
      <c r="G66" s="76">
        <f t="shared" si="10"/>
        <v>99.4602</v>
      </c>
      <c r="H66" s="75" t="s">
        <v>77</v>
      </c>
      <c r="I66" s="52" t="s">
        <v>78</v>
      </c>
      <c r="J66" s="52"/>
      <c r="M66" s="52"/>
      <c r="N66" s="49"/>
      <c r="O66" s="49"/>
      <c r="P66" s="49"/>
      <c r="Q66" s="49"/>
      <c r="R66" s="49"/>
      <c r="S66" s="49"/>
      <c r="T66" s="49"/>
      <c r="U66" s="49"/>
      <c r="V66" s="49"/>
      <c r="W66" s="49"/>
      <c r="X66" s="49"/>
      <c r="Y66" s="49"/>
      <c r="Z66" s="49"/>
      <c r="AA66" s="49"/>
      <c r="AB66" s="49"/>
      <c r="AC66" s="49"/>
      <c r="AD66" s="49"/>
    </row>
    <row r="67" ht="21.75" hidden="1" customHeight="1">
      <c r="A67" s="49"/>
      <c r="B67" s="49"/>
      <c r="C67" s="62" t="s">
        <v>124</v>
      </c>
      <c r="D67" s="62" t="s">
        <v>103</v>
      </c>
      <c r="E67" s="77">
        <f t="shared" ref="E67:G67" si="11">SUM(E57:E66)</f>
        <v>5823.5</v>
      </c>
      <c r="F67" s="78">
        <f t="shared" si="11"/>
        <v>4590.05</v>
      </c>
      <c r="G67" s="78">
        <f t="shared" si="11"/>
        <v>3447.39</v>
      </c>
      <c r="H67" s="79"/>
      <c r="I67" s="75"/>
      <c r="J67" s="52"/>
      <c r="M67" s="52"/>
      <c r="N67" s="49"/>
      <c r="O67" s="49"/>
      <c r="P67" s="49"/>
      <c r="Q67" s="49"/>
      <c r="R67" s="49"/>
      <c r="S67" s="49"/>
      <c r="T67" s="49"/>
      <c r="U67" s="49"/>
      <c r="V67" s="49"/>
      <c r="W67" s="49"/>
      <c r="X67" s="49"/>
      <c r="Y67" s="49"/>
      <c r="Z67" s="49"/>
      <c r="AA67" s="49"/>
      <c r="AB67" s="49"/>
      <c r="AC67" s="49"/>
      <c r="AD67" s="49"/>
    </row>
    <row r="68" ht="21.75" customHeight="1">
      <c r="A68" s="49"/>
      <c r="B68" s="49"/>
      <c r="C68" s="49"/>
      <c r="D68" s="49"/>
      <c r="E68" s="49"/>
      <c r="F68" s="75"/>
      <c r="G68" s="75"/>
      <c r="H68" s="75"/>
      <c r="I68" s="75"/>
      <c r="J68" s="52"/>
      <c r="M68" s="52"/>
      <c r="N68" s="49"/>
      <c r="O68" s="49"/>
      <c r="P68" s="49"/>
      <c r="Q68" s="49"/>
      <c r="R68" s="49"/>
      <c r="S68" s="49"/>
      <c r="T68" s="49"/>
      <c r="U68" s="49"/>
      <c r="V68" s="49"/>
      <c r="W68" s="49"/>
      <c r="X68" s="49"/>
      <c r="Y68" s="49"/>
      <c r="Z68" s="49"/>
      <c r="AA68" s="49"/>
      <c r="AB68" s="49"/>
      <c r="AC68" s="49"/>
      <c r="AD68" s="49"/>
    </row>
    <row r="69" ht="21.75" customHeight="1">
      <c r="A69" s="49"/>
      <c r="B69" s="45" t="s">
        <v>125</v>
      </c>
      <c r="H69" s="75"/>
      <c r="I69" s="75"/>
      <c r="J69" s="75"/>
      <c r="K69" s="75"/>
      <c r="L69" s="52"/>
      <c r="M69" s="52"/>
      <c r="N69" s="49"/>
      <c r="O69" s="49"/>
      <c r="P69" s="49"/>
      <c r="Q69" s="49"/>
      <c r="R69" s="49"/>
      <c r="S69" s="49"/>
      <c r="T69" s="49"/>
      <c r="U69" s="49"/>
      <c r="V69" s="49"/>
      <c r="W69" s="49"/>
      <c r="X69" s="49"/>
      <c r="Y69" s="49"/>
      <c r="Z69" s="49"/>
      <c r="AA69" s="49"/>
      <c r="AB69" s="49"/>
      <c r="AC69" s="49"/>
      <c r="AD69" s="49"/>
    </row>
    <row r="70" ht="21.75" customHeight="1">
      <c r="A70" s="49"/>
      <c r="B70" s="80" t="s">
        <v>126</v>
      </c>
      <c r="C70" s="80" t="s">
        <v>127</v>
      </c>
      <c r="D70" s="80" t="s">
        <v>72</v>
      </c>
      <c r="E70" s="80" t="s">
        <v>128</v>
      </c>
      <c r="F70" s="30"/>
      <c r="G70" s="30"/>
      <c r="H70" s="37"/>
      <c r="I70" s="52"/>
      <c r="J70" s="52"/>
      <c r="K70" s="37"/>
      <c r="L70" s="52"/>
      <c r="M70" s="52"/>
      <c r="N70" s="49"/>
      <c r="O70" s="49"/>
      <c r="P70" s="49"/>
      <c r="Q70" s="49"/>
      <c r="R70" s="49"/>
      <c r="S70" s="49"/>
      <c r="T70" s="49"/>
      <c r="U70" s="49"/>
      <c r="V70" s="49"/>
      <c r="W70" s="49"/>
      <c r="X70" s="49"/>
      <c r="Y70" s="49"/>
      <c r="Z70" s="49"/>
      <c r="AA70" s="49"/>
      <c r="AB70" s="49"/>
      <c r="AC70" s="49"/>
      <c r="AD70" s="49"/>
    </row>
    <row r="71" ht="21.75" customHeight="1">
      <c r="A71" s="49"/>
      <c r="B71" s="81">
        <v>0.0</v>
      </c>
      <c r="C71" s="82">
        <f>E54</f>
        <v>9983.92</v>
      </c>
      <c r="D71" s="80" t="s">
        <v>77</v>
      </c>
      <c r="E71" s="49" t="s">
        <v>129</v>
      </c>
      <c r="F71" s="30"/>
      <c r="G71" s="37"/>
      <c r="H71" s="37"/>
      <c r="I71" s="75"/>
      <c r="J71" s="75"/>
      <c r="K71" s="37"/>
      <c r="L71" s="52"/>
      <c r="M71" s="52"/>
      <c r="N71" s="49"/>
      <c r="O71" s="49"/>
      <c r="P71" s="49"/>
      <c r="Q71" s="49"/>
      <c r="R71" s="49"/>
      <c r="S71" s="49"/>
      <c r="T71" s="49"/>
      <c r="U71" s="49"/>
      <c r="V71" s="49"/>
      <c r="W71" s="49"/>
      <c r="X71" s="49"/>
      <c r="Y71" s="49"/>
      <c r="Z71" s="49"/>
      <c r="AA71" s="49"/>
      <c r="AB71" s="49"/>
      <c r="AC71" s="49"/>
      <c r="AD71" s="49"/>
    </row>
    <row r="72" ht="21.75" customHeight="1">
      <c r="A72" s="49"/>
      <c r="B72" s="83">
        <v>5000.0</v>
      </c>
      <c r="C72" s="82">
        <f>F54</f>
        <v>7068.944</v>
      </c>
      <c r="D72" s="80" t="s">
        <v>77</v>
      </c>
      <c r="E72" s="49" t="s">
        <v>129</v>
      </c>
      <c r="F72" s="30"/>
      <c r="G72" s="37"/>
      <c r="H72" s="37"/>
      <c r="I72" s="75"/>
      <c r="J72" s="75"/>
      <c r="K72" s="37"/>
      <c r="L72" s="52"/>
      <c r="M72" s="52"/>
      <c r="N72" s="49"/>
      <c r="O72" s="49"/>
      <c r="P72" s="49"/>
      <c r="Q72" s="49"/>
      <c r="R72" s="49"/>
      <c r="S72" s="49"/>
      <c r="T72" s="49"/>
      <c r="U72" s="49"/>
      <c r="V72" s="49"/>
      <c r="W72" s="49"/>
      <c r="X72" s="49"/>
      <c r="Y72" s="49"/>
      <c r="Z72" s="49"/>
      <c r="AA72" s="49"/>
      <c r="AB72" s="49"/>
      <c r="AC72" s="49"/>
      <c r="AD72" s="49"/>
    </row>
    <row r="73" ht="21.75" customHeight="1">
      <c r="A73" s="49"/>
      <c r="B73" s="83">
        <v>10000.0</v>
      </c>
      <c r="C73" s="82">
        <f>G54</f>
        <v>4998</v>
      </c>
      <c r="D73" s="80" t="s">
        <v>77</v>
      </c>
      <c r="E73" s="49" t="s">
        <v>129</v>
      </c>
      <c r="F73" s="30"/>
      <c r="G73" s="37"/>
      <c r="H73" s="37"/>
      <c r="I73" s="75"/>
      <c r="J73" s="75"/>
      <c r="K73" s="37"/>
      <c r="L73" s="52"/>
      <c r="M73" s="52"/>
      <c r="N73" s="49"/>
      <c r="O73" s="49"/>
      <c r="P73" s="49"/>
      <c r="Q73" s="49"/>
      <c r="R73" s="49"/>
      <c r="S73" s="49"/>
      <c r="T73" s="49"/>
      <c r="U73" s="49"/>
      <c r="V73" s="49"/>
      <c r="W73" s="49"/>
      <c r="X73" s="49"/>
      <c r="Y73" s="49"/>
      <c r="Z73" s="49"/>
      <c r="AA73" s="49"/>
      <c r="AB73" s="49"/>
      <c r="AC73" s="49"/>
      <c r="AD73" s="49"/>
    </row>
    <row r="74" ht="21.0" customHeight="1">
      <c r="A74" s="30"/>
      <c r="B74" s="30"/>
      <c r="C74" s="30"/>
      <c r="D74" s="30"/>
      <c r="E74" s="30"/>
      <c r="F74" s="30"/>
      <c r="G74" s="30"/>
      <c r="H74" s="37"/>
      <c r="I74" s="37"/>
      <c r="J74" s="37"/>
      <c r="K74" s="37"/>
      <c r="L74" s="37"/>
      <c r="M74" s="37"/>
      <c r="N74" s="30"/>
      <c r="O74" s="30"/>
      <c r="P74" s="30"/>
      <c r="Q74" s="30"/>
      <c r="R74" s="30"/>
      <c r="S74" s="30"/>
      <c r="T74" s="30"/>
      <c r="U74" s="30"/>
      <c r="V74" s="30"/>
      <c r="W74" s="30"/>
      <c r="X74" s="30"/>
      <c r="Y74" s="30"/>
      <c r="Z74" s="30"/>
      <c r="AA74" s="30"/>
      <c r="AB74" s="30"/>
      <c r="AC74" s="30"/>
      <c r="AD74" s="30"/>
    </row>
    <row r="75" ht="21.75" customHeight="1">
      <c r="A75" s="49"/>
      <c r="B75" s="45" t="s">
        <v>130</v>
      </c>
      <c r="H75" s="75"/>
      <c r="I75" s="75"/>
      <c r="J75" s="75"/>
      <c r="K75" s="52"/>
      <c r="L75" s="52"/>
      <c r="M75" s="52"/>
      <c r="N75" s="49"/>
      <c r="O75" s="49"/>
      <c r="P75" s="49"/>
      <c r="Q75" s="49"/>
      <c r="R75" s="49"/>
      <c r="S75" s="49"/>
      <c r="T75" s="49"/>
      <c r="U75" s="49"/>
      <c r="V75" s="49"/>
      <c r="W75" s="49"/>
      <c r="X75" s="49"/>
      <c r="Y75" s="49"/>
      <c r="Z75" s="49"/>
      <c r="AA75" s="49"/>
      <c r="AB75" s="49"/>
      <c r="AC75" s="49"/>
      <c r="AD75" s="49"/>
    </row>
    <row r="76" ht="21.75" customHeight="1">
      <c r="A76" s="49"/>
      <c r="B76" s="84" t="s">
        <v>68</v>
      </c>
      <c r="C76" s="84"/>
      <c r="D76" s="84"/>
      <c r="E76" s="84" t="s">
        <v>69</v>
      </c>
      <c r="F76" s="84" t="s">
        <v>70</v>
      </c>
      <c r="G76" s="85" t="s">
        <v>71</v>
      </c>
      <c r="H76" s="85" t="s">
        <v>72</v>
      </c>
      <c r="I76" s="85" t="s">
        <v>72</v>
      </c>
      <c r="J76" s="85" t="s">
        <v>73</v>
      </c>
      <c r="K76" s="37"/>
      <c r="M76" s="52"/>
      <c r="N76" s="49"/>
      <c r="O76" s="49"/>
      <c r="P76" s="49"/>
      <c r="Q76" s="49"/>
      <c r="R76" s="49"/>
      <c r="S76" s="49"/>
      <c r="T76" s="49"/>
      <c r="U76" s="49"/>
      <c r="V76" s="49"/>
      <c r="W76" s="49"/>
      <c r="X76" s="49"/>
      <c r="Y76" s="49"/>
      <c r="Z76" s="49"/>
      <c r="AA76" s="49"/>
      <c r="AB76" s="49"/>
      <c r="AC76" s="49"/>
      <c r="AD76" s="49"/>
    </row>
    <row r="77" ht="21.75" customHeight="1">
      <c r="A77" s="49"/>
      <c r="B77" s="84" t="s">
        <v>56</v>
      </c>
      <c r="C77" s="30"/>
      <c r="D77" s="30"/>
      <c r="E77" s="86">
        <v>1178.36</v>
      </c>
      <c r="F77" s="86">
        <v>1060.52</v>
      </c>
      <c r="G77" s="86">
        <v>954.47</v>
      </c>
      <c r="H77" s="87" t="s">
        <v>77</v>
      </c>
      <c r="I77" s="85" t="s">
        <v>77</v>
      </c>
      <c r="J77" s="37" t="s">
        <v>131</v>
      </c>
      <c r="K77" s="37"/>
      <c r="M77" s="52"/>
      <c r="N77" s="49"/>
      <c r="O77" s="49"/>
      <c r="P77" s="49"/>
      <c r="Q77" s="49"/>
      <c r="R77" s="49"/>
      <c r="S77" s="49"/>
      <c r="T77" s="49"/>
      <c r="U77" s="49"/>
      <c r="V77" s="49"/>
      <c r="W77" s="49"/>
      <c r="X77" s="49"/>
      <c r="Y77" s="49"/>
      <c r="Z77" s="49"/>
      <c r="AA77" s="49"/>
      <c r="AB77" s="49"/>
      <c r="AC77" s="49"/>
      <c r="AD77" s="49"/>
    </row>
    <row r="78" ht="21.75" customHeight="1">
      <c r="A78" s="49"/>
      <c r="B78" s="84" t="s">
        <v>57</v>
      </c>
      <c r="C78" s="30"/>
      <c r="D78" s="30"/>
      <c r="E78" s="86">
        <v>1402.6</v>
      </c>
      <c r="F78" s="86">
        <v>1262.34</v>
      </c>
      <c r="G78" s="86">
        <v>1136.1</v>
      </c>
      <c r="H78" s="87" t="s">
        <v>77</v>
      </c>
      <c r="I78" s="85" t="s">
        <v>77</v>
      </c>
      <c r="J78" s="37" t="s">
        <v>131</v>
      </c>
      <c r="K78" s="37"/>
      <c r="M78" s="52"/>
      <c r="N78" s="49"/>
      <c r="O78" s="49"/>
      <c r="P78" s="49"/>
      <c r="Q78" s="49"/>
      <c r="R78" s="49"/>
      <c r="S78" s="49"/>
      <c r="T78" s="49"/>
      <c r="U78" s="49"/>
      <c r="V78" s="49"/>
      <c r="W78" s="49"/>
      <c r="X78" s="49"/>
      <c r="Y78" s="49"/>
      <c r="Z78" s="49"/>
      <c r="AA78" s="49"/>
      <c r="AB78" s="49"/>
      <c r="AC78" s="49"/>
      <c r="AD78" s="49"/>
    </row>
    <row r="79" ht="21.75" customHeight="1">
      <c r="A79" s="49"/>
      <c r="B79" s="84" t="s">
        <v>132</v>
      </c>
      <c r="C79" s="30"/>
      <c r="D79" s="30"/>
      <c r="E79" s="86">
        <v>100.0</v>
      </c>
      <c r="F79" s="86">
        <v>100.0</v>
      </c>
      <c r="G79" s="86">
        <v>100.0</v>
      </c>
      <c r="H79" s="87" t="s">
        <v>77</v>
      </c>
      <c r="I79" s="85" t="s">
        <v>77</v>
      </c>
      <c r="J79" s="37" t="s">
        <v>131</v>
      </c>
      <c r="K79" s="37"/>
      <c r="M79" s="52"/>
      <c r="N79" s="49"/>
      <c r="O79" s="49"/>
      <c r="P79" s="49"/>
      <c r="Q79" s="49"/>
      <c r="R79" s="49"/>
      <c r="S79" s="49"/>
      <c r="T79" s="49"/>
      <c r="U79" s="49"/>
      <c r="V79" s="49"/>
      <c r="W79" s="49"/>
      <c r="X79" s="49"/>
      <c r="Y79" s="49"/>
      <c r="Z79" s="49"/>
      <c r="AA79" s="49"/>
      <c r="AB79" s="49"/>
      <c r="AC79" s="49"/>
      <c r="AD79" s="49"/>
    </row>
    <row r="80" ht="21.75" customHeight="1">
      <c r="A80" s="49"/>
      <c r="B80" s="84"/>
      <c r="C80" s="30"/>
      <c r="D80" s="30"/>
      <c r="E80" s="86"/>
      <c r="F80" s="86"/>
      <c r="G80" s="86"/>
      <c r="H80" s="87"/>
      <c r="I80" s="85" t="s">
        <v>77</v>
      </c>
      <c r="J80" s="37" t="s">
        <v>131</v>
      </c>
      <c r="K80" s="37"/>
      <c r="M80" s="52"/>
      <c r="N80" s="49"/>
      <c r="O80" s="49"/>
      <c r="P80" s="49"/>
      <c r="Q80" s="49"/>
      <c r="R80" s="49"/>
      <c r="S80" s="49"/>
      <c r="T80" s="49"/>
      <c r="U80" s="49"/>
      <c r="V80" s="49"/>
      <c r="W80" s="49"/>
      <c r="X80" s="49"/>
      <c r="Y80" s="49"/>
      <c r="Z80" s="49"/>
      <c r="AA80" s="49"/>
      <c r="AB80" s="49"/>
      <c r="AC80" s="49"/>
      <c r="AD80" s="49"/>
    </row>
    <row r="81" ht="21.75" customHeight="1">
      <c r="A81" s="88"/>
      <c r="B81" s="89" t="s">
        <v>133</v>
      </c>
      <c r="C81" s="61"/>
      <c r="D81" s="61"/>
      <c r="E81" s="90"/>
      <c r="F81" s="90"/>
      <c r="G81" s="90"/>
      <c r="H81" s="90"/>
      <c r="I81" s="91" t="s">
        <v>77</v>
      </c>
      <c r="J81" s="92" t="s">
        <v>78</v>
      </c>
      <c r="K81" s="92"/>
      <c r="L81" s="93"/>
      <c r="M81" s="62"/>
      <c r="N81" s="88"/>
      <c r="O81" s="88"/>
      <c r="P81" s="88"/>
      <c r="Q81" s="88"/>
      <c r="R81" s="88"/>
      <c r="S81" s="88"/>
      <c r="T81" s="88"/>
      <c r="U81" s="88"/>
      <c r="V81" s="88"/>
      <c r="W81" s="88"/>
      <c r="X81" s="88"/>
      <c r="Y81" s="88"/>
      <c r="Z81" s="88"/>
      <c r="AA81" s="88"/>
      <c r="AB81" s="88"/>
      <c r="AC81" s="88"/>
      <c r="AD81" s="88"/>
    </row>
    <row r="82" ht="21.75" customHeight="1">
      <c r="A82" s="49"/>
      <c r="B82" s="94" t="s">
        <v>126</v>
      </c>
      <c r="L82" s="52"/>
      <c r="M82" s="52"/>
      <c r="N82" s="49"/>
      <c r="O82" s="49"/>
      <c r="P82" s="49"/>
      <c r="Q82" s="49"/>
      <c r="R82" s="49"/>
      <c r="S82" s="49"/>
      <c r="T82" s="49"/>
      <c r="U82" s="49"/>
      <c r="V82" s="49"/>
      <c r="W82" s="49"/>
      <c r="X82" s="49"/>
      <c r="Y82" s="49"/>
      <c r="Z82" s="49"/>
      <c r="AA82" s="49"/>
      <c r="AB82" s="49"/>
      <c r="AC82" s="49"/>
      <c r="AD82" s="49"/>
    </row>
    <row r="83" ht="21.75" customHeight="1">
      <c r="A83" s="49"/>
      <c r="B83" s="80">
        <v>0.0</v>
      </c>
      <c r="C83" s="82">
        <f>E77</f>
        <v>1178.36</v>
      </c>
      <c r="D83" s="80"/>
      <c r="E83" s="37">
        <v>0.0</v>
      </c>
      <c r="F83" s="95">
        <f>E78</f>
        <v>1402.6</v>
      </c>
      <c r="G83" s="30"/>
      <c r="H83" s="37"/>
      <c r="I83" s="52"/>
      <c r="J83" s="96"/>
      <c r="K83" s="37"/>
      <c r="L83" s="52"/>
      <c r="M83" s="52"/>
      <c r="N83" s="49"/>
      <c r="O83" s="49"/>
      <c r="P83" s="49"/>
      <c r="Q83" s="49"/>
      <c r="R83" s="49"/>
      <c r="S83" s="49"/>
      <c r="T83" s="49"/>
      <c r="U83" s="49"/>
      <c r="V83" s="49"/>
      <c r="W83" s="49"/>
      <c r="X83" s="49"/>
      <c r="Y83" s="49"/>
      <c r="Z83" s="49"/>
      <c r="AA83" s="49"/>
      <c r="AB83" s="49"/>
      <c r="AC83" s="49"/>
      <c r="AD83" s="49"/>
    </row>
    <row r="84" ht="21.75" customHeight="1">
      <c r="A84" s="49"/>
      <c r="B84" s="83">
        <v>5000.0</v>
      </c>
      <c r="C84" s="82">
        <f>F77</f>
        <v>1060.52</v>
      </c>
      <c r="D84" s="80"/>
      <c r="E84" s="37">
        <v>5000.0</v>
      </c>
      <c r="F84" s="95">
        <f>F78</f>
        <v>1262.34</v>
      </c>
      <c r="G84" s="30"/>
      <c r="H84" s="37"/>
      <c r="I84" s="75"/>
      <c r="J84" s="96"/>
      <c r="K84" s="37"/>
      <c r="L84" s="52"/>
      <c r="M84" s="52"/>
      <c r="N84" s="49"/>
      <c r="O84" s="49"/>
      <c r="P84" s="49"/>
      <c r="Q84" s="49"/>
      <c r="R84" s="49"/>
      <c r="S84" s="49"/>
      <c r="T84" s="49"/>
      <c r="U84" s="49"/>
      <c r="V84" s="49"/>
      <c r="W84" s="49"/>
      <c r="X84" s="49"/>
      <c r="Y84" s="49"/>
      <c r="Z84" s="49"/>
      <c r="AA84" s="49"/>
      <c r="AB84" s="49"/>
      <c r="AC84" s="49"/>
      <c r="AD84" s="49"/>
    </row>
    <row r="85" ht="21.75" customHeight="1">
      <c r="A85" s="49"/>
      <c r="B85" s="83">
        <v>10000.0</v>
      </c>
      <c r="C85" s="82">
        <f>G77</f>
        <v>954.47</v>
      </c>
      <c r="D85" s="80"/>
      <c r="E85" s="37">
        <v>10000.0</v>
      </c>
      <c r="F85" s="95">
        <f>G78</f>
        <v>1136.1</v>
      </c>
      <c r="G85" s="30"/>
      <c r="H85" s="37"/>
      <c r="I85" s="75"/>
      <c r="J85" s="96"/>
      <c r="K85" s="37"/>
      <c r="L85" s="52"/>
      <c r="M85" s="52"/>
      <c r="N85" s="49"/>
      <c r="O85" s="49"/>
      <c r="P85" s="49"/>
      <c r="Q85" s="49"/>
      <c r="R85" s="49"/>
      <c r="S85" s="49"/>
      <c r="T85" s="49"/>
      <c r="U85" s="49"/>
      <c r="V85" s="49"/>
      <c r="W85" s="49"/>
      <c r="X85" s="49"/>
      <c r="Y85" s="49"/>
      <c r="Z85" s="49"/>
      <c r="AA85" s="49"/>
      <c r="AB85" s="49"/>
      <c r="AC85" s="49"/>
      <c r="AD85" s="49"/>
    </row>
    <row r="86" ht="21.75" customHeight="1">
      <c r="A86" s="49"/>
      <c r="B86" s="83"/>
      <c r="C86" s="82"/>
      <c r="D86" s="80"/>
      <c r="E86" s="37"/>
      <c r="F86" s="30"/>
      <c r="G86" s="30"/>
      <c r="H86" s="37"/>
      <c r="I86" s="75"/>
      <c r="J86" s="96"/>
      <c r="K86" s="37"/>
      <c r="L86" s="52"/>
      <c r="M86" s="52"/>
      <c r="N86" s="49"/>
      <c r="O86" s="49"/>
      <c r="P86" s="49"/>
      <c r="Q86" s="49"/>
      <c r="R86" s="49"/>
      <c r="S86" s="49"/>
      <c r="T86" s="49"/>
      <c r="U86" s="49"/>
      <c r="V86" s="49"/>
      <c r="W86" s="49"/>
      <c r="X86" s="49"/>
      <c r="Y86" s="49"/>
      <c r="Z86" s="49"/>
      <c r="AA86" s="49"/>
      <c r="AB86" s="49"/>
      <c r="AC86" s="49"/>
      <c r="AD86" s="49"/>
    </row>
    <row r="87" ht="21.75" customHeight="1">
      <c r="A87" s="49"/>
      <c r="B87" s="83"/>
      <c r="C87" s="82"/>
      <c r="D87" s="80"/>
      <c r="E87" s="37"/>
      <c r="F87" s="30"/>
      <c r="G87" s="30"/>
      <c r="H87" s="37"/>
      <c r="I87" s="75"/>
      <c r="J87" s="96"/>
      <c r="K87" s="37"/>
      <c r="L87" s="52"/>
      <c r="M87" s="52"/>
      <c r="N87" s="49"/>
      <c r="O87" s="49"/>
      <c r="P87" s="49"/>
      <c r="Q87" s="49"/>
      <c r="R87" s="49"/>
      <c r="S87" s="49"/>
      <c r="T87" s="49"/>
      <c r="U87" s="49"/>
      <c r="V87" s="49"/>
      <c r="W87" s="49"/>
      <c r="X87" s="49"/>
      <c r="Y87" s="49"/>
      <c r="Z87" s="49"/>
      <c r="AA87" s="49"/>
      <c r="AB87" s="49"/>
      <c r="AC87" s="49"/>
      <c r="AD87" s="49"/>
    </row>
    <row r="88" ht="21.75" customHeight="1">
      <c r="A88" s="49"/>
      <c r="B88" s="83"/>
      <c r="C88" s="82"/>
      <c r="D88" s="80"/>
      <c r="E88" s="37"/>
      <c r="F88" s="30"/>
      <c r="G88" s="30"/>
      <c r="H88" s="37"/>
      <c r="I88" s="75"/>
      <c r="J88" s="96"/>
      <c r="K88" s="37"/>
      <c r="L88" s="52"/>
      <c r="M88" s="52"/>
      <c r="N88" s="49"/>
      <c r="O88" s="49"/>
      <c r="P88" s="49"/>
      <c r="Q88" s="49"/>
      <c r="R88" s="49"/>
      <c r="S88" s="49"/>
      <c r="T88" s="49"/>
      <c r="U88" s="49"/>
      <c r="V88" s="49"/>
      <c r="W88" s="49"/>
      <c r="X88" s="49"/>
      <c r="Y88" s="49"/>
      <c r="Z88" s="49"/>
      <c r="AA88" s="49"/>
      <c r="AB88" s="49"/>
      <c r="AC88" s="49"/>
      <c r="AD88" s="49"/>
    </row>
    <row r="89" ht="21.75" customHeight="1">
      <c r="A89" s="49"/>
      <c r="B89" s="58"/>
      <c r="C89" s="49"/>
      <c r="D89" s="49"/>
      <c r="E89" s="49"/>
      <c r="F89" s="49"/>
      <c r="G89" s="49"/>
      <c r="H89" s="52"/>
      <c r="I89" s="52"/>
      <c r="J89" s="52"/>
      <c r="K89" s="52"/>
      <c r="L89" s="52"/>
      <c r="M89" s="52"/>
      <c r="N89" s="49"/>
      <c r="O89" s="49"/>
      <c r="P89" s="49"/>
      <c r="Q89" s="49"/>
      <c r="R89" s="49"/>
      <c r="S89" s="49"/>
      <c r="T89" s="49"/>
      <c r="U89" s="49"/>
      <c r="V89" s="49"/>
      <c r="W89" s="49"/>
      <c r="X89" s="49"/>
      <c r="Y89" s="49"/>
      <c r="Z89" s="49"/>
      <c r="AA89" s="49"/>
      <c r="AB89" s="49"/>
      <c r="AC89" s="49"/>
      <c r="AD89" s="49"/>
    </row>
    <row r="90" ht="21.75" customHeight="1">
      <c r="A90" s="49"/>
      <c r="B90" s="58"/>
      <c r="C90" s="49"/>
      <c r="D90" s="49"/>
      <c r="E90" s="49"/>
      <c r="F90" s="49"/>
      <c r="G90" s="49"/>
      <c r="H90" s="52"/>
      <c r="I90" s="52"/>
      <c r="J90" s="52"/>
      <c r="K90" s="52"/>
      <c r="L90" s="52"/>
      <c r="M90" s="52"/>
      <c r="N90" s="49"/>
      <c r="O90" s="49"/>
      <c r="P90" s="49"/>
      <c r="Q90" s="49"/>
      <c r="R90" s="49"/>
      <c r="S90" s="49"/>
      <c r="T90" s="49"/>
      <c r="U90" s="49"/>
      <c r="V90" s="49"/>
      <c r="W90" s="49"/>
      <c r="X90" s="49"/>
      <c r="Y90" s="49"/>
      <c r="Z90" s="49"/>
      <c r="AA90" s="49"/>
      <c r="AB90" s="49"/>
      <c r="AC90" s="49"/>
      <c r="AD90" s="49"/>
    </row>
    <row r="91" ht="23.25" customHeight="1">
      <c r="A91" s="49"/>
      <c r="B91" s="27" t="s">
        <v>134</v>
      </c>
      <c r="C91" s="28"/>
      <c r="D91" s="28"/>
      <c r="E91" s="27"/>
      <c r="F91" s="27" t="s">
        <v>135</v>
      </c>
      <c r="G91" s="97">
        <v>0.35</v>
      </c>
      <c r="H91" s="98"/>
      <c r="I91" s="27"/>
      <c r="J91" s="99"/>
      <c r="K91" s="29"/>
      <c r="L91" s="28"/>
      <c r="M91" s="28"/>
      <c r="N91" s="49"/>
      <c r="O91" s="49"/>
      <c r="P91" s="49"/>
      <c r="Q91" s="49"/>
      <c r="R91" s="49"/>
      <c r="S91" s="49"/>
      <c r="T91" s="49"/>
      <c r="U91" s="49"/>
      <c r="V91" s="49"/>
      <c r="W91" s="49"/>
      <c r="X91" s="49"/>
      <c r="Y91" s="49"/>
      <c r="Z91" s="49"/>
      <c r="AA91" s="49"/>
      <c r="AB91" s="49"/>
      <c r="AC91" s="49"/>
      <c r="AD91" s="49"/>
    </row>
    <row r="92" ht="21.75" customHeight="1">
      <c r="A92" s="49"/>
      <c r="B92" s="58"/>
      <c r="C92" s="61" t="s">
        <v>67</v>
      </c>
      <c r="D92" s="88" t="s">
        <v>128</v>
      </c>
      <c r="E92" s="100">
        <v>2026.0</v>
      </c>
      <c r="F92" s="61">
        <v>2027.0</v>
      </c>
      <c r="G92" s="61">
        <v>2028.0</v>
      </c>
      <c r="H92" s="88">
        <v>2029.0</v>
      </c>
      <c r="I92" s="100">
        <v>2030.0</v>
      </c>
      <c r="J92" s="52"/>
      <c r="K92" s="52"/>
      <c r="L92" s="30"/>
      <c r="M92" s="52"/>
      <c r="N92" s="49"/>
      <c r="O92" s="49"/>
      <c r="P92" s="49"/>
      <c r="Q92" s="49"/>
      <c r="R92" s="49"/>
      <c r="S92" s="49"/>
      <c r="T92" s="49"/>
      <c r="U92" s="49"/>
      <c r="V92" s="49"/>
      <c r="W92" s="49"/>
      <c r="X92" s="49"/>
      <c r="Y92" s="49"/>
      <c r="Z92" s="49"/>
      <c r="AA92" s="49"/>
      <c r="AB92" s="49"/>
      <c r="AC92" s="49"/>
      <c r="AD92" s="49"/>
    </row>
    <row r="93" ht="21.75" customHeight="1">
      <c r="A93" s="49"/>
      <c r="B93" s="101" t="s">
        <v>136</v>
      </c>
      <c r="C93" s="37" t="s">
        <v>137</v>
      </c>
      <c r="D93" s="52" t="s">
        <v>138</v>
      </c>
      <c r="E93" s="86">
        <v>5000.0</v>
      </c>
      <c r="F93" s="87">
        <f t="shared" ref="F93:F98" si="13">$E93*(1+$G$91)</f>
        <v>6750</v>
      </c>
      <c r="G93" s="87">
        <f t="shared" ref="G93:I93" si="12">F93*(1+$G$91)</f>
        <v>9112.5</v>
      </c>
      <c r="H93" s="87">
        <f t="shared" si="12"/>
        <v>12301.875</v>
      </c>
      <c r="I93" s="87">
        <f t="shared" si="12"/>
        <v>16607.53125</v>
      </c>
      <c r="J93" s="52"/>
      <c r="K93" s="52"/>
      <c r="L93" s="30"/>
      <c r="M93" s="52"/>
      <c r="N93" s="49"/>
      <c r="O93" s="49"/>
      <c r="P93" s="49"/>
      <c r="Q93" s="49"/>
      <c r="R93" s="49"/>
      <c r="S93" s="49"/>
      <c r="T93" s="49"/>
      <c r="U93" s="49"/>
      <c r="V93" s="49"/>
      <c r="W93" s="49"/>
      <c r="X93" s="49"/>
      <c r="Y93" s="49"/>
      <c r="Z93" s="49"/>
      <c r="AA93" s="49"/>
      <c r="AB93" s="49"/>
      <c r="AC93" s="49"/>
      <c r="AD93" s="49"/>
    </row>
    <row r="94" ht="21.75" customHeight="1">
      <c r="A94" s="49"/>
      <c r="B94" s="101" t="s">
        <v>139</v>
      </c>
      <c r="C94" s="37" t="s">
        <v>137</v>
      </c>
      <c r="D94" s="52" t="s">
        <v>138</v>
      </c>
      <c r="E94" s="86">
        <v>7000.0</v>
      </c>
      <c r="F94" s="87">
        <f t="shared" si="13"/>
        <v>9450</v>
      </c>
      <c r="G94" s="87">
        <f t="shared" ref="G94:I94" si="14">F94*(1+$G$91)</f>
        <v>12757.5</v>
      </c>
      <c r="H94" s="87">
        <f t="shared" si="14"/>
        <v>17222.625</v>
      </c>
      <c r="I94" s="87">
        <f t="shared" si="14"/>
        <v>23250.54375</v>
      </c>
      <c r="J94" s="52"/>
      <c r="K94" s="52"/>
      <c r="L94" s="30"/>
      <c r="M94" s="52"/>
      <c r="N94" s="49"/>
      <c r="O94" s="49"/>
      <c r="P94" s="49"/>
      <c r="Q94" s="49"/>
      <c r="R94" s="49"/>
      <c r="S94" s="49"/>
      <c r="T94" s="49"/>
      <c r="U94" s="49"/>
      <c r="V94" s="49"/>
      <c r="W94" s="49"/>
      <c r="X94" s="49"/>
      <c r="Y94" s="49"/>
      <c r="Z94" s="49"/>
      <c r="AA94" s="49"/>
      <c r="AB94" s="49"/>
      <c r="AC94" s="49"/>
      <c r="AD94" s="49"/>
    </row>
    <row r="95" ht="21.75" customHeight="1">
      <c r="A95" s="49"/>
      <c r="B95" s="101" t="s">
        <v>140</v>
      </c>
      <c r="C95" s="37" t="s">
        <v>141</v>
      </c>
      <c r="D95" s="52" t="s">
        <v>138</v>
      </c>
      <c r="E95" s="86">
        <v>14000.0</v>
      </c>
      <c r="F95" s="87">
        <f t="shared" si="13"/>
        <v>18900</v>
      </c>
      <c r="G95" s="87">
        <f t="shared" ref="G95:I95" si="15">F95*(1+$G$91)</f>
        <v>25515</v>
      </c>
      <c r="H95" s="87">
        <f t="shared" si="15"/>
        <v>34445.25</v>
      </c>
      <c r="I95" s="87">
        <f t="shared" si="15"/>
        <v>46501.0875</v>
      </c>
      <c r="J95" s="52"/>
      <c r="K95" s="52"/>
      <c r="L95" s="30"/>
      <c r="M95" s="52"/>
      <c r="N95" s="49"/>
      <c r="O95" s="49"/>
      <c r="P95" s="49"/>
      <c r="Q95" s="49"/>
      <c r="R95" s="49"/>
      <c r="S95" s="49"/>
      <c r="T95" s="49"/>
      <c r="U95" s="49"/>
      <c r="V95" s="49"/>
      <c r="W95" s="49"/>
      <c r="X95" s="49"/>
      <c r="Y95" s="49"/>
      <c r="Z95" s="49"/>
      <c r="AA95" s="49"/>
      <c r="AB95" s="49"/>
      <c r="AC95" s="49"/>
      <c r="AD95" s="49"/>
    </row>
    <row r="96" ht="21.75" customHeight="1">
      <c r="A96" s="49"/>
      <c r="B96" s="101" t="s">
        <v>142</v>
      </c>
      <c r="C96" s="37" t="s">
        <v>137</v>
      </c>
      <c r="D96" s="52" t="s">
        <v>138</v>
      </c>
      <c r="E96" s="86">
        <v>8000.0</v>
      </c>
      <c r="F96" s="87">
        <f t="shared" si="13"/>
        <v>10800</v>
      </c>
      <c r="G96" s="87">
        <f t="shared" ref="G96:I96" si="16">F96*(1+$G$91)</f>
        <v>14580</v>
      </c>
      <c r="H96" s="87">
        <f t="shared" si="16"/>
        <v>19683</v>
      </c>
      <c r="I96" s="87">
        <f t="shared" si="16"/>
        <v>26572.05</v>
      </c>
      <c r="J96" s="52"/>
      <c r="K96" s="52"/>
      <c r="L96" s="30"/>
      <c r="M96" s="52"/>
      <c r="N96" s="49"/>
      <c r="O96" s="49"/>
      <c r="P96" s="49"/>
      <c r="Q96" s="49"/>
      <c r="R96" s="49"/>
      <c r="S96" s="49"/>
      <c r="T96" s="49"/>
      <c r="U96" s="49"/>
      <c r="V96" s="49"/>
      <c r="W96" s="49"/>
      <c r="X96" s="49"/>
      <c r="Y96" s="49"/>
      <c r="Z96" s="49"/>
      <c r="AA96" s="49"/>
      <c r="AB96" s="49"/>
      <c r="AC96" s="49"/>
      <c r="AD96" s="49"/>
    </row>
    <row r="97" ht="21.75" customHeight="1">
      <c r="A97" s="49"/>
      <c r="B97" s="101" t="s">
        <v>143</v>
      </c>
      <c r="C97" s="37" t="s">
        <v>144</v>
      </c>
      <c r="D97" s="52" t="s">
        <v>138</v>
      </c>
      <c r="E97" s="86">
        <v>10000.0</v>
      </c>
      <c r="F97" s="87">
        <f t="shared" si="13"/>
        <v>13500</v>
      </c>
      <c r="G97" s="87">
        <f t="shared" ref="G97:I97" si="17">F97*(1+$G$91)</f>
        <v>18225</v>
      </c>
      <c r="H97" s="87">
        <f t="shared" si="17"/>
        <v>24603.75</v>
      </c>
      <c r="I97" s="87">
        <f t="shared" si="17"/>
        <v>33215.0625</v>
      </c>
      <c r="J97" s="52"/>
      <c r="K97" s="52"/>
      <c r="L97" s="30"/>
      <c r="M97" s="52"/>
      <c r="N97" s="49"/>
      <c r="O97" s="49"/>
      <c r="P97" s="49"/>
      <c r="Q97" s="49"/>
      <c r="R97" s="49"/>
      <c r="S97" s="49"/>
      <c r="T97" s="49"/>
      <c r="U97" s="49"/>
      <c r="V97" s="49"/>
      <c r="W97" s="49"/>
      <c r="X97" s="49"/>
      <c r="Y97" s="49"/>
      <c r="Z97" s="49"/>
      <c r="AA97" s="49"/>
      <c r="AB97" s="49"/>
      <c r="AC97" s="49"/>
      <c r="AD97" s="49"/>
    </row>
    <row r="98" ht="21.75" customHeight="1">
      <c r="A98" s="49"/>
      <c r="B98" s="102" t="s">
        <v>145</v>
      </c>
      <c r="C98" s="37" t="s">
        <v>144</v>
      </c>
      <c r="D98" s="52" t="s">
        <v>138</v>
      </c>
      <c r="E98" s="86">
        <v>15000.0</v>
      </c>
      <c r="F98" s="87">
        <f t="shared" si="13"/>
        <v>20250</v>
      </c>
      <c r="G98" s="87">
        <f t="shared" ref="G98:I98" si="18">F98*(1+$G$91)</f>
        <v>27337.5</v>
      </c>
      <c r="H98" s="87">
        <f t="shared" si="18"/>
        <v>36905.625</v>
      </c>
      <c r="I98" s="87">
        <f t="shared" si="18"/>
        <v>49822.59375</v>
      </c>
      <c r="J98" s="52"/>
      <c r="K98" s="52"/>
      <c r="L98" s="30"/>
      <c r="M98" s="52"/>
      <c r="N98" s="49"/>
      <c r="O98" s="49"/>
      <c r="P98" s="49"/>
      <c r="Q98" s="49"/>
      <c r="R98" s="49"/>
      <c r="S98" s="49"/>
      <c r="T98" s="49"/>
      <c r="U98" s="49"/>
      <c r="V98" s="49"/>
      <c r="W98" s="49"/>
      <c r="X98" s="49"/>
      <c r="Y98" s="49"/>
      <c r="Z98" s="49"/>
      <c r="AA98" s="49"/>
      <c r="AB98" s="49"/>
      <c r="AC98" s="49"/>
      <c r="AD98" s="49"/>
    </row>
    <row r="99" ht="21.75" customHeight="1">
      <c r="A99" s="49"/>
      <c r="B99" s="37" t="s">
        <v>146</v>
      </c>
      <c r="C99" s="37" t="s">
        <v>144</v>
      </c>
      <c r="D99" s="52" t="s">
        <v>147</v>
      </c>
      <c r="E99" s="86">
        <v>168933.0</v>
      </c>
      <c r="F99" s="87"/>
      <c r="G99" s="87"/>
      <c r="H99" s="87"/>
      <c r="I99" s="87"/>
      <c r="J99" s="52"/>
      <c r="K99" s="52"/>
      <c r="L99" s="30"/>
      <c r="M99" s="52"/>
      <c r="N99" s="49"/>
      <c r="O99" s="49"/>
      <c r="P99" s="49"/>
      <c r="Q99" s="49"/>
      <c r="R99" s="49"/>
      <c r="S99" s="49"/>
      <c r="T99" s="49"/>
      <c r="U99" s="49"/>
      <c r="V99" s="49"/>
      <c r="W99" s="49"/>
      <c r="X99" s="49"/>
      <c r="Y99" s="49"/>
      <c r="Z99" s="49"/>
      <c r="AA99" s="49"/>
      <c r="AB99" s="49"/>
      <c r="AC99" s="49"/>
      <c r="AD99" s="49"/>
    </row>
    <row r="100" ht="21.75" customHeight="1">
      <c r="A100" s="49"/>
      <c r="B100" s="103" t="s">
        <v>148</v>
      </c>
      <c r="C100" s="37" t="s">
        <v>141</v>
      </c>
      <c r="D100" s="52" t="s">
        <v>147</v>
      </c>
      <c r="E100" s="86">
        <v>10000.0</v>
      </c>
      <c r="F100" s="87"/>
      <c r="G100" s="87"/>
      <c r="H100" s="87"/>
      <c r="I100" s="87"/>
      <c r="J100" s="52"/>
      <c r="K100" s="52"/>
      <c r="L100" s="30"/>
      <c r="M100" s="52"/>
      <c r="N100" s="49"/>
      <c r="O100" s="49"/>
      <c r="P100" s="49"/>
      <c r="Q100" s="49"/>
      <c r="R100" s="49"/>
      <c r="S100" s="49"/>
      <c r="T100" s="49"/>
      <c r="U100" s="49"/>
      <c r="V100" s="49"/>
      <c r="W100" s="49"/>
      <c r="X100" s="49"/>
      <c r="Y100" s="49"/>
      <c r="Z100" s="49"/>
      <c r="AA100" s="49"/>
      <c r="AB100" s="49"/>
      <c r="AC100" s="49"/>
      <c r="AD100" s="49"/>
    </row>
    <row r="101" ht="21.75" customHeight="1">
      <c r="A101" s="49"/>
      <c r="B101" s="104" t="s">
        <v>149</v>
      </c>
      <c r="C101" s="52" t="s">
        <v>141</v>
      </c>
      <c r="D101" s="52" t="s">
        <v>147</v>
      </c>
      <c r="E101" s="86">
        <v>10000.0</v>
      </c>
      <c r="F101" s="87"/>
      <c r="G101" s="87"/>
      <c r="H101" s="87"/>
      <c r="I101" s="87"/>
      <c r="J101" s="52"/>
      <c r="K101" s="52"/>
      <c r="L101" s="30"/>
      <c r="M101" s="52"/>
      <c r="N101" s="49"/>
      <c r="O101" s="49"/>
      <c r="P101" s="49"/>
      <c r="Q101" s="49"/>
      <c r="R101" s="49"/>
      <c r="S101" s="49"/>
      <c r="T101" s="49"/>
      <c r="U101" s="49"/>
      <c r="V101" s="49"/>
      <c r="W101" s="49"/>
      <c r="X101" s="49"/>
      <c r="Y101" s="49"/>
      <c r="Z101" s="49"/>
      <c r="AA101" s="49"/>
      <c r="AB101" s="49"/>
      <c r="AC101" s="49"/>
      <c r="AD101" s="49"/>
    </row>
    <row r="102" ht="21.75" customHeight="1">
      <c r="A102" s="49"/>
      <c r="B102" s="101" t="s">
        <v>150</v>
      </c>
      <c r="C102" s="37" t="s">
        <v>144</v>
      </c>
      <c r="D102" s="52" t="s">
        <v>147</v>
      </c>
      <c r="E102" s="86">
        <v>100000.0</v>
      </c>
      <c r="F102" s="87"/>
      <c r="G102" s="87"/>
      <c r="H102" s="87"/>
      <c r="I102" s="87"/>
      <c r="J102" s="52"/>
      <c r="K102" s="52"/>
      <c r="L102" s="30"/>
      <c r="M102" s="52"/>
      <c r="N102" s="49"/>
      <c r="O102" s="49"/>
      <c r="P102" s="49"/>
      <c r="Q102" s="49"/>
      <c r="R102" s="49"/>
      <c r="S102" s="49"/>
      <c r="T102" s="49"/>
      <c r="U102" s="49"/>
      <c r="V102" s="49"/>
      <c r="W102" s="49"/>
      <c r="X102" s="49"/>
      <c r="Y102" s="49"/>
      <c r="Z102" s="49"/>
      <c r="AA102" s="49"/>
      <c r="AB102" s="49"/>
      <c r="AC102" s="49"/>
      <c r="AD102" s="49"/>
    </row>
    <row r="103" ht="21.75" customHeight="1">
      <c r="A103" s="49"/>
      <c r="B103" s="104" t="s">
        <v>151</v>
      </c>
      <c r="C103" s="52" t="s">
        <v>144</v>
      </c>
      <c r="D103" s="52" t="s">
        <v>147</v>
      </c>
      <c r="E103" s="86">
        <v>45000.0</v>
      </c>
      <c r="F103" s="87"/>
      <c r="G103" s="87"/>
      <c r="H103" s="87"/>
      <c r="I103" s="87"/>
      <c r="J103" s="52"/>
      <c r="K103" s="52"/>
      <c r="L103" s="30"/>
      <c r="M103" s="52"/>
      <c r="N103" s="49"/>
      <c r="O103" s="49"/>
      <c r="P103" s="49"/>
      <c r="Q103" s="49"/>
      <c r="R103" s="49"/>
      <c r="S103" s="49"/>
      <c r="T103" s="49"/>
      <c r="U103" s="49"/>
      <c r="V103" s="49"/>
      <c r="W103" s="49"/>
      <c r="X103" s="49"/>
      <c r="Y103" s="49"/>
      <c r="Z103" s="49"/>
      <c r="AA103" s="49"/>
      <c r="AB103" s="49"/>
      <c r="AC103" s="49"/>
      <c r="AD103" s="49"/>
    </row>
    <row r="104" ht="21.75" customHeight="1">
      <c r="A104" s="30"/>
      <c r="B104" s="30"/>
      <c r="C104" s="30"/>
      <c r="D104" s="30"/>
      <c r="E104" s="30"/>
      <c r="F104" s="30"/>
      <c r="G104" s="30"/>
      <c r="H104" s="37"/>
      <c r="I104" s="37"/>
      <c r="J104" s="37"/>
      <c r="K104" s="37"/>
      <c r="L104" s="30"/>
      <c r="M104" s="37"/>
      <c r="N104" s="30"/>
      <c r="O104" s="30"/>
      <c r="P104" s="30"/>
      <c r="Q104" s="30"/>
      <c r="R104" s="30"/>
      <c r="S104" s="30"/>
      <c r="T104" s="30"/>
      <c r="U104" s="30"/>
      <c r="V104" s="30"/>
      <c r="W104" s="30"/>
      <c r="X104" s="30"/>
      <c r="Y104" s="30"/>
      <c r="Z104" s="30"/>
      <c r="AA104" s="30"/>
      <c r="AB104" s="30"/>
      <c r="AC104" s="30"/>
      <c r="AD104" s="30"/>
    </row>
    <row r="105" ht="21.75" customHeight="1">
      <c r="A105" s="30"/>
      <c r="B105" s="105"/>
      <c r="C105" s="49"/>
      <c r="D105" s="49"/>
      <c r="E105" s="106"/>
      <c r="F105" s="30"/>
      <c r="G105" s="30"/>
      <c r="H105" s="30"/>
      <c r="I105" s="30"/>
      <c r="J105" s="30"/>
      <c r="K105" s="30"/>
      <c r="L105" s="30"/>
      <c r="M105" s="37"/>
      <c r="N105" s="30"/>
      <c r="O105" s="30"/>
      <c r="P105" s="30"/>
      <c r="Q105" s="30"/>
      <c r="R105" s="30"/>
      <c r="S105" s="30"/>
      <c r="T105" s="30"/>
      <c r="U105" s="30"/>
      <c r="V105" s="30"/>
      <c r="W105" s="30"/>
      <c r="X105" s="30"/>
      <c r="Y105" s="30"/>
      <c r="Z105" s="30"/>
      <c r="AA105" s="30"/>
      <c r="AB105" s="30"/>
      <c r="AC105" s="30"/>
      <c r="AD105" s="30"/>
    </row>
    <row r="106" ht="21.75" customHeight="1">
      <c r="A106" s="30"/>
      <c r="B106" s="105" t="s">
        <v>152</v>
      </c>
      <c r="C106" s="49"/>
      <c r="D106" s="49"/>
      <c r="E106" s="106"/>
      <c r="F106" s="30"/>
      <c r="G106" s="107" t="s">
        <v>153</v>
      </c>
      <c r="H106" s="108" t="s">
        <v>154</v>
      </c>
      <c r="I106" s="109" t="s">
        <v>155</v>
      </c>
      <c r="J106" s="92" t="s">
        <v>156</v>
      </c>
      <c r="K106" s="37"/>
      <c r="L106" s="30"/>
      <c r="M106" s="37"/>
      <c r="N106" s="30"/>
      <c r="O106" s="30"/>
      <c r="P106" s="30"/>
      <c r="Q106" s="30"/>
      <c r="R106" s="30"/>
      <c r="S106" s="30"/>
      <c r="T106" s="30"/>
      <c r="U106" s="30"/>
      <c r="V106" s="30"/>
      <c r="W106" s="30"/>
      <c r="X106" s="30"/>
      <c r="Y106" s="30"/>
      <c r="Z106" s="30"/>
      <c r="AA106" s="30"/>
      <c r="AB106" s="30"/>
      <c r="AC106" s="30"/>
      <c r="AD106" s="30"/>
    </row>
    <row r="107" ht="21.75" customHeight="1">
      <c r="A107" s="30"/>
      <c r="B107" s="104" t="s">
        <v>157</v>
      </c>
      <c r="C107" s="52" t="s">
        <v>141</v>
      </c>
      <c r="D107" s="52"/>
      <c r="E107" s="110">
        <v>600.0</v>
      </c>
      <c r="F107" s="30" t="s">
        <v>158</v>
      </c>
      <c r="G107" s="111">
        <v>0.0</v>
      </c>
      <c r="H107" s="112">
        <f>E111</f>
        <v>800</v>
      </c>
      <c r="I107" s="113"/>
      <c r="J107" s="37"/>
      <c r="K107" s="30"/>
      <c r="L107" s="30"/>
      <c r="M107" s="37"/>
      <c r="N107" s="30"/>
      <c r="O107" s="30"/>
      <c r="P107" s="30"/>
      <c r="Q107" s="30"/>
      <c r="R107" s="30"/>
      <c r="S107" s="30"/>
      <c r="T107" s="30"/>
      <c r="U107" s="30"/>
      <c r="V107" s="30"/>
      <c r="W107" s="30"/>
      <c r="X107" s="30"/>
      <c r="Y107" s="30"/>
      <c r="Z107" s="30"/>
      <c r="AA107" s="30"/>
      <c r="AB107" s="30"/>
      <c r="AC107" s="30"/>
      <c r="AD107" s="30"/>
    </row>
    <row r="108" ht="21.75" customHeight="1">
      <c r="A108" s="30"/>
      <c r="B108" s="104" t="s">
        <v>159</v>
      </c>
      <c r="C108" s="52" t="s">
        <v>141</v>
      </c>
      <c r="D108" s="52" t="s">
        <v>160</v>
      </c>
      <c r="E108" s="114">
        <v>150.0</v>
      </c>
      <c r="F108" s="30" t="s">
        <v>158</v>
      </c>
      <c r="G108" s="111">
        <v>400.0</v>
      </c>
      <c r="H108" s="112">
        <f>E111</f>
        <v>800</v>
      </c>
      <c r="I108" s="113"/>
      <c r="J108" s="115">
        <f t="shared" ref="J108:J114" si="19">G108*H108</f>
        <v>320000</v>
      </c>
      <c r="K108" s="37"/>
      <c r="L108" s="30"/>
      <c r="M108" s="37"/>
      <c r="N108" s="30"/>
      <c r="O108" s="30"/>
      <c r="P108" s="30"/>
      <c r="Q108" s="30"/>
      <c r="R108" s="30"/>
      <c r="S108" s="30"/>
      <c r="T108" s="30"/>
      <c r="U108" s="30"/>
      <c r="V108" s="30"/>
      <c r="W108" s="30"/>
      <c r="X108" s="30"/>
      <c r="Y108" s="30"/>
      <c r="Z108" s="30"/>
      <c r="AA108" s="30"/>
      <c r="AB108" s="30"/>
      <c r="AC108" s="30"/>
      <c r="AD108" s="30"/>
    </row>
    <row r="109" ht="21.75" customHeight="1">
      <c r="A109" s="30"/>
      <c r="B109" s="104" t="s">
        <v>161</v>
      </c>
      <c r="C109" s="52" t="s">
        <v>141</v>
      </c>
      <c r="D109" s="52"/>
      <c r="E109" s="114">
        <v>50.0</v>
      </c>
      <c r="F109" s="30" t="s">
        <v>158</v>
      </c>
      <c r="G109" s="116">
        <f t="shared" ref="G109:G114" si="20">G108*2</f>
        <v>800</v>
      </c>
      <c r="H109" s="117">
        <f t="shared" ref="H109:H114" si="21">H108*I109</f>
        <v>720</v>
      </c>
      <c r="I109" s="118">
        <v>0.9</v>
      </c>
      <c r="J109" s="115">
        <f t="shared" si="19"/>
        <v>576000</v>
      </c>
      <c r="K109" s="37"/>
      <c r="L109" s="30"/>
      <c r="M109" s="37"/>
      <c r="N109" s="30"/>
      <c r="O109" s="30"/>
      <c r="P109" s="30"/>
      <c r="Q109" s="30"/>
      <c r="R109" s="30"/>
      <c r="S109" s="30"/>
      <c r="T109" s="30"/>
      <c r="U109" s="30"/>
      <c r="V109" s="30"/>
      <c r="W109" s="30"/>
      <c r="X109" s="30"/>
      <c r="Y109" s="30"/>
      <c r="Z109" s="30"/>
      <c r="AA109" s="30"/>
      <c r="AB109" s="30"/>
      <c r="AC109" s="30"/>
      <c r="AD109" s="30"/>
    </row>
    <row r="110" ht="21.75" customHeight="1">
      <c r="A110" s="30"/>
      <c r="B110" s="104"/>
      <c r="C110" s="37"/>
      <c r="D110" s="52"/>
      <c r="E110" s="119"/>
      <c r="F110" s="30"/>
      <c r="G110" s="116">
        <f t="shared" si="20"/>
        <v>1600</v>
      </c>
      <c r="H110" s="117">
        <f t="shared" si="21"/>
        <v>648</v>
      </c>
      <c r="I110" s="118">
        <v>0.9</v>
      </c>
      <c r="J110" s="115">
        <f t="shared" si="19"/>
        <v>1036800</v>
      </c>
      <c r="K110" s="37"/>
      <c r="L110" s="30"/>
      <c r="M110" s="37"/>
      <c r="N110" s="30"/>
      <c r="O110" s="30"/>
      <c r="P110" s="30"/>
      <c r="Q110" s="30"/>
      <c r="R110" s="30"/>
      <c r="S110" s="30"/>
      <c r="T110" s="30"/>
      <c r="U110" s="30"/>
      <c r="V110" s="30"/>
      <c r="W110" s="30"/>
      <c r="X110" s="30"/>
      <c r="Y110" s="30"/>
      <c r="Z110" s="30"/>
      <c r="AA110" s="30"/>
      <c r="AB110" s="30"/>
      <c r="AC110" s="30"/>
      <c r="AD110" s="30"/>
    </row>
    <row r="111" ht="21.75" customHeight="1">
      <c r="A111" s="30"/>
      <c r="B111" s="104" t="s">
        <v>162</v>
      </c>
      <c r="C111" s="37" t="s">
        <v>141</v>
      </c>
      <c r="D111" s="52" t="s">
        <v>163</v>
      </c>
      <c r="E111" s="120">
        <f>SUM(E107:E109)</f>
        <v>800</v>
      </c>
      <c r="F111" s="30" t="s">
        <v>164</v>
      </c>
      <c r="G111" s="116">
        <f t="shared" si="20"/>
        <v>3200</v>
      </c>
      <c r="H111" s="117">
        <f t="shared" si="21"/>
        <v>583.2</v>
      </c>
      <c r="I111" s="118">
        <v>0.9</v>
      </c>
      <c r="J111" s="115">
        <f t="shared" si="19"/>
        <v>1866240</v>
      </c>
      <c r="K111" s="37"/>
      <c r="L111" s="30"/>
      <c r="M111" s="37"/>
      <c r="N111" s="30"/>
      <c r="O111" s="30"/>
      <c r="P111" s="30"/>
      <c r="Q111" s="30"/>
      <c r="R111" s="30"/>
      <c r="S111" s="30"/>
      <c r="T111" s="30"/>
      <c r="U111" s="30"/>
      <c r="V111" s="30"/>
      <c r="W111" s="30"/>
      <c r="X111" s="30"/>
      <c r="Y111" s="30"/>
      <c r="Z111" s="30"/>
      <c r="AA111" s="30"/>
      <c r="AB111" s="30"/>
      <c r="AC111" s="30"/>
      <c r="AD111" s="30"/>
    </row>
    <row r="112" ht="21.75" customHeight="1">
      <c r="A112" s="30"/>
      <c r="B112" s="30"/>
      <c r="C112" s="121"/>
      <c r="D112" s="30"/>
      <c r="E112" s="30"/>
      <c r="F112" s="30"/>
      <c r="G112" s="116">
        <f t="shared" si="20"/>
        <v>6400</v>
      </c>
      <c r="H112" s="117">
        <f t="shared" si="21"/>
        <v>524.88</v>
      </c>
      <c r="I112" s="118">
        <v>0.9</v>
      </c>
      <c r="J112" s="115">
        <f t="shared" si="19"/>
        <v>3359232</v>
      </c>
      <c r="K112" s="37"/>
      <c r="L112" s="37"/>
      <c r="M112" s="37"/>
      <c r="N112" s="30"/>
      <c r="O112" s="30"/>
      <c r="P112" s="30"/>
      <c r="Q112" s="30"/>
      <c r="R112" s="30"/>
      <c r="S112" s="30"/>
      <c r="T112" s="30"/>
      <c r="U112" s="30"/>
      <c r="V112" s="30"/>
      <c r="W112" s="30"/>
      <c r="X112" s="30"/>
      <c r="Y112" s="30"/>
      <c r="Z112" s="30"/>
      <c r="AA112" s="30"/>
      <c r="AB112" s="30"/>
      <c r="AC112" s="30"/>
      <c r="AD112" s="30"/>
    </row>
    <row r="113" ht="21.75" customHeight="1">
      <c r="A113" s="30"/>
      <c r="B113" s="36"/>
      <c r="C113" s="30"/>
      <c r="D113" s="30"/>
      <c r="E113" s="30"/>
      <c r="F113" s="30"/>
      <c r="G113" s="116">
        <f t="shared" si="20"/>
        <v>12800</v>
      </c>
      <c r="H113" s="117">
        <f t="shared" si="21"/>
        <v>472.392</v>
      </c>
      <c r="I113" s="118">
        <v>0.9</v>
      </c>
      <c r="J113" s="115">
        <f t="shared" si="19"/>
        <v>6046617.6</v>
      </c>
      <c r="K113" s="37"/>
      <c r="L113" s="37"/>
      <c r="M113" s="37"/>
      <c r="N113" s="30"/>
      <c r="O113" s="30"/>
      <c r="P113" s="30"/>
      <c r="Q113" s="30"/>
      <c r="R113" s="30"/>
      <c r="S113" s="30"/>
      <c r="T113" s="30"/>
      <c r="U113" s="30"/>
      <c r="V113" s="30"/>
      <c r="W113" s="30"/>
      <c r="X113" s="30"/>
      <c r="Y113" s="30"/>
      <c r="Z113" s="30"/>
      <c r="AA113" s="30"/>
      <c r="AB113" s="30"/>
      <c r="AC113" s="30"/>
      <c r="AD113" s="30"/>
    </row>
    <row r="114" ht="21.75" customHeight="1">
      <c r="A114" s="30"/>
      <c r="G114" s="122">
        <f t="shared" si="20"/>
        <v>25600</v>
      </c>
      <c r="H114" s="123">
        <f t="shared" si="21"/>
        <v>425.1528</v>
      </c>
      <c r="I114" s="118">
        <v>0.9</v>
      </c>
      <c r="J114" s="115">
        <f t="shared" si="19"/>
        <v>10883911.68</v>
      </c>
      <c r="K114" s="30"/>
      <c r="L114" s="37"/>
      <c r="M114" s="37"/>
      <c r="N114" s="30"/>
      <c r="O114" s="30"/>
      <c r="P114" s="30"/>
      <c r="Q114" s="30"/>
      <c r="R114" s="30"/>
      <c r="S114" s="30"/>
      <c r="T114" s="30"/>
      <c r="U114" s="30"/>
      <c r="V114" s="30"/>
      <c r="W114" s="30"/>
      <c r="X114" s="30"/>
      <c r="Y114" s="30"/>
      <c r="Z114" s="30"/>
      <c r="AA114" s="30"/>
      <c r="AB114" s="30"/>
      <c r="AC114" s="30"/>
      <c r="AD114" s="30"/>
    </row>
    <row r="115" ht="21.75" customHeight="1">
      <c r="A115" s="30"/>
      <c r="K115" s="30"/>
      <c r="L115" s="37"/>
      <c r="M115" s="37"/>
      <c r="N115" s="30"/>
      <c r="O115" s="30"/>
      <c r="P115" s="30"/>
      <c r="Q115" s="30"/>
      <c r="R115" s="30"/>
      <c r="S115" s="30"/>
      <c r="T115" s="30"/>
      <c r="U115" s="30"/>
      <c r="V115" s="30"/>
      <c r="W115" s="30"/>
      <c r="X115" s="30"/>
      <c r="Y115" s="30"/>
      <c r="Z115" s="30"/>
      <c r="AA115" s="30"/>
      <c r="AB115" s="30"/>
      <c r="AC115" s="30"/>
      <c r="AD115" s="30"/>
    </row>
    <row r="116" ht="21.75" customHeight="1">
      <c r="A116" s="30"/>
      <c r="B116" s="124" t="s">
        <v>165</v>
      </c>
      <c r="C116" s="124" t="s">
        <v>166</v>
      </c>
      <c r="D116" s="124" t="s">
        <v>167</v>
      </c>
      <c r="E116" s="125" t="s">
        <v>168</v>
      </c>
      <c r="F116" s="125" t="s">
        <v>169</v>
      </c>
      <c r="G116" s="126" t="s">
        <v>170</v>
      </c>
      <c r="H116" s="126" t="s">
        <v>171</v>
      </c>
      <c r="I116" s="126" t="s">
        <v>172</v>
      </c>
      <c r="J116" s="125" t="s">
        <v>173</v>
      </c>
      <c r="K116" s="30"/>
      <c r="L116" s="37"/>
      <c r="M116" s="37"/>
      <c r="N116" s="30"/>
      <c r="O116" s="30"/>
      <c r="P116" s="30"/>
      <c r="Q116" s="30"/>
      <c r="R116" s="30"/>
      <c r="S116" s="30"/>
      <c r="T116" s="30"/>
      <c r="U116" s="30"/>
      <c r="V116" s="30"/>
      <c r="W116" s="30"/>
      <c r="X116" s="30"/>
      <c r="Y116" s="30"/>
      <c r="Z116" s="30"/>
      <c r="AA116" s="30"/>
      <c r="AB116" s="30"/>
      <c r="AC116" s="30"/>
      <c r="AD116" s="30"/>
    </row>
    <row r="117" ht="21.75" customHeight="1">
      <c r="A117" s="30"/>
      <c r="B117" s="127" t="s">
        <v>174</v>
      </c>
      <c r="C117" s="127" t="s">
        <v>175</v>
      </c>
      <c r="D117" s="127" t="s">
        <v>176</v>
      </c>
      <c r="E117" s="128">
        <v>0.49</v>
      </c>
      <c r="F117" s="129">
        <v>165.29</v>
      </c>
      <c r="G117" s="129">
        <v>80.0</v>
      </c>
      <c r="H117" s="130">
        <f t="shared" ref="H117:H119" si="22">F117-G117</f>
        <v>85.29</v>
      </c>
      <c r="I117" s="131">
        <f t="shared" ref="I117:I119" si="23">F117*E117</f>
        <v>80.9921</v>
      </c>
      <c r="J117" s="132">
        <f t="shared" ref="J117:J119" si="24">H117*E117</f>
        <v>41.7921</v>
      </c>
      <c r="K117" s="30"/>
      <c r="L117" s="37"/>
      <c r="M117" s="37"/>
      <c r="N117" s="30"/>
      <c r="O117" s="30"/>
      <c r="P117" s="30"/>
      <c r="Q117" s="30"/>
      <c r="R117" s="30"/>
      <c r="S117" s="30"/>
      <c r="T117" s="30"/>
      <c r="U117" s="30"/>
      <c r="V117" s="30"/>
      <c r="W117" s="30"/>
      <c r="X117" s="30"/>
      <c r="Y117" s="30"/>
      <c r="Z117" s="30"/>
      <c r="AA117" s="30"/>
      <c r="AB117" s="30"/>
      <c r="AC117" s="30"/>
      <c r="AD117" s="30"/>
    </row>
    <row r="118" ht="21.75" customHeight="1">
      <c r="A118" s="30"/>
      <c r="B118" s="127" t="s">
        <v>174</v>
      </c>
      <c r="C118" s="127" t="s">
        <v>177</v>
      </c>
      <c r="D118" s="127" t="s">
        <v>176</v>
      </c>
      <c r="E118" s="128">
        <v>0.19</v>
      </c>
      <c r="F118" s="129">
        <v>330.58</v>
      </c>
      <c r="G118" s="129">
        <v>150.0</v>
      </c>
      <c r="H118" s="130">
        <f t="shared" si="22"/>
        <v>180.58</v>
      </c>
      <c r="I118" s="131">
        <f t="shared" si="23"/>
        <v>62.8102</v>
      </c>
      <c r="J118" s="132">
        <f t="shared" si="24"/>
        <v>34.3102</v>
      </c>
      <c r="K118" s="30"/>
      <c r="L118" s="37"/>
      <c r="M118" s="37"/>
      <c r="N118" s="30"/>
      <c r="O118" s="30"/>
      <c r="P118" s="30"/>
      <c r="Q118" s="30"/>
      <c r="R118" s="30"/>
      <c r="S118" s="30"/>
      <c r="T118" s="30"/>
      <c r="U118" s="30"/>
      <c r="V118" s="30"/>
      <c r="W118" s="30"/>
      <c r="X118" s="30"/>
      <c r="Y118" s="30"/>
      <c r="Z118" s="30"/>
      <c r="AA118" s="30"/>
      <c r="AB118" s="30"/>
      <c r="AC118" s="30"/>
      <c r="AD118" s="30"/>
    </row>
    <row r="119" ht="21.75" customHeight="1">
      <c r="A119" s="30"/>
      <c r="B119" s="127" t="s">
        <v>174</v>
      </c>
      <c r="C119" s="127" t="s">
        <v>178</v>
      </c>
      <c r="D119" s="127" t="s">
        <v>176</v>
      </c>
      <c r="E119" s="128">
        <v>0.79</v>
      </c>
      <c r="F119" s="129">
        <v>454.55</v>
      </c>
      <c r="G119" s="129">
        <v>190.0</v>
      </c>
      <c r="H119" s="130">
        <f t="shared" si="22"/>
        <v>264.55</v>
      </c>
      <c r="I119" s="131">
        <f t="shared" si="23"/>
        <v>359.0945</v>
      </c>
      <c r="J119" s="132">
        <f t="shared" si="24"/>
        <v>208.9945</v>
      </c>
      <c r="K119" s="30"/>
      <c r="L119" s="37"/>
      <c r="M119" s="37"/>
      <c r="N119" s="30"/>
      <c r="O119" s="30"/>
      <c r="P119" s="30"/>
      <c r="Q119" s="30"/>
      <c r="R119" s="30"/>
      <c r="S119" s="30"/>
      <c r="T119" s="30"/>
      <c r="U119" s="30"/>
      <c r="V119" s="30"/>
      <c r="W119" s="30"/>
      <c r="X119" s="30"/>
      <c r="Y119" s="30"/>
      <c r="Z119" s="30"/>
      <c r="AA119" s="30"/>
      <c r="AB119" s="30"/>
      <c r="AC119" s="30"/>
      <c r="AD119" s="30"/>
    </row>
    <row r="120" ht="21.75" customHeight="1">
      <c r="A120" s="30"/>
      <c r="B120" s="133" t="s">
        <v>179</v>
      </c>
      <c r="D120" s="134"/>
      <c r="E120" s="135"/>
      <c r="F120" s="115">
        <f>SUMPRODUCT(E117:E119,F117:F119)</f>
        <v>502.8968</v>
      </c>
      <c r="G120" s="115"/>
      <c r="H120" s="136"/>
      <c r="I120" s="136">
        <f t="shared" ref="I120:J120" si="25">sum(I117:I119)</f>
        <v>502.8968</v>
      </c>
      <c r="J120" s="136">
        <f t="shared" si="25"/>
        <v>285.0968</v>
      </c>
      <c r="K120" s="30"/>
      <c r="L120" s="37"/>
      <c r="M120" s="37"/>
      <c r="N120" s="30"/>
      <c r="O120" s="30"/>
      <c r="P120" s="30"/>
      <c r="Q120" s="30"/>
      <c r="R120" s="30"/>
      <c r="S120" s="30"/>
      <c r="T120" s="30"/>
      <c r="U120" s="30"/>
      <c r="V120" s="30"/>
      <c r="W120" s="30"/>
      <c r="X120" s="30"/>
      <c r="Y120" s="30"/>
      <c r="Z120" s="30"/>
      <c r="AA120" s="30"/>
      <c r="AB120" s="30"/>
      <c r="AC120" s="30"/>
      <c r="AD120" s="30"/>
    </row>
    <row r="121" ht="21.75" customHeight="1">
      <c r="A121" s="30"/>
      <c r="B121" s="133"/>
      <c r="C121" s="133"/>
      <c r="D121" s="134"/>
      <c r="E121" s="135"/>
      <c r="F121" s="115"/>
      <c r="G121" s="115"/>
      <c r="H121" s="136"/>
      <c r="I121" s="136"/>
      <c r="J121" s="136"/>
      <c r="K121" s="30"/>
      <c r="L121" s="37"/>
      <c r="M121" s="37"/>
      <c r="N121" s="30"/>
      <c r="O121" s="30"/>
      <c r="P121" s="30"/>
      <c r="Q121" s="30"/>
      <c r="R121" s="30"/>
      <c r="S121" s="30"/>
      <c r="T121" s="30"/>
      <c r="U121" s="30"/>
      <c r="V121" s="30"/>
      <c r="W121" s="30"/>
      <c r="X121" s="30"/>
      <c r="Y121" s="30"/>
      <c r="Z121" s="30"/>
      <c r="AA121" s="30"/>
      <c r="AB121" s="30"/>
      <c r="AC121" s="30"/>
      <c r="AD121" s="30"/>
    </row>
    <row r="122" ht="21.75" customHeight="1">
      <c r="A122" s="37"/>
      <c r="B122" s="137" t="s">
        <v>180</v>
      </c>
      <c r="C122" s="137" t="s">
        <v>181</v>
      </c>
      <c r="D122" s="137" t="s">
        <v>182</v>
      </c>
      <c r="E122" s="128">
        <v>0.34</v>
      </c>
      <c r="F122" s="129">
        <v>60.0</v>
      </c>
      <c r="G122" s="129">
        <v>30.0</v>
      </c>
      <c r="H122" s="138">
        <f t="shared" ref="H122:H123" si="26">F122-G122</f>
        <v>30</v>
      </c>
      <c r="I122" s="132">
        <f t="shared" ref="I122:I123" si="27">F122*E122</f>
        <v>20.4</v>
      </c>
      <c r="J122" s="132">
        <f t="shared" ref="J122:J123" si="28">H122*E122</f>
        <v>10.2</v>
      </c>
      <c r="K122" s="37"/>
      <c r="L122" s="37"/>
      <c r="M122" s="37"/>
      <c r="N122" s="37"/>
      <c r="O122" s="37"/>
      <c r="P122" s="37"/>
      <c r="Q122" s="37"/>
      <c r="R122" s="37"/>
      <c r="S122" s="37"/>
      <c r="T122" s="37"/>
      <c r="U122" s="37"/>
      <c r="V122" s="37"/>
      <c r="W122" s="37"/>
      <c r="X122" s="37"/>
      <c r="Y122" s="37"/>
      <c r="Z122" s="37"/>
      <c r="AA122" s="37"/>
      <c r="AB122" s="37"/>
      <c r="AC122" s="37"/>
      <c r="AD122" s="37"/>
    </row>
    <row r="123" ht="21.75" customHeight="1">
      <c r="A123" s="30"/>
      <c r="B123" s="127" t="s">
        <v>180</v>
      </c>
      <c r="C123" s="127" t="s">
        <v>183</v>
      </c>
      <c r="D123" s="127" t="s">
        <v>182</v>
      </c>
      <c r="E123" s="128">
        <v>0.54</v>
      </c>
      <c r="F123" s="129">
        <v>90.0</v>
      </c>
      <c r="G123" s="129">
        <v>40.0</v>
      </c>
      <c r="H123" s="130">
        <f t="shared" si="26"/>
        <v>50</v>
      </c>
      <c r="I123" s="131">
        <f t="shared" si="27"/>
        <v>48.6</v>
      </c>
      <c r="J123" s="132">
        <f t="shared" si="28"/>
        <v>27</v>
      </c>
      <c r="K123" s="30"/>
      <c r="L123" s="37"/>
      <c r="M123" s="37"/>
      <c r="N123" s="30"/>
      <c r="O123" s="30"/>
      <c r="P123" s="30"/>
      <c r="Q123" s="30"/>
      <c r="R123" s="30"/>
      <c r="S123" s="30"/>
      <c r="T123" s="30"/>
      <c r="U123" s="30"/>
      <c r="V123" s="30"/>
      <c r="W123" s="30"/>
      <c r="X123" s="30"/>
      <c r="Y123" s="30"/>
      <c r="Z123" s="30"/>
      <c r="AA123" s="30"/>
      <c r="AB123" s="30"/>
      <c r="AC123" s="30"/>
      <c r="AD123" s="30"/>
    </row>
    <row r="124" ht="21.75" customHeight="1">
      <c r="A124" s="30"/>
      <c r="B124" s="134" t="s">
        <v>184</v>
      </c>
      <c r="C124" s="134"/>
      <c r="D124" s="134"/>
      <c r="E124" s="134"/>
      <c r="F124" s="139"/>
      <c r="G124" s="139"/>
      <c r="H124" s="139"/>
      <c r="I124" s="132"/>
      <c r="J124" s="132"/>
      <c r="K124" s="30"/>
      <c r="L124" s="37"/>
      <c r="M124" s="37"/>
      <c r="N124" s="30"/>
      <c r="O124" s="30"/>
      <c r="P124" s="30"/>
      <c r="Q124" s="30"/>
      <c r="R124" s="30"/>
      <c r="S124" s="30"/>
      <c r="T124" s="30"/>
      <c r="U124" s="30"/>
      <c r="V124" s="30"/>
      <c r="W124" s="30"/>
      <c r="X124" s="30"/>
      <c r="Y124" s="30"/>
      <c r="Z124" s="30"/>
      <c r="AA124" s="30"/>
      <c r="AB124" s="30"/>
      <c r="AC124" s="30"/>
      <c r="AD124" s="30"/>
    </row>
    <row r="125" ht="21.75" customHeight="1">
      <c r="A125" s="30"/>
      <c r="B125" s="127" t="s">
        <v>185</v>
      </c>
      <c r="C125" s="127" t="s">
        <v>186</v>
      </c>
      <c r="D125" s="127" t="s">
        <v>176</v>
      </c>
      <c r="E125" s="128"/>
      <c r="F125" s="129">
        <v>685.0</v>
      </c>
      <c r="G125" s="129">
        <v>300.0</v>
      </c>
      <c r="H125" s="130">
        <f>F125-G125</f>
        <v>385</v>
      </c>
      <c r="I125" s="131">
        <f>F125*E125</f>
        <v>0</v>
      </c>
      <c r="J125" s="132">
        <f>H125*E125</f>
        <v>0</v>
      </c>
      <c r="K125" s="30"/>
      <c r="L125" s="37"/>
      <c r="M125" s="37"/>
      <c r="N125" s="30"/>
      <c r="O125" s="30"/>
      <c r="P125" s="30"/>
      <c r="Q125" s="30"/>
      <c r="R125" s="30"/>
      <c r="S125" s="30"/>
      <c r="T125" s="30"/>
      <c r="U125" s="30"/>
      <c r="V125" s="30"/>
      <c r="W125" s="30"/>
      <c r="X125" s="30"/>
      <c r="Y125" s="30"/>
      <c r="Z125" s="30"/>
      <c r="AA125" s="30"/>
      <c r="AB125" s="30"/>
      <c r="AC125" s="30"/>
      <c r="AD125" s="30"/>
    </row>
    <row r="126" ht="15.75" customHeight="1">
      <c r="B126" s="133" t="s">
        <v>187</v>
      </c>
      <c r="H126" s="136">
        <f t="shared" ref="H126:J126" si="29">H125</f>
        <v>385</v>
      </c>
      <c r="I126" s="136">
        <f t="shared" si="29"/>
        <v>0</v>
      </c>
      <c r="J126" s="136">
        <f t="shared" si="29"/>
        <v>0</v>
      </c>
    </row>
    <row r="127" ht="15.75" customHeight="1"/>
    <row r="128" ht="21.75" customHeight="1">
      <c r="A128" s="30"/>
      <c r="D128" s="134"/>
      <c r="E128" s="134"/>
      <c r="F128" s="140"/>
      <c r="G128" s="140"/>
      <c r="K128" s="30"/>
      <c r="L128" s="37"/>
      <c r="M128" s="37"/>
      <c r="N128" s="30"/>
      <c r="O128" s="30"/>
      <c r="P128" s="30"/>
      <c r="Q128" s="30"/>
      <c r="R128" s="30"/>
      <c r="S128" s="30"/>
      <c r="T128" s="30"/>
      <c r="U128" s="30"/>
      <c r="V128" s="30"/>
      <c r="W128" s="30"/>
      <c r="X128" s="30"/>
      <c r="Y128" s="30"/>
      <c r="Z128" s="30"/>
      <c r="AA128" s="30"/>
      <c r="AB128" s="30"/>
      <c r="AC128" s="30"/>
      <c r="AD128" s="30"/>
    </row>
    <row r="129" ht="21.75" customHeight="1">
      <c r="A129" s="30"/>
      <c r="B129" s="127" t="s">
        <v>188</v>
      </c>
      <c r="C129" s="127" t="s">
        <v>181</v>
      </c>
      <c r="D129" s="127" t="s">
        <v>182</v>
      </c>
      <c r="E129" s="128">
        <v>0.34</v>
      </c>
      <c r="F129" s="129">
        <v>150.0</v>
      </c>
      <c r="G129" s="129">
        <v>75.0</v>
      </c>
      <c r="H129" s="130">
        <f t="shared" ref="H129:H130" si="30">F129-G129</f>
        <v>75</v>
      </c>
      <c r="I129" s="131">
        <f t="shared" ref="I129:I130" si="31">F129*E129</f>
        <v>51</v>
      </c>
      <c r="J129" s="132">
        <f t="shared" ref="J129:J130" si="32">H129*E129</f>
        <v>25.5</v>
      </c>
      <c r="K129" s="30"/>
      <c r="L129" s="37"/>
      <c r="M129" s="37"/>
      <c r="N129" s="30"/>
      <c r="O129" s="30"/>
      <c r="P129" s="30"/>
      <c r="Q129" s="30"/>
      <c r="R129" s="30"/>
      <c r="S129" s="30"/>
      <c r="T129" s="30"/>
      <c r="U129" s="30"/>
      <c r="V129" s="30"/>
      <c r="W129" s="30"/>
      <c r="X129" s="30"/>
      <c r="Y129" s="30"/>
      <c r="Z129" s="30"/>
      <c r="AA129" s="30"/>
      <c r="AB129" s="30"/>
      <c r="AC129" s="30"/>
      <c r="AD129" s="30"/>
    </row>
    <row r="130" ht="21.75" customHeight="1">
      <c r="A130" s="30"/>
      <c r="B130" s="127" t="s">
        <v>188</v>
      </c>
      <c r="C130" s="127" t="s">
        <v>183</v>
      </c>
      <c r="D130" s="127" t="s">
        <v>182</v>
      </c>
      <c r="E130" s="128">
        <v>0.54</v>
      </c>
      <c r="F130" s="129">
        <v>200.0</v>
      </c>
      <c r="G130" s="129">
        <v>100.0</v>
      </c>
      <c r="H130" s="130">
        <f t="shared" si="30"/>
        <v>100</v>
      </c>
      <c r="I130" s="131">
        <f t="shared" si="31"/>
        <v>108</v>
      </c>
      <c r="J130" s="132">
        <f t="shared" si="32"/>
        <v>54</v>
      </c>
      <c r="K130" s="30"/>
      <c r="L130" s="37"/>
      <c r="M130" s="37"/>
      <c r="N130" s="30"/>
      <c r="O130" s="30"/>
      <c r="P130" s="30"/>
      <c r="Q130" s="30"/>
      <c r="R130" s="30"/>
      <c r="S130" s="30"/>
      <c r="T130" s="30"/>
      <c r="U130" s="30"/>
      <c r="V130" s="30"/>
      <c r="W130" s="30"/>
      <c r="X130" s="30"/>
      <c r="Y130" s="30"/>
      <c r="Z130" s="30"/>
      <c r="AA130" s="30"/>
      <c r="AB130" s="30"/>
      <c r="AC130" s="30"/>
      <c r="AD130" s="30"/>
    </row>
    <row r="131" ht="21.75" customHeight="1">
      <c r="A131" s="30"/>
      <c r="B131" s="36"/>
      <c r="C131" s="30"/>
      <c r="D131" s="30"/>
      <c r="E131" s="30"/>
      <c r="F131" s="30"/>
      <c r="G131" s="30"/>
      <c r="H131" s="37"/>
      <c r="I131" s="37"/>
      <c r="J131" s="37"/>
      <c r="K131" s="37"/>
      <c r="L131" s="37"/>
      <c r="M131" s="37"/>
      <c r="N131" s="30"/>
      <c r="O131" s="30"/>
      <c r="P131" s="30"/>
      <c r="Q131" s="30"/>
      <c r="R131" s="30"/>
      <c r="S131" s="30"/>
      <c r="T131" s="30"/>
      <c r="U131" s="30"/>
      <c r="V131" s="30"/>
      <c r="W131" s="30"/>
      <c r="X131" s="30"/>
      <c r="Y131" s="30"/>
      <c r="Z131" s="30"/>
      <c r="AA131" s="30"/>
      <c r="AB131" s="30"/>
      <c r="AC131" s="30"/>
      <c r="AD131" s="30"/>
    </row>
    <row r="132" ht="21.75" customHeight="1">
      <c r="A132" s="30"/>
      <c r="B132" s="36"/>
      <c r="C132" s="30"/>
      <c r="D132" s="30"/>
      <c r="E132" s="30"/>
      <c r="F132" s="30"/>
      <c r="G132" s="30"/>
      <c r="H132" s="37"/>
      <c r="I132" s="37"/>
      <c r="J132" s="37"/>
      <c r="K132" s="37"/>
      <c r="L132" s="37"/>
      <c r="M132" s="37"/>
      <c r="N132" s="30"/>
      <c r="O132" s="30"/>
      <c r="P132" s="30"/>
      <c r="Q132" s="30"/>
      <c r="R132" s="30"/>
      <c r="S132" s="30"/>
      <c r="T132" s="30"/>
      <c r="U132" s="30"/>
      <c r="V132" s="30"/>
      <c r="W132" s="30"/>
      <c r="X132" s="30"/>
      <c r="Y132" s="30"/>
      <c r="Z132" s="30"/>
      <c r="AA132" s="30"/>
      <c r="AB132" s="30"/>
      <c r="AC132" s="30"/>
      <c r="AD132" s="30"/>
    </row>
    <row r="133" ht="21.75" customHeight="1">
      <c r="A133" s="30"/>
      <c r="B133" s="36"/>
      <c r="C133" s="30"/>
      <c r="D133" s="30"/>
      <c r="E133" s="30"/>
      <c r="F133" s="30"/>
      <c r="G133" s="30"/>
      <c r="H133" s="37"/>
      <c r="I133" s="37"/>
      <c r="J133" s="37"/>
      <c r="K133" s="37"/>
      <c r="L133" s="37"/>
      <c r="M133" s="37"/>
      <c r="N133" s="30"/>
      <c r="O133" s="30"/>
      <c r="P133" s="30"/>
      <c r="Q133" s="30"/>
      <c r="R133" s="30"/>
      <c r="S133" s="30"/>
      <c r="T133" s="30"/>
      <c r="U133" s="30"/>
      <c r="V133" s="30"/>
      <c r="W133" s="30"/>
      <c r="X133" s="30"/>
      <c r="Y133" s="30"/>
      <c r="Z133" s="30"/>
      <c r="AA133" s="30"/>
      <c r="AB133" s="30"/>
      <c r="AC133" s="30"/>
      <c r="AD133" s="30"/>
    </row>
    <row r="134" ht="21.75" customHeight="1">
      <c r="A134" s="30"/>
      <c r="B134" s="36"/>
      <c r="C134" s="30"/>
      <c r="D134" s="30"/>
      <c r="E134" s="30"/>
      <c r="F134" s="30"/>
      <c r="G134" s="30"/>
      <c r="H134" s="37"/>
      <c r="I134" s="37"/>
      <c r="J134" s="37"/>
      <c r="K134" s="37"/>
      <c r="L134" s="37"/>
      <c r="M134" s="37"/>
      <c r="N134" s="30"/>
      <c r="O134" s="30"/>
      <c r="P134" s="30"/>
      <c r="Q134" s="30"/>
      <c r="R134" s="30"/>
      <c r="S134" s="30"/>
      <c r="T134" s="30"/>
      <c r="U134" s="30"/>
      <c r="V134" s="30"/>
      <c r="W134" s="30"/>
      <c r="X134" s="30"/>
      <c r="Y134" s="30"/>
      <c r="Z134" s="30"/>
      <c r="AA134" s="30"/>
      <c r="AB134" s="30"/>
      <c r="AC134" s="30"/>
      <c r="AD134" s="30"/>
    </row>
    <row r="135" ht="21.75" customHeight="1">
      <c r="A135" s="30"/>
      <c r="B135" s="36"/>
      <c r="C135" s="30"/>
      <c r="D135" s="30"/>
      <c r="E135" s="30"/>
      <c r="F135" s="30"/>
      <c r="G135" s="30"/>
      <c r="H135" s="37"/>
      <c r="I135" s="37"/>
      <c r="J135" s="37"/>
      <c r="K135" s="37"/>
      <c r="L135" s="37"/>
      <c r="M135" s="37"/>
      <c r="N135" s="30"/>
      <c r="O135" s="30"/>
      <c r="P135" s="30"/>
      <c r="Q135" s="30"/>
      <c r="R135" s="30"/>
      <c r="S135" s="30"/>
      <c r="T135" s="30"/>
      <c r="U135" s="30"/>
      <c r="V135" s="30"/>
      <c r="W135" s="30"/>
      <c r="X135" s="30"/>
      <c r="Y135" s="30"/>
      <c r="Z135" s="30"/>
      <c r="AA135" s="30"/>
      <c r="AB135" s="30"/>
      <c r="AC135" s="30"/>
      <c r="AD135" s="30"/>
    </row>
    <row r="136" ht="21.75" customHeight="1">
      <c r="A136" s="30"/>
      <c r="B136" s="36"/>
      <c r="C136" s="30"/>
      <c r="D136" s="30"/>
      <c r="E136" s="30"/>
      <c r="F136" s="30"/>
      <c r="G136" s="30"/>
      <c r="H136" s="37"/>
      <c r="I136" s="37"/>
      <c r="J136" s="37"/>
      <c r="K136" s="37"/>
      <c r="L136" s="37"/>
      <c r="M136" s="37"/>
      <c r="N136" s="30"/>
      <c r="O136" s="30"/>
      <c r="P136" s="30"/>
      <c r="Q136" s="30"/>
      <c r="R136" s="30"/>
      <c r="S136" s="30"/>
      <c r="T136" s="30"/>
      <c r="U136" s="30"/>
      <c r="V136" s="30"/>
      <c r="W136" s="30"/>
      <c r="X136" s="30"/>
      <c r="Y136" s="30"/>
      <c r="Z136" s="30"/>
      <c r="AA136" s="30"/>
      <c r="AB136" s="30"/>
      <c r="AC136" s="30"/>
      <c r="AD136" s="30"/>
    </row>
    <row r="137" ht="21.75" customHeight="1">
      <c r="A137" s="30"/>
      <c r="B137" s="36"/>
      <c r="C137" s="30"/>
      <c r="D137" s="30"/>
      <c r="E137" s="30"/>
      <c r="F137" s="30"/>
      <c r="G137" s="30"/>
      <c r="H137" s="37"/>
      <c r="I137" s="37"/>
      <c r="J137" s="37"/>
      <c r="K137" s="37"/>
      <c r="L137" s="37"/>
      <c r="M137" s="37"/>
      <c r="N137" s="30"/>
      <c r="O137" s="30"/>
      <c r="P137" s="30"/>
      <c r="Q137" s="30"/>
      <c r="R137" s="30"/>
      <c r="S137" s="30"/>
      <c r="T137" s="30"/>
      <c r="U137" s="30"/>
      <c r="V137" s="30"/>
      <c r="W137" s="30"/>
      <c r="X137" s="30"/>
      <c r="Y137" s="30"/>
      <c r="Z137" s="30"/>
      <c r="AA137" s="30"/>
      <c r="AB137" s="30"/>
      <c r="AC137" s="30"/>
      <c r="AD137" s="30"/>
    </row>
    <row r="138" ht="21.75" customHeight="1">
      <c r="A138" s="30"/>
      <c r="B138" s="36"/>
      <c r="C138" s="30"/>
      <c r="D138" s="30"/>
      <c r="E138" s="30"/>
      <c r="F138" s="30"/>
      <c r="G138" s="30"/>
      <c r="H138" s="37"/>
      <c r="I138" s="37"/>
      <c r="J138" s="37"/>
      <c r="K138" s="37"/>
      <c r="L138" s="37"/>
      <c r="M138" s="37"/>
      <c r="N138" s="30"/>
      <c r="O138" s="30"/>
      <c r="P138" s="30"/>
      <c r="Q138" s="30"/>
      <c r="R138" s="30"/>
      <c r="S138" s="30"/>
      <c r="T138" s="30"/>
      <c r="U138" s="30"/>
      <c r="V138" s="30"/>
      <c r="W138" s="30"/>
      <c r="X138" s="30"/>
      <c r="Y138" s="30"/>
      <c r="Z138" s="30"/>
      <c r="AA138" s="30"/>
      <c r="AB138" s="30"/>
      <c r="AC138" s="30"/>
      <c r="AD138" s="30"/>
    </row>
    <row r="139" ht="21.75" customHeight="1">
      <c r="A139" s="30"/>
      <c r="B139" s="36"/>
      <c r="C139" s="30"/>
      <c r="D139" s="30"/>
      <c r="E139" s="30"/>
      <c r="F139" s="30"/>
      <c r="G139" s="30"/>
      <c r="H139" s="37"/>
      <c r="I139" s="37"/>
      <c r="J139" s="37"/>
      <c r="K139" s="37"/>
      <c r="L139" s="37"/>
      <c r="M139" s="37"/>
      <c r="N139" s="30"/>
      <c r="O139" s="30"/>
      <c r="P139" s="30"/>
      <c r="Q139" s="30"/>
      <c r="R139" s="30"/>
      <c r="S139" s="30"/>
      <c r="T139" s="30"/>
      <c r="U139" s="30"/>
      <c r="V139" s="30"/>
      <c r="W139" s="30"/>
      <c r="X139" s="30"/>
      <c r="Y139" s="30"/>
      <c r="Z139" s="30"/>
      <c r="AA139" s="30"/>
      <c r="AB139" s="30"/>
      <c r="AC139" s="30"/>
      <c r="AD139" s="30"/>
    </row>
    <row r="140" ht="21.75" customHeight="1">
      <c r="A140" s="30"/>
      <c r="B140" s="36"/>
      <c r="C140" s="30"/>
      <c r="D140" s="30"/>
      <c r="E140" s="30"/>
      <c r="F140" s="30"/>
      <c r="G140" s="30"/>
      <c r="H140" s="37"/>
      <c r="I140" s="37"/>
      <c r="J140" s="37"/>
      <c r="K140" s="37"/>
      <c r="L140" s="37"/>
      <c r="M140" s="37"/>
      <c r="N140" s="30"/>
      <c r="O140" s="30"/>
      <c r="P140" s="30"/>
      <c r="Q140" s="30"/>
      <c r="R140" s="30"/>
      <c r="S140" s="30"/>
      <c r="T140" s="30"/>
      <c r="U140" s="30"/>
      <c r="V140" s="30"/>
      <c r="W140" s="30"/>
      <c r="X140" s="30"/>
      <c r="Y140" s="30"/>
      <c r="Z140" s="30"/>
      <c r="AA140" s="30"/>
      <c r="AB140" s="30"/>
      <c r="AC140" s="30"/>
      <c r="AD140" s="30"/>
    </row>
    <row r="141" ht="21.75" customHeight="1">
      <c r="A141" s="30"/>
      <c r="B141" s="36"/>
      <c r="C141" s="30"/>
      <c r="D141" s="30"/>
      <c r="E141" s="30"/>
      <c r="F141" s="30"/>
      <c r="G141" s="30"/>
      <c r="H141" s="37"/>
      <c r="I141" s="37"/>
      <c r="J141" s="37"/>
      <c r="K141" s="37"/>
      <c r="L141" s="37"/>
      <c r="M141" s="37"/>
      <c r="N141" s="30"/>
      <c r="O141" s="30"/>
      <c r="P141" s="30"/>
      <c r="Q141" s="30"/>
      <c r="R141" s="30"/>
      <c r="S141" s="30"/>
      <c r="T141" s="30"/>
      <c r="U141" s="30"/>
      <c r="V141" s="30"/>
      <c r="W141" s="30"/>
      <c r="X141" s="30"/>
      <c r="Y141" s="30"/>
      <c r="Z141" s="30"/>
      <c r="AA141" s="30"/>
      <c r="AB141" s="30"/>
      <c r="AC141" s="30"/>
      <c r="AD141" s="30"/>
    </row>
    <row r="142" ht="21.75" customHeight="1">
      <c r="A142" s="30"/>
      <c r="B142" s="36"/>
      <c r="C142" s="30"/>
      <c r="D142" s="30"/>
      <c r="E142" s="30"/>
      <c r="F142" s="30"/>
      <c r="G142" s="30"/>
      <c r="H142" s="37"/>
      <c r="I142" s="37"/>
      <c r="J142" s="37"/>
      <c r="K142" s="37"/>
      <c r="L142" s="37"/>
      <c r="M142" s="37"/>
      <c r="N142" s="30"/>
      <c r="O142" s="30"/>
      <c r="P142" s="30"/>
      <c r="Q142" s="30"/>
      <c r="R142" s="30"/>
      <c r="S142" s="30"/>
      <c r="T142" s="30"/>
      <c r="U142" s="30"/>
      <c r="V142" s="30"/>
      <c r="W142" s="30"/>
      <c r="X142" s="30"/>
      <c r="Y142" s="30"/>
      <c r="Z142" s="30"/>
      <c r="AA142" s="30"/>
      <c r="AB142" s="30"/>
      <c r="AC142" s="30"/>
      <c r="AD142" s="30"/>
    </row>
    <row r="143" ht="21.75" customHeight="1">
      <c r="A143" s="30"/>
      <c r="B143" s="36"/>
      <c r="C143" s="30"/>
      <c r="D143" s="30"/>
      <c r="E143" s="30"/>
      <c r="F143" s="30"/>
      <c r="G143" s="30"/>
      <c r="H143" s="37"/>
      <c r="I143" s="37"/>
      <c r="J143" s="37"/>
      <c r="K143" s="37"/>
      <c r="L143" s="37"/>
      <c r="M143" s="37"/>
      <c r="N143" s="30"/>
      <c r="O143" s="30"/>
      <c r="P143" s="30"/>
      <c r="Q143" s="30"/>
      <c r="R143" s="30"/>
      <c r="S143" s="30"/>
      <c r="T143" s="30"/>
      <c r="U143" s="30"/>
      <c r="V143" s="30"/>
      <c r="W143" s="30"/>
      <c r="X143" s="30"/>
      <c r="Y143" s="30"/>
      <c r="Z143" s="30"/>
      <c r="AA143" s="30"/>
      <c r="AB143" s="30"/>
      <c r="AC143" s="30"/>
      <c r="AD143" s="30"/>
    </row>
    <row r="144" ht="21.75" customHeight="1">
      <c r="A144" s="30"/>
      <c r="B144" s="36"/>
      <c r="C144" s="30"/>
      <c r="D144" s="30"/>
      <c r="E144" s="30"/>
      <c r="F144" s="30"/>
      <c r="G144" s="30"/>
      <c r="H144" s="37"/>
      <c r="I144" s="37"/>
      <c r="J144" s="37"/>
      <c r="K144" s="37"/>
      <c r="L144" s="37"/>
      <c r="M144" s="37"/>
      <c r="N144" s="30"/>
      <c r="O144" s="30"/>
      <c r="P144" s="30"/>
      <c r="Q144" s="30"/>
      <c r="R144" s="30"/>
      <c r="S144" s="30"/>
      <c r="T144" s="30"/>
      <c r="U144" s="30"/>
      <c r="V144" s="30"/>
      <c r="W144" s="30"/>
      <c r="X144" s="30"/>
      <c r="Y144" s="30"/>
      <c r="Z144" s="30"/>
      <c r="AA144" s="30"/>
      <c r="AB144" s="30"/>
      <c r="AC144" s="30"/>
      <c r="AD144" s="30"/>
    </row>
    <row r="145" ht="21.75" customHeight="1">
      <c r="A145" s="30"/>
      <c r="B145" s="36"/>
      <c r="C145" s="30"/>
      <c r="D145" s="30"/>
      <c r="E145" s="30"/>
      <c r="F145" s="30"/>
      <c r="G145" s="30"/>
      <c r="H145" s="37"/>
      <c r="I145" s="37"/>
      <c r="J145" s="37"/>
      <c r="K145" s="37"/>
      <c r="L145" s="37"/>
      <c r="M145" s="37"/>
      <c r="N145" s="30"/>
      <c r="O145" s="30"/>
      <c r="P145" s="30"/>
      <c r="Q145" s="30"/>
      <c r="R145" s="30"/>
      <c r="S145" s="30"/>
      <c r="T145" s="30"/>
      <c r="U145" s="30"/>
      <c r="V145" s="30"/>
      <c r="W145" s="30"/>
      <c r="X145" s="30"/>
      <c r="Y145" s="30"/>
      <c r="Z145" s="30"/>
      <c r="AA145" s="30"/>
      <c r="AB145" s="30"/>
      <c r="AC145" s="30"/>
      <c r="AD145" s="30"/>
    </row>
    <row r="146" ht="21.75" customHeight="1">
      <c r="A146" s="30"/>
      <c r="B146" s="36"/>
      <c r="C146" s="30"/>
      <c r="D146" s="30"/>
      <c r="E146" s="30"/>
      <c r="F146" s="30"/>
      <c r="G146" s="30"/>
      <c r="H146" s="37"/>
      <c r="I146" s="37"/>
      <c r="J146" s="37"/>
      <c r="K146" s="37"/>
      <c r="L146" s="37"/>
      <c r="M146" s="37"/>
      <c r="N146" s="30"/>
      <c r="O146" s="30"/>
      <c r="P146" s="30"/>
      <c r="Q146" s="30"/>
      <c r="R146" s="30"/>
      <c r="S146" s="30"/>
      <c r="T146" s="30"/>
      <c r="U146" s="30"/>
      <c r="V146" s="30"/>
      <c r="W146" s="30"/>
      <c r="X146" s="30"/>
      <c r="Y146" s="30"/>
      <c r="Z146" s="30"/>
      <c r="AA146" s="30"/>
      <c r="AB146" s="30"/>
      <c r="AC146" s="30"/>
      <c r="AD146" s="30"/>
    </row>
    <row r="147" ht="21.75" customHeight="1">
      <c r="A147" s="30"/>
      <c r="B147" s="36"/>
      <c r="C147" s="30"/>
      <c r="D147" s="30"/>
      <c r="E147" s="30"/>
      <c r="F147" s="30"/>
      <c r="G147" s="30"/>
      <c r="H147" s="37"/>
      <c r="I147" s="37"/>
      <c r="J147" s="37"/>
      <c r="K147" s="37"/>
      <c r="L147" s="37"/>
      <c r="M147" s="37"/>
      <c r="N147" s="30"/>
      <c r="O147" s="30"/>
      <c r="P147" s="30"/>
      <c r="Q147" s="30"/>
      <c r="R147" s="30"/>
      <c r="S147" s="30"/>
      <c r="T147" s="30"/>
      <c r="U147" s="30"/>
      <c r="V147" s="30"/>
      <c r="W147" s="30"/>
      <c r="X147" s="30"/>
      <c r="Y147" s="30"/>
      <c r="Z147" s="30"/>
      <c r="AA147" s="30"/>
      <c r="AB147" s="30"/>
      <c r="AC147" s="30"/>
      <c r="AD147" s="30"/>
    </row>
    <row r="148" ht="21.75" customHeight="1">
      <c r="A148" s="30"/>
      <c r="B148" s="36"/>
      <c r="C148" s="30"/>
      <c r="D148" s="30"/>
      <c r="E148" s="30"/>
      <c r="F148" s="30"/>
      <c r="G148" s="30"/>
      <c r="H148" s="37"/>
      <c r="I148" s="37"/>
      <c r="J148" s="37"/>
      <c r="K148" s="37"/>
      <c r="L148" s="37"/>
      <c r="M148" s="37"/>
      <c r="N148" s="30"/>
      <c r="O148" s="30"/>
      <c r="P148" s="30"/>
      <c r="Q148" s="30"/>
      <c r="R148" s="30"/>
      <c r="S148" s="30"/>
      <c r="T148" s="30"/>
      <c r="U148" s="30"/>
      <c r="V148" s="30"/>
      <c r="W148" s="30"/>
      <c r="X148" s="30"/>
      <c r="Y148" s="30"/>
      <c r="Z148" s="30"/>
      <c r="AA148" s="30"/>
      <c r="AB148" s="30"/>
      <c r="AC148" s="30"/>
      <c r="AD148" s="30"/>
    </row>
    <row r="149" ht="21.75" customHeight="1">
      <c r="A149" s="30"/>
      <c r="B149" s="36"/>
      <c r="C149" s="30"/>
      <c r="D149" s="30"/>
      <c r="E149" s="30"/>
      <c r="F149" s="30"/>
      <c r="G149" s="30"/>
      <c r="H149" s="37"/>
      <c r="I149" s="37"/>
      <c r="J149" s="37"/>
      <c r="K149" s="37"/>
      <c r="L149" s="37"/>
      <c r="M149" s="37"/>
      <c r="N149" s="30"/>
      <c r="O149" s="30"/>
      <c r="P149" s="30"/>
      <c r="Q149" s="30"/>
      <c r="R149" s="30"/>
      <c r="S149" s="30"/>
      <c r="T149" s="30"/>
      <c r="U149" s="30"/>
      <c r="V149" s="30"/>
      <c r="W149" s="30"/>
      <c r="X149" s="30"/>
      <c r="Y149" s="30"/>
      <c r="Z149" s="30"/>
      <c r="AA149" s="30"/>
      <c r="AB149" s="30"/>
      <c r="AC149" s="30"/>
      <c r="AD149" s="30"/>
    </row>
    <row r="150" ht="21.75" customHeight="1">
      <c r="A150" s="30"/>
      <c r="B150" s="36"/>
      <c r="C150" s="30"/>
      <c r="D150" s="30"/>
      <c r="E150" s="30"/>
      <c r="F150" s="30"/>
      <c r="G150" s="30"/>
      <c r="H150" s="37"/>
      <c r="I150" s="37"/>
      <c r="J150" s="37"/>
      <c r="K150" s="37"/>
      <c r="L150" s="37"/>
      <c r="M150" s="37"/>
      <c r="N150" s="30"/>
      <c r="O150" s="30"/>
      <c r="P150" s="30"/>
      <c r="Q150" s="30"/>
      <c r="R150" s="30"/>
      <c r="S150" s="30"/>
      <c r="T150" s="30"/>
      <c r="U150" s="30"/>
      <c r="V150" s="30"/>
      <c r="W150" s="30"/>
      <c r="X150" s="30"/>
      <c r="Y150" s="30"/>
      <c r="Z150" s="30"/>
      <c r="AA150" s="30"/>
      <c r="AB150" s="30"/>
      <c r="AC150" s="30"/>
      <c r="AD150" s="30"/>
    </row>
    <row r="151" ht="21.75" customHeight="1">
      <c r="A151" s="30"/>
      <c r="B151" s="36"/>
      <c r="C151" s="30"/>
      <c r="D151" s="30"/>
      <c r="E151" s="30"/>
      <c r="F151" s="30"/>
      <c r="G151" s="30"/>
      <c r="H151" s="37"/>
      <c r="I151" s="37"/>
      <c r="J151" s="37"/>
      <c r="K151" s="37"/>
      <c r="L151" s="37"/>
      <c r="M151" s="37"/>
      <c r="N151" s="30"/>
      <c r="O151" s="30"/>
      <c r="P151" s="30"/>
      <c r="Q151" s="30"/>
      <c r="R151" s="30"/>
      <c r="S151" s="30"/>
      <c r="T151" s="30"/>
      <c r="U151" s="30"/>
      <c r="V151" s="30"/>
      <c r="W151" s="30"/>
      <c r="X151" s="30"/>
      <c r="Y151" s="30"/>
      <c r="Z151" s="30"/>
      <c r="AA151" s="30"/>
      <c r="AB151" s="30"/>
      <c r="AC151" s="30"/>
      <c r="AD151" s="30"/>
    </row>
    <row r="152" ht="21.75" customHeight="1">
      <c r="A152" s="30"/>
      <c r="B152" s="36"/>
      <c r="C152" s="30"/>
      <c r="D152" s="30"/>
      <c r="E152" s="30"/>
      <c r="F152" s="30"/>
      <c r="G152" s="30"/>
      <c r="H152" s="37"/>
      <c r="I152" s="37"/>
      <c r="J152" s="37"/>
      <c r="K152" s="37"/>
      <c r="L152" s="37"/>
      <c r="M152" s="37"/>
      <c r="N152" s="30"/>
      <c r="O152" s="30"/>
      <c r="P152" s="30"/>
      <c r="Q152" s="30"/>
      <c r="R152" s="30"/>
      <c r="S152" s="30"/>
      <c r="T152" s="30"/>
      <c r="U152" s="30"/>
      <c r="V152" s="30"/>
      <c r="W152" s="30"/>
      <c r="X152" s="30"/>
      <c r="Y152" s="30"/>
      <c r="Z152" s="30"/>
      <c r="AA152" s="30"/>
      <c r="AB152" s="30"/>
      <c r="AC152" s="30"/>
      <c r="AD152" s="30"/>
    </row>
    <row r="153" ht="21.75" customHeight="1">
      <c r="A153" s="30"/>
      <c r="B153" s="36"/>
      <c r="C153" s="30"/>
      <c r="D153" s="30"/>
      <c r="E153" s="30"/>
      <c r="F153" s="30"/>
      <c r="G153" s="30"/>
      <c r="H153" s="37"/>
      <c r="I153" s="37"/>
      <c r="J153" s="37"/>
      <c r="K153" s="37"/>
      <c r="L153" s="37"/>
      <c r="M153" s="37"/>
      <c r="N153" s="30"/>
      <c r="O153" s="30"/>
      <c r="P153" s="30"/>
      <c r="Q153" s="30"/>
      <c r="R153" s="30"/>
      <c r="S153" s="30"/>
      <c r="T153" s="30"/>
      <c r="U153" s="30"/>
      <c r="V153" s="30"/>
      <c r="W153" s="30"/>
      <c r="X153" s="30"/>
      <c r="Y153" s="30"/>
      <c r="Z153" s="30"/>
      <c r="AA153" s="30"/>
      <c r="AB153" s="30"/>
      <c r="AC153" s="30"/>
      <c r="AD153" s="30"/>
    </row>
    <row r="154" ht="21.75" customHeight="1">
      <c r="A154" s="30"/>
      <c r="B154" s="36"/>
      <c r="C154" s="30"/>
      <c r="D154" s="30"/>
      <c r="E154" s="30"/>
      <c r="F154" s="30"/>
      <c r="G154" s="30"/>
      <c r="H154" s="37"/>
      <c r="I154" s="37"/>
      <c r="J154" s="37"/>
      <c r="K154" s="37"/>
      <c r="L154" s="37"/>
      <c r="M154" s="37"/>
      <c r="N154" s="30"/>
      <c r="O154" s="30"/>
      <c r="P154" s="30"/>
      <c r="Q154" s="30"/>
      <c r="R154" s="30"/>
      <c r="S154" s="30"/>
      <c r="T154" s="30"/>
      <c r="U154" s="30"/>
      <c r="V154" s="30"/>
      <c r="W154" s="30"/>
      <c r="X154" s="30"/>
      <c r="Y154" s="30"/>
      <c r="Z154" s="30"/>
      <c r="AA154" s="30"/>
      <c r="AB154" s="30"/>
      <c r="AC154" s="30"/>
      <c r="AD154" s="30"/>
    </row>
    <row r="155" ht="21.75" customHeight="1">
      <c r="A155" s="30"/>
      <c r="B155" s="36"/>
      <c r="C155" s="30"/>
      <c r="D155" s="30"/>
      <c r="E155" s="30"/>
      <c r="F155" s="30"/>
      <c r="G155" s="30"/>
      <c r="H155" s="37"/>
      <c r="I155" s="37"/>
      <c r="J155" s="37"/>
      <c r="K155" s="37"/>
      <c r="L155" s="37"/>
      <c r="M155" s="37"/>
      <c r="N155" s="30"/>
      <c r="O155" s="30"/>
      <c r="P155" s="30"/>
      <c r="Q155" s="30"/>
      <c r="R155" s="30"/>
      <c r="S155" s="30"/>
      <c r="T155" s="30"/>
      <c r="U155" s="30"/>
      <c r="V155" s="30"/>
      <c r="W155" s="30"/>
      <c r="X155" s="30"/>
      <c r="Y155" s="30"/>
      <c r="Z155" s="30"/>
      <c r="AA155" s="30"/>
      <c r="AB155" s="30"/>
      <c r="AC155" s="30"/>
      <c r="AD155" s="30"/>
    </row>
    <row r="156" ht="21.75" customHeight="1">
      <c r="A156" s="30"/>
      <c r="B156" s="36"/>
      <c r="C156" s="30"/>
      <c r="D156" s="30"/>
      <c r="E156" s="30"/>
      <c r="F156" s="30"/>
      <c r="G156" s="30"/>
      <c r="H156" s="37"/>
      <c r="I156" s="37"/>
      <c r="J156" s="37"/>
      <c r="K156" s="37"/>
      <c r="L156" s="37"/>
      <c r="M156" s="37"/>
      <c r="N156" s="30"/>
      <c r="O156" s="30"/>
      <c r="P156" s="30"/>
      <c r="Q156" s="30"/>
      <c r="R156" s="30"/>
      <c r="S156" s="30"/>
      <c r="T156" s="30"/>
      <c r="U156" s="30"/>
      <c r="V156" s="30"/>
      <c r="W156" s="30"/>
      <c r="X156" s="30"/>
      <c r="Y156" s="30"/>
      <c r="Z156" s="30"/>
      <c r="AA156" s="30"/>
      <c r="AB156" s="30"/>
      <c r="AC156" s="30"/>
      <c r="AD156" s="30"/>
    </row>
    <row r="157" ht="21.75" customHeight="1">
      <c r="A157" s="30"/>
      <c r="B157" s="36"/>
      <c r="C157" s="30"/>
      <c r="D157" s="30"/>
      <c r="E157" s="30"/>
      <c r="F157" s="30"/>
      <c r="G157" s="30"/>
      <c r="H157" s="37"/>
      <c r="I157" s="37"/>
      <c r="J157" s="37"/>
      <c r="K157" s="37"/>
      <c r="L157" s="37"/>
      <c r="M157" s="37"/>
      <c r="N157" s="30"/>
      <c r="O157" s="30"/>
      <c r="P157" s="30"/>
      <c r="Q157" s="30"/>
      <c r="R157" s="30"/>
      <c r="S157" s="30"/>
      <c r="T157" s="30"/>
      <c r="U157" s="30"/>
      <c r="V157" s="30"/>
      <c r="W157" s="30"/>
      <c r="X157" s="30"/>
      <c r="Y157" s="30"/>
      <c r="Z157" s="30"/>
      <c r="AA157" s="30"/>
      <c r="AB157" s="30"/>
      <c r="AC157" s="30"/>
      <c r="AD157" s="30"/>
    </row>
    <row r="158" ht="21.75" customHeight="1">
      <c r="A158" s="30"/>
      <c r="B158" s="36"/>
      <c r="C158" s="30"/>
      <c r="D158" s="30"/>
      <c r="E158" s="30"/>
      <c r="F158" s="30"/>
      <c r="G158" s="30"/>
      <c r="H158" s="37"/>
      <c r="I158" s="37"/>
      <c r="J158" s="37"/>
      <c r="K158" s="37"/>
      <c r="L158" s="37"/>
      <c r="M158" s="37"/>
      <c r="N158" s="30"/>
      <c r="O158" s="30"/>
      <c r="P158" s="30"/>
      <c r="Q158" s="30"/>
      <c r="R158" s="30"/>
      <c r="S158" s="30"/>
      <c r="T158" s="30"/>
      <c r="U158" s="30"/>
      <c r="V158" s="30"/>
      <c r="W158" s="30"/>
      <c r="X158" s="30"/>
      <c r="Y158" s="30"/>
      <c r="Z158" s="30"/>
      <c r="AA158" s="30"/>
      <c r="AB158" s="30"/>
      <c r="AC158" s="30"/>
      <c r="AD158" s="30"/>
    </row>
    <row r="159" ht="21.75" customHeight="1">
      <c r="A159" s="30"/>
      <c r="B159" s="36"/>
      <c r="C159" s="30"/>
      <c r="D159" s="30"/>
      <c r="E159" s="30"/>
      <c r="F159" s="30"/>
      <c r="G159" s="30"/>
      <c r="H159" s="37"/>
      <c r="I159" s="37"/>
      <c r="J159" s="37"/>
      <c r="K159" s="37"/>
      <c r="L159" s="37"/>
      <c r="M159" s="37"/>
      <c r="N159" s="30"/>
      <c r="O159" s="30"/>
      <c r="P159" s="30"/>
      <c r="Q159" s="30"/>
      <c r="R159" s="30"/>
      <c r="S159" s="30"/>
      <c r="T159" s="30"/>
      <c r="U159" s="30"/>
      <c r="V159" s="30"/>
      <c r="W159" s="30"/>
      <c r="X159" s="30"/>
      <c r="Y159" s="30"/>
      <c r="Z159" s="30"/>
      <c r="AA159" s="30"/>
      <c r="AB159" s="30"/>
      <c r="AC159" s="30"/>
      <c r="AD159" s="30"/>
    </row>
    <row r="160" ht="21.75" customHeight="1">
      <c r="A160" s="30"/>
      <c r="B160" s="36"/>
      <c r="C160" s="30"/>
      <c r="D160" s="30"/>
      <c r="E160" s="30"/>
      <c r="F160" s="30"/>
      <c r="G160" s="30"/>
      <c r="H160" s="37"/>
      <c r="I160" s="37"/>
      <c r="J160" s="37"/>
      <c r="K160" s="37"/>
      <c r="L160" s="37"/>
      <c r="M160" s="37"/>
      <c r="N160" s="30"/>
      <c r="O160" s="30"/>
      <c r="P160" s="30"/>
      <c r="Q160" s="30"/>
      <c r="R160" s="30"/>
      <c r="S160" s="30"/>
      <c r="T160" s="30"/>
      <c r="U160" s="30"/>
      <c r="V160" s="30"/>
      <c r="W160" s="30"/>
      <c r="X160" s="30"/>
      <c r="Y160" s="30"/>
      <c r="Z160" s="30"/>
      <c r="AA160" s="30"/>
      <c r="AB160" s="30"/>
      <c r="AC160" s="30"/>
      <c r="AD160" s="30"/>
    </row>
    <row r="161" ht="21.75" customHeight="1">
      <c r="A161" s="30"/>
      <c r="B161" s="36"/>
      <c r="C161" s="30"/>
      <c r="D161" s="30"/>
      <c r="E161" s="30"/>
      <c r="F161" s="30"/>
      <c r="G161" s="30"/>
      <c r="H161" s="37"/>
      <c r="I161" s="37"/>
      <c r="J161" s="37"/>
      <c r="K161" s="37"/>
      <c r="L161" s="37"/>
      <c r="M161" s="37"/>
      <c r="N161" s="30"/>
      <c r="O161" s="30"/>
      <c r="P161" s="30"/>
      <c r="Q161" s="30"/>
      <c r="R161" s="30"/>
      <c r="S161" s="30"/>
      <c r="T161" s="30"/>
      <c r="U161" s="30"/>
      <c r="V161" s="30"/>
      <c r="W161" s="30"/>
      <c r="X161" s="30"/>
      <c r="Y161" s="30"/>
      <c r="Z161" s="30"/>
      <c r="AA161" s="30"/>
      <c r="AB161" s="30"/>
      <c r="AC161" s="30"/>
      <c r="AD161" s="30"/>
    </row>
    <row r="162" ht="21.75" customHeight="1">
      <c r="A162" s="30"/>
      <c r="B162" s="36"/>
      <c r="C162" s="30"/>
      <c r="D162" s="30"/>
      <c r="E162" s="30"/>
      <c r="F162" s="30"/>
      <c r="G162" s="30"/>
      <c r="H162" s="37"/>
      <c r="I162" s="37"/>
      <c r="J162" s="37"/>
      <c r="K162" s="37"/>
      <c r="L162" s="37"/>
      <c r="M162" s="37"/>
      <c r="N162" s="30"/>
      <c r="O162" s="30"/>
      <c r="P162" s="30"/>
      <c r="Q162" s="30"/>
      <c r="R162" s="30"/>
      <c r="S162" s="30"/>
      <c r="T162" s="30"/>
      <c r="U162" s="30"/>
      <c r="V162" s="30"/>
      <c r="W162" s="30"/>
      <c r="X162" s="30"/>
      <c r="Y162" s="30"/>
      <c r="Z162" s="30"/>
      <c r="AA162" s="30"/>
      <c r="AB162" s="30"/>
      <c r="AC162" s="30"/>
      <c r="AD162" s="30"/>
    </row>
    <row r="163" ht="21.75" customHeight="1">
      <c r="A163" s="30"/>
      <c r="B163" s="36"/>
      <c r="C163" s="30"/>
      <c r="D163" s="30"/>
      <c r="E163" s="30"/>
      <c r="F163" s="30"/>
      <c r="G163" s="30"/>
      <c r="H163" s="37"/>
      <c r="I163" s="37"/>
      <c r="J163" s="37"/>
      <c r="K163" s="37"/>
      <c r="L163" s="37"/>
      <c r="M163" s="37"/>
      <c r="N163" s="30"/>
      <c r="O163" s="30"/>
      <c r="P163" s="30"/>
      <c r="Q163" s="30"/>
      <c r="R163" s="30"/>
      <c r="S163" s="30"/>
      <c r="T163" s="30"/>
      <c r="U163" s="30"/>
      <c r="V163" s="30"/>
      <c r="W163" s="30"/>
      <c r="X163" s="30"/>
      <c r="Y163" s="30"/>
      <c r="Z163" s="30"/>
      <c r="AA163" s="30"/>
      <c r="AB163" s="30"/>
      <c r="AC163" s="30"/>
      <c r="AD163" s="30"/>
    </row>
    <row r="164" ht="21.75" customHeight="1">
      <c r="A164" s="30"/>
      <c r="B164" s="36"/>
      <c r="C164" s="30"/>
      <c r="D164" s="30"/>
      <c r="E164" s="30"/>
      <c r="F164" s="30"/>
      <c r="G164" s="30"/>
      <c r="H164" s="37"/>
      <c r="I164" s="37"/>
      <c r="J164" s="37"/>
      <c r="K164" s="37"/>
      <c r="L164" s="37"/>
      <c r="M164" s="37"/>
      <c r="N164" s="30"/>
      <c r="O164" s="30"/>
      <c r="P164" s="30"/>
      <c r="Q164" s="30"/>
      <c r="R164" s="30"/>
      <c r="S164" s="30"/>
      <c r="T164" s="30"/>
      <c r="U164" s="30"/>
      <c r="V164" s="30"/>
      <c r="W164" s="30"/>
      <c r="X164" s="30"/>
      <c r="Y164" s="30"/>
      <c r="Z164" s="30"/>
      <c r="AA164" s="30"/>
      <c r="AB164" s="30"/>
      <c r="AC164" s="30"/>
      <c r="AD164" s="30"/>
    </row>
    <row r="165" ht="21.75" customHeight="1">
      <c r="A165" s="30"/>
      <c r="B165" s="36"/>
      <c r="C165" s="30"/>
      <c r="D165" s="30"/>
      <c r="E165" s="30"/>
      <c r="F165" s="30"/>
      <c r="G165" s="30"/>
      <c r="H165" s="37"/>
      <c r="I165" s="37"/>
      <c r="J165" s="37"/>
      <c r="K165" s="37"/>
      <c r="L165" s="37"/>
      <c r="M165" s="37"/>
      <c r="N165" s="30"/>
      <c r="O165" s="30"/>
      <c r="P165" s="30"/>
      <c r="Q165" s="30"/>
      <c r="R165" s="30"/>
      <c r="S165" s="30"/>
      <c r="T165" s="30"/>
      <c r="U165" s="30"/>
      <c r="V165" s="30"/>
      <c r="W165" s="30"/>
      <c r="X165" s="30"/>
      <c r="Y165" s="30"/>
      <c r="Z165" s="30"/>
      <c r="AA165" s="30"/>
      <c r="AB165" s="30"/>
      <c r="AC165" s="30"/>
      <c r="AD165" s="30"/>
    </row>
    <row r="166" ht="21.75" customHeight="1">
      <c r="A166" s="30"/>
      <c r="B166" s="36"/>
      <c r="C166" s="30"/>
      <c r="D166" s="30"/>
      <c r="E166" s="30"/>
      <c r="F166" s="30"/>
      <c r="G166" s="30"/>
      <c r="H166" s="37"/>
      <c r="I166" s="37"/>
      <c r="J166" s="37"/>
      <c r="K166" s="37"/>
      <c r="L166" s="37"/>
      <c r="M166" s="37"/>
      <c r="N166" s="30"/>
      <c r="O166" s="30"/>
      <c r="P166" s="30"/>
      <c r="Q166" s="30"/>
      <c r="R166" s="30"/>
      <c r="S166" s="30"/>
      <c r="T166" s="30"/>
      <c r="U166" s="30"/>
      <c r="V166" s="30"/>
      <c r="W166" s="30"/>
      <c r="X166" s="30"/>
      <c r="Y166" s="30"/>
      <c r="Z166" s="30"/>
      <c r="AA166" s="30"/>
      <c r="AB166" s="30"/>
      <c r="AC166" s="30"/>
      <c r="AD166" s="30"/>
    </row>
    <row r="167" ht="21.75" customHeight="1">
      <c r="A167" s="30"/>
      <c r="B167" s="36"/>
      <c r="C167" s="30"/>
      <c r="D167" s="30"/>
      <c r="E167" s="30"/>
      <c r="F167" s="30"/>
      <c r="G167" s="30"/>
      <c r="H167" s="37"/>
      <c r="I167" s="37"/>
      <c r="J167" s="37"/>
      <c r="K167" s="37"/>
      <c r="L167" s="37"/>
      <c r="M167" s="37"/>
      <c r="N167" s="30"/>
      <c r="O167" s="30"/>
      <c r="P167" s="30"/>
      <c r="Q167" s="30"/>
      <c r="R167" s="30"/>
      <c r="S167" s="30"/>
      <c r="T167" s="30"/>
      <c r="U167" s="30"/>
      <c r="V167" s="30"/>
      <c r="W167" s="30"/>
      <c r="X167" s="30"/>
      <c r="Y167" s="30"/>
      <c r="Z167" s="30"/>
      <c r="AA167" s="30"/>
      <c r="AB167" s="30"/>
      <c r="AC167" s="30"/>
      <c r="AD167" s="30"/>
    </row>
    <row r="168" ht="21.75" customHeight="1">
      <c r="A168" s="30"/>
      <c r="B168" s="36"/>
      <c r="C168" s="30"/>
      <c r="D168" s="30"/>
      <c r="E168" s="30"/>
      <c r="F168" s="30"/>
      <c r="G168" s="30"/>
      <c r="H168" s="37"/>
      <c r="I168" s="37"/>
      <c r="J168" s="37"/>
      <c r="K168" s="37"/>
      <c r="L168" s="37"/>
      <c r="M168" s="37"/>
      <c r="N168" s="30"/>
      <c r="O168" s="30"/>
      <c r="P168" s="30"/>
      <c r="Q168" s="30"/>
      <c r="R168" s="30"/>
      <c r="S168" s="30"/>
      <c r="T168" s="30"/>
      <c r="U168" s="30"/>
      <c r="V168" s="30"/>
      <c r="W168" s="30"/>
      <c r="X168" s="30"/>
      <c r="Y168" s="30"/>
      <c r="Z168" s="30"/>
      <c r="AA168" s="30"/>
      <c r="AB168" s="30"/>
      <c r="AC168" s="30"/>
      <c r="AD168" s="30"/>
    </row>
    <row r="169" ht="21.75" customHeight="1">
      <c r="A169" s="30"/>
      <c r="B169" s="36"/>
      <c r="C169" s="30"/>
      <c r="D169" s="30"/>
      <c r="E169" s="30"/>
      <c r="F169" s="30"/>
      <c r="G169" s="30"/>
      <c r="H169" s="37"/>
      <c r="I169" s="37"/>
      <c r="J169" s="37"/>
      <c r="K169" s="37"/>
      <c r="L169" s="37"/>
      <c r="M169" s="37"/>
      <c r="N169" s="30"/>
      <c r="O169" s="30"/>
      <c r="P169" s="30"/>
      <c r="Q169" s="30"/>
      <c r="R169" s="30"/>
      <c r="S169" s="30"/>
      <c r="T169" s="30"/>
      <c r="U169" s="30"/>
      <c r="V169" s="30"/>
      <c r="W169" s="30"/>
      <c r="X169" s="30"/>
      <c r="Y169" s="30"/>
      <c r="Z169" s="30"/>
      <c r="AA169" s="30"/>
      <c r="AB169" s="30"/>
      <c r="AC169" s="30"/>
      <c r="AD169" s="30"/>
    </row>
    <row r="170" ht="21.75" customHeight="1">
      <c r="A170" s="30"/>
      <c r="B170" s="36"/>
      <c r="C170" s="30"/>
      <c r="D170" s="30"/>
      <c r="E170" s="30"/>
      <c r="F170" s="30"/>
      <c r="G170" s="30"/>
      <c r="H170" s="37"/>
      <c r="I170" s="37"/>
      <c r="J170" s="37"/>
      <c r="K170" s="37"/>
      <c r="L170" s="37"/>
      <c r="M170" s="37"/>
      <c r="N170" s="30"/>
      <c r="O170" s="30"/>
      <c r="P170" s="30"/>
      <c r="Q170" s="30"/>
      <c r="R170" s="30"/>
      <c r="S170" s="30"/>
      <c r="T170" s="30"/>
      <c r="U170" s="30"/>
      <c r="V170" s="30"/>
      <c r="W170" s="30"/>
      <c r="X170" s="30"/>
      <c r="Y170" s="30"/>
      <c r="Z170" s="30"/>
      <c r="AA170" s="30"/>
      <c r="AB170" s="30"/>
      <c r="AC170" s="30"/>
      <c r="AD170" s="30"/>
    </row>
    <row r="171" ht="21.75" customHeight="1">
      <c r="A171" s="30"/>
      <c r="B171" s="36"/>
      <c r="C171" s="30"/>
      <c r="D171" s="30"/>
      <c r="E171" s="30"/>
      <c r="F171" s="30"/>
      <c r="G171" s="30"/>
      <c r="H171" s="37"/>
      <c r="I171" s="37"/>
      <c r="J171" s="37"/>
      <c r="K171" s="37"/>
      <c r="L171" s="37"/>
      <c r="M171" s="37"/>
      <c r="N171" s="30"/>
      <c r="O171" s="30"/>
      <c r="P171" s="30"/>
      <c r="Q171" s="30"/>
      <c r="R171" s="30"/>
      <c r="S171" s="30"/>
      <c r="T171" s="30"/>
      <c r="U171" s="30"/>
      <c r="V171" s="30"/>
      <c r="W171" s="30"/>
      <c r="X171" s="30"/>
      <c r="Y171" s="30"/>
      <c r="Z171" s="30"/>
      <c r="AA171" s="30"/>
      <c r="AB171" s="30"/>
      <c r="AC171" s="30"/>
      <c r="AD171" s="30"/>
    </row>
    <row r="172" ht="21.75" customHeight="1">
      <c r="A172" s="30"/>
      <c r="B172" s="36"/>
      <c r="C172" s="30"/>
      <c r="D172" s="30"/>
      <c r="E172" s="30"/>
      <c r="F172" s="30"/>
      <c r="G172" s="30"/>
      <c r="H172" s="37"/>
      <c r="I172" s="37"/>
      <c r="J172" s="37"/>
      <c r="K172" s="37"/>
      <c r="L172" s="37"/>
      <c r="M172" s="37"/>
      <c r="N172" s="30"/>
      <c r="O172" s="30"/>
      <c r="P172" s="30"/>
      <c r="Q172" s="30"/>
      <c r="R172" s="30"/>
      <c r="S172" s="30"/>
      <c r="T172" s="30"/>
      <c r="U172" s="30"/>
      <c r="V172" s="30"/>
      <c r="W172" s="30"/>
      <c r="X172" s="30"/>
      <c r="Y172" s="30"/>
      <c r="Z172" s="30"/>
      <c r="AA172" s="30"/>
      <c r="AB172" s="30"/>
      <c r="AC172" s="30"/>
      <c r="AD172" s="30"/>
    </row>
    <row r="173" ht="21.75" customHeight="1">
      <c r="A173" s="30"/>
      <c r="B173" s="36"/>
      <c r="C173" s="30"/>
      <c r="D173" s="30"/>
      <c r="E173" s="30"/>
      <c r="F173" s="30"/>
      <c r="G173" s="30"/>
      <c r="H173" s="37"/>
      <c r="I173" s="37"/>
      <c r="J173" s="37"/>
      <c r="K173" s="37"/>
      <c r="L173" s="37"/>
      <c r="M173" s="37"/>
      <c r="N173" s="30"/>
      <c r="O173" s="30"/>
      <c r="P173" s="30"/>
      <c r="Q173" s="30"/>
      <c r="R173" s="30"/>
      <c r="S173" s="30"/>
      <c r="T173" s="30"/>
      <c r="U173" s="30"/>
      <c r="V173" s="30"/>
      <c r="W173" s="30"/>
      <c r="X173" s="30"/>
      <c r="Y173" s="30"/>
      <c r="Z173" s="30"/>
      <c r="AA173" s="30"/>
      <c r="AB173" s="30"/>
      <c r="AC173" s="30"/>
      <c r="AD173" s="30"/>
    </row>
    <row r="174" ht="21.75" customHeight="1">
      <c r="A174" s="30"/>
      <c r="B174" s="36"/>
      <c r="C174" s="30"/>
      <c r="D174" s="30"/>
      <c r="E174" s="30"/>
      <c r="F174" s="30"/>
      <c r="G174" s="30"/>
      <c r="H174" s="37"/>
      <c r="I174" s="37"/>
      <c r="J174" s="37"/>
      <c r="K174" s="37"/>
      <c r="L174" s="37"/>
      <c r="M174" s="37"/>
      <c r="N174" s="30"/>
      <c r="O174" s="30"/>
      <c r="P174" s="30"/>
      <c r="Q174" s="30"/>
      <c r="R174" s="30"/>
      <c r="S174" s="30"/>
      <c r="T174" s="30"/>
      <c r="U174" s="30"/>
      <c r="V174" s="30"/>
      <c r="W174" s="30"/>
      <c r="X174" s="30"/>
      <c r="Y174" s="30"/>
      <c r="Z174" s="30"/>
      <c r="AA174" s="30"/>
      <c r="AB174" s="30"/>
      <c r="AC174" s="30"/>
      <c r="AD174" s="30"/>
    </row>
    <row r="175" ht="15.75" customHeight="1">
      <c r="A175" s="30"/>
      <c r="B175" s="30"/>
      <c r="C175" s="30"/>
      <c r="D175" s="30"/>
      <c r="E175" s="30"/>
      <c r="F175" s="30"/>
      <c r="G175" s="30"/>
      <c r="H175" s="37"/>
      <c r="I175" s="37"/>
      <c r="J175" s="37"/>
      <c r="K175" s="37"/>
      <c r="L175" s="37"/>
      <c r="M175" s="37"/>
      <c r="N175" s="30"/>
      <c r="O175" s="30"/>
      <c r="P175" s="30"/>
      <c r="Q175" s="30"/>
      <c r="R175" s="30"/>
      <c r="S175" s="30"/>
      <c r="T175" s="30"/>
      <c r="U175" s="30"/>
      <c r="V175" s="30"/>
      <c r="W175" s="30"/>
      <c r="X175" s="30"/>
      <c r="Y175" s="30"/>
      <c r="Z175" s="30"/>
      <c r="AA175" s="30"/>
      <c r="AB175" s="30"/>
      <c r="AC175" s="30"/>
      <c r="AD175" s="30"/>
    </row>
    <row r="176" ht="15.75" customHeight="1">
      <c r="A176" s="30"/>
      <c r="B176" s="30"/>
      <c r="C176" s="30"/>
      <c r="D176" s="30"/>
      <c r="E176" s="30"/>
      <c r="F176" s="30"/>
      <c r="G176" s="30"/>
      <c r="H176" s="37"/>
      <c r="I176" s="37"/>
      <c r="J176" s="37"/>
      <c r="K176" s="37"/>
      <c r="L176" s="37"/>
      <c r="M176" s="37"/>
      <c r="N176" s="30"/>
      <c r="O176" s="30"/>
      <c r="P176" s="30"/>
      <c r="Q176" s="30"/>
      <c r="R176" s="30"/>
      <c r="S176" s="30"/>
      <c r="T176" s="30"/>
      <c r="U176" s="30"/>
      <c r="V176" s="30"/>
      <c r="W176" s="30"/>
      <c r="X176" s="30"/>
      <c r="Y176" s="30"/>
      <c r="Z176" s="30"/>
      <c r="AA176" s="30"/>
      <c r="AB176" s="30"/>
      <c r="AC176" s="30"/>
      <c r="AD176" s="30"/>
    </row>
    <row r="177" ht="15.75" customHeight="1">
      <c r="A177" s="30"/>
      <c r="B177" s="30"/>
      <c r="C177" s="30"/>
      <c r="D177" s="30"/>
      <c r="E177" s="30"/>
      <c r="F177" s="30"/>
      <c r="G177" s="30"/>
      <c r="H177" s="37"/>
      <c r="I177" s="37"/>
      <c r="J177" s="37"/>
      <c r="K177" s="37"/>
      <c r="L177" s="37"/>
      <c r="M177" s="37"/>
      <c r="N177" s="30"/>
      <c r="O177" s="30"/>
      <c r="P177" s="30"/>
      <c r="Q177" s="30"/>
      <c r="R177" s="30"/>
      <c r="S177" s="30"/>
      <c r="T177" s="30"/>
      <c r="U177" s="30"/>
      <c r="V177" s="30"/>
      <c r="W177" s="30"/>
      <c r="X177" s="30"/>
      <c r="Y177" s="30"/>
      <c r="Z177" s="30"/>
      <c r="AA177" s="30"/>
      <c r="AB177" s="30"/>
      <c r="AC177" s="30"/>
      <c r="AD177" s="30"/>
    </row>
    <row r="178" ht="15.75" customHeight="1">
      <c r="A178" s="30"/>
      <c r="B178" s="30"/>
      <c r="C178" s="30"/>
      <c r="D178" s="30"/>
      <c r="E178" s="30"/>
      <c r="F178" s="30"/>
      <c r="G178" s="30"/>
      <c r="H178" s="37"/>
      <c r="I178" s="37"/>
      <c r="J178" s="37"/>
      <c r="K178" s="37"/>
      <c r="L178" s="37"/>
      <c r="M178" s="37"/>
      <c r="N178" s="30"/>
      <c r="O178" s="30"/>
      <c r="P178" s="30"/>
      <c r="Q178" s="30"/>
      <c r="R178" s="30"/>
      <c r="S178" s="30"/>
      <c r="T178" s="30"/>
      <c r="U178" s="30"/>
      <c r="V178" s="30"/>
      <c r="W178" s="30"/>
      <c r="X178" s="30"/>
      <c r="Y178" s="30"/>
      <c r="Z178" s="30"/>
      <c r="AA178" s="30"/>
      <c r="AB178" s="30"/>
      <c r="AC178" s="30"/>
      <c r="AD178" s="30"/>
    </row>
    <row r="179" ht="15.75" customHeight="1">
      <c r="A179" s="30"/>
      <c r="B179" s="30"/>
      <c r="C179" s="30"/>
      <c r="D179" s="30"/>
      <c r="E179" s="30"/>
      <c r="F179" s="30"/>
      <c r="G179" s="30"/>
      <c r="H179" s="37"/>
      <c r="I179" s="37"/>
      <c r="J179" s="37"/>
      <c r="K179" s="37"/>
      <c r="L179" s="37"/>
      <c r="M179" s="37"/>
      <c r="N179" s="30"/>
      <c r="O179" s="30"/>
      <c r="P179" s="30"/>
      <c r="Q179" s="30"/>
      <c r="R179" s="30"/>
      <c r="S179" s="30"/>
      <c r="T179" s="30"/>
      <c r="U179" s="30"/>
      <c r="V179" s="30"/>
      <c r="W179" s="30"/>
      <c r="X179" s="30"/>
      <c r="Y179" s="30"/>
      <c r="Z179" s="30"/>
      <c r="AA179" s="30"/>
      <c r="AB179" s="30"/>
      <c r="AC179" s="30"/>
      <c r="AD179" s="30"/>
    </row>
    <row r="180" ht="15.75" customHeight="1">
      <c r="A180" s="30"/>
      <c r="B180" s="30"/>
      <c r="C180" s="30"/>
      <c r="D180" s="30"/>
      <c r="E180" s="30"/>
      <c r="F180" s="30"/>
      <c r="G180" s="30"/>
      <c r="H180" s="37"/>
      <c r="I180" s="37"/>
      <c r="J180" s="37"/>
      <c r="K180" s="37"/>
      <c r="L180" s="37"/>
      <c r="M180" s="37"/>
      <c r="N180" s="30"/>
      <c r="O180" s="30"/>
      <c r="P180" s="30"/>
      <c r="Q180" s="30"/>
      <c r="R180" s="30"/>
      <c r="S180" s="30"/>
      <c r="T180" s="30"/>
      <c r="U180" s="30"/>
      <c r="V180" s="30"/>
      <c r="W180" s="30"/>
      <c r="X180" s="30"/>
      <c r="Y180" s="30"/>
      <c r="Z180" s="30"/>
      <c r="AA180" s="30"/>
      <c r="AB180" s="30"/>
      <c r="AC180" s="30"/>
      <c r="AD180" s="30"/>
    </row>
    <row r="181" ht="15.75" customHeight="1">
      <c r="A181" s="30"/>
      <c r="B181" s="30"/>
      <c r="C181" s="30"/>
      <c r="D181" s="30"/>
      <c r="E181" s="30"/>
      <c r="F181" s="30"/>
      <c r="G181" s="30"/>
      <c r="H181" s="37"/>
      <c r="I181" s="37"/>
      <c r="J181" s="37"/>
      <c r="K181" s="37"/>
      <c r="L181" s="37"/>
      <c r="M181" s="37"/>
      <c r="N181" s="30"/>
      <c r="O181" s="30"/>
      <c r="P181" s="30"/>
      <c r="Q181" s="30"/>
      <c r="R181" s="30"/>
      <c r="S181" s="30"/>
      <c r="T181" s="30"/>
      <c r="U181" s="30"/>
      <c r="V181" s="30"/>
      <c r="W181" s="30"/>
      <c r="X181" s="30"/>
      <c r="Y181" s="30"/>
      <c r="Z181" s="30"/>
      <c r="AA181" s="30"/>
      <c r="AB181" s="30"/>
      <c r="AC181" s="30"/>
      <c r="AD181" s="30"/>
    </row>
    <row r="182" ht="15.75" customHeight="1">
      <c r="A182" s="30"/>
      <c r="B182" s="30"/>
      <c r="C182" s="30"/>
      <c r="D182" s="30"/>
      <c r="E182" s="30"/>
      <c r="F182" s="30"/>
      <c r="G182" s="30"/>
      <c r="H182" s="37"/>
      <c r="I182" s="37"/>
      <c r="J182" s="37"/>
      <c r="K182" s="37"/>
      <c r="L182" s="37"/>
      <c r="M182" s="37"/>
      <c r="N182" s="30"/>
      <c r="O182" s="30"/>
      <c r="P182" s="30"/>
      <c r="Q182" s="30"/>
      <c r="R182" s="30"/>
      <c r="S182" s="30"/>
      <c r="T182" s="30"/>
      <c r="U182" s="30"/>
      <c r="V182" s="30"/>
      <c r="W182" s="30"/>
      <c r="X182" s="30"/>
      <c r="Y182" s="30"/>
      <c r="Z182" s="30"/>
      <c r="AA182" s="30"/>
      <c r="AB182" s="30"/>
      <c r="AC182" s="30"/>
      <c r="AD182" s="30"/>
    </row>
    <row r="183" ht="15.75" customHeight="1">
      <c r="A183" s="30"/>
      <c r="B183" s="30"/>
      <c r="C183" s="30"/>
      <c r="D183" s="30"/>
      <c r="E183" s="30"/>
      <c r="F183" s="30"/>
      <c r="G183" s="30"/>
      <c r="H183" s="37"/>
      <c r="I183" s="37"/>
      <c r="J183" s="37"/>
      <c r="K183" s="37"/>
      <c r="L183" s="37"/>
      <c r="M183" s="37"/>
      <c r="N183" s="30"/>
      <c r="O183" s="30"/>
      <c r="P183" s="30"/>
      <c r="Q183" s="30"/>
      <c r="R183" s="30"/>
      <c r="S183" s="30"/>
      <c r="T183" s="30"/>
      <c r="U183" s="30"/>
      <c r="V183" s="30"/>
      <c r="W183" s="30"/>
      <c r="X183" s="30"/>
      <c r="Y183" s="30"/>
      <c r="Z183" s="30"/>
      <c r="AA183" s="30"/>
      <c r="AB183" s="30"/>
      <c r="AC183" s="30"/>
      <c r="AD183" s="30"/>
    </row>
    <row r="184" ht="15.75" customHeight="1">
      <c r="A184" s="30"/>
      <c r="B184" s="30"/>
      <c r="C184" s="30"/>
      <c r="D184" s="30"/>
      <c r="E184" s="30"/>
      <c r="F184" s="30"/>
      <c r="G184" s="30"/>
      <c r="H184" s="37"/>
      <c r="I184" s="37"/>
      <c r="J184" s="37"/>
      <c r="K184" s="37"/>
      <c r="L184" s="37"/>
      <c r="M184" s="37"/>
      <c r="N184" s="30"/>
      <c r="O184" s="30"/>
      <c r="P184" s="30"/>
      <c r="Q184" s="30"/>
      <c r="R184" s="30"/>
      <c r="S184" s="30"/>
      <c r="T184" s="30"/>
      <c r="U184" s="30"/>
      <c r="V184" s="30"/>
      <c r="W184" s="30"/>
      <c r="X184" s="30"/>
      <c r="Y184" s="30"/>
      <c r="Z184" s="30"/>
      <c r="AA184" s="30"/>
      <c r="AB184" s="30"/>
      <c r="AC184" s="30"/>
      <c r="AD184" s="30"/>
    </row>
    <row r="185" ht="15.75" customHeight="1">
      <c r="A185" s="30"/>
      <c r="B185" s="30"/>
      <c r="C185" s="30"/>
      <c r="D185" s="30"/>
      <c r="E185" s="30"/>
      <c r="F185" s="30"/>
      <c r="G185" s="30"/>
      <c r="H185" s="37"/>
      <c r="I185" s="37"/>
      <c r="J185" s="37"/>
      <c r="K185" s="37"/>
      <c r="L185" s="37"/>
      <c r="M185" s="37"/>
      <c r="N185" s="30"/>
      <c r="O185" s="30"/>
      <c r="P185" s="30"/>
      <c r="Q185" s="30"/>
      <c r="R185" s="30"/>
      <c r="S185" s="30"/>
      <c r="T185" s="30"/>
      <c r="U185" s="30"/>
      <c r="V185" s="30"/>
      <c r="W185" s="30"/>
      <c r="X185" s="30"/>
      <c r="Y185" s="30"/>
      <c r="Z185" s="30"/>
      <c r="AA185" s="30"/>
      <c r="AB185" s="30"/>
      <c r="AC185" s="30"/>
      <c r="AD185" s="30"/>
    </row>
    <row r="186" ht="15.75" customHeight="1">
      <c r="A186" s="30"/>
      <c r="B186" s="30"/>
      <c r="C186" s="30"/>
      <c r="D186" s="30"/>
      <c r="E186" s="30"/>
      <c r="F186" s="30"/>
      <c r="G186" s="30"/>
      <c r="H186" s="37"/>
      <c r="I186" s="37"/>
      <c r="J186" s="37"/>
      <c r="K186" s="37"/>
      <c r="L186" s="37"/>
      <c r="M186" s="37"/>
      <c r="N186" s="30"/>
      <c r="O186" s="30"/>
      <c r="P186" s="30"/>
      <c r="Q186" s="30"/>
      <c r="R186" s="30"/>
      <c r="S186" s="30"/>
      <c r="T186" s="30"/>
      <c r="U186" s="30"/>
      <c r="V186" s="30"/>
      <c r="W186" s="30"/>
      <c r="X186" s="30"/>
      <c r="Y186" s="30"/>
      <c r="Z186" s="30"/>
      <c r="AA186" s="30"/>
      <c r="AB186" s="30"/>
      <c r="AC186" s="30"/>
      <c r="AD186" s="30"/>
    </row>
    <row r="187" ht="15.75" customHeight="1">
      <c r="A187" s="30"/>
      <c r="B187" s="30"/>
      <c r="C187" s="30"/>
      <c r="D187" s="30"/>
      <c r="E187" s="30"/>
      <c r="F187" s="30"/>
      <c r="G187" s="30"/>
      <c r="H187" s="37"/>
      <c r="I187" s="37"/>
      <c r="J187" s="37"/>
      <c r="K187" s="37"/>
      <c r="L187" s="37"/>
      <c r="M187" s="37"/>
      <c r="N187" s="30"/>
      <c r="O187" s="30"/>
      <c r="P187" s="30"/>
      <c r="Q187" s="30"/>
      <c r="R187" s="30"/>
      <c r="S187" s="30"/>
      <c r="T187" s="30"/>
      <c r="U187" s="30"/>
      <c r="V187" s="30"/>
      <c r="W187" s="30"/>
      <c r="X187" s="30"/>
      <c r="Y187" s="30"/>
      <c r="Z187" s="30"/>
      <c r="AA187" s="30"/>
      <c r="AB187" s="30"/>
      <c r="AC187" s="30"/>
      <c r="AD187" s="30"/>
    </row>
    <row r="188" ht="15.75" customHeight="1">
      <c r="A188" s="30"/>
      <c r="B188" s="30"/>
      <c r="C188" s="30"/>
      <c r="D188" s="30"/>
      <c r="E188" s="30"/>
      <c r="F188" s="30"/>
      <c r="G188" s="30"/>
      <c r="H188" s="37"/>
      <c r="I188" s="37"/>
      <c r="J188" s="37"/>
      <c r="K188" s="37"/>
      <c r="L188" s="37"/>
      <c r="M188" s="37"/>
      <c r="N188" s="30"/>
      <c r="O188" s="30"/>
      <c r="P188" s="30"/>
      <c r="Q188" s="30"/>
      <c r="R188" s="30"/>
      <c r="S188" s="30"/>
      <c r="T188" s="30"/>
      <c r="U188" s="30"/>
      <c r="V188" s="30"/>
      <c r="W188" s="30"/>
      <c r="X188" s="30"/>
      <c r="Y188" s="30"/>
      <c r="Z188" s="30"/>
      <c r="AA188" s="30"/>
      <c r="AB188" s="30"/>
      <c r="AC188" s="30"/>
      <c r="AD188" s="30"/>
    </row>
    <row r="189" ht="15.75" customHeight="1">
      <c r="A189" s="30"/>
      <c r="B189" s="30"/>
      <c r="C189" s="30"/>
      <c r="D189" s="30"/>
      <c r="E189" s="30"/>
      <c r="F189" s="30"/>
      <c r="G189" s="30"/>
      <c r="H189" s="37"/>
      <c r="I189" s="37"/>
      <c r="J189" s="37"/>
      <c r="K189" s="37"/>
      <c r="L189" s="37"/>
      <c r="M189" s="37"/>
      <c r="N189" s="30"/>
      <c r="O189" s="30"/>
      <c r="P189" s="30"/>
      <c r="Q189" s="30"/>
      <c r="R189" s="30"/>
      <c r="S189" s="30"/>
      <c r="T189" s="30"/>
      <c r="U189" s="30"/>
      <c r="V189" s="30"/>
      <c r="W189" s="30"/>
      <c r="X189" s="30"/>
      <c r="Y189" s="30"/>
      <c r="Z189" s="30"/>
      <c r="AA189" s="30"/>
      <c r="AB189" s="30"/>
      <c r="AC189" s="30"/>
      <c r="AD189" s="30"/>
    </row>
    <row r="190" ht="15.75" customHeight="1">
      <c r="A190" s="30"/>
      <c r="B190" s="30"/>
      <c r="C190" s="30"/>
      <c r="D190" s="30"/>
      <c r="E190" s="30"/>
      <c r="F190" s="30"/>
      <c r="G190" s="30"/>
      <c r="H190" s="37"/>
      <c r="I190" s="37"/>
      <c r="J190" s="37"/>
      <c r="K190" s="37"/>
      <c r="L190" s="37"/>
      <c r="M190" s="37"/>
      <c r="N190" s="30"/>
      <c r="O190" s="30"/>
      <c r="P190" s="30"/>
      <c r="Q190" s="30"/>
      <c r="R190" s="30"/>
      <c r="S190" s="30"/>
      <c r="T190" s="30"/>
      <c r="U190" s="30"/>
      <c r="V190" s="30"/>
      <c r="W190" s="30"/>
      <c r="X190" s="30"/>
      <c r="Y190" s="30"/>
      <c r="Z190" s="30"/>
      <c r="AA190" s="30"/>
      <c r="AB190" s="30"/>
      <c r="AC190" s="30"/>
      <c r="AD190" s="30"/>
    </row>
    <row r="191" ht="15.75" customHeight="1">
      <c r="A191" s="30"/>
      <c r="B191" s="30"/>
      <c r="C191" s="30"/>
      <c r="D191" s="30"/>
      <c r="E191" s="30"/>
      <c r="F191" s="30"/>
      <c r="G191" s="30"/>
      <c r="H191" s="37"/>
      <c r="I191" s="37"/>
      <c r="J191" s="37"/>
      <c r="K191" s="37"/>
      <c r="L191" s="37"/>
      <c r="M191" s="37"/>
      <c r="N191" s="30"/>
      <c r="O191" s="30"/>
      <c r="P191" s="30"/>
      <c r="Q191" s="30"/>
      <c r="R191" s="30"/>
      <c r="S191" s="30"/>
      <c r="T191" s="30"/>
      <c r="U191" s="30"/>
      <c r="V191" s="30"/>
      <c r="W191" s="30"/>
      <c r="X191" s="30"/>
      <c r="Y191" s="30"/>
      <c r="Z191" s="30"/>
      <c r="AA191" s="30"/>
      <c r="AB191" s="30"/>
      <c r="AC191" s="30"/>
      <c r="AD191" s="30"/>
    </row>
    <row r="192" ht="15.75" customHeight="1">
      <c r="A192" s="30"/>
      <c r="B192" s="30"/>
      <c r="C192" s="30"/>
      <c r="D192" s="30"/>
      <c r="E192" s="30"/>
      <c r="F192" s="30"/>
      <c r="G192" s="30"/>
      <c r="H192" s="37"/>
      <c r="I192" s="37"/>
      <c r="J192" s="37"/>
      <c r="K192" s="37"/>
      <c r="L192" s="37"/>
      <c r="M192" s="37"/>
      <c r="N192" s="30"/>
      <c r="O192" s="30"/>
      <c r="P192" s="30"/>
      <c r="Q192" s="30"/>
      <c r="R192" s="30"/>
      <c r="S192" s="30"/>
      <c r="T192" s="30"/>
      <c r="U192" s="30"/>
      <c r="V192" s="30"/>
      <c r="W192" s="30"/>
      <c r="X192" s="30"/>
      <c r="Y192" s="30"/>
      <c r="Z192" s="30"/>
      <c r="AA192" s="30"/>
      <c r="AB192" s="30"/>
      <c r="AC192" s="30"/>
      <c r="AD192" s="30"/>
    </row>
    <row r="193" ht="15.75" customHeight="1">
      <c r="A193" s="30"/>
      <c r="B193" s="30"/>
      <c r="C193" s="30"/>
      <c r="D193" s="30"/>
      <c r="E193" s="30"/>
      <c r="F193" s="30"/>
      <c r="G193" s="30"/>
      <c r="H193" s="37"/>
      <c r="I193" s="37"/>
      <c r="J193" s="37"/>
      <c r="K193" s="37"/>
      <c r="L193" s="37"/>
      <c r="M193" s="37"/>
      <c r="N193" s="30"/>
      <c r="O193" s="30"/>
      <c r="P193" s="30"/>
      <c r="Q193" s="30"/>
      <c r="R193" s="30"/>
      <c r="S193" s="30"/>
      <c r="T193" s="30"/>
      <c r="U193" s="30"/>
      <c r="V193" s="30"/>
      <c r="W193" s="30"/>
      <c r="X193" s="30"/>
      <c r="Y193" s="30"/>
      <c r="Z193" s="30"/>
      <c r="AA193" s="30"/>
      <c r="AB193" s="30"/>
      <c r="AC193" s="30"/>
      <c r="AD193" s="30"/>
    </row>
    <row r="194" ht="15.75" customHeight="1">
      <c r="A194" s="30"/>
      <c r="B194" s="30"/>
      <c r="C194" s="30"/>
      <c r="D194" s="30"/>
      <c r="E194" s="30"/>
      <c r="F194" s="30"/>
      <c r="G194" s="30"/>
      <c r="H194" s="37"/>
      <c r="I194" s="37"/>
      <c r="J194" s="37"/>
      <c r="K194" s="37"/>
      <c r="L194" s="37"/>
      <c r="M194" s="37"/>
      <c r="N194" s="30"/>
      <c r="O194" s="30"/>
      <c r="P194" s="30"/>
      <c r="Q194" s="30"/>
      <c r="R194" s="30"/>
      <c r="S194" s="30"/>
      <c r="T194" s="30"/>
      <c r="U194" s="30"/>
      <c r="V194" s="30"/>
      <c r="W194" s="30"/>
      <c r="X194" s="30"/>
      <c r="Y194" s="30"/>
      <c r="Z194" s="30"/>
      <c r="AA194" s="30"/>
      <c r="AB194" s="30"/>
      <c r="AC194" s="30"/>
      <c r="AD194" s="30"/>
    </row>
    <row r="195" ht="15.75" customHeight="1">
      <c r="A195" s="30"/>
      <c r="B195" s="30"/>
      <c r="C195" s="30"/>
      <c r="D195" s="30"/>
      <c r="E195" s="30"/>
      <c r="F195" s="30"/>
      <c r="G195" s="30"/>
      <c r="H195" s="37"/>
      <c r="I195" s="37"/>
      <c r="J195" s="37"/>
      <c r="K195" s="37"/>
      <c r="L195" s="37"/>
      <c r="M195" s="37"/>
      <c r="N195" s="30"/>
      <c r="O195" s="30"/>
      <c r="P195" s="30"/>
      <c r="Q195" s="30"/>
      <c r="R195" s="30"/>
      <c r="S195" s="30"/>
      <c r="T195" s="30"/>
      <c r="U195" s="30"/>
      <c r="V195" s="30"/>
      <c r="W195" s="30"/>
      <c r="X195" s="30"/>
      <c r="Y195" s="30"/>
      <c r="Z195" s="30"/>
      <c r="AA195" s="30"/>
      <c r="AB195" s="30"/>
      <c r="AC195" s="30"/>
      <c r="AD195" s="30"/>
    </row>
    <row r="196" ht="15.75" customHeight="1">
      <c r="A196" s="30"/>
      <c r="B196" s="30"/>
      <c r="C196" s="30"/>
      <c r="D196" s="30"/>
      <c r="E196" s="30"/>
      <c r="F196" s="30"/>
      <c r="G196" s="30"/>
      <c r="H196" s="37"/>
      <c r="I196" s="37"/>
      <c r="J196" s="37"/>
      <c r="K196" s="37"/>
      <c r="L196" s="37"/>
      <c r="M196" s="37"/>
      <c r="N196" s="30"/>
      <c r="O196" s="30"/>
      <c r="P196" s="30"/>
      <c r="Q196" s="30"/>
      <c r="R196" s="30"/>
      <c r="S196" s="30"/>
      <c r="T196" s="30"/>
      <c r="U196" s="30"/>
      <c r="V196" s="30"/>
      <c r="W196" s="30"/>
      <c r="X196" s="30"/>
      <c r="Y196" s="30"/>
      <c r="Z196" s="30"/>
      <c r="AA196" s="30"/>
      <c r="AB196" s="30"/>
      <c r="AC196" s="30"/>
      <c r="AD196" s="30"/>
    </row>
    <row r="197" ht="15.75" customHeight="1">
      <c r="A197" s="30"/>
      <c r="B197" s="30"/>
      <c r="C197" s="30"/>
      <c r="D197" s="30"/>
      <c r="E197" s="30"/>
      <c r="F197" s="30"/>
      <c r="G197" s="30"/>
      <c r="H197" s="37"/>
      <c r="I197" s="37"/>
      <c r="J197" s="37"/>
      <c r="K197" s="37"/>
      <c r="L197" s="37"/>
      <c r="M197" s="37"/>
      <c r="N197" s="30"/>
      <c r="O197" s="30"/>
      <c r="P197" s="30"/>
      <c r="Q197" s="30"/>
      <c r="R197" s="30"/>
      <c r="S197" s="30"/>
      <c r="T197" s="30"/>
      <c r="U197" s="30"/>
      <c r="V197" s="30"/>
      <c r="W197" s="30"/>
      <c r="X197" s="30"/>
      <c r="Y197" s="30"/>
      <c r="Z197" s="30"/>
      <c r="AA197" s="30"/>
      <c r="AB197" s="30"/>
      <c r="AC197" s="30"/>
      <c r="AD197" s="30"/>
    </row>
    <row r="198" ht="15.75" customHeight="1">
      <c r="A198" s="30"/>
      <c r="B198" s="30"/>
      <c r="C198" s="30"/>
      <c r="D198" s="30"/>
      <c r="E198" s="30"/>
      <c r="F198" s="30"/>
      <c r="G198" s="30"/>
      <c r="H198" s="37"/>
      <c r="I198" s="37"/>
      <c r="J198" s="37"/>
      <c r="K198" s="37"/>
      <c r="L198" s="37"/>
      <c r="M198" s="37"/>
      <c r="N198" s="30"/>
      <c r="O198" s="30"/>
      <c r="P198" s="30"/>
      <c r="Q198" s="30"/>
      <c r="R198" s="30"/>
      <c r="S198" s="30"/>
      <c r="T198" s="30"/>
      <c r="U198" s="30"/>
      <c r="V198" s="30"/>
      <c r="W198" s="30"/>
      <c r="X198" s="30"/>
      <c r="Y198" s="30"/>
      <c r="Z198" s="30"/>
      <c r="AA198" s="30"/>
      <c r="AB198" s="30"/>
      <c r="AC198" s="30"/>
      <c r="AD198" s="30"/>
    </row>
    <row r="199" ht="15.75" customHeight="1">
      <c r="A199" s="30"/>
      <c r="B199" s="30"/>
      <c r="C199" s="30"/>
      <c r="D199" s="30"/>
      <c r="E199" s="30"/>
      <c r="F199" s="30"/>
      <c r="G199" s="30"/>
      <c r="H199" s="37"/>
      <c r="I199" s="37"/>
      <c r="J199" s="37"/>
      <c r="K199" s="37"/>
      <c r="L199" s="37"/>
      <c r="M199" s="37"/>
      <c r="N199" s="30"/>
      <c r="O199" s="30"/>
      <c r="P199" s="30"/>
      <c r="Q199" s="30"/>
      <c r="R199" s="30"/>
      <c r="S199" s="30"/>
      <c r="T199" s="30"/>
      <c r="U199" s="30"/>
      <c r="V199" s="30"/>
      <c r="W199" s="30"/>
      <c r="X199" s="30"/>
      <c r="Y199" s="30"/>
      <c r="Z199" s="30"/>
      <c r="AA199" s="30"/>
      <c r="AB199" s="30"/>
      <c r="AC199" s="30"/>
      <c r="AD199" s="30"/>
    </row>
    <row r="200" ht="15.75" customHeight="1">
      <c r="A200" s="30"/>
      <c r="B200" s="30"/>
      <c r="C200" s="30"/>
      <c r="D200" s="30"/>
      <c r="E200" s="30"/>
      <c r="F200" s="30"/>
      <c r="G200" s="30"/>
      <c r="H200" s="37"/>
      <c r="I200" s="37"/>
      <c r="J200" s="37"/>
      <c r="K200" s="37"/>
      <c r="L200" s="37"/>
      <c r="M200" s="37"/>
      <c r="N200" s="30"/>
      <c r="O200" s="30"/>
      <c r="P200" s="30"/>
      <c r="Q200" s="30"/>
      <c r="R200" s="30"/>
      <c r="S200" s="30"/>
      <c r="T200" s="30"/>
      <c r="U200" s="30"/>
      <c r="V200" s="30"/>
      <c r="W200" s="30"/>
      <c r="X200" s="30"/>
      <c r="Y200" s="30"/>
      <c r="Z200" s="30"/>
      <c r="AA200" s="30"/>
      <c r="AB200" s="30"/>
      <c r="AC200" s="30"/>
      <c r="AD200" s="30"/>
    </row>
    <row r="201" ht="15.75" customHeight="1">
      <c r="A201" s="30"/>
      <c r="B201" s="30"/>
      <c r="C201" s="30"/>
      <c r="D201" s="30"/>
      <c r="E201" s="30"/>
      <c r="F201" s="30"/>
      <c r="G201" s="30"/>
      <c r="H201" s="37"/>
      <c r="I201" s="37"/>
      <c r="J201" s="37"/>
      <c r="K201" s="37"/>
      <c r="L201" s="37"/>
      <c r="M201" s="37"/>
      <c r="N201" s="30"/>
      <c r="O201" s="30"/>
      <c r="P201" s="30"/>
      <c r="Q201" s="30"/>
      <c r="R201" s="30"/>
      <c r="S201" s="30"/>
      <c r="T201" s="30"/>
      <c r="U201" s="30"/>
      <c r="V201" s="30"/>
      <c r="W201" s="30"/>
      <c r="X201" s="30"/>
      <c r="Y201" s="30"/>
      <c r="Z201" s="30"/>
      <c r="AA201" s="30"/>
      <c r="AB201" s="30"/>
      <c r="AC201" s="30"/>
      <c r="AD201" s="30"/>
    </row>
    <row r="202" ht="15.75" customHeight="1">
      <c r="A202" s="30"/>
      <c r="B202" s="30"/>
      <c r="C202" s="30"/>
      <c r="D202" s="30"/>
      <c r="E202" s="30"/>
      <c r="F202" s="30"/>
      <c r="G202" s="30"/>
      <c r="H202" s="37"/>
      <c r="I202" s="37"/>
      <c r="J202" s="37"/>
      <c r="K202" s="37"/>
      <c r="L202" s="37"/>
      <c r="M202" s="37"/>
      <c r="N202" s="30"/>
      <c r="O202" s="30"/>
      <c r="P202" s="30"/>
      <c r="Q202" s="30"/>
      <c r="R202" s="30"/>
      <c r="S202" s="30"/>
      <c r="T202" s="30"/>
      <c r="U202" s="30"/>
      <c r="V202" s="30"/>
      <c r="W202" s="30"/>
      <c r="X202" s="30"/>
      <c r="Y202" s="30"/>
      <c r="Z202" s="30"/>
      <c r="AA202" s="30"/>
      <c r="AB202" s="30"/>
      <c r="AC202" s="30"/>
      <c r="AD202" s="30"/>
    </row>
    <row r="203" ht="15.75" customHeight="1">
      <c r="A203" s="30"/>
      <c r="B203" s="30"/>
      <c r="C203" s="30"/>
      <c r="D203" s="30"/>
      <c r="E203" s="30"/>
      <c r="F203" s="30"/>
      <c r="G203" s="30"/>
      <c r="H203" s="37"/>
      <c r="I203" s="37"/>
      <c r="J203" s="37"/>
      <c r="K203" s="37"/>
      <c r="L203" s="37"/>
      <c r="M203" s="37"/>
      <c r="N203" s="30"/>
      <c r="O203" s="30"/>
      <c r="P203" s="30"/>
      <c r="Q203" s="30"/>
      <c r="R203" s="30"/>
      <c r="S203" s="30"/>
      <c r="T203" s="30"/>
      <c r="U203" s="30"/>
      <c r="V203" s="30"/>
      <c r="W203" s="30"/>
      <c r="X203" s="30"/>
      <c r="Y203" s="30"/>
      <c r="Z203" s="30"/>
      <c r="AA203" s="30"/>
      <c r="AB203" s="30"/>
      <c r="AC203" s="30"/>
      <c r="AD203" s="30"/>
    </row>
    <row r="204" ht="15.75" customHeight="1">
      <c r="A204" s="30"/>
      <c r="B204" s="30"/>
      <c r="C204" s="30"/>
      <c r="D204" s="30"/>
      <c r="E204" s="30"/>
      <c r="F204" s="30"/>
      <c r="G204" s="30"/>
      <c r="H204" s="37"/>
      <c r="I204" s="37"/>
      <c r="J204" s="37"/>
      <c r="K204" s="37"/>
      <c r="L204" s="37"/>
      <c r="M204" s="37"/>
      <c r="N204" s="30"/>
      <c r="O204" s="30"/>
      <c r="P204" s="30"/>
      <c r="Q204" s="30"/>
      <c r="R204" s="30"/>
      <c r="S204" s="30"/>
      <c r="T204" s="30"/>
      <c r="U204" s="30"/>
      <c r="V204" s="30"/>
      <c r="W204" s="30"/>
      <c r="X204" s="30"/>
      <c r="Y204" s="30"/>
      <c r="Z204" s="30"/>
      <c r="AA204" s="30"/>
      <c r="AB204" s="30"/>
      <c r="AC204" s="30"/>
      <c r="AD204" s="30"/>
    </row>
    <row r="205" ht="15.75" customHeight="1">
      <c r="A205" s="30"/>
      <c r="B205" s="30"/>
      <c r="C205" s="30"/>
      <c r="D205" s="30"/>
      <c r="E205" s="30"/>
      <c r="F205" s="30"/>
      <c r="G205" s="30"/>
      <c r="H205" s="37"/>
      <c r="I205" s="37"/>
      <c r="J205" s="37"/>
      <c r="K205" s="37"/>
      <c r="L205" s="37"/>
      <c r="M205" s="37"/>
      <c r="N205" s="30"/>
      <c r="O205" s="30"/>
      <c r="P205" s="30"/>
      <c r="Q205" s="30"/>
      <c r="R205" s="30"/>
      <c r="S205" s="30"/>
      <c r="T205" s="30"/>
      <c r="U205" s="30"/>
      <c r="V205" s="30"/>
      <c r="W205" s="30"/>
      <c r="X205" s="30"/>
      <c r="Y205" s="30"/>
      <c r="Z205" s="30"/>
      <c r="AA205" s="30"/>
      <c r="AB205" s="30"/>
      <c r="AC205" s="30"/>
      <c r="AD205" s="30"/>
    </row>
    <row r="206" ht="15.75" customHeight="1">
      <c r="A206" s="30"/>
      <c r="B206" s="30"/>
      <c r="C206" s="30"/>
      <c r="D206" s="30"/>
      <c r="E206" s="30"/>
      <c r="F206" s="30"/>
      <c r="G206" s="30"/>
      <c r="H206" s="37"/>
      <c r="I206" s="37"/>
      <c r="J206" s="37"/>
      <c r="K206" s="37"/>
      <c r="L206" s="37"/>
      <c r="M206" s="37"/>
      <c r="N206" s="30"/>
      <c r="O206" s="30"/>
      <c r="P206" s="30"/>
      <c r="Q206" s="30"/>
      <c r="R206" s="30"/>
      <c r="S206" s="30"/>
      <c r="T206" s="30"/>
      <c r="U206" s="30"/>
      <c r="V206" s="30"/>
      <c r="W206" s="30"/>
      <c r="X206" s="30"/>
      <c r="Y206" s="30"/>
      <c r="Z206" s="30"/>
      <c r="AA206" s="30"/>
      <c r="AB206" s="30"/>
      <c r="AC206" s="30"/>
      <c r="AD206" s="30"/>
    </row>
    <row r="207" ht="15.75" customHeight="1">
      <c r="A207" s="30"/>
      <c r="B207" s="30"/>
      <c r="C207" s="30"/>
      <c r="D207" s="30"/>
      <c r="E207" s="30"/>
      <c r="F207" s="30"/>
      <c r="G207" s="30"/>
      <c r="H207" s="37"/>
      <c r="I207" s="37"/>
      <c r="J207" s="37"/>
      <c r="K207" s="37"/>
      <c r="L207" s="37"/>
      <c r="M207" s="37"/>
      <c r="N207" s="30"/>
      <c r="O207" s="30"/>
      <c r="P207" s="30"/>
      <c r="Q207" s="30"/>
      <c r="R207" s="30"/>
      <c r="S207" s="30"/>
      <c r="T207" s="30"/>
      <c r="U207" s="30"/>
      <c r="V207" s="30"/>
      <c r="W207" s="30"/>
      <c r="X207" s="30"/>
      <c r="Y207" s="30"/>
      <c r="Z207" s="30"/>
      <c r="AA207" s="30"/>
      <c r="AB207" s="30"/>
      <c r="AC207" s="30"/>
      <c r="AD207" s="30"/>
    </row>
    <row r="208" ht="15.75" customHeight="1">
      <c r="A208" s="30"/>
      <c r="B208" s="30"/>
      <c r="C208" s="30"/>
      <c r="D208" s="30"/>
      <c r="E208" s="30"/>
      <c r="F208" s="30"/>
      <c r="G208" s="30"/>
      <c r="H208" s="37"/>
      <c r="I208" s="37"/>
      <c r="J208" s="37"/>
      <c r="K208" s="37"/>
      <c r="L208" s="37"/>
      <c r="M208" s="37"/>
      <c r="N208" s="30"/>
      <c r="O208" s="30"/>
      <c r="P208" s="30"/>
      <c r="Q208" s="30"/>
      <c r="R208" s="30"/>
      <c r="S208" s="30"/>
      <c r="T208" s="30"/>
      <c r="U208" s="30"/>
      <c r="V208" s="30"/>
      <c r="W208" s="30"/>
      <c r="X208" s="30"/>
      <c r="Y208" s="30"/>
      <c r="Z208" s="30"/>
      <c r="AA208" s="30"/>
      <c r="AB208" s="30"/>
      <c r="AC208" s="30"/>
      <c r="AD208" s="30"/>
    </row>
    <row r="209" ht="15.75" customHeight="1">
      <c r="A209" s="30"/>
      <c r="B209" s="30"/>
      <c r="C209" s="30"/>
      <c r="D209" s="30"/>
      <c r="E209" s="30"/>
      <c r="F209" s="30"/>
      <c r="G209" s="30"/>
      <c r="H209" s="37"/>
      <c r="I209" s="37"/>
      <c r="J209" s="37"/>
      <c r="K209" s="37"/>
      <c r="L209" s="37"/>
      <c r="M209" s="37"/>
      <c r="N209" s="30"/>
      <c r="O209" s="30"/>
      <c r="P209" s="30"/>
      <c r="Q209" s="30"/>
      <c r="R209" s="30"/>
      <c r="S209" s="30"/>
      <c r="T209" s="30"/>
      <c r="U209" s="30"/>
      <c r="V209" s="30"/>
      <c r="W209" s="30"/>
      <c r="X209" s="30"/>
      <c r="Y209" s="30"/>
      <c r="Z209" s="30"/>
      <c r="AA209" s="30"/>
      <c r="AB209" s="30"/>
      <c r="AC209" s="30"/>
      <c r="AD209" s="30"/>
    </row>
    <row r="210" ht="15.75" customHeight="1">
      <c r="A210" s="30"/>
      <c r="B210" s="30"/>
      <c r="C210" s="30"/>
      <c r="D210" s="30"/>
      <c r="E210" s="30"/>
      <c r="F210" s="30"/>
      <c r="G210" s="30"/>
      <c r="H210" s="37"/>
      <c r="I210" s="37"/>
      <c r="J210" s="37"/>
      <c r="K210" s="37"/>
      <c r="L210" s="37"/>
      <c r="M210" s="37"/>
      <c r="N210" s="30"/>
      <c r="O210" s="30"/>
      <c r="P210" s="30"/>
      <c r="Q210" s="30"/>
      <c r="R210" s="30"/>
      <c r="S210" s="30"/>
      <c r="T210" s="30"/>
      <c r="U210" s="30"/>
      <c r="V210" s="30"/>
      <c r="W210" s="30"/>
      <c r="X210" s="30"/>
      <c r="Y210" s="30"/>
      <c r="Z210" s="30"/>
      <c r="AA210" s="30"/>
      <c r="AB210" s="30"/>
      <c r="AC210" s="30"/>
      <c r="AD210" s="30"/>
    </row>
    <row r="211" ht="15.75" customHeight="1">
      <c r="A211" s="30"/>
      <c r="B211" s="30"/>
      <c r="C211" s="30"/>
      <c r="D211" s="30"/>
      <c r="E211" s="30"/>
      <c r="F211" s="30"/>
      <c r="G211" s="30"/>
      <c r="H211" s="37"/>
      <c r="I211" s="37"/>
      <c r="J211" s="37"/>
      <c r="K211" s="37"/>
      <c r="L211" s="37"/>
      <c r="M211" s="37"/>
      <c r="N211" s="30"/>
      <c r="O211" s="30"/>
      <c r="P211" s="30"/>
      <c r="Q211" s="30"/>
      <c r="R211" s="30"/>
      <c r="S211" s="30"/>
      <c r="T211" s="30"/>
      <c r="U211" s="30"/>
      <c r="V211" s="30"/>
      <c r="W211" s="30"/>
      <c r="X211" s="30"/>
      <c r="Y211" s="30"/>
      <c r="Z211" s="30"/>
      <c r="AA211" s="30"/>
      <c r="AB211" s="30"/>
      <c r="AC211" s="30"/>
      <c r="AD211" s="30"/>
    </row>
    <row r="212" ht="15.75" customHeight="1">
      <c r="A212" s="30"/>
      <c r="B212" s="30"/>
      <c r="C212" s="30"/>
      <c r="D212" s="30"/>
      <c r="E212" s="30"/>
      <c r="F212" s="30"/>
      <c r="G212" s="30"/>
      <c r="H212" s="37"/>
      <c r="I212" s="37"/>
      <c r="J212" s="37"/>
      <c r="K212" s="37"/>
      <c r="L212" s="37"/>
      <c r="M212" s="37"/>
      <c r="N212" s="30"/>
      <c r="O212" s="30"/>
      <c r="P212" s="30"/>
      <c r="Q212" s="30"/>
      <c r="R212" s="30"/>
      <c r="S212" s="30"/>
      <c r="T212" s="30"/>
      <c r="U212" s="30"/>
      <c r="V212" s="30"/>
      <c r="W212" s="30"/>
      <c r="X212" s="30"/>
      <c r="Y212" s="30"/>
      <c r="Z212" s="30"/>
      <c r="AA212" s="30"/>
      <c r="AB212" s="30"/>
      <c r="AC212" s="30"/>
      <c r="AD212" s="30"/>
    </row>
    <row r="213" ht="15.75" customHeight="1">
      <c r="A213" s="30"/>
      <c r="B213" s="30"/>
      <c r="C213" s="30"/>
      <c r="D213" s="30"/>
      <c r="E213" s="30"/>
      <c r="F213" s="30"/>
      <c r="G213" s="30"/>
      <c r="H213" s="37"/>
      <c r="I213" s="37"/>
      <c r="J213" s="37"/>
      <c r="K213" s="37"/>
      <c r="L213" s="37"/>
      <c r="M213" s="37"/>
      <c r="N213" s="30"/>
      <c r="O213" s="30"/>
      <c r="P213" s="30"/>
      <c r="Q213" s="30"/>
      <c r="R213" s="30"/>
      <c r="S213" s="30"/>
      <c r="T213" s="30"/>
      <c r="U213" s="30"/>
      <c r="V213" s="30"/>
      <c r="W213" s="30"/>
      <c r="X213" s="30"/>
      <c r="Y213" s="30"/>
      <c r="Z213" s="30"/>
      <c r="AA213" s="30"/>
      <c r="AB213" s="30"/>
      <c r="AC213" s="30"/>
      <c r="AD213" s="30"/>
    </row>
    <row r="214" ht="15.75" customHeight="1">
      <c r="A214" s="30"/>
      <c r="B214" s="30"/>
      <c r="C214" s="30"/>
      <c r="D214" s="30"/>
      <c r="E214" s="30"/>
      <c r="F214" s="30"/>
      <c r="G214" s="30"/>
      <c r="H214" s="37"/>
      <c r="I214" s="37"/>
      <c r="J214" s="37"/>
      <c r="K214" s="37"/>
      <c r="L214" s="37"/>
      <c r="M214" s="37"/>
      <c r="N214" s="30"/>
      <c r="O214" s="30"/>
      <c r="P214" s="30"/>
      <c r="Q214" s="30"/>
      <c r="R214" s="30"/>
      <c r="S214" s="30"/>
      <c r="T214" s="30"/>
      <c r="U214" s="30"/>
      <c r="V214" s="30"/>
      <c r="W214" s="30"/>
      <c r="X214" s="30"/>
      <c r="Y214" s="30"/>
      <c r="Z214" s="30"/>
      <c r="AA214" s="30"/>
      <c r="AB214" s="30"/>
      <c r="AC214" s="30"/>
      <c r="AD214" s="30"/>
    </row>
    <row r="215" ht="15.75" customHeight="1">
      <c r="A215" s="30"/>
      <c r="B215" s="30"/>
      <c r="C215" s="30"/>
      <c r="D215" s="30"/>
      <c r="E215" s="30"/>
      <c r="F215" s="30"/>
      <c r="G215" s="30"/>
      <c r="H215" s="37"/>
      <c r="I215" s="37"/>
      <c r="J215" s="37"/>
      <c r="K215" s="37"/>
      <c r="L215" s="37"/>
      <c r="M215" s="37"/>
      <c r="N215" s="30"/>
      <c r="O215" s="30"/>
      <c r="P215" s="30"/>
      <c r="Q215" s="30"/>
      <c r="R215" s="30"/>
      <c r="S215" s="30"/>
      <c r="T215" s="30"/>
      <c r="U215" s="30"/>
      <c r="V215" s="30"/>
      <c r="W215" s="30"/>
      <c r="X215" s="30"/>
      <c r="Y215" s="30"/>
      <c r="Z215" s="30"/>
      <c r="AA215" s="30"/>
      <c r="AB215" s="30"/>
      <c r="AC215" s="30"/>
      <c r="AD215" s="30"/>
    </row>
    <row r="216" ht="15.75" customHeight="1">
      <c r="A216" s="30"/>
      <c r="B216" s="30"/>
      <c r="C216" s="30"/>
      <c r="D216" s="30"/>
      <c r="E216" s="30"/>
      <c r="F216" s="30"/>
      <c r="G216" s="30"/>
      <c r="H216" s="37"/>
      <c r="I216" s="37"/>
      <c r="J216" s="37"/>
      <c r="K216" s="37"/>
      <c r="L216" s="37"/>
      <c r="M216" s="37"/>
      <c r="N216" s="30"/>
      <c r="O216" s="30"/>
      <c r="P216" s="30"/>
      <c r="Q216" s="30"/>
      <c r="R216" s="30"/>
      <c r="S216" s="30"/>
      <c r="T216" s="30"/>
      <c r="U216" s="30"/>
      <c r="V216" s="30"/>
      <c r="W216" s="30"/>
      <c r="X216" s="30"/>
      <c r="Y216" s="30"/>
      <c r="Z216" s="30"/>
      <c r="AA216" s="30"/>
      <c r="AB216" s="30"/>
      <c r="AC216" s="30"/>
      <c r="AD216" s="30"/>
    </row>
    <row r="217" ht="15.75" customHeight="1">
      <c r="A217" s="30"/>
      <c r="B217" s="30"/>
      <c r="C217" s="30"/>
      <c r="D217" s="30"/>
      <c r="E217" s="30"/>
      <c r="F217" s="30"/>
      <c r="G217" s="30"/>
      <c r="H217" s="37"/>
      <c r="I217" s="37"/>
      <c r="J217" s="37"/>
      <c r="K217" s="37"/>
      <c r="L217" s="37"/>
      <c r="M217" s="37"/>
      <c r="N217" s="30"/>
      <c r="O217" s="30"/>
      <c r="P217" s="30"/>
      <c r="Q217" s="30"/>
      <c r="R217" s="30"/>
      <c r="S217" s="30"/>
      <c r="T217" s="30"/>
      <c r="U217" s="30"/>
      <c r="V217" s="30"/>
      <c r="W217" s="30"/>
      <c r="X217" s="30"/>
      <c r="Y217" s="30"/>
      <c r="Z217" s="30"/>
      <c r="AA217" s="30"/>
      <c r="AB217" s="30"/>
      <c r="AC217" s="30"/>
      <c r="AD217" s="30"/>
    </row>
    <row r="218" ht="15.75" customHeight="1">
      <c r="A218" s="30"/>
      <c r="B218" s="30"/>
      <c r="C218" s="30"/>
      <c r="D218" s="30"/>
      <c r="E218" s="30"/>
      <c r="F218" s="30"/>
      <c r="G218" s="30"/>
      <c r="H218" s="37"/>
      <c r="I218" s="37"/>
      <c r="J218" s="37"/>
      <c r="K218" s="37"/>
      <c r="L218" s="37"/>
      <c r="M218" s="37"/>
      <c r="N218" s="30"/>
      <c r="O218" s="30"/>
      <c r="P218" s="30"/>
      <c r="Q218" s="30"/>
      <c r="R218" s="30"/>
      <c r="S218" s="30"/>
      <c r="T218" s="30"/>
      <c r="U218" s="30"/>
      <c r="V218" s="30"/>
      <c r="W218" s="30"/>
      <c r="X218" s="30"/>
      <c r="Y218" s="30"/>
      <c r="Z218" s="30"/>
      <c r="AA218" s="30"/>
      <c r="AB218" s="30"/>
      <c r="AC218" s="30"/>
      <c r="AD218" s="30"/>
    </row>
    <row r="219" ht="15.75" customHeight="1">
      <c r="A219" s="30"/>
      <c r="B219" s="30"/>
      <c r="C219" s="30"/>
      <c r="D219" s="30"/>
      <c r="E219" s="30"/>
      <c r="F219" s="30"/>
      <c r="G219" s="30"/>
      <c r="H219" s="37"/>
      <c r="I219" s="37"/>
      <c r="J219" s="37"/>
      <c r="K219" s="37"/>
      <c r="L219" s="37"/>
      <c r="M219" s="37"/>
      <c r="N219" s="30"/>
      <c r="O219" s="30"/>
      <c r="P219" s="30"/>
      <c r="Q219" s="30"/>
      <c r="R219" s="30"/>
      <c r="S219" s="30"/>
      <c r="T219" s="30"/>
      <c r="U219" s="30"/>
      <c r="V219" s="30"/>
      <c r="W219" s="30"/>
      <c r="X219" s="30"/>
      <c r="Y219" s="30"/>
      <c r="Z219" s="30"/>
      <c r="AA219" s="30"/>
      <c r="AB219" s="30"/>
      <c r="AC219" s="30"/>
      <c r="AD219" s="30"/>
    </row>
    <row r="220" ht="15.75" customHeight="1">
      <c r="A220" s="30"/>
      <c r="B220" s="30"/>
      <c r="C220" s="30"/>
      <c r="D220" s="30"/>
      <c r="E220" s="30"/>
      <c r="F220" s="30"/>
      <c r="G220" s="30"/>
      <c r="H220" s="37"/>
      <c r="I220" s="37"/>
      <c r="J220" s="37"/>
      <c r="K220" s="37"/>
      <c r="L220" s="37"/>
      <c r="M220" s="37"/>
      <c r="N220" s="30"/>
      <c r="O220" s="30"/>
      <c r="P220" s="30"/>
      <c r="Q220" s="30"/>
      <c r="R220" s="30"/>
      <c r="S220" s="30"/>
      <c r="T220" s="30"/>
      <c r="U220" s="30"/>
      <c r="V220" s="30"/>
      <c r="W220" s="30"/>
      <c r="X220" s="30"/>
      <c r="Y220" s="30"/>
      <c r="Z220" s="30"/>
      <c r="AA220" s="30"/>
      <c r="AB220" s="30"/>
      <c r="AC220" s="30"/>
      <c r="AD220" s="30"/>
    </row>
    <row r="221" ht="15.75" customHeight="1">
      <c r="A221" s="30"/>
      <c r="B221" s="30"/>
      <c r="C221" s="30"/>
      <c r="D221" s="30"/>
      <c r="E221" s="30"/>
      <c r="F221" s="30"/>
      <c r="G221" s="30"/>
      <c r="H221" s="37"/>
      <c r="I221" s="37"/>
      <c r="J221" s="37"/>
      <c r="K221" s="37"/>
      <c r="L221" s="37"/>
      <c r="M221" s="37"/>
      <c r="N221" s="30"/>
      <c r="O221" s="30"/>
      <c r="P221" s="30"/>
      <c r="Q221" s="30"/>
      <c r="R221" s="30"/>
      <c r="S221" s="30"/>
      <c r="T221" s="30"/>
      <c r="U221" s="30"/>
      <c r="V221" s="30"/>
      <c r="W221" s="30"/>
      <c r="X221" s="30"/>
      <c r="Y221" s="30"/>
      <c r="Z221" s="30"/>
      <c r="AA221" s="30"/>
      <c r="AB221" s="30"/>
      <c r="AC221" s="30"/>
      <c r="AD221" s="30"/>
    </row>
    <row r="222" ht="15.75" customHeight="1">
      <c r="A222" s="30"/>
      <c r="B222" s="30"/>
      <c r="C222" s="30"/>
      <c r="D222" s="30"/>
      <c r="E222" s="30"/>
      <c r="F222" s="30"/>
      <c r="G222" s="30"/>
      <c r="H222" s="37"/>
      <c r="I222" s="37"/>
      <c r="J222" s="37"/>
      <c r="K222" s="37"/>
      <c r="L222" s="37"/>
      <c r="M222" s="37"/>
      <c r="N222" s="30"/>
      <c r="O222" s="30"/>
      <c r="P222" s="30"/>
      <c r="Q222" s="30"/>
      <c r="R222" s="30"/>
      <c r="S222" s="30"/>
      <c r="T222" s="30"/>
      <c r="U222" s="30"/>
      <c r="V222" s="30"/>
      <c r="W222" s="30"/>
      <c r="X222" s="30"/>
      <c r="Y222" s="30"/>
      <c r="Z222" s="30"/>
      <c r="AA222" s="30"/>
      <c r="AB222" s="30"/>
      <c r="AC222" s="30"/>
      <c r="AD222" s="30"/>
    </row>
    <row r="223" ht="15.75" customHeight="1">
      <c r="A223" s="30"/>
      <c r="B223" s="30"/>
      <c r="C223" s="30"/>
      <c r="D223" s="30"/>
      <c r="E223" s="30"/>
      <c r="F223" s="30"/>
      <c r="G223" s="30"/>
      <c r="H223" s="37"/>
      <c r="I223" s="37"/>
      <c r="J223" s="37"/>
      <c r="K223" s="37"/>
      <c r="L223" s="37"/>
      <c r="M223" s="37"/>
      <c r="N223" s="30"/>
      <c r="O223" s="30"/>
      <c r="P223" s="30"/>
      <c r="Q223" s="30"/>
      <c r="R223" s="30"/>
      <c r="S223" s="30"/>
      <c r="T223" s="30"/>
      <c r="U223" s="30"/>
      <c r="V223" s="30"/>
      <c r="W223" s="30"/>
      <c r="X223" s="30"/>
      <c r="Y223" s="30"/>
      <c r="Z223" s="30"/>
      <c r="AA223" s="30"/>
      <c r="AB223" s="30"/>
      <c r="AC223" s="30"/>
      <c r="AD223" s="30"/>
    </row>
    <row r="224" ht="15.75" customHeight="1">
      <c r="A224" s="30"/>
      <c r="B224" s="30"/>
      <c r="C224" s="30"/>
      <c r="D224" s="30"/>
      <c r="E224" s="30"/>
      <c r="F224" s="30"/>
      <c r="G224" s="30"/>
      <c r="H224" s="37"/>
      <c r="I224" s="37"/>
      <c r="J224" s="37"/>
      <c r="K224" s="37"/>
      <c r="L224" s="37"/>
      <c r="M224" s="37"/>
      <c r="N224" s="30"/>
      <c r="O224" s="30"/>
      <c r="P224" s="30"/>
      <c r="Q224" s="30"/>
      <c r="R224" s="30"/>
      <c r="S224" s="30"/>
      <c r="T224" s="30"/>
      <c r="U224" s="30"/>
      <c r="V224" s="30"/>
      <c r="W224" s="30"/>
      <c r="X224" s="30"/>
      <c r="Y224" s="30"/>
      <c r="Z224" s="30"/>
      <c r="AA224" s="30"/>
      <c r="AB224" s="30"/>
      <c r="AC224" s="30"/>
      <c r="AD224" s="30"/>
    </row>
    <row r="225" ht="15.75" customHeight="1">
      <c r="A225" s="30"/>
      <c r="B225" s="30"/>
      <c r="C225" s="30"/>
      <c r="D225" s="30"/>
      <c r="E225" s="30"/>
      <c r="F225" s="30"/>
      <c r="G225" s="30"/>
      <c r="H225" s="37"/>
      <c r="I225" s="37"/>
      <c r="J225" s="37"/>
      <c r="K225" s="37"/>
      <c r="L225" s="37"/>
      <c r="M225" s="37"/>
      <c r="N225" s="30"/>
      <c r="O225" s="30"/>
      <c r="P225" s="30"/>
      <c r="Q225" s="30"/>
      <c r="R225" s="30"/>
      <c r="S225" s="30"/>
      <c r="T225" s="30"/>
      <c r="U225" s="30"/>
      <c r="V225" s="30"/>
      <c r="W225" s="30"/>
      <c r="X225" s="30"/>
      <c r="Y225" s="30"/>
      <c r="Z225" s="30"/>
      <c r="AA225" s="30"/>
      <c r="AB225" s="30"/>
      <c r="AC225" s="30"/>
      <c r="AD225" s="30"/>
    </row>
    <row r="226" ht="15.75" customHeight="1">
      <c r="A226" s="30"/>
      <c r="B226" s="30"/>
      <c r="C226" s="30"/>
      <c r="D226" s="30"/>
      <c r="E226" s="30"/>
      <c r="F226" s="30"/>
      <c r="G226" s="30"/>
      <c r="H226" s="37"/>
      <c r="I226" s="37"/>
      <c r="J226" s="37"/>
      <c r="K226" s="37"/>
      <c r="L226" s="37"/>
      <c r="M226" s="37"/>
      <c r="N226" s="30"/>
      <c r="O226" s="30"/>
      <c r="P226" s="30"/>
      <c r="Q226" s="30"/>
      <c r="R226" s="30"/>
      <c r="S226" s="30"/>
      <c r="T226" s="30"/>
      <c r="U226" s="30"/>
      <c r="V226" s="30"/>
      <c r="W226" s="30"/>
      <c r="X226" s="30"/>
      <c r="Y226" s="30"/>
      <c r="Z226" s="30"/>
      <c r="AA226" s="30"/>
      <c r="AB226" s="30"/>
      <c r="AC226" s="30"/>
      <c r="AD226" s="30"/>
    </row>
    <row r="227" ht="15.75" customHeight="1">
      <c r="A227" s="30"/>
      <c r="B227" s="30"/>
      <c r="C227" s="30"/>
      <c r="D227" s="30"/>
      <c r="E227" s="30"/>
      <c r="F227" s="30"/>
      <c r="G227" s="30"/>
      <c r="H227" s="37"/>
      <c r="I227" s="37"/>
      <c r="J227" s="37"/>
      <c r="K227" s="37"/>
      <c r="L227" s="37"/>
      <c r="M227" s="37"/>
      <c r="N227" s="30"/>
      <c r="O227" s="30"/>
      <c r="P227" s="30"/>
      <c r="Q227" s="30"/>
      <c r="R227" s="30"/>
      <c r="S227" s="30"/>
      <c r="T227" s="30"/>
      <c r="U227" s="30"/>
      <c r="V227" s="30"/>
      <c r="W227" s="30"/>
      <c r="X227" s="30"/>
      <c r="Y227" s="30"/>
      <c r="Z227" s="30"/>
      <c r="AA227" s="30"/>
      <c r="AB227" s="30"/>
      <c r="AC227" s="30"/>
      <c r="AD227" s="30"/>
    </row>
    <row r="228" ht="15.75" customHeight="1">
      <c r="A228" s="30"/>
      <c r="B228" s="30"/>
      <c r="C228" s="30"/>
      <c r="D228" s="30"/>
      <c r="E228" s="30"/>
      <c r="F228" s="30"/>
      <c r="G228" s="30"/>
      <c r="H228" s="37"/>
      <c r="I228" s="37"/>
      <c r="J228" s="37"/>
      <c r="K228" s="37"/>
      <c r="L228" s="37"/>
      <c r="M228" s="37"/>
      <c r="N228" s="30"/>
      <c r="O228" s="30"/>
      <c r="P228" s="30"/>
      <c r="Q228" s="30"/>
      <c r="R228" s="30"/>
      <c r="S228" s="30"/>
      <c r="T228" s="30"/>
      <c r="U228" s="30"/>
      <c r="V228" s="30"/>
      <c r="W228" s="30"/>
      <c r="X228" s="30"/>
      <c r="Y228" s="30"/>
      <c r="Z228" s="30"/>
      <c r="AA228" s="30"/>
      <c r="AB228" s="30"/>
      <c r="AC228" s="30"/>
      <c r="AD228" s="30"/>
    </row>
    <row r="229" ht="15.75" customHeight="1">
      <c r="A229" s="30"/>
      <c r="B229" s="30"/>
      <c r="C229" s="30"/>
      <c r="D229" s="30"/>
      <c r="E229" s="30"/>
      <c r="F229" s="30"/>
      <c r="G229" s="30"/>
      <c r="H229" s="37"/>
      <c r="I229" s="37"/>
      <c r="J229" s="37"/>
      <c r="K229" s="37"/>
      <c r="L229" s="37"/>
      <c r="M229" s="37"/>
      <c r="N229" s="30"/>
      <c r="O229" s="30"/>
      <c r="P229" s="30"/>
      <c r="Q229" s="30"/>
      <c r="R229" s="30"/>
      <c r="S229" s="30"/>
      <c r="T229" s="30"/>
      <c r="U229" s="30"/>
      <c r="V229" s="30"/>
      <c r="W229" s="30"/>
      <c r="X229" s="30"/>
      <c r="Y229" s="30"/>
      <c r="Z229" s="30"/>
      <c r="AA229" s="30"/>
      <c r="AB229" s="30"/>
      <c r="AC229" s="30"/>
      <c r="AD229" s="30"/>
    </row>
    <row r="230" ht="15.75" customHeight="1">
      <c r="A230" s="30"/>
      <c r="B230" s="30"/>
      <c r="C230" s="30"/>
      <c r="D230" s="30"/>
      <c r="E230" s="30"/>
      <c r="F230" s="30"/>
      <c r="G230" s="30"/>
      <c r="H230" s="37"/>
      <c r="I230" s="37"/>
      <c r="J230" s="37"/>
      <c r="K230" s="37"/>
      <c r="L230" s="37"/>
      <c r="M230" s="37"/>
      <c r="N230" s="30"/>
      <c r="O230" s="30"/>
      <c r="P230" s="30"/>
      <c r="Q230" s="30"/>
      <c r="R230" s="30"/>
      <c r="S230" s="30"/>
      <c r="T230" s="30"/>
      <c r="U230" s="30"/>
      <c r="V230" s="30"/>
      <c r="W230" s="30"/>
      <c r="X230" s="30"/>
      <c r="Y230" s="30"/>
      <c r="Z230" s="30"/>
      <c r="AA230" s="30"/>
      <c r="AB230" s="30"/>
      <c r="AC230" s="30"/>
      <c r="AD230" s="30"/>
    </row>
    <row r="231" ht="15.75" customHeight="1">
      <c r="A231" s="30"/>
      <c r="B231" s="30"/>
      <c r="C231" s="30"/>
      <c r="D231" s="30"/>
      <c r="E231" s="30"/>
      <c r="F231" s="30"/>
      <c r="G231" s="30"/>
      <c r="H231" s="37"/>
      <c r="I231" s="37"/>
      <c r="J231" s="37"/>
      <c r="K231" s="37"/>
      <c r="L231" s="37"/>
      <c r="M231" s="37"/>
      <c r="N231" s="30"/>
      <c r="O231" s="30"/>
      <c r="P231" s="30"/>
      <c r="Q231" s="30"/>
      <c r="R231" s="30"/>
      <c r="S231" s="30"/>
      <c r="T231" s="30"/>
      <c r="U231" s="30"/>
      <c r="V231" s="30"/>
      <c r="W231" s="30"/>
      <c r="X231" s="30"/>
      <c r="Y231" s="30"/>
      <c r="Z231" s="30"/>
      <c r="AA231" s="30"/>
      <c r="AB231" s="30"/>
      <c r="AC231" s="30"/>
      <c r="AD231" s="30"/>
    </row>
    <row r="232" ht="15.75" customHeight="1">
      <c r="A232" s="30"/>
      <c r="B232" s="30"/>
      <c r="C232" s="30"/>
      <c r="D232" s="30"/>
      <c r="E232" s="30"/>
      <c r="F232" s="30"/>
      <c r="G232" s="30"/>
      <c r="H232" s="37"/>
      <c r="I232" s="37"/>
      <c r="J232" s="37"/>
      <c r="K232" s="37"/>
      <c r="L232" s="37"/>
      <c r="M232" s="37"/>
      <c r="N232" s="30"/>
      <c r="O232" s="30"/>
      <c r="P232" s="30"/>
      <c r="Q232" s="30"/>
      <c r="R232" s="30"/>
      <c r="S232" s="30"/>
      <c r="T232" s="30"/>
      <c r="U232" s="30"/>
      <c r="V232" s="30"/>
      <c r="W232" s="30"/>
      <c r="X232" s="30"/>
      <c r="Y232" s="30"/>
      <c r="Z232" s="30"/>
      <c r="AA232" s="30"/>
      <c r="AB232" s="30"/>
      <c r="AC232" s="30"/>
      <c r="AD232" s="30"/>
    </row>
    <row r="233" ht="15.75" customHeight="1">
      <c r="A233" s="30"/>
      <c r="B233" s="30"/>
      <c r="C233" s="30"/>
      <c r="D233" s="30"/>
      <c r="E233" s="30"/>
      <c r="F233" s="30"/>
      <c r="G233" s="30"/>
      <c r="H233" s="37"/>
      <c r="I233" s="37"/>
      <c r="J233" s="37"/>
      <c r="K233" s="37"/>
      <c r="L233" s="37"/>
      <c r="M233" s="37"/>
      <c r="N233" s="30"/>
      <c r="O233" s="30"/>
      <c r="P233" s="30"/>
      <c r="Q233" s="30"/>
      <c r="R233" s="30"/>
      <c r="S233" s="30"/>
      <c r="T233" s="30"/>
      <c r="U233" s="30"/>
      <c r="V233" s="30"/>
      <c r="W233" s="30"/>
      <c r="X233" s="30"/>
      <c r="Y233" s="30"/>
      <c r="Z233" s="30"/>
      <c r="AA233" s="30"/>
      <c r="AB233" s="30"/>
      <c r="AC233" s="30"/>
      <c r="AD233" s="30"/>
    </row>
    <row r="234" ht="15.75" customHeight="1">
      <c r="A234" s="30"/>
      <c r="B234" s="30"/>
      <c r="C234" s="30"/>
      <c r="D234" s="30"/>
      <c r="E234" s="30"/>
      <c r="F234" s="30"/>
      <c r="G234" s="30"/>
      <c r="H234" s="37"/>
      <c r="I234" s="37"/>
      <c r="J234" s="37"/>
      <c r="K234" s="37"/>
      <c r="L234" s="37"/>
      <c r="M234" s="37"/>
      <c r="N234" s="30"/>
      <c r="O234" s="30"/>
      <c r="P234" s="30"/>
      <c r="Q234" s="30"/>
      <c r="R234" s="30"/>
      <c r="S234" s="30"/>
      <c r="T234" s="30"/>
      <c r="U234" s="30"/>
      <c r="V234" s="30"/>
      <c r="W234" s="30"/>
      <c r="X234" s="30"/>
      <c r="Y234" s="30"/>
      <c r="Z234" s="30"/>
      <c r="AA234" s="30"/>
      <c r="AB234" s="30"/>
      <c r="AC234" s="30"/>
      <c r="AD234" s="30"/>
    </row>
    <row r="235" ht="15.75" customHeight="1">
      <c r="A235" s="30"/>
      <c r="B235" s="30"/>
      <c r="C235" s="30"/>
      <c r="D235" s="30"/>
      <c r="E235" s="30"/>
      <c r="F235" s="30"/>
      <c r="G235" s="30"/>
      <c r="H235" s="37"/>
      <c r="I235" s="37"/>
      <c r="J235" s="37"/>
      <c r="K235" s="37"/>
      <c r="L235" s="37"/>
      <c r="M235" s="37"/>
      <c r="N235" s="30"/>
      <c r="O235" s="30"/>
      <c r="P235" s="30"/>
      <c r="Q235" s="30"/>
      <c r="R235" s="30"/>
      <c r="S235" s="30"/>
      <c r="T235" s="30"/>
      <c r="U235" s="30"/>
      <c r="V235" s="30"/>
      <c r="W235" s="30"/>
      <c r="X235" s="30"/>
      <c r="Y235" s="30"/>
      <c r="Z235" s="30"/>
      <c r="AA235" s="30"/>
      <c r="AB235" s="30"/>
      <c r="AC235" s="30"/>
      <c r="AD235" s="30"/>
    </row>
    <row r="236" ht="15.75" customHeight="1">
      <c r="A236" s="30"/>
      <c r="B236" s="30"/>
      <c r="C236" s="30"/>
      <c r="D236" s="30"/>
      <c r="E236" s="30"/>
      <c r="F236" s="30"/>
      <c r="G236" s="30"/>
      <c r="H236" s="37"/>
      <c r="I236" s="37"/>
      <c r="J236" s="37"/>
      <c r="K236" s="37"/>
      <c r="L236" s="37"/>
      <c r="M236" s="37"/>
      <c r="N236" s="30"/>
      <c r="O236" s="30"/>
      <c r="P236" s="30"/>
      <c r="Q236" s="30"/>
      <c r="R236" s="30"/>
      <c r="S236" s="30"/>
      <c r="T236" s="30"/>
      <c r="U236" s="30"/>
      <c r="V236" s="30"/>
      <c r="W236" s="30"/>
      <c r="X236" s="30"/>
      <c r="Y236" s="30"/>
      <c r="Z236" s="30"/>
      <c r="AA236" s="30"/>
      <c r="AB236" s="30"/>
      <c r="AC236" s="30"/>
      <c r="AD236" s="30"/>
    </row>
    <row r="237" ht="15.75" customHeight="1">
      <c r="A237" s="30"/>
      <c r="B237" s="30"/>
      <c r="C237" s="30"/>
      <c r="D237" s="30"/>
      <c r="E237" s="30"/>
      <c r="F237" s="30"/>
      <c r="G237" s="30"/>
      <c r="H237" s="37"/>
      <c r="I237" s="37"/>
      <c r="J237" s="37"/>
      <c r="K237" s="37"/>
      <c r="L237" s="37"/>
      <c r="M237" s="37"/>
      <c r="N237" s="30"/>
      <c r="O237" s="30"/>
      <c r="P237" s="30"/>
      <c r="Q237" s="30"/>
      <c r="R237" s="30"/>
      <c r="S237" s="30"/>
      <c r="T237" s="30"/>
      <c r="U237" s="30"/>
      <c r="V237" s="30"/>
      <c r="W237" s="30"/>
      <c r="X237" s="30"/>
      <c r="Y237" s="30"/>
      <c r="Z237" s="30"/>
      <c r="AA237" s="30"/>
      <c r="AB237" s="30"/>
      <c r="AC237" s="30"/>
      <c r="AD237" s="30"/>
    </row>
    <row r="238" ht="15.75" customHeight="1">
      <c r="A238" s="30"/>
      <c r="B238" s="30"/>
      <c r="C238" s="30"/>
      <c r="D238" s="30"/>
      <c r="E238" s="30"/>
      <c r="F238" s="30"/>
      <c r="G238" s="30"/>
      <c r="H238" s="37"/>
      <c r="I238" s="37"/>
      <c r="J238" s="37"/>
      <c r="K238" s="37"/>
      <c r="L238" s="37"/>
      <c r="M238" s="37"/>
      <c r="N238" s="30"/>
      <c r="O238" s="30"/>
      <c r="P238" s="30"/>
      <c r="Q238" s="30"/>
      <c r="R238" s="30"/>
      <c r="S238" s="30"/>
      <c r="T238" s="30"/>
      <c r="U238" s="30"/>
      <c r="V238" s="30"/>
      <c r="W238" s="30"/>
      <c r="X238" s="30"/>
      <c r="Y238" s="30"/>
      <c r="Z238" s="30"/>
      <c r="AA238" s="30"/>
      <c r="AB238" s="30"/>
      <c r="AC238" s="30"/>
      <c r="AD238" s="30"/>
    </row>
    <row r="239" ht="15.75" customHeight="1">
      <c r="A239" s="30"/>
      <c r="B239" s="30"/>
      <c r="C239" s="30"/>
      <c r="D239" s="30"/>
      <c r="E239" s="30"/>
      <c r="F239" s="30"/>
      <c r="G239" s="30"/>
      <c r="H239" s="37"/>
      <c r="I239" s="37"/>
      <c r="J239" s="37"/>
      <c r="K239" s="37"/>
      <c r="L239" s="37"/>
      <c r="M239" s="37"/>
      <c r="N239" s="30"/>
      <c r="O239" s="30"/>
      <c r="P239" s="30"/>
      <c r="Q239" s="30"/>
      <c r="R239" s="30"/>
      <c r="S239" s="30"/>
      <c r="T239" s="30"/>
      <c r="U239" s="30"/>
      <c r="V239" s="30"/>
      <c r="W239" s="30"/>
      <c r="X239" s="30"/>
      <c r="Y239" s="30"/>
      <c r="Z239" s="30"/>
      <c r="AA239" s="30"/>
      <c r="AB239" s="30"/>
      <c r="AC239" s="30"/>
      <c r="AD239" s="30"/>
    </row>
    <row r="240" ht="15.75" customHeight="1">
      <c r="A240" s="30"/>
      <c r="B240" s="30"/>
      <c r="C240" s="30"/>
      <c r="D240" s="30"/>
      <c r="E240" s="30"/>
      <c r="F240" s="30"/>
      <c r="G240" s="30"/>
      <c r="H240" s="37"/>
      <c r="I240" s="37"/>
      <c r="J240" s="37"/>
      <c r="K240" s="37"/>
      <c r="L240" s="37"/>
      <c r="M240" s="37"/>
      <c r="N240" s="30"/>
      <c r="O240" s="30"/>
      <c r="P240" s="30"/>
      <c r="Q240" s="30"/>
      <c r="R240" s="30"/>
      <c r="S240" s="30"/>
      <c r="T240" s="30"/>
      <c r="U240" s="30"/>
      <c r="V240" s="30"/>
      <c r="W240" s="30"/>
      <c r="X240" s="30"/>
      <c r="Y240" s="30"/>
      <c r="Z240" s="30"/>
      <c r="AA240" s="30"/>
      <c r="AB240" s="30"/>
      <c r="AC240" s="30"/>
      <c r="AD240" s="30"/>
    </row>
    <row r="241" ht="15.75" customHeight="1">
      <c r="A241" s="30"/>
      <c r="B241" s="30"/>
      <c r="C241" s="30"/>
      <c r="D241" s="30"/>
      <c r="E241" s="30"/>
      <c r="F241" s="30"/>
      <c r="G241" s="30"/>
      <c r="H241" s="37"/>
      <c r="I241" s="37"/>
      <c r="J241" s="37"/>
      <c r="K241" s="37"/>
      <c r="L241" s="37"/>
      <c r="M241" s="37"/>
      <c r="N241" s="30"/>
      <c r="O241" s="30"/>
      <c r="P241" s="30"/>
      <c r="Q241" s="30"/>
      <c r="R241" s="30"/>
      <c r="S241" s="30"/>
      <c r="T241" s="30"/>
      <c r="U241" s="30"/>
      <c r="V241" s="30"/>
      <c r="W241" s="30"/>
      <c r="X241" s="30"/>
      <c r="Y241" s="30"/>
      <c r="Z241" s="30"/>
      <c r="AA241" s="30"/>
      <c r="AB241" s="30"/>
      <c r="AC241" s="30"/>
      <c r="AD241" s="30"/>
    </row>
    <row r="242" ht="15.75" customHeight="1">
      <c r="A242" s="30"/>
      <c r="B242" s="30"/>
      <c r="C242" s="30"/>
      <c r="D242" s="30"/>
      <c r="E242" s="30"/>
      <c r="F242" s="30"/>
      <c r="G242" s="30"/>
      <c r="H242" s="37"/>
      <c r="I242" s="37"/>
      <c r="J242" s="37"/>
      <c r="K242" s="37"/>
      <c r="L242" s="37"/>
      <c r="M242" s="37"/>
      <c r="N242" s="30"/>
      <c r="O242" s="30"/>
      <c r="P242" s="30"/>
      <c r="Q242" s="30"/>
      <c r="R242" s="30"/>
      <c r="S242" s="30"/>
      <c r="T242" s="30"/>
      <c r="U242" s="30"/>
      <c r="V242" s="30"/>
      <c r="W242" s="30"/>
      <c r="X242" s="30"/>
      <c r="Y242" s="30"/>
      <c r="Z242" s="30"/>
      <c r="AA242" s="30"/>
      <c r="AB242" s="30"/>
      <c r="AC242" s="30"/>
      <c r="AD242" s="30"/>
    </row>
    <row r="243" ht="15.75" customHeight="1">
      <c r="A243" s="30"/>
      <c r="B243" s="30"/>
      <c r="C243" s="30"/>
      <c r="D243" s="30"/>
      <c r="E243" s="30"/>
      <c r="F243" s="30"/>
      <c r="G243" s="30"/>
      <c r="H243" s="37"/>
      <c r="I243" s="37"/>
      <c r="J243" s="37"/>
      <c r="K243" s="37"/>
      <c r="L243" s="37"/>
      <c r="M243" s="37"/>
      <c r="N243" s="30"/>
      <c r="O243" s="30"/>
      <c r="P243" s="30"/>
      <c r="Q243" s="30"/>
      <c r="R243" s="30"/>
      <c r="S243" s="30"/>
      <c r="T243" s="30"/>
      <c r="U243" s="30"/>
      <c r="V243" s="30"/>
      <c r="W243" s="30"/>
      <c r="X243" s="30"/>
      <c r="Y243" s="30"/>
      <c r="Z243" s="30"/>
      <c r="AA243" s="30"/>
      <c r="AB243" s="30"/>
      <c r="AC243" s="30"/>
      <c r="AD243" s="30"/>
    </row>
    <row r="244" ht="15.75" customHeight="1">
      <c r="A244" s="30"/>
      <c r="B244" s="30"/>
      <c r="C244" s="30"/>
      <c r="D244" s="30"/>
      <c r="E244" s="30"/>
      <c r="F244" s="30"/>
      <c r="G244" s="30"/>
      <c r="H244" s="37"/>
      <c r="I244" s="37"/>
      <c r="J244" s="37"/>
      <c r="K244" s="37"/>
      <c r="L244" s="37"/>
      <c r="M244" s="37"/>
      <c r="N244" s="30"/>
      <c r="O244" s="30"/>
      <c r="P244" s="30"/>
      <c r="Q244" s="30"/>
      <c r="R244" s="30"/>
      <c r="S244" s="30"/>
      <c r="T244" s="30"/>
      <c r="U244" s="30"/>
      <c r="V244" s="30"/>
      <c r="W244" s="30"/>
      <c r="X244" s="30"/>
      <c r="Y244" s="30"/>
      <c r="Z244" s="30"/>
      <c r="AA244" s="30"/>
      <c r="AB244" s="30"/>
      <c r="AC244" s="30"/>
      <c r="AD244" s="30"/>
    </row>
    <row r="245" ht="15.75" customHeight="1">
      <c r="A245" s="30"/>
      <c r="B245" s="30"/>
      <c r="C245" s="30"/>
      <c r="D245" s="30"/>
      <c r="E245" s="30"/>
      <c r="F245" s="30"/>
      <c r="G245" s="30"/>
      <c r="H245" s="37"/>
      <c r="I245" s="37"/>
      <c r="J245" s="37"/>
      <c r="K245" s="37"/>
      <c r="L245" s="37"/>
      <c r="M245" s="37"/>
      <c r="N245" s="30"/>
      <c r="O245" s="30"/>
      <c r="P245" s="30"/>
      <c r="Q245" s="30"/>
      <c r="R245" s="30"/>
      <c r="S245" s="30"/>
      <c r="T245" s="30"/>
      <c r="U245" s="30"/>
      <c r="V245" s="30"/>
      <c r="W245" s="30"/>
      <c r="X245" s="30"/>
      <c r="Y245" s="30"/>
      <c r="Z245" s="30"/>
      <c r="AA245" s="30"/>
      <c r="AB245" s="30"/>
      <c r="AC245" s="30"/>
      <c r="AD245" s="30"/>
    </row>
    <row r="246" ht="15.75" customHeight="1">
      <c r="A246" s="30"/>
      <c r="B246" s="30"/>
      <c r="C246" s="30"/>
      <c r="D246" s="30"/>
      <c r="E246" s="30"/>
      <c r="F246" s="30"/>
      <c r="G246" s="30"/>
      <c r="H246" s="37"/>
      <c r="I246" s="37"/>
      <c r="J246" s="37"/>
      <c r="K246" s="37"/>
      <c r="L246" s="37"/>
      <c r="M246" s="37"/>
      <c r="N246" s="30"/>
      <c r="O246" s="30"/>
      <c r="P246" s="30"/>
      <c r="Q246" s="30"/>
      <c r="R246" s="30"/>
      <c r="S246" s="30"/>
      <c r="T246" s="30"/>
      <c r="U246" s="30"/>
      <c r="V246" s="30"/>
      <c r="W246" s="30"/>
      <c r="X246" s="30"/>
      <c r="Y246" s="30"/>
      <c r="Z246" s="30"/>
      <c r="AA246" s="30"/>
      <c r="AB246" s="30"/>
      <c r="AC246" s="30"/>
      <c r="AD246" s="30"/>
    </row>
    <row r="247" ht="15.75" customHeight="1">
      <c r="A247" s="30"/>
      <c r="B247" s="30"/>
      <c r="C247" s="30"/>
      <c r="D247" s="30"/>
      <c r="E247" s="30"/>
      <c r="F247" s="30"/>
      <c r="G247" s="30"/>
      <c r="H247" s="37"/>
      <c r="I247" s="37"/>
      <c r="J247" s="37"/>
      <c r="K247" s="37"/>
      <c r="L247" s="37"/>
      <c r="M247" s="37"/>
      <c r="N247" s="30"/>
      <c r="O247" s="30"/>
      <c r="P247" s="30"/>
      <c r="Q247" s="30"/>
      <c r="R247" s="30"/>
      <c r="S247" s="30"/>
      <c r="T247" s="30"/>
      <c r="U247" s="30"/>
      <c r="V247" s="30"/>
      <c r="W247" s="30"/>
      <c r="X247" s="30"/>
      <c r="Y247" s="30"/>
      <c r="Z247" s="30"/>
      <c r="AA247" s="30"/>
      <c r="AB247" s="30"/>
      <c r="AC247" s="30"/>
      <c r="AD247" s="30"/>
    </row>
    <row r="248" ht="15.75" customHeight="1">
      <c r="A248" s="30"/>
      <c r="B248" s="30"/>
      <c r="C248" s="30"/>
      <c r="D248" s="30"/>
      <c r="E248" s="30"/>
      <c r="F248" s="30"/>
      <c r="G248" s="30"/>
      <c r="H248" s="37"/>
      <c r="I248" s="37"/>
      <c r="J248" s="37"/>
      <c r="K248" s="37"/>
      <c r="L248" s="37"/>
      <c r="M248" s="37"/>
      <c r="N248" s="30"/>
      <c r="O248" s="30"/>
      <c r="P248" s="30"/>
      <c r="Q248" s="30"/>
      <c r="R248" s="30"/>
      <c r="S248" s="30"/>
      <c r="T248" s="30"/>
      <c r="U248" s="30"/>
      <c r="V248" s="30"/>
      <c r="W248" s="30"/>
      <c r="X248" s="30"/>
      <c r="Y248" s="30"/>
      <c r="Z248" s="30"/>
      <c r="AA248" s="30"/>
      <c r="AB248" s="30"/>
      <c r="AC248" s="30"/>
      <c r="AD248" s="30"/>
    </row>
    <row r="249" ht="15.75" customHeight="1">
      <c r="A249" s="30"/>
      <c r="B249" s="30"/>
      <c r="C249" s="30"/>
      <c r="D249" s="30"/>
      <c r="E249" s="30"/>
      <c r="F249" s="30"/>
      <c r="G249" s="30"/>
      <c r="H249" s="37"/>
      <c r="I249" s="37"/>
      <c r="J249" s="37"/>
      <c r="K249" s="37"/>
      <c r="L249" s="37"/>
      <c r="M249" s="37"/>
      <c r="N249" s="30"/>
      <c r="O249" s="30"/>
      <c r="P249" s="30"/>
      <c r="Q249" s="30"/>
      <c r="R249" s="30"/>
      <c r="S249" s="30"/>
      <c r="T249" s="30"/>
      <c r="U249" s="30"/>
      <c r="V249" s="30"/>
      <c r="W249" s="30"/>
      <c r="X249" s="30"/>
      <c r="Y249" s="30"/>
      <c r="Z249" s="30"/>
      <c r="AA249" s="30"/>
      <c r="AB249" s="30"/>
      <c r="AC249" s="30"/>
      <c r="AD249" s="30"/>
    </row>
    <row r="250" ht="15.75" customHeight="1">
      <c r="A250" s="30"/>
      <c r="B250" s="30"/>
      <c r="C250" s="30"/>
      <c r="D250" s="30"/>
      <c r="E250" s="30"/>
      <c r="F250" s="30"/>
      <c r="G250" s="30"/>
      <c r="H250" s="37"/>
      <c r="I250" s="37"/>
      <c r="J250" s="37"/>
      <c r="K250" s="37"/>
      <c r="L250" s="37"/>
      <c r="M250" s="37"/>
      <c r="N250" s="30"/>
      <c r="O250" s="30"/>
      <c r="P250" s="30"/>
      <c r="Q250" s="30"/>
      <c r="R250" s="30"/>
      <c r="S250" s="30"/>
      <c r="T250" s="30"/>
      <c r="U250" s="30"/>
      <c r="V250" s="30"/>
      <c r="W250" s="30"/>
      <c r="X250" s="30"/>
      <c r="Y250" s="30"/>
      <c r="Z250" s="30"/>
      <c r="AA250" s="30"/>
      <c r="AB250" s="30"/>
      <c r="AC250" s="30"/>
      <c r="AD250" s="30"/>
    </row>
    <row r="251" ht="15.75" customHeight="1">
      <c r="A251" s="30"/>
      <c r="B251" s="30"/>
      <c r="C251" s="30"/>
      <c r="D251" s="30"/>
      <c r="E251" s="30"/>
      <c r="F251" s="30"/>
      <c r="G251" s="30"/>
      <c r="H251" s="37"/>
      <c r="I251" s="37"/>
      <c r="J251" s="37"/>
      <c r="K251" s="37"/>
      <c r="L251" s="37"/>
      <c r="M251" s="37"/>
      <c r="N251" s="30"/>
      <c r="O251" s="30"/>
      <c r="P251" s="30"/>
      <c r="Q251" s="30"/>
      <c r="R251" s="30"/>
      <c r="S251" s="30"/>
      <c r="T251" s="30"/>
      <c r="U251" s="30"/>
      <c r="V251" s="30"/>
      <c r="W251" s="30"/>
      <c r="X251" s="30"/>
      <c r="Y251" s="30"/>
      <c r="Z251" s="30"/>
      <c r="AA251" s="30"/>
      <c r="AB251" s="30"/>
      <c r="AC251" s="30"/>
      <c r="AD251" s="30"/>
    </row>
    <row r="252" ht="15.75" customHeight="1">
      <c r="A252" s="30"/>
      <c r="B252" s="30"/>
      <c r="C252" s="30"/>
      <c r="D252" s="30"/>
      <c r="E252" s="30"/>
      <c r="F252" s="30"/>
      <c r="G252" s="30"/>
      <c r="H252" s="37"/>
      <c r="I252" s="37"/>
      <c r="J252" s="37"/>
      <c r="K252" s="37"/>
      <c r="L252" s="37"/>
      <c r="M252" s="37"/>
      <c r="N252" s="30"/>
      <c r="O252" s="30"/>
      <c r="P252" s="30"/>
      <c r="Q252" s="30"/>
      <c r="R252" s="30"/>
      <c r="S252" s="30"/>
      <c r="T252" s="30"/>
      <c r="U252" s="30"/>
      <c r="V252" s="30"/>
      <c r="W252" s="30"/>
      <c r="X252" s="30"/>
      <c r="Y252" s="30"/>
      <c r="Z252" s="30"/>
      <c r="AA252" s="30"/>
      <c r="AB252" s="30"/>
      <c r="AC252" s="30"/>
      <c r="AD252" s="30"/>
    </row>
    <row r="253" ht="15.75" customHeight="1">
      <c r="A253" s="30"/>
      <c r="B253" s="30"/>
      <c r="C253" s="30"/>
      <c r="D253" s="30"/>
      <c r="E253" s="30"/>
      <c r="F253" s="30"/>
      <c r="G253" s="30"/>
      <c r="H253" s="37"/>
      <c r="I253" s="37"/>
      <c r="J253" s="37"/>
      <c r="K253" s="37"/>
      <c r="L253" s="37"/>
      <c r="M253" s="37"/>
      <c r="N253" s="30"/>
      <c r="O253" s="30"/>
      <c r="P253" s="30"/>
      <c r="Q253" s="30"/>
      <c r="R253" s="30"/>
      <c r="S253" s="30"/>
      <c r="T253" s="30"/>
      <c r="U253" s="30"/>
      <c r="V253" s="30"/>
      <c r="W253" s="30"/>
      <c r="X253" s="30"/>
      <c r="Y253" s="30"/>
      <c r="Z253" s="30"/>
      <c r="AA253" s="30"/>
      <c r="AB253" s="30"/>
      <c r="AC253" s="30"/>
      <c r="AD253" s="30"/>
    </row>
    <row r="254" ht="15.75" customHeight="1">
      <c r="A254" s="30"/>
      <c r="B254" s="30"/>
      <c r="C254" s="30"/>
      <c r="D254" s="30"/>
      <c r="E254" s="30"/>
      <c r="F254" s="30"/>
      <c r="G254" s="30"/>
      <c r="H254" s="37"/>
      <c r="I254" s="37"/>
      <c r="J254" s="37"/>
      <c r="K254" s="37"/>
      <c r="L254" s="37"/>
      <c r="M254" s="37"/>
      <c r="N254" s="30"/>
      <c r="O254" s="30"/>
      <c r="P254" s="30"/>
      <c r="Q254" s="30"/>
      <c r="R254" s="30"/>
      <c r="S254" s="30"/>
      <c r="T254" s="30"/>
      <c r="U254" s="30"/>
      <c r="V254" s="30"/>
      <c r="W254" s="30"/>
      <c r="X254" s="30"/>
      <c r="Y254" s="30"/>
      <c r="Z254" s="30"/>
      <c r="AA254" s="30"/>
      <c r="AB254" s="30"/>
      <c r="AC254" s="30"/>
      <c r="AD254" s="30"/>
    </row>
    <row r="255" ht="15.75" customHeight="1">
      <c r="A255" s="30"/>
      <c r="B255" s="30"/>
      <c r="C255" s="30"/>
      <c r="D255" s="30"/>
      <c r="E255" s="30"/>
      <c r="F255" s="30"/>
      <c r="G255" s="30"/>
      <c r="H255" s="37"/>
      <c r="I255" s="37"/>
      <c r="J255" s="37"/>
      <c r="K255" s="37"/>
      <c r="L255" s="37"/>
      <c r="M255" s="37"/>
      <c r="N255" s="30"/>
      <c r="O255" s="30"/>
      <c r="P255" s="30"/>
      <c r="Q255" s="30"/>
      <c r="R255" s="30"/>
      <c r="S255" s="30"/>
      <c r="T255" s="30"/>
      <c r="U255" s="30"/>
      <c r="V255" s="30"/>
      <c r="W255" s="30"/>
      <c r="X255" s="30"/>
      <c r="Y255" s="30"/>
      <c r="Z255" s="30"/>
      <c r="AA255" s="30"/>
      <c r="AB255" s="30"/>
      <c r="AC255" s="30"/>
      <c r="AD255" s="30"/>
    </row>
    <row r="256" ht="15.75" customHeight="1">
      <c r="A256" s="30"/>
      <c r="B256" s="30"/>
      <c r="C256" s="30"/>
      <c r="D256" s="30"/>
      <c r="E256" s="30"/>
      <c r="F256" s="30"/>
      <c r="G256" s="30"/>
      <c r="H256" s="37"/>
      <c r="I256" s="37"/>
      <c r="J256" s="37"/>
      <c r="K256" s="37"/>
      <c r="L256" s="37"/>
      <c r="M256" s="37"/>
      <c r="N256" s="30"/>
      <c r="O256" s="30"/>
      <c r="P256" s="30"/>
      <c r="Q256" s="30"/>
      <c r="R256" s="30"/>
      <c r="S256" s="30"/>
      <c r="T256" s="30"/>
      <c r="U256" s="30"/>
      <c r="V256" s="30"/>
      <c r="W256" s="30"/>
      <c r="X256" s="30"/>
      <c r="Y256" s="30"/>
      <c r="Z256" s="30"/>
      <c r="AA256" s="30"/>
      <c r="AB256" s="30"/>
      <c r="AC256" s="30"/>
      <c r="AD256" s="30"/>
    </row>
    <row r="257" ht="15.75" customHeight="1">
      <c r="A257" s="30"/>
      <c r="B257" s="30"/>
      <c r="C257" s="30"/>
      <c r="D257" s="30"/>
      <c r="E257" s="30"/>
      <c r="F257" s="30"/>
      <c r="G257" s="30"/>
      <c r="H257" s="37"/>
      <c r="I257" s="37"/>
      <c r="J257" s="37"/>
      <c r="K257" s="37"/>
      <c r="L257" s="37"/>
      <c r="M257" s="37"/>
      <c r="N257" s="30"/>
      <c r="O257" s="30"/>
      <c r="P257" s="30"/>
      <c r="Q257" s="30"/>
      <c r="R257" s="30"/>
      <c r="S257" s="30"/>
      <c r="T257" s="30"/>
      <c r="U257" s="30"/>
      <c r="V257" s="30"/>
      <c r="W257" s="30"/>
      <c r="X257" s="30"/>
      <c r="Y257" s="30"/>
      <c r="Z257" s="30"/>
      <c r="AA257" s="30"/>
      <c r="AB257" s="30"/>
      <c r="AC257" s="30"/>
      <c r="AD257" s="30"/>
    </row>
    <row r="258" ht="15.75" customHeight="1">
      <c r="A258" s="30"/>
      <c r="B258" s="30"/>
      <c r="C258" s="30"/>
      <c r="D258" s="30"/>
      <c r="E258" s="30"/>
      <c r="F258" s="30"/>
      <c r="G258" s="30"/>
      <c r="H258" s="37"/>
      <c r="I258" s="37"/>
      <c r="J258" s="37"/>
      <c r="K258" s="37"/>
      <c r="L258" s="37"/>
      <c r="M258" s="37"/>
      <c r="N258" s="30"/>
      <c r="O258" s="30"/>
      <c r="P258" s="30"/>
      <c r="Q258" s="30"/>
      <c r="R258" s="30"/>
      <c r="S258" s="30"/>
      <c r="T258" s="30"/>
      <c r="U258" s="30"/>
      <c r="V258" s="30"/>
      <c r="W258" s="30"/>
      <c r="X258" s="30"/>
      <c r="Y258" s="30"/>
      <c r="Z258" s="30"/>
      <c r="AA258" s="30"/>
      <c r="AB258" s="30"/>
      <c r="AC258" s="30"/>
      <c r="AD258" s="30"/>
    </row>
    <row r="259" ht="15.75" customHeight="1">
      <c r="A259" s="30"/>
      <c r="B259" s="30"/>
      <c r="C259" s="30"/>
      <c r="D259" s="30"/>
      <c r="E259" s="30"/>
      <c r="F259" s="30"/>
      <c r="G259" s="30"/>
      <c r="H259" s="37"/>
      <c r="I259" s="37"/>
      <c r="J259" s="37"/>
      <c r="K259" s="37"/>
      <c r="L259" s="37"/>
      <c r="M259" s="37"/>
      <c r="N259" s="30"/>
      <c r="O259" s="30"/>
      <c r="P259" s="30"/>
      <c r="Q259" s="30"/>
      <c r="R259" s="30"/>
      <c r="S259" s="30"/>
      <c r="T259" s="30"/>
      <c r="U259" s="30"/>
      <c r="V259" s="30"/>
      <c r="W259" s="30"/>
      <c r="X259" s="30"/>
      <c r="Y259" s="30"/>
      <c r="Z259" s="30"/>
      <c r="AA259" s="30"/>
      <c r="AB259" s="30"/>
      <c r="AC259" s="30"/>
      <c r="AD259" s="30"/>
    </row>
    <row r="260" ht="15.75" customHeight="1">
      <c r="A260" s="30"/>
      <c r="B260" s="30"/>
      <c r="C260" s="30"/>
      <c r="D260" s="30"/>
      <c r="E260" s="30"/>
      <c r="F260" s="30"/>
      <c r="G260" s="30"/>
      <c r="H260" s="37"/>
      <c r="I260" s="37"/>
      <c r="J260" s="37"/>
      <c r="K260" s="37"/>
      <c r="L260" s="37"/>
      <c r="M260" s="37"/>
      <c r="N260" s="30"/>
      <c r="O260" s="30"/>
      <c r="P260" s="30"/>
      <c r="Q260" s="30"/>
      <c r="R260" s="30"/>
      <c r="S260" s="30"/>
      <c r="T260" s="30"/>
      <c r="U260" s="30"/>
      <c r="V260" s="30"/>
      <c r="W260" s="30"/>
      <c r="X260" s="30"/>
      <c r="Y260" s="30"/>
      <c r="Z260" s="30"/>
      <c r="AA260" s="30"/>
      <c r="AB260" s="30"/>
      <c r="AC260" s="30"/>
      <c r="AD260" s="30"/>
    </row>
    <row r="261" ht="15.75" customHeight="1">
      <c r="A261" s="30"/>
      <c r="B261" s="30"/>
      <c r="C261" s="30"/>
      <c r="D261" s="30"/>
      <c r="E261" s="30"/>
      <c r="F261" s="30"/>
      <c r="G261" s="30"/>
      <c r="H261" s="37"/>
      <c r="I261" s="37"/>
      <c r="J261" s="37"/>
      <c r="K261" s="37"/>
      <c r="L261" s="37"/>
      <c r="M261" s="37"/>
      <c r="N261" s="30"/>
      <c r="O261" s="30"/>
      <c r="P261" s="30"/>
      <c r="Q261" s="30"/>
      <c r="R261" s="30"/>
      <c r="S261" s="30"/>
      <c r="T261" s="30"/>
      <c r="U261" s="30"/>
      <c r="V261" s="30"/>
      <c r="W261" s="30"/>
      <c r="X261" s="30"/>
      <c r="Y261" s="30"/>
      <c r="Z261" s="30"/>
      <c r="AA261" s="30"/>
      <c r="AB261" s="30"/>
      <c r="AC261" s="30"/>
      <c r="AD261" s="30"/>
    </row>
    <row r="262" ht="15.75" customHeight="1">
      <c r="A262" s="30"/>
      <c r="B262" s="30"/>
      <c r="C262" s="30"/>
      <c r="D262" s="30"/>
      <c r="E262" s="30"/>
      <c r="F262" s="30"/>
      <c r="G262" s="30"/>
      <c r="H262" s="37"/>
      <c r="I262" s="37"/>
      <c r="J262" s="37"/>
      <c r="K262" s="37"/>
      <c r="L262" s="37"/>
      <c r="M262" s="37"/>
      <c r="N262" s="30"/>
      <c r="O262" s="30"/>
      <c r="P262" s="30"/>
      <c r="Q262" s="30"/>
      <c r="R262" s="30"/>
      <c r="S262" s="30"/>
      <c r="T262" s="30"/>
      <c r="U262" s="30"/>
      <c r="V262" s="30"/>
      <c r="W262" s="30"/>
      <c r="X262" s="30"/>
      <c r="Y262" s="30"/>
      <c r="Z262" s="30"/>
      <c r="AA262" s="30"/>
      <c r="AB262" s="30"/>
      <c r="AC262" s="30"/>
      <c r="AD262" s="30"/>
    </row>
    <row r="263" ht="15.75" customHeight="1">
      <c r="A263" s="30"/>
      <c r="B263" s="30"/>
      <c r="C263" s="30"/>
      <c r="D263" s="30"/>
      <c r="E263" s="30"/>
      <c r="F263" s="30"/>
      <c r="G263" s="30"/>
      <c r="H263" s="37"/>
      <c r="I263" s="37"/>
      <c r="J263" s="37"/>
      <c r="K263" s="37"/>
      <c r="L263" s="37"/>
      <c r="M263" s="37"/>
      <c r="N263" s="30"/>
      <c r="O263" s="30"/>
      <c r="P263" s="30"/>
      <c r="Q263" s="30"/>
      <c r="R263" s="30"/>
      <c r="S263" s="30"/>
      <c r="T263" s="30"/>
      <c r="U263" s="30"/>
      <c r="V263" s="30"/>
      <c r="W263" s="30"/>
      <c r="X263" s="30"/>
      <c r="Y263" s="30"/>
      <c r="Z263" s="30"/>
      <c r="AA263" s="30"/>
      <c r="AB263" s="30"/>
      <c r="AC263" s="30"/>
      <c r="AD263" s="30"/>
    </row>
    <row r="264" ht="15.75" customHeight="1">
      <c r="A264" s="30"/>
      <c r="B264" s="30"/>
      <c r="C264" s="30"/>
      <c r="D264" s="30"/>
      <c r="E264" s="30"/>
      <c r="F264" s="30"/>
      <c r="G264" s="30"/>
      <c r="H264" s="37"/>
      <c r="I264" s="37"/>
      <c r="J264" s="37"/>
      <c r="K264" s="37"/>
      <c r="L264" s="37"/>
      <c r="M264" s="37"/>
      <c r="N264" s="30"/>
      <c r="O264" s="30"/>
      <c r="P264" s="30"/>
      <c r="Q264" s="30"/>
      <c r="R264" s="30"/>
      <c r="S264" s="30"/>
      <c r="T264" s="30"/>
      <c r="U264" s="30"/>
      <c r="V264" s="30"/>
      <c r="W264" s="30"/>
      <c r="X264" s="30"/>
      <c r="Y264" s="30"/>
      <c r="Z264" s="30"/>
      <c r="AA264" s="30"/>
      <c r="AB264" s="30"/>
      <c r="AC264" s="30"/>
      <c r="AD264" s="30"/>
    </row>
    <row r="265" ht="15.75" customHeight="1">
      <c r="A265" s="30"/>
      <c r="B265" s="30"/>
      <c r="C265" s="30"/>
      <c r="D265" s="30"/>
      <c r="E265" s="30"/>
      <c r="F265" s="30"/>
      <c r="G265" s="30"/>
      <c r="H265" s="37"/>
      <c r="I265" s="37"/>
      <c r="J265" s="37"/>
      <c r="K265" s="37"/>
      <c r="L265" s="37"/>
      <c r="M265" s="37"/>
      <c r="N265" s="30"/>
      <c r="O265" s="30"/>
      <c r="P265" s="30"/>
      <c r="Q265" s="30"/>
      <c r="R265" s="30"/>
      <c r="S265" s="30"/>
      <c r="T265" s="30"/>
      <c r="U265" s="30"/>
      <c r="V265" s="30"/>
      <c r="W265" s="30"/>
      <c r="X265" s="30"/>
      <c r="Y265" s="30"/>
      <c r="Z265" s="30"/>
      <c r="AA265" s="30"/>
      <c r="AB265" s="30"/>
      <c r="AC265" s="30"/>
      <c r="AD265" s="30"/>
    </row>
    <row r="266" ht="15.75" customHeight="1">
      <c r="A266" s="30"/>
      <c r="B266" s="30"/>
      <c r="C266" s="30"/>
      <c r="D266" s="30"/>
      <c r="E266" s="30"/>
      <c r="F266" s="30"/>
      <c r="G266" s="30"/>
      <c r="H266" s="37"/>
      <c r="I266" s="37"/>
      <c r="J266" s="37"/>
      <c r="K266" s="37"/>
      <c r="L266" s="37"/>
      <c r="M266" s="37"/>
      <c r="N266" s="30"/>
      <c r="O266" s="30"/>
      <c r="P266" s="30"/>
      <c r="Q266" s="30"/>
      <c r="R266" s="30"/>
      <c r="S266" s="30"/>
      <c r="T266" s="30"/>
      <c r="U266" s="30"/>
      <c r="V266" s="30"/>
      <c r="W266" s="30"/>
      <c r="X266" s="30"/>
      <c r="Y266" s="30"/>
      <c r="Z266" s="30"/>
      <c r="AA266" s="30"/>
      <c r="AB266" s="30"/>
      <c r="AC266" s="30"/>
      <c r="AD266" s="30"/>
    </row>
    <row r="267" ht="15.75" customHeight="1">
      <c r="A267" s="30"/>
      <c r="B267" s="30"/>
      <c r="C267" s="30"/>
      <c r="D267" s="30"/>
      <c r="E267" s="30"/>
      <c r="F267" s="30"/>
      <c r="G267" s="30"/>
      <c r="H267" s="37"/>
      <c r="I267" s="37"/>
      <c r="J267" s="37"/>
      <c r="K267" s="37"/>
      <c r="L267" s="37"/>
      <c r="M267" s="37"/>
      <c r="N267" s="30"/>
      <c r="O267" s="30"/>
      <c r="P267" s="30"/>
      <c r="Q267" s="30"/>
      <c r="R267" s="30"/>
      <c r="S267" s="30"/>
      <c r="T267" s="30"/>
      <c r="U267" s="30"/>
      <c r="V267" s="30"/>
      <c r="W267" s="30"/>
      <c r="X267" s="30"/>
      <c r="Y267" s="30"/>
      <c r="Z267" s="30"/>
      <c r="AA267" s="30"/>
      <c r="AB267" s="30"/>
      <c r="AC267" s="30"/>
      <c r="AD267" s="30"/>
    </row>
    <row r="268" ht="15.75" customHeight="1">
      <c r="A268" s="30"/>
      <c r="B268" s="30"/>
      <c r="C268" s="30"/>
      <c r="D268" s="30"/>
      <c r="E268" s="30"/>
      <c r="F268" s="30"/>
      <c r="G268" s="30"/>
      <c r="H268" s="37"/>
      <c r="I268" s="37"/>
      <c r="J268" s="37"/>
      <c r="K268" s="37"/>
      <c r="L268" s="37"/>
      <c r="M268" s="37"/>
      <c r="N268" s="30"/>
      <c r="O268" s="30"/>
      <c r="P268" s="30"/>
      <c r="Q268" s="30"/>
      <c r="R268" s="30"/>
      <c r="S268" s="30"/>
      <c r="T268" s="30"/>
      <c r="U268" s="30"/>
      <c r="V268" s="30"/>
      <c r="W268" s="30"/>
      <c r="X268" s="30"/>
      <c r="Y268" s="30"/>
      <c r="Z268" s="30"/>
      <c r="AA268" s="30"/>
      <c r="AB268" s="30"/>
      <c r="AC268" s="30"/>
      <c r="AD268" s="30"/>
    </row>
    <row r="269" ht="15.75" customHeight="1">
      <c r="A269" s="30"/>
      <c r="B269" s="30"/>
      <c r="C269" s="30"/>
      <c r="D269" s="30"/>
      <c r="E269" s="30"/>
      <c r="F269" s="30"/>
      <c r="G269" s="30"/>
      <c r="H269" s="37"/>
      <c r="I269" s="37"/>
      <c r="J269" s="37"/>
      <c r="K269" s="37"/>
      <c r="L269" s="37"/>
      <c r="M269" s="37"/>
      <c r="N269" s="30"/>
      <c r="O269" s="30"/>
      <c r="P269" s="30"/>
      <c r="Q269" s="30"/>
      <c r="R269" s="30"/>
      <c r="S269" s="30"/>
      <c r="T269" s="30"/>
      <c r="U269" s="30"/>
      <c r="V269" s="30"/>
      <c r="W269" s="30"/>
      <c r="X269" s="30"/>
      <c r="Y269" s="30"/>
      <c r="Z269" s="30"/>
      <c r="AA269" s="30"/>
      <c r="AB269" s="30"/>
      <c r="AC269" s="30"/>
      <c r="AD269" s="30"/>
    </row>
    <row r="270" ht="15.75" customHeight="1">
      <c r="A270" s="30"/>
      <c r="B270" s="30"/>
      <c r="C270" s="30"/>
      <c r="D270" s="30"/>
      <c r="E270" s="30"/>
      <c r="F270" s="30"/>
      <c r="G270" s="30"/>
      <c r="H270" s="37"/>
      <c r="I270" s="37"/>
      <c r="J270" s="37"/>
      <c r="K270" s="37"/>
      <c r="L270" s="37"/>
      <c r="M270" s="37"/>
      <c r="N270" s="30"/>
      <c r="O270" s="30"/>
      <c r="P270" s="30"/>
      <c r="Q270" s="30"/>
      <c r="R270" s="30"/>
      <c r="S270" s="30"/>
      <c r="T270" s="30"/>
      <c r="U270" s="30"/>
      <c r="V270" s="30"/>
      <c r="W270" s="30"/>
      <c r="X270" s="30"/>
      <c r="Y270" s="30"/>
      <c r="Z270" s="30"/>
      <c r="AA270" s="30"/>
      <c r="AB270" s="30"/>
      <c r="AC270" s="30"/>
      <c r="AD270" s="30"/>
    </row>
    <row r="271" ht="15.75" customHeight="1">
      <c r="A271" s="30"/>
      <c r="B271" s="30"/>
      <c r="C271" s="30"/>
      <c r="D271" s="30"/>
      <c r="E271" s="30"/>
      <c r="F271" s="30"/>
      <c r="G271" s="30"/>
      <c r="H271" s="37"/>
      <c r="I271" s="37"/>
      <c r="J271" s="37"/>
      <c r="K271" s="37"/>
      <c r="L271" s="37"/>
      <c r="M271" s="37"/>
      <c r="N271" s="30"/>
      <c r="O271" s="30"/>
      <c r="P271" s="30"/>
      <c r="Q271" s="30"/>
      <c r="R271" s="30"/>
      <c r="S271" s="30"/>
      <c r="T271" s="30"/>
      <c r="U271" s="30"/>
      <c r="V271" s="30"/>
      <c r="W271" s="30"/>
      <c r="X271" s="30"/>
      <c r="Y271" s="30"/>
      <c r="Z271" s="30"/>
      <c r="AA271" s="30"/>
      <c r="AB271" s="30"/>
      <c r="AC271" s="30"/>
      <c r="AD271" s="30"/>
    </row>
    <row r="272" ht="15.75" customHeight="1">
      <c r="A272" s="30"/>
      <c r="B272" s="30"/>
      <c r="C272" s="30"/>
      <c r="D272" s="30"/>
      <c r="E272" s="30"/>
      <c r="F272" s="30"/>
      <c r="G272" s="30"/>
      <c r="H272" s="37"/>
      <c r="I272" s="37"/>
      <c r="J272" s="37"/>
      <c r="K272" s="37"/>
      <c r="L272" s="37"/>
      <c r="M272" s="37"/>
      <c r="N272" s="30"/>
      <c r="O272" s="30"/>
      <c r="P272" s="30"/>
      <c r="Q272" s="30"/>
      <c r="R272" s="30"/>
      <c r="S272" s="30"/>
      <c r="T272" s="30"/>
      <c r="U272" s="30"/>
      <c r="V272" s="30"/>
      <c r="W272" s="30"/>
      <c r="X272" s="30"/>
      <c r="Y272" s="30"/>
      <c r="Z272" s="30"/>
      <c r="AA272" s="30"/>
      <c r="AB272" s="30"/>
      <c r="AC272" s="30"/>
      <c r="AD272" s="30"/>
    </row>
    <row r="273" ht="15.75" customHeight="1">
      <c r="A273" s="30"/>
      <c r="B273" s="30"/>
      <c r="C273" s="30"/>
      <c r="D273" s="30"/>
      <c r="E273" s="30"/>
      <c r="F273" s="30"/>
      <c r="G273" s="30"/>
      <c r="H273" s="37"/>
      <c r="I273" s="37"/>
      <c r="J273" s="37"/>
      <c r="K273" s="37"/>
      <c r="L273" s="37"/>
      <c r="M273" s="37"/>
      <c r="N273" s="30"/>
      <c r="O273" s="30"/>
      <c r="P273" s="30"/>
      <c r="Q273" s="30"/>
      <c r="R273" s="30"/>
      <c r="S273" s="30"/>
      <c r="T273" s="30"/>
      <c r="U273" s="30"/>
      <c r="V273" s="30"/>
      <c r="W273" s="30"/>
      <c r="X273" s="30"/>
      <c r="Y273" s="30"/>
      <c r="Z273" s="30"/>
      <c r="AA273" s="30"/>
      <c r="AB273" s="30"/>
      <c r="AC273" s="30"/>
      <c r="AD273" s="30"/>
    </row>
    <row r="274" ht="15.75" customHeight="1">
      <c r="A274" s="30"/>
      <c r="B274" s="30"/>
      <c r="C274" s="30"/>
      <c r="D274" s="30"/>
      <c r="E274" s="30"/>
      <c r="F274" s="30"/>
      <c r="G274" s="30"/>
      <c r="H274" s="37"/>
      <c r="I274" s="37"/>
      <c r="J274" s="37"/>
      <c r="K274" s="37"/>
      <c r="L274" s="37"/>
      <c r="M274" s="37"/>
      <c r="N274" s="30"/>
      <c r="O274" s="30"/>
      <c r="P274" s="30"/>
      <c r="Q274" s="30"/>
      <c r="R274" s="30"/>
      <c r="S274" s="30"/>
      <c r="T274" s="30"/>
      <c r="U274" s="30"/>
      <c r="V274" s="30"/>
      <c r="W274" s="30"/>
      <c r="X274" s="30"/>
      <c r="Y274" s="30"/>
      <c r="Z274" s="30"/>
      <c r="AA274" s="30"/>
      <c r="AB274" s="30"/>
      <c r="AC274" s="30"/>
      <c r="AD274" s="30"/>
    </row>
    <row r="275" ht="15.75" customHeight="1">
      <c r="A275" s="30"/>
      <c r="B275" s="30"/>
      <c r="C275" s="30"/>
      <c r="D275" s="30"/>
      <c r="E275" s="30"/>
      <c r="F275" s="30"/>
      <c r="G275" s="30"/>
      <c r="H275" s="37"/>
      <c r="I275" s="37"/>
      <c r="J275" s="37"/>
      <c r="K275" s="37"/>
      <c r="L275" s="37"/>
      <c r="M275" s="37"/>
      <c r="N275" s="30"/>
      <c r="O275" s="30"/>
      <c r="P275" s="30"/>
      <c r="Q275" s="30"/>
      <c r="R275" s="30"/>
      <c r="S275" s="30"/>
      <c r="T275" s="30"/>
      <c r="U275" s="30"/>
      <c r="V275" s="30"/>
      <c r="W275" s="30"/>
      <c r="X275" s="30"/>
      <c r="Y275" s="30"/>
      <c r="Z275" s="30"/>
      <c r="AA275" s="30"/>
      <c r="AB275" s="30"/>
      <c r="AC275" s="30"/>
      <c r="AD275" s="30"/>
    </row>
    <row r="276" ht="15.75" customHeight="1">
      <c r="A276" s="30"/>
      <c r="B276" s="30"/>
      <c r="C276" s="30"/>
      <c r="D276" s="30"/>
      <c r="E276" s="30"/>
      <c r="F276" s="30"/>
      <c r="G276" s="30"/>
      <c r="H276" s="37"/>
      <c r="I276" s="37"/>
      <c r="J276" s="37"/>
      <c r="K276" s="37"/>
      <c r="L276" s="37"/>
      <c r="M276" s="37"/>
      <c r="N276" s="30"/>
      <c r="O276" s="30"/>
      <c r="P276" s="30"/>
      <c r="Q276" s="30"/>
      <c r="R276" s="30"/>
      <c r="S276" s="30"/>
      <c r="T276" s="30"/>
      <c r="U276" s="30"/>
      <c r="V276" s="30"/>
      <c r="W276" s="30"/>
      <c r="X276" s="30"/>
      <c r="Y276" s="30"/>
      <c r="Z276" s="30"/>
      <c r="AA276" s="30"/>
      <c r="AB276" s="30"/>
      <c r="AC276" s="30"/>
      <c r="AD276" s="30"/>
    </row>
    <row r="277" ht="15.75" customHeight="1">
      <c r="A277" s="30"/>
      <c r="B277" s="30"/>
      <c r="C277" s="30"/>
      <c r="D277" s="30"/>
      <c r="E277" s="30"/>
      <c r="F277" s="30"/>
      <c r="G277" s="30"/>
      <c r="H277" s="37"/>
      <c r="I277" s="37"/>
      <c r="J277" s="37"/>
      <c r="K277" s="37"/>
      <c r="L277" s="37"/>
      <c r="M277" s="37"/>
      <c r="N277" s="30"/>
      <c r="O277" s="30"/>
      <c r="P277" s="30"/>
      <c r="Q277" s="30"/>
      <c r="R277" s="30"/>
      <c r="S277" s="30"/>
      <c r="T277" s="30"/>
      <c r="U277" s="30"/>
      <c r="V277" s="30"/>
      <c r="W277" s="30"/>
      <c r="X277" s="30"/>
      <c r="Y277" s="30"/>
      <c r="Z277" s="30"/>
      <c r="AA277" s="30"/>
      <c r="AB277" s="30"/>
      <c r="AC277" s="30"/>
      <c r="AD277" s="30"/>
    </row>
    <row r="278" ht="15.75" customHeight="1">
      <c r="A278" s="30"/>
      <c r="B278" s="30"/>
      <c r="C278" s="30"/>
      <c r="D278" s="30"/>
      <c r="E278" s="30"/>
      <c r="F278" s="30"/>
      <c r="G278" s="30"/>
      <c r="H278" s="37"/>
      <c r="I278" s="37"/>
      <c r="J278" s="37"/>
      <c r="K278" s="37"/>
      <c r="L278" s="37"/>
      <c r="M278" s="37"/>
      <c r="N278" s="30"/>
      <c r="O278" s="30"/>
      <c r="P278" s="30"/>
      <c r="Q278" s="30"/>
      <c r="R278" s="30"/>
      <c r="S278" s="30"/>
      <c r="T278" s="30"/>
      <c r="U278" s="30"/>
      <c r="V278" s="30"/>
      <c r="W278" s="30"/>
      <c r="X278" s="30"/>
      <c r="Y278" s="30"/>
      <c r="Z278" s="30"/>
      <c r="AA278" s="30"/>
      <c r="AB278" s="30"/>
      <c r="AC278" s="30"/>
      <c r="AD278" s="30"/>
    </row>
    <row r="279" ht="15.75" customHeight="1">
      <c r="A279" s="30"/>
      <c r="B279" s="30"/>
      <c r="C279" s="30"/>
      <c r="D279" s="30"/>
      <c r="E279" s="30"/>
      <c r="F279" s="30"/>
      <c r="G279" s="30"/>
      <c r="H279" s="37"/>
      <c r="I279" s="37"/>
      <c r="J279" s="37"/>
      <c r="K279" s="37"/>
      <c r="L279" s="37"/>
      <c r="M279" s="37"/>
      <c r="N279" s="30"/>
      <c r="O279" s="30"/>
      <c r="P279" s="30"/>
      <c r="Q279" s="30"/>
      <c r="R279" s="30"/>
      <c r="S279" s="30"/>
      <c r="T279" s="30"/>
      <c r="U279" s="30"/>
      <c r="V279" s="30"/>
      <c r="W279" s="30"/>
      <c r="X279" s="30"/>
      <c r="Y279" s="30"/>
      <c r="Z279" s="30"/>
      <c r="AA279" s="30"/>
      <c r="AB279" s="30"/>
      <c r="AC279" s="30"/>
      <c r="AD279" s="30"/>
    </row>
    <row r="280" ht="15.75" customHeight="1">
      <c r="A280" s="30"/>
      <c r="B280" s="30"/>
      <c r="C280" s="30"/>
      <c r="D280" s="30"/>
      <c r="E280" s="30"/>
      <c r="F280" s="30"/>
      <c r="G280" s="30"/>
      <c r="H280" s="37"/>
      <c r="I280" s="37"/>
      <c r="J280" s="37"/>
      <c r="K280" s="37"/>
      <c r="L280" s="37"/>
      <c r="M280" s="37"/>
      <c r="N280" s="30"/>
      <c r="O280" s="30"/>
      <c r="P280" s="30"/>
      <c r="Q280" s="30"/>
      <c r="R280" s="30"/>
      <c r="S280" s="30"/>
      <c r="T280" s="30"/>
      <c r="U280" s="30"/>
      <c r="V280" s="30"/>
      <c r="W280" s="30"/>
      <c r="X280" s="30"/>
      <c r="Y280" s="30"/>
      <c r="Z280" s="30"/>
      <c r="AA280" s="30"/>
      <c r="AB280" s="30"/>
      <c r="AC280" s="30"/>
      <c r="AD280" s="30"/>
    </row>
    <row r="281" ht="15.75" customHeight="1">
      <c r="A281" s="30"/>
      <c r="B281" s="30"/>
      <c r="C281" s="30"/>
      <c r="D281" s="30"/>
      <c r="E281" s="30"/>
      <c r="F281" s="30"/>
      <c r="G281" s="30"/>
      <c r="H281" s="37"/>
      <c r="I281" s="37"/>
      <c r="J281" s="37"/>
      <c r="K281" s="37"/>
      <c r="L281" s="37"/>
      <c r="M281" s="37"/>
      <c r="N281" s="30"/>
      <c r="O281" s="30"/>
      <c r="P281" s="30"/>
      <c r="Q281" s="30"/>
      <c r="R281" s="30"/>
      <c r="S281" s="30"/>
      <c r="T281" s="30"/>
      <c r="U281" s="30"/>
      <c r="V281" s="30"/>
      <c r="W281" s="30"/>
      <c r="X281" s="30"/>
      <c r="Y281" s="30"/>
      <c r="Z281" s="30"/>
      <c r="AA281" s="30"/>
      <c r="AB281" s="30"/>
      <c r="AC281" s="30"/>
      <c r="AD281" s="30"/>
    </row>
    <row r="282" ht="15.75" customHeight="1">
      <c r="A282" s="30"/>
      <c r="B282" s="30"/>
      <c r="C282" s="30"/>
      <c r="D282" s="30"/>
      <c r="E282" s="30"/>
      <c r="F282" s="30"/>
      <c r="G282" s="30"/>
      <c r="H282" s="37"/>
      <c r="I282" s="37"/>
      <c r="J282" s="37"/>
      <c r="K282" s="37"/>
      <c r="L282" s="37"/>
      <c r="M282" s="37"/>
      <c r="N282" s="30"/>
      <c r="O282" s="30"/>
      <c r="P282" s="30"/>
      <c r="Q282" s="30"/>
      <c r="R282" s="30"/>
      <c r="S282" s="30"/>
      <c r="T282" s="30"/>
      <c r="U282" s="30"/>
      <c r="V282" s="30"/>
      <c r="W282" s="30"/>
      <c r="X282" s="30"/>
      <c r="Y282" s="30"/>
      <c r="Z282" s="30"/>
      <c r="AA282" s="30"/>
      <c r="AB282" s="30"/>
      <c r="AC282" s="30"/>
      <c r="AD282" s="30"/>
    </row>
    <row r="283" ht="15.75" customHeight="1">
      <c r="A283" s="30"/>
      <c r="B283" s="30"/>
      <c r="C283" s="30"/>
      <c r="D283" s="30"/>
      <c r="E283" s="30"/>
      <c r="F283" s="30"/>
      <c r="G283" s="30"/>
      <c r="H283" s="37"/>
      <c r="I283" s="37"/>
      <c r="J283" s="37"/>
      <c r="K283" s="37"/>
      <c r="L283" s="37"/>
      <c r="M283" s="37"/>
      <c r="N283" s="30"/>
      <c r="O283" s="30"/>
      <c r="P283" s="30"/>
      <c r="Q283" s="30"/>
      <c r="R283" s="30"/>
      <c r="S283" s="30"/>
      <c r="T283" s="30"/>
      <c r="U283" s="30"/>
      <c r="V283" s="30"/>
      <c r="W283" s="30"/>
      <c r="X283" s="30"/>
      <c r="Y283" s="30"/>
      <c r="Z283" s="30"/>
      <c r="AA283" s="30"/>
      <c r="AB283" s="30"/>
      <c r="AC283" s="30"/>
      <c r="AD283" s="30"/>
    </row>
    <row r="284" ht="15.75" customHeight="1">
      <c r="A284" s="30"/>
      <c r="B284" s="30"/>
      <c r="C284" s="30"/>
      <c r="D284" s="30"/>
      <c r="E284" s="30"/>
      <c r="F284" s="30"/>
      <c r="G284" s="30"/>
      <c r="H284" s="37"/>
      <c r="I284" s="37"/>
      <c r="J284" s="37"/>
      <c r="K284" s="37"/>
      <c r="L284" s="37"/>
      <c r="M284" s="37"/>
      <c r="N284" s="30"/>
      <c r="O284" s="30"/>
      <c r="P284" s="30"/>
      <c r="Q284" s="30"/>
      <c r="R284" s="30"/>
      <c r="S284" s="30"/>
      <c r="T284" s="30"/>
      <c r="U284" s="30"/>
      <c r="V284" s="30"/>
      <c r="W284" s="30"/>
      <c r="X284" s="30"/>
      <c r="Y284" s="30"/>
      <c r="Z284" s="30"/>
      <c r="AA284" s="30"/>
      <c r="AB284" s="30"/>
      <c r="AC284" s="30"/>
      <c r="AD284" s="30"/>
    </row>
    <row r="285" ht="15.75" customHeight="1">
      <c r="A285" s="30"/>
      <c r="B285" s="30"/>
      <c r="C285" s="30"/>
      <c r="D285" s="30"/>
      <c r="E285" s="30"/>
      <c r="F285" s="30"/>
      <c r="G285" s="30"/>
      <c r="H285" s="37"/>
      <c r="I285" s="37"/>
      <c r="J285" s="37"/>
      <c r="K285" s="37"/>
      <c r="L285" s="37"/>
      <c r="M285" s="37"/>
      <c r="N285" s="30"/>
      <c r="O285" s="30"/>
      <c r="P285" s="30"/>
      <c r="Q285" s="30"/>
      <c r="R285" s="30"/>
      <c r="S285" s="30"/>
      <c r="T285" s="30"/>
      <c r="U285" s="30"/>
      <c r="V285" s="30"/>
      <c r="W285" s="30"/>
      <c r="X285" s="30"/>
      <c r="Y285" s="30"/>
      <c r="Z285" s="30"/>
      <c r="AA285" s="30"/>
      <c r="AB285" s="30"/>
      <c r="AC285" s="30"/>
      <c r="AD285" s="30"/>
    </row>
    <row r="286" ht="15.75" customHeight="1">
      <c r="A286" s="30"/>
      <c r="B286" s="30"/>
      <c r="C286" s="30"/>
      <c r="D286" s="30"/>
      <c r="E286" s="30"/>
      <c r="F286" s="30"/>
      <c r="G286" s="30"/>
      <c r="H286" s="37"/>
      <c r="I286" s="37"/>
      <c r="J286" s="37"/>
      <c r="K286" s="37"/>
      <c r="L286" s="37"/>
      <c r="M286" s="37"/>
      <c r="N286" s="30"/>
      <c r="O286" s="30"/>
      <c r="P286" s="30"/>
      <c r="Q286" s="30"/>
      <c r="R286" s="30"/>
      <c r="S286" s="30"/>
      <c r="T286" s="30"/>
      <c r="U286" s="30"/>
      <c r="V286" s="30"/>
      <c r="W286" s="30"/>
      <c r="X286" s="30"/>
      <c r="Y286" s="30"/>
      <c r="Z286" s="30"/>
      <c r="AA286" s="30"/>
      <c r="AB286" s="30"/>
      <c r="AC286" s="30"/>
      <c r="AD286" s="30"/>
    </row>
    <row r="287" ht="15.75" customHeight="1">
      <c r="A287" s="30"/>
      <c r="B287" s="30"/>
      <c r="C287" s="30"/>
      <c r="D287" s="30"/>
      <c r="E287" s="30"/>
      <c r="F287" s="30"/>
      <c r="G287" s="30"/>
      <c r="H287" s="37"/>
      <c r="I287" s="37"/>
      <c r="J287" s="37"/>
      <c r="K287" s="37"/>
      <c r="L287" s="37"/>
      <c r="M287" s="37"/>
      <c r="N287" s="30"/>
      <c r="O287" s="30"/>
      <c r="P287" s="30"/>
      <c r="Q287" s="30"/>
      <c r="R287" s="30"/>
      <c r="S287" s="30"/>
      <c r="T287" s="30"/>
      <c r="U287" s="30"/>
      <c r="V287" s="30"/>
      <c r="W287" s="30"/>
      <c r="X287" s="30"/>
      <c r="Y287" s="30"/>
      <c r="Z287" s="30"/>
      <c r="AA287" s="30"/>
      <c r="AB287" s="30"/>
      <c r="AC287" s="30"/>
      <c r="AD287" s="30"/>
    </row>
    <row r="288" ht="15.75" customHeight="1">
      <c r="A288" s="30"/>
      <c r="B288" s="30"/>
      <c r="C288" s="30"/>
      <c r="D288" s="30"/>
      <c r="E288" s="30"/>
      <c r="F288" s="30"/>
      <c r="G288" s="30"/>
      <c r="H288" s="37"/>
      <c r="I288" s="37"/>
      <c r="J288" s="37"/>
      <c r="K288" s="37"/>
      <c r="L288" s="37"/>
      <c r="M288" s="37"/>
      <c r="N288" s="30"/>
      <c r="O288" s="30"/>
      <c r="P288" s="30"/>
      <c r="Q288" s="30"/>
      <c r="R288" s="30"/>
      <c r="S288" s="30"/>
      <c r="T288" s="30"/>
      <c r="U288" s="30"/>
      <c r="V288" s="30"/>
      <c r="W288" s="30"/>
      <c r="X288" s="30"/>
      <c r="Y288" s="30"/>
      <c r="Z288" s="30"/>
      <c r="AA288" s="30"/>
      <c r="AB288" s="30"/>
      <c r="AC288" s="30"/>
      <c r="AD288" s="30"/>
    </row>
    <row r="289" ht="15.75" customHeight="1">
      <c r="A289" s="30"/>
      <c r="B289" s="30"/>
      <c r="C289" s="30"/>
      <c r="D289" s="30"/>
      <c r="E289" s="30"/>
      <c r="F289" s="30"/>
      <c r="G289" s="30"/>
      <c r="H289" s="37"/>
      <c r="I289" s="37"/>
      <c r="J289" s="37"/>
      <c r="K289" s="37"/>
      <c r="L289" s="37"/>
      <c r="M289" s="37"/>
      <c r="N289" s="30"/>
      <c r="O289" s="30"/>
      <c r="P289" s="30"/>
      <c r="Q289" s="30"/>
      <c r="R289" s="30"/>
      <c r="S289" s="30"/>
      <c r="T289" s="30"/>
      <c r="U289" s="30"/>
      <c r="V289" s="30"/>
      <c r="W289" s="30"/>
      <c r="X289" s="30"/>
      <c r="Y289" s="30"/>
      <c r="Z289" s="30"/>
      <c r="AA289" s="30"/>
      <c r="AB289" s="30"/>
      <c r="AC289" s="30"/>
      <c r="AD289" s="30"/>
    </row>
    <row r="290" ht="15.75" customHeight="1">
      <c r="A290" s="30"/>
      <c r="B290" s="30"/>
      <c r="C290" s="30"/>
      <c r="D290" s="30"/>
      <c r="E290" s="30"/>
      <c r="F290" s="30"/>
      <c r="G290" s="30"/>
      <c r="H290" s="37"/>
      <c r="I290" s="37"/>
      <c r="J290" s="37"/>
      <c r="K290" s="37"/>
      <c r="L290" s="37"/>
      <c r="M290" s="37"/>
      <c r="N290" s="30"/>
      <c r="O290" s="30"/>
      <c r="P290" s="30"/>
      <c r="Q290" s="30"/>
      <c r="R290" s="30"/>
      <c r="S290" s="30"/>
      <c r="T290" s="30"/>
      <c r="U290" s="30"/>
      <c r="V290" s="30"/>
      <c r="W290" s="30"/>
      <c r="X290" s="30"/>
      <c r="Y290" s="30"/>
      <c r="Z290" s="30"/>
      <c r="AA290" s="30"/>
      <c r="AB290" s="30"/>
      <c r="AC290" s="30"/>
      <c r="AD290" s="30"/>
    </row>
    <row r="291" ht="15.75" customHeight="1">
      <c r="A291" s="30"/>
      <c r="B291" s="30"/>
      <c r="C291" s="30"/>
      <c r="D291" s="30"/>
      <c r="E291" s="30"/>
      <c r="F291" s="30"/>
      <c r="G291" s="30"/>
      <c r="H291" s="37"/>
      <c r="I291" s="37"/>
      <c r="J291" s="37"/>
      <c r="K291" s="37"/>
      <c r="L291" s="37"/>
      <c r="M291" s="37"/>
      <c r="N291" s="30"/>
      <c r="O291" s="30"/>
      <c r="P291" s="30"/>
      <c r="Q291" s="30"/>
      <c r="R291" s="30"/>
      <c r="S291" s="30"/>
      <c r="T291" s="30"/>
      <c r="U291" s="30"/>
      <c r="V291" s="30"/>
      <c r="W291" s="30"/>
      <c r="X291" s="30"/>
      <c r="Y291" s="30"/>
      <c r="Z291" s="30"/>
      <c r="AA291" s="30"/>
      <c r="AB291" s="30"/>
      <c r="AC291" s="30"/>
      <c r="AD291" s="30"/>
    </row>
    <row r="292" ht="15.75" customHeight="1">
      <c r="A292" s="30"/>
      <c r="B292" s="30"/>
      <c r="C292" s="30"/>
      <c r="D292" s="30"/>
      <c r="E292" s="30"/>
      <c r="F292" s="30"/>
      <c r="G292" s="30"/>
      <c r="H292" s="37"/>
      <c r="I292" s="37"/>
      <c r="J292" s="37"/>
      <c r="K292" s="37"/>
      <c r="L292" s="37"/>
      <c r="M292" s="37"/>
      <c r="N292" s="30"/>
      <c r="O292" s="30"/>
      <c r="P292" s="30"/>
      <c r="Q292" s="30"/>
      <c r="R292" s="30"/>
      <c r="S292" s="30"/>
      <c r="T292" s="30"/>
      <c r="U292" s="30"/>
      <c r="V292" s="30"/>
      <c r="W292" s="30"/>
      <c r="X292" s="30"/>
      <c r="Y292" s="30"/>
      <c r="Z292" s="30"/>
      <c r="AA292" s="30"/>
      <c r="AB292" s="30"/>
      <c r="AC292" s="30"/>
      <c r="AD292" s="30"/>
    </row>
    <row r="293" ht="15.75" customHeight="1">
      <c r="A293" s="30"/>
      <c r="B293" s="30"/>
      <c r="C293" s="30"/>
      <c r="D293" s="30"/>
      <c r="E293" s="30"/>
      <c r="F293" s="30"/>
      <c r="G293" s="30"/>
      <c r="H293" s="37"/>
      <c r="I293" s="37"/>
      <c r="J293" s="37"/>
      <c r="K293" s="37"/>
      <c r="L293" s="37"/>
      <c r="M293" s="37"/>
      <c r="N293" s="30"/>
      <c r="O293" s="30"/>
      <c r="P293" s="30"/>
      <c r="Q293" s="30"/>
      <c r="R293" s="30"/>
      <c r="S293" s="30"/>
      <c r="T293" s="30"/>
      <c r="U293" s="30"/>
      <c r="V293" s="30"/>
      <c r="W293" s="30"/>
      <c r="X293" s="30"/>
      <c r="Y293" s="30"/>
      <c r="Z293" s="30"/>
      <c r="AA293" s="30"/>
      <c r="AB293" s="30"/>
      <c r="AC293" s="30"/>
      <c r="AD293" s="30"/>
    </row>
    <row r="294" ht="15.75" customHeight="1">
      <c r="A294" s="30"/>
      <c r="B294" s="30"/>
      <c r="C294" s="30"/>
      <c r="D294" s="30"/>
      <c r="E294" s="30"/>
      <c r="F294" s="30"/>
      <c r="G294" s="30"/>
      <c r="H294" s="37"/>
      <c r="I294" s="37"/>
      <c r="J294" s="37"/>
      <c r="K294" s="37"/>
      <c r="L294" s="37"/>
      <c r="M294" s="37"/>
      <c r="N294" s="30"/>
      <c r="O294" s="30"/>
      <c r="P294" s="30"/>
      <c r="Q294" s="30"/>
      <c r="R294" s="30"/>
      <c r="S294" s="30"/>
      <c r="T294" s="30"/>
      <c r="U294" s="30"/>
      <c r="V294" s="30"/>
      <c r="W294" s="30"/>
      <c r="X294" s="30"/>
      <c r="Y294" s="30"/>
      <c r="Z294" s="30"/>
      <c r="AA294" s="30"/>
      <c r="AB294" s="30"/>
      <c r="AC294" s="30"/>
      <c r="AD294" s="30"/>
    </row>
    <row r="295" ht="15.75" customHeight="1">
      <c r="A295" s="30"/>
      <c r="B295" s="30"/>
      <c r="C295" s="30"/>
      <c r="D295" s="30"/>
      <c r="E295" s="30"/>
      <c r="F295" s="30"/>
      <c r="G295" s="30"/>
      <c r="H295" s="37"/>
      <c r="I295" s="37"/>
      <c r="J295" s="37"/>
      <c r="K295" s="37"/>
      <c r="L295" s="37"/>
      <c r="M295" s="37"/>
      <c r="N295" s="30"/>
      <c r="O295" s="30"/>
      <c r="P295" s="30"/>
      <c r="Q295" s="30"/>
      <c r="R295" s="30"/>
      <c r="S295" s="30"/>
      <c r="T295" s="30"/>
      <c r="U295" s="30"/>
      <c r="V295" s="30"/>
      <c r="W295" s="30"/>
      <c r="X295" s="30"/>
      <c r="Y295" s="30"/>
      <c r="Z295" s="30"/>
      <c r="AA295" s="30"/>
      <c r="AB295" s="30"/>
      <c r="AC295" s="30"/>
      <c r="AD295" s="30"/>
    </row>
    <row r="296" ht="15.75" customHeight="1">
      <c r="A296" s="30"/>
      <c r="B296" s="30"/>
      <c r="C296" s="30"/>
      <c r="D296" s="30"/>
      <c r="E296" s="30"/>
      <c r="F296" s="30"/>
      <c r="G296" s="30"/>
      <c r="H296" s="37"/>
      <c r="I296" s="37"/>
      <c r="J296" s="37"/>
      <c r="K296" s="37"/>
      <c r="L296" s="37"/>
      <c r="M296" s="37"/>
      <c r="N296" s="30"/>
      <c r="O296" s="30"/>
      <c r="P296" s="30"/>
      <c r="Q296" s="30"/>
      <c r="R296" s="30"/>
      <c r="S296" s="30"/>
      <c r="T296" s="30"/>
      <c r="U296" s="30"/>
      <c r="V296" s="30"/>
      <c r="W296" s="30"/>
      <c r="X296" s="30"/>
      <c r="Y296" s="30"/>
      <c r="Z296" s="30"/>
      <c r="AA296" s="30"/>
      <c r="AB296" s="30"/>
      <c r="AC296" s="30"/>
      <c r="AD296" s="30"/>
    </row>
    <row r="297" ht="15.75" customHeight="1">
      <c r="A297" s="30"/>
      <c r="B297" s="30"/>
      <c r="C297" s="30"/>
      <c r="D297" s="30"/>
      <c r="E297" s="30"/>
      <c r="F297" s="30"/>
      <c r="G297" s="30"/>
      <c r="H297" s="37"/>
      <c r="I297" s="37"/>
      <c r="J297" s="37"/>
      <c r="K297" s="37"/>
      <c r="L297" s="37"/>
      <c r="M297" s="37"/>
      <c r="N297" s="30"/>
      <c r="O297" s="30"/>
      <c r="P297" s="30"/>
      <c r="Q297" s="30"/>
      <c r="R297" s="30"/>
      <c r="S297" s="30"/>
      <c r="T297" s="30"/>
      <c r="U297" s="30"/>
      <c r="V297" s="30"/>
      <c r="W297" s="30"/>
      <c r="X297" s="30"/>
      <c r="Y297" s="30"/>
      <c r="Z297" s="30"/>
      <c r="AA297" s="30"/>
      <c r="AB297" s="30"/>
      <c r="AC297" s="30"/>
      <c r="AD297" s="30"/>
    </row>
    <row r="298" ht="15.75" customHeight="1">
      <c r="A298" s="30"/>
      <c r="B298" s="30"/>
      <c r="C298" s="30"/>
      <c r="D298" s="30"/>
      <c r="E298" s="30"/>
      <c r="F298" s="30"/>
      <c r="G298" s="30"/>
      <c r="H298" s="37"/>
      <c r="I298" s="37"/>
      <c r="J298" s="37"/>
      <c r="K298" s="37"/>
      <c r="L298" s="37"/>
      <c r="M298" s="37"/>
      <c r="N298" s="30"/>
      <c r="O298" s="30"/>
      <c r="P298" s="30"/>
      <c r="Q298" s="30"/>
      <c r="R298" s="30"/>
      <c r="S298" s="30"/>
      <c r="T298" s="30"/>
      <c r="U298" s="30"/>
      <c r="V298" s="30"/>
      <c r="W298" s="30"/>
      <c r="X298" s="30"/>
      <c r="Y298" s="30"/>
      <c r="Z298" s="30"/>
      <c r="AA298" s="30"/>
      <c r="AB298" s="30"/>
      <c r="AC298" s="30"/>
      <c r="AD298" s="30"/>
    </row>
    <row r="299" ht="15.75" customHeight="1">
      <c r="A299" s="30"/>
      <c r="B299" s="30"/>
      <c r="C299" s="30"/>
      <c r="D299" s="30"/>
      <c r="E299" s="30"/>
      <c r="F299" s="30"/>
      <c r="G299" s="30"/>
      <c r="H299" s="37"/>
      <c r="I299" s="37"/>
      <c r="J299" s="37"/>
      <c r="K299" s="37"/>
      <c r="L299" s="37"/>
      <c r="M299" s="37"/>
      <c r="N299" s="30"/>
      <c r="O299" s="30"/>
      <c r="P299" s="30"/>
      <c r="Q299" s="30"/>
      <c r="R299" s="30"/>
      <c r="S299" s="30"/>
      <c r="T299" s="30"/>
      <c r="U299" s="30"/>
      <c r="V299" s="30"/>
      <c r="W299" s="30"/>
      <c r="X299" s="30"/>
      <c r="Y299" s="30"/>
      <c r="Z299" s="30"/>
      <c r="AA299" s="30"/>
      <c r="AB299" s="30"/>
      <c r="AC299" s="30"/>
      <c r="AD299" s="30"/>
    </row>
    <row r="300" ht="15.75" customHeight="1">
      <c r="A300" s="30"/>
      <c r="B300" s="30"/>
      <c r="C300" s="30"/>
      <c r="D300" s="30"/>
      <c r="E300" s="30"/>
      <c r="F300" s="30"/>
      <c r="G300" s="30"/>
      <c r="H300" s="37"/>
      <c r="I300" s="37"/>
      <c r="J300" s="37"/>
      <c r="K300" s="37"/>
      <c r="L300" s="37"/>
      <c r="M300" s="37"/>
      <c r="N300" s="30"/>
      <c r="O300" s="30"/>
      <c r="P300" s="30"/>
      <c r="Q300" s="30"/>
      <c r="R300" s="30"/>
      <c r="S300" s="30"/>
      <c r="T300" s="30"/>
      <c r="U300" s="30"/>
      <c r="V300" s="30"/>
      <c r="W300" s="30"/>
      <c r="X300" s="30"/>
      <c r="Y300" s="30"/>
      <c r="Z300" s="30"/>
      <c r="AA300" s="30"/>
      <c r="AB300" s="30"/>
      <c r="AC300" s="30"/>
      <c r="AD300" s="30"/>
    </row>
    <row r="301" ht="15.75" customHeight="1">
      <c r="A301" s="30"/>
      <c r="B301" s="30"/>
      <c r="C301" s="30"/>
      <c r="D301" s="30"/>
      <c r="E301" s="30"/>
      <c r="F301" s="30"/>
      <c r="G301" s="30"/>
      <c r="H301" s="37"/>
      <c r="I301" s="37"/>
      <c r="J301" s="37"/>
      <c r="K301" s="37"/>
      <c r="L301" s="37"/>
      <c r="M301" s="37"/>
      <c r="N301" s="30"/>
      <c r="O301" s="30"/>
      <c r="P301" s="30"/>
      <c r="Q301" s="30"/>
      <c r="R301" s="30"/>
      <c r="S301" s="30"/>
      <c r="T301" s="30"/>
      <c r="U301" s="30"/>
      <c r="V301" s="30"/>
      <c r="W301" s="30"/>
      <c r="X301" s="30"/>
      <c r="Y301" s="30"/>
      <c r="Z301" s="30"/>
      <c r="AA301" s="30"/>
      <c r="AB301" s="30"/>
      <c r="AC301" s="30"/>
      <c r="AD301" s="30"/>
    </row>
    <row r="302" ht="15.75" customHeight="1">
      <c r="A302" s="30"/>
      <c r="B302" s="30"/>
      <c r="C302" s="30"/>
      <c r="D302" s="30"/>
      <c r="E302" s="30"/>
      <c r="F302" s="30"/>
      <c r="G302" s="30"/>
      <c r="H302" s="37"/>
      <c r="I302" s="37"/>
      <c r="J302" s="37"/>
      <c r="K302" s="37"/>
      <c r="L302" s="37"/>
      <c r="M302" s="37"/>
      <c r="N302" s="30"/>
      <c r="O302" s="30"/>
      <c r="P302" s="30"/>
      <c r="Q302" s="30"/>
      <c r="R302" s="30"/>
      <c r="S302" s="30"/>
      <c r="T302" s="30"/>
      <c r="U302" s="30"/>
      <c r="V302" s="30"/>
      <c r="W302" s="30"/>
      <c r="X302" s="30"/>
      <c r="Y302" s="30"/>
      <c r="Z302" s="30"/>
      <c r="AA302" s="30"/>
      <c r="AB302" s="30"/>
      <c r="AC302" s="30"/>
      <c r="AD302" s="30"/>
    </row>
    <row r="303" ht="15.75" customHeight="1">
      <c r="A303" s="30"/>
      <c r="B303" s="30"/>
      <c r="C303" s="30"/>
      <c r="D303" s="30"/>
      <c r="E303" s="30"/>
      <c r="F303" s="30"/>
      <c r="G303" s="30"/>
      <c r="H303" s="37"/>
      <c r="I303" s="37"/>
      <c r="J303" s="37"/>
      <c r="K303" s="37"/>
      <c r="L303" s="37"/>
      <c r="M303" s="37"/>
      <c r="N303" s="30"/>
      <c r="O303" s="30"/>
      <c r="P303" s="30"/>
      <c r="Q303" s="30"/>
      <c r="R303" s="30"/>
      <c r="S303" s="30"/>
      <c r="T303" s="30"/>
      <c r="U303" s="30"/>
      <c r="V303" s="30"/>
      <c r="W303" s="30"/>
      <c r="X303" s="30"/>
      <c r="Y303" s="30"/>
      <c r="Z303" s="30"/>
      <c r="AA303" s="30"/>
      <c r="AB303" s="30"/>
      <c r="AC303" s="30"/>
      <c r="AD303" s="30"/>
    </row>
    <row r="304" ht="15.75" customHeight="1">
      <c r="A304" s="30"/>
      <c r="B304" s="30"/>
      <c r="C304" s="30"/>
      <c r="D304" s="30"/>
      <c r="E304" s="30"/>
      <c r="F304" s="30"/>
      <c r="G304" s="30"/>
      <c r="H304" s="37"/>
      <c r="I304" s="37"/>
      <c r="J304" s="37"/>
      <c r="K304" s="37"/>
      <c r="L304" s="37"/>
      <c r="M304" s="37"/>
      <c r="N304" s="30"/>
      <c r="O304" s="30"/>
      <c r="P304" s="30"/>
      <c r="Q304" s="30"/>
      <c r="R304" s="30"/>
      <c r="S304" s="30"/>
      <c r="T304" s="30"/>
      <c r="U304" s="30"/>
      <c r="V304" s="30"/>
      <c r="W304" s="30"/>
      <c r="X304" s="30"/>
      <c r="Y304" s="30"/>
      <c r="Z304" s="30"/>
      <c r="AA304" s="30"/>
      <c r="AB304" s="30"/>
      <c r="AC304" s="30"/>
      <c r="AD304" s="30"/>
    </row>
    <row r="305" ht="15.75" customHeight="1">
      <c r="A305" s="30"/>
      <c r="B305" s="30"/>
      <c r="C305" s="30"/>
      <c r="D305" s="30"/>
      <c r="E305" s="30"/>
      <c r="F305" s="30"/>
      <c r="G305" s="30"/>
      <c r="H305" s="37"/>
      <c r="I305" s="37"/>
      <c r="J305" s="37"/>
      <c r="K305" s="37"/>
      <c r="L305" s="37"/>
      <c r="M305" s="37"/>
      <c r="N305" s="30"/>
      <c r="O305" s="30"/>
      <c r="P305" s="30"/>
      <c r="Q305" s="30"/>
      <c r="R305" s="30"/>
      <c r="S305" s="30"/>
      <c r="T305" s="30"/>
      <c r="U305" s="30"/>
      <c r="V305" s="30"/>
      <c r="W305" s="30"/>
      <c r="X305" s="30"/>
      <c r="Y305" s="30"/>
      <c r="Z305" s="30"/>
      <c r="AA305" s="30"/>
      <c r="AB305" s="30"/>
      <c r="AC305" s="30"/>
      <c r="AD305" s="30"/>
    </row>
    <row r="306" ht="15.75" customHeight="1">
      <c r="A306" s="30"/>
      <c r="B306" s="30"/>
      <c r="C306" s="30"/>
      <c r="D306" s="30"/>
      <c r="E306" s="30"/>
      <c r="F306" s="30"/>
      <c r="G306" s="30"/>
      <c r="H306" s="37"/>
      <c r="I306" s="37"/>
      <c r="J306" s="37"/>
      <c r="K306" s="37"/>
      <c r="L306" s="37"/>
      <c r="M306" s="37"/>
      <c r="N306" s="30"/>
      <c r="O306" s="30"/>
      <c r="P306" s="30"/>
      <c r="Q306" s="30"/>
      <c r="R306" s="30"/>
      <c r="S306" s="30"/>
      <c r="T306" s="30"/>
      <c r="U306" s="30"/>
      <c r="V306" s="30"/>
      <c r="W306" s="30"/>
      <c r="X306" s="30"/>
      <c r="Y306" s="30"/>
      <c r="Z306" s="30"/>
      <c r="AA306" s="30"/>
      <c r="AB306" s="30"/>
      <c r="AC306" s="30"/>
      <c r="AD306" s="30"/>
    </row>
    <row r="307" ht="15.75" customHeight="1">
      <c r="A307" s="30"/>
      <c r="B307" s="30"/>
      <c r="C307" s="30"/>
      <c r="D307" s="30"/>
      <c r="E307" s="30"/>
      <c r="F307" s="30"/>
      <c r="G307" s="30"/>
      <c r="H307" s="37"/>
      <c r="I307" s="37"/>
      <c r="J307" s="37"/>
      <c r="K307" s="37"/>
      <c r="L307" s="37"/>
      <c r="M307" s="37"/>
      <c r="N307" s="30"/>
      <c r="O307" s="30"/>
      <c r="P307" s="30"/>
      <c r="Q307" s="30"/>
      <c r="R307" s="30"/>
      <c r="S307" s="30"/>
      <c r="T307" s="30"/>
      <c r="U307" s="30"/>
      <c r="V307" s="30"/>
      <c r="W307" s="30"/>
      <c r="X307" s="30"/>
      <c r="Y307" s="30"/>
      <c r="Z307" s="30"/>
      <c r="AA307" s="30"/>
      <c r="AB307" s="30"/>
      <c r="AC307" s="30"/>
      <c r="AD307" s="30"/>
    </row>
    <row r="308" ht="15.75" customHeight="1">
      <c r="A308" s="30"/>
      <c r="B308" s="30"/>
      <c r="C308" s="30"/>
      <c r="D308" s="30"/>
      <c r="E308" s="30"/>
      <c r="F308" s="30"/>
      <c r="G308" s="30"/>
      <c r="H308" s="37"/>
      <c r="I308" s="37"/>
      <c r="J308" s="37"/>
      <c r="K308" s="37"/>
      <c r="L308" s="37"/>
      <c r="M308" s="37"/>
      <c r="N308" s="30"/>
      <c r="O308" s="30"/>
      <c r="P308" s="30"/>
      <c r="Q308" s="30"/>
      <c r="R308" s="30"/>
      <c r="S308" s="30"/>
      <c r="T308" s="30"/>
      <c r="U308" s="30"/>
      <c r="V308" s="30"/>
      <c r="W308" s="30"/>
      <c r="X308" s="30"/>
      <c r="Y308" s="30"/>
      <c r="Z308" s="30"/>
      <c r="AA308" s="30"/>
      <c r="AB308" s="30"/>
      <c r="AC308" s="30"/>
      <c r="AD308" s="30"/>
    </row>
    <row r="309" ht="15.75" customHeight="1">
      <c r="A309" s="30"/>
      <c r="B309" s="30"/>
      <c r="C309" s="30"/>
      <c r="D309" s="30"/>
      <c r="E309" s="30"/>
      <c r="F309" s="30"/>
      <c r="G309" s="30"/>
      <c r="H309" s="37"/>
      <c r="I309" s="37"/>
      <c r="J309" s="37"/>
      <c r="K309" s="37"/>
      <c r="L309" s="37"/>
      <c r="M309" s="37"/>
      <c r="N309" s="30"/>
      <c r="O309" s="30"/>
      <c r="P309" s="30"/>
      <c r="Q309" s="30"/>
      <c r="R309" s="30"/>
      <c r="S309" s="30"/>
      <c r="T309" s="30"/>
      <c r="U309" s="30"/>
      <c r="V309" s="30"/>
      <c r="W309" s="30"/>
      <c r="X309" s="30"/>
      <c r="Y309" s="30"/>
      <c r="Z309" s="30"/>
      <c r="AA309" s="30"/>
      <c r="AB309" s="30"/>
      <c r="AC309" s="30"/>
      <c r="AD309" s="30"/>
    </row>
    <row r="310" ht="15.75" customHeight="1">
      <c r="A310" s="30"/>
      <c r="B310" s="30"/>
      <c r="C310" s="30"/>
      <c r="D310" s="30"/>
      <c r="E310" s="30"/>
      <c r="F310" s="30"/>
      <c r="G310" s="30"/>
      <c r="H310" s="37"/>
      <c r="I310" s="37"/>
      <c r="J310" s="37"/>
      <c r="K310" s="37"/>
      <c r="L310" s="37"/>
      <c r="M310" s="37"/>
      <c r="N310" s="30"/>
      <c r="O310" s="30"/>
      <c r="P310" s="30"/>
      <c r="Q310" s="30"/>
      <c r="R310" s="30"/>
      <c r="S310" s="30"/>
      <c r="T310" s="30"/>
      <c r="U310" s="30"/>
      <c r="V310" s="30"/>
      <c r="W310" s="30"/>
      <c r="X310" s="30"/>
      <c r="Y310" s="30"/>
      <c r="Z310" s="30"/>
      <c r="AA310" s="30"/>
      <c r="AB310" s="30"/>
      <c r="AC310" s="30"/>
      <c r="AD310" s="30"/>
    </row>
    <row r="311" ht="15.75" customHeight="1">
      <c r="A311" s="30"/>
      <c r="B311" s="30"/>
      <c r="C311" s="30"/>
      <c r="D311" s="30"/>
      <c r="E311" s="30"/>
      <c r="F311" s="30"/>
      <c r="G311" s="30"/>
      <c r="H311" s="37"/>
      <c r="I311" s="37"/>
      <c r="J311" s="37"/>
      <c r="K311" s="37"/>
      <c r="L311" s="37"/>
      <c r="M311" s="37"/>
      <c r="N311" s="30"/>
      <c r="O311" s="30"/>
      <c r="P311" s="30"/>
      <c r="Q311" s="30"/>
      <c r="R311" s="30"/>
      <c r="S311" s="30"/>
      <c r="T311" s="30"/>
      <c r="U311" s="30"/>
      <c r="V311" s="30"/>
      <c r="W311" s="30"/>
      <c r="X311" s="30"/>
      <c r="Y311" s="30"/>
      <c r="Z311" s="30"/>
      <c r="AA311" s="30"/>
      <c r="AB311" s="30"/>
      <c r="AC311" s="30"/>
      <c r="AD311" s="30"/>
    </row>
    <row r="312" ht="15.75" customHeight="1">
      <c r="A312" s="30"/>
      <c r="B312" s="30"/>
      <c r="C312" s="30"/>
      <c r="D312" s="30"/>
      <c r="E312" s="30"/>
      <c r="F312" s="30"/>
      <c r="G312" s="30"/>
      <c r="H312" s="37"/>
      <c r="I312" s="37"/>
      <c r="J312" s="37"/>
      <c r="K312" s="37"/>
      <c r="L312" s="37"/>
      <c r="M312" s="37"/>
      <c r="N312" s="30"/>
      <c r="O312" s="30"/>
      <c r="P312" s="30"/>
      <c r="Q312" s="30"/>
      <c r="R312" s="30"/>
      <c r="S312" s="30"/>
      <c r="T312" s="30"/>
      <c r="U312" s="30"/>
      <c r="V312" s="30"/>
      <c r="W312" s="30"/>
      <c r="X312" s="30"/>
      <c r="Y312" s="30"/>
      <c r="Z312" s="30"/>
      <c r="AA312" s="30"/>
      <c r="AB312" s="30"/>
      <c r="AC312" s="30"/>
      <c r="AD312" s="30"/>
    </row>
    <row r="313" ht="15.75" customHeight="1">
      <c r="A313" s="30"/>
      <c r="B313" s="30"/>
      <c r="C313" s="30"/>
      <c r="D313" s="30"/>
      <c r="E313" s="30"/>
      <c r="F313" s="30"/>
      <c r="G313" s="30"/>
      <c r="H313" s="37"/>
      <c r="I313" s="37"/>
      <c r="J313" s="37"/>
      <c r="K313" s="37"/>
      <c r="L313" s="37"/>
      <c r="M313" s="37"/>
      <c r="N313" s="30"/>
      <c r="O313" s="30"/>
      <c r="P313" s="30"/>
      <c r="Q313" s="30"/>
      <c r="R313" s="30"/>
      <c r="S313" s="30"/>
      <c r="T313" s="30"/>
      <c r="U313" s="30"/>
      <c r="V313" s="30"/>
      <c r="W313" s="30"/>
      <c r="X313" s="30"/>
      <c r="Y313" s="30"/>
      <c r="Z313" s="30"/>
      <c r="AA313" s="30"/>
      <c r="AB313" s="30"/>
      <c r="AC313" s="30"/>
      <c r="AD313" s="30"/>
    </row>
    <row r="314" ht="15.75" customHeight="1">
      <c r="A314" s="30"/>
      <c r="B314" s="30"/>
      <c r="C314" s="30"/>
      <c r="D314" s="30"/>
      <c r="E314" s="30"/>
      <c r="F314" s="30"/>
      <c r="G314" s="30"/>
      <c r="H314" s="37"/>
      <c r="I314" s="37"/>
      <c r="J314" s="37"/>
      <c r="K314" s="37"/>
      <c r="L314" s="37"/>
      <c r="M314" s="37"/>
      <c r="N314" s="30"/>
      <c r="O314" s="30"/>
      <c r="P314" s="30"/>
      <c r="Q314" s="30"/>
      <c r="R314" s="30"/>
      <c r="S314" s="30"/>
      <c r="T314" s="30"/>
      <c r="U314" s="30"/>
      <c r="V314" s="30"/>
      <c r="W314" s="30"/>
      <c r="X314" s="30"/>
      <c r="Y314" s="30"/>
      <c r="Z314" s="30"/>
      <c r="AA314" s="30"/>
      <c r="AB314" s="30"/>
      <c r="AC314" s="30"/>
      <c r="AD314" s="30"/>
    </row>
    <row r="315" ht="15.75" customHeight="1">
      <c r="A315" s="30"/>
      <c r="B315" s="30"/>
      <c r="C315" s="30"/>
      <c r="D315" s="30"/>
      <c r="E315" s="30"/>
      <c r="F315" s="30"/>
      <c r="G315" s="30"/>
      <c r="H315" s="37"/>
      <c r="I315" s="37"/>
      <c r="J315" s="37"/>
      <c r="K315" s="37"/>
      <c r="L315" s="37"/>
      <c r="M315" s="37"/>
      <c r="N315" s="30"/>
      <c r="O315" s="30"/>
      <c r="P315" s="30"/>
      <c r="Q315" s="30"/>
      <c r="R315" s="30"/>
      <c r="S315" s="30"/>
      <c r="T315" s="30"/>
      <c r="U315" s="30"/>
      <c r="V315" s="30"/>
      <c r="W315" s="30"/>
      <c r="X315" s="30"/>
      <c r="Y315" s="30"/>
      <c r="Z315" s="30"/>
      <c r="AA315" s="30"/>
      <c r="AB315" s="30"/>
      <c r="AC315" s="30"/>
      <c r="AD315" s="30"/>
    </row>
    <row r="316" ht="15.75" customHeight="1">
      <c r="A316" s="30"/>
      <c r="B316" s="30"/>
      <c r="C316" s="30"/>
      <c r="D316" s="30"/>
      <c r="E316" s="30"/>
      <c r="F316" s="30"/>
      <c r="G316" s="30"/>
      <c r="H316" s="37"/>
      <c r="I316" s="37"/>
      <c r="J316" s="37"/>
      <c r="K316" s="37"/>
      <c r="L316" s="37"/>
      <c r="M316" s="37"/>
      <c r="N316" s="30"/>
      <c r="O316" s="30"/>
      <c r="P316" s="30"/>
      <c r="Q316" s="30"/>
      <c r="R316" s="30"/>
      <c r="S316" s="30"/>
      <c r="T316" s="30"/>
      <c r="U316" s="30"/>
      <c r="V316" s="30"/>
      <c r="W316" s="30"/>
      <c r="X316" s="30"/>
      <c r="Y316" s="30"/>
      <c r="Z316" s="30"/>
      <c r="AA316" s="30"/>
      <c r="AB316" s="30"/>
      <c r="AC316" s="30"/>
      <c r="AD316" s="30"/>
    </row>
    <row r="317" ht="15.75" customHeight="1">
      <c r="A317" s="30"/>
      <c r="B317" s="30"/>
      <c r="C317" s="30"/>
      <c r="D317" s="30"/>
      <c r="E317" s="30"/>
      <c r="F317" s="30"/>
      <c r="G317" s="30"/>
      <c r="H317" s="37"/>
      <c r="I317" s="37"/>
      <c r="J317" s="37"/>
      <c r="K317" s="37"/>
      <c r="L317" s="37"/>
      <c r="M317" s="37"/>
      <c r="N317" s="30"/>
      <c r="O317" s="30"/>
      <c r="P317" s="30"/>
      <c r="Q317" s="30"/>
      <c r="R317" s="30"/>
      <c r="S317" s="30"/>
      <c r="T317" s="30"/>
      <c r="U317" s="30"/>
      <c r="V317" s="30"/>
      <c r="W317" s="30"/>
      <c r="X317" s="30"/>
      <c r="Y317" s="30"/>
      <c r="Z317" s="30"/>
      <c r="AA317" s="30"/>
      <c r="AB317" s="30"/>
      <c r="AC317" s="30"/>
      <c r="AD317" s="30"/>
    </row>
    <row r="318" ht="15.75" customHeight="1">
      <c r="A318" s="30"/>
      <c r="B318" s="30"/>
      <c r="C318" s="30"/>
      <c r="D318" s="30"/>
      <c r="E318" s="30"/>
      <c r="F318" s="30"/>
      <c r="G318" s="30"/>
      <c r="H318" s="37"/>
      <c r="I318" s="37"/>
      <c r="J318" s="37"/>
      <c r="K318" s="37"/>
      <c r="L318" s="37"/>
      <c r="M318" s="37"/>
      <c r="N318" s="30"/>
      <c r="O318" s="30"/>
      <c r="P318" s="30"/>
      <c r="Q318" s="30"/>
      <c r="R318" s="30"/>
      <c r="S318" s="30"/>
      <c r="T318" s="30"/>
      <c r="U318" s="30"/>
      <c r="V318" s="30"/>
      <c r="W318" s="30"/>
      <c r="X318" s="30"/>
      <c r="Y318" s="30"/>
      <c r="Z318" s="30"/>
      <c r="AA318" s="30"/>
      <c r="AB318" s="30"/>
      <c r="AC318" s="30"/>
      <c r="AD318" s="30"/>
    </row>
    <row r="319" ht="15.75" customHeight="1">
      <c r="A319" s="30"/>
      <c r="B319" s="30"/>
      <c r="C319" s="30"/>
      <c r="D319" s="30"/>
      <c r="E319" s="30"/>
      <c r="F319" s="30"/>
      <c r="G319" s="30"/>
      <c r="H319" s="37"/>
      <c r="I319" s="37"/>
      <c r="J319" s="37"/>
      <c r="K319" s="37"/>
      <c r="L319" s="37"/>
      <c r="M319" s="37"/>
      <c r="N319" s="30"/>
      <c r="O319" s="30"/>
      <c r="P319" s="30"/>
      <c r="Q319" s="30"/>
      <c r="R319" s="30"/>
      <c r="S319" s="30"/>
      <c r="T319" s="30"/>
      <c r="U319" s="30"/>
      <c r="V319" s="30"/>
      <c r="W319" s="30"/>
      <c r="X319" s="30"/>
      <c r="Y319" s="30"/>
      <c r="Z319" s="30"/>
      <c r="AA319" s="30"/>
      <c r="AB319" s="30"/>
      <c r="AC319" s="30"/>
      <c r="AD319" s="30"/>
    </row>
    <row r="320" ht="15.75" customHeight="1">
      <c r="A320" s="30"/>
      <c r="B320" s="30"/>
      <c r="C320" s="30"/>
      <c r="D320" s="30"/>
      <c r="E320" s="30"/>
      <c r="F320" s="30"/>
      <c r="G320" s="30"/>
      <c r="H320" s="37"/>
      <c r="I320" s="37"/>
      <c r="J320" s="37"/>
      <c r="K320" s="37"/>
      <c r="L320" s="37"/>
      <c r="M320" s="37"/>
      <c r="N320" s="30"/>
      <c r="O320" s="30"/>
      <c r="P320" s="30"/>
      <c r="Q320" s="30"/>
      <c r="R320" s="30"/>
      <c r="S320" s="30"/>
      <c r="T320" s="30"/>
      <c r="U320" s="30"/>
      <c r="V320" s="30"/>
      <c r="W320" s="30"/>
      <c r="X320" s="30"/>
      <c r="Y320" s="30"/>
      <c r="Z320" s="30"/>
      <c r="AA320" s="30"/>
      <c r="AB320" s="30"/>
      <c r="AC320" s="30"/>
      <c r="AD320" s="30"/>
    </row>
    <row r="321" ht="15.75" customHeight="1">
      <c r="A321" s="30"/>
      <c r="B321" s="30"/>
      <c r="C321" s="30"/>
      <c r="D321" s="30"/>
      <c r="E321" s="30"/>
      <c r="F321" s="30"/>
      <c r="G321" s="30"/>
      <c r="H321" s="37"/>
      <c r="I321" s="37"/>
      <c r="J321" s="37"/>
      <c r="K321" s="37"/>
      <c r="L321" s="37"/>
      <c r="M321" s="37"/>
      <c r="N321" s="30"/>
      <c r="O321" s="30"/>
      <c r="P321" s="30"/>
      <c r="Q321" s="30"/>
      <c r="R321" s="30"/>
      <c r="S321" s="30"/>
      <c r="T321" s="30"/>
      <c r="U321" s="30"/>
      <c r="V321" s="30"/>
      <c r="W321" s="30"/>
      <c r="X321" s="30"/>
      <c r="Y321" s="30"/>
      <c r="Z321" s="30"/>
      <c r="AA321" s="30"/>
      <c r="AB321" s="30"/>
      <c r="AC321" s="30"/>
      <c r="AD321" s="30"/>
    </row>
    <row r="322" ht="15.75" customHeight="1">
      <c r="A322" s="30"/>
      <c r="B322" s="30"/>
      <c r="C322" s="30"/>
      <c r="D322" s="30"/>
      <c r="E322" s="30"/>
      <c r="F322" s="30"/>
      <c r="G322" s="30"/>
      <c r="H322" s="37"/>
      <c r="I322" s="37"/>
      <c r="J322" s="37"/>
      <c r="K322" s="37"/>
      <c r="L322" s="37"/>
      <c r="M322" s="37"/>
      <c r="N322" s="30"/>
      <c r="O322" s="30"/>
      <c r="P322" s="30"/>
      <c r="Q322" s="30"/>
      <c r="R322" s="30"/>
      <c r="S322" s="30"/>
      <c r="T322" s="30"/>
      <c r="U322" s="30"/>
      <c r="V322" s="30"/>
      <c r="W322" s="30"/>
      <c r="X322" s="30"/>
      <c r="Y322" s="30"/>
      <c r="Z322" s="30"/>
      <c r="AA322" s="30"/>
      <c r="AB322" s="30"/>
      <c r="AC322" s="30"/>
      <c r="AD322" s="30"/>
    </row>
    <row r="323" ht="15.75" customHeight="1">
      <c r="A323" s="30"/>
      <c r="B323" s="30"/>
      <c r="C323" s="30"/>
      <c r="D323" s="30"/>
      <c r="E323" s="30"/>
      <c r="F323" s="30"/>
      <c r="G323" s="30"/>
      <c r="H323" s="37"/>
      <c r="I323" s="37"/>
      <c r="J323" s="37"/>
      <c r="K323" s="37"/>
      <c r="L323" s="37"/>
      <c r="M323" s="37"/>
      <c r="N323" s="30"/>
      <c r="O323" s="30"/>
      <c r="P323" s="30"/>
      <c r="Q323" s="30"/>
      <c r="R323" s="30"/>
      <c r="S323" s="30"/>
      <c r="T323" s="30"/>
      <c r="U323" s="30"/>
      <c r="V323" s="30"/>
      <c r="W323" s="30"/>
      <c r="X323" s="30"/>
      <c r="Y323" s="30"/>
      <c r="Z323" s="30"/>
      <c r="AA323" s="30"/>
      <c r="AB323" s="30"/>
      <c r="AC323" s="30"/>
      <c r="AD323" s="30"/>
    </row>
    <row r="324" ht="15.75" customHeight="1">
      <c r="A324" s="30"/>
      <c r="B324" s="30"/>
      <c r="C324" s="30"/>
      <c r="D324" s="30"/>
      <c r="E324" s="30"/>
      <c r="F324" s="30"/>
      <c r="G324" s="30"/>
      <c r="H324" s="37"/>
      <c r="I324" s="37"/>
      <c r="J324" s="37"/>
      <c r="K324" s="37"/>
      <c r="L324" s="37"/>
      <c r="M324" s="37"/>
      <c r="N324" s="30"/>
      <c r="O324" s="30"/>
      <c r="P324" s="30"/>
      <c r="Q324" s="30"/>
      <c r="R324" s="30"/>
      <c r="S324" s="30"/>
      <c r="T324" s="30"/>
      <c r="U324" s="30"/>
      <c r="V324" s="30"/>
      <c r="W324" s="30"/>
      <c r="X324" s="30"/>
      <c r="Y324" s="30"/>
      <c r="Z324" s="30"/>
      <c r="AA324" s="30"/>
      <c r="AB324" s="30"/>
      <c r="AC324" s="30"/>
      <c r="AD324" s="30"/>
    </row>
    <row r="325" ht="15.75" customHeight="1">
      <c r="A325" s="30"/>
      <c r="B325" s="30"/>
      <c r="C325" s="30"/>
      <c r="D325" s="30"/>
      <c r="E325" s="30"/>
      <c r="F325" s="30"/>
      <c r="G325" s="30"/>
      <c r="H325" s="37"/>
      <c r="I325" s="37"/>
      <c r="J325" s="37"/>
      <c r="K325" s="37"/>
      <c r="L325" s="37"/>
      <c r="M325" s="37"/>
      <c r="N325" s="30"/>
      <c r="O325" s="30"/>
      <c r="P325" s="30"/>
      <c r="Q325" s="30"/>
      <c r="R325" s="30"/>
      <c r="S325" s="30"/>
      <c r="T325" s="30"/>
      <c r="U325" s="30"/>
      <c r="V325" s="30"/>
      <c r="W325" s="30"/>
      <c r="X325" s="30"/>
      <c r="Y325" s="30"/>
      <c r="Z325" s="30"/>
      <c r="AA325" s="30"/>
      <c r="AB325" s="30"/>
      <c r="AC325" s="30"/>
      <c r="AD325" s="30"/>
    </row>
    <row r="326" ht="15.75" customHeight="1">
      <c r="A326" s="30"/>
      <c r="B326" s="30"/>
      <c r="C326" s="30"/>
      <c r="D326" s="30"/>
      <c r="E326" s="30"/>
      <c r="F326" s="30"/>
      <c r="G326" s="30"/>
      <c r="H326" s="37"/>
      <c r="I326" s="37"/>
      <c r="J326" s="37"/>
      <c r="K326" s="37"/>
      <c r="L326" s="37"/>
      <c r="M326" s="37"/>
      <c r="N326" s="30"/>
      <c r="O326" s="30"/>
      <c r="P326" s="30"/>
      <c r="Q326" s="30"/>
      <c r="R326" s="30"/>
      <c r="S326" s="30"/>
      <c r="T326" s="30"/>
      <c r="U326" s="30"/>
      <c r="V326" s="30"/>
      <c r="W326" s="30"/>
      <c r="X326" s="30"/>
      <c r="Y326" s="30"/>
      <c r="Z326" s="30"/>
      <c r="AA326" s="30"/>
      <c r="AB326" s="30"/>
      <c r="AC326" s="30"/>
      <c r="AD326" s="30"/>
    </row>
    <row r="327" ht="15.75" customHeight="1">
      <c r="A327" s="30"/>
      <c r="B327" s="30"/>
      <c r="C327" s="30"/>
      <c r="D327" s="30"/>
      <c r="E327" s="30"/>
      <c r="F327" s="30"/>
      <c r="G327" s="30"/>
      <c r="H327" s="37"/>
      <c r="I327" s="37"/>
      <c r="J327" s="37"/>
      <c r="K327" s="37"/>
      <c r="L327" s="37"/>
      <c r="M327" s="37"/>
      <c r="N327" s="30"/>
      <c r="O327" s="30"/>
      <c r="P327" s="30"/>
      <c r="Q327" s="30"/>
      <c r="R327" s="30"/>
      <c r="S327" s="30"/>
      <c r="T327" s="30"/>
      <c r="U327" s="30"/>
      <c r="V327" s="30"/>
      <c r="W327" s="30"/>
      <c r="X327" s="30"/>
      <c r="Y327" s="30"/>
      <c r="Z327" s="30"/>
      <c r="AA327" s="30"/>
      <c r="AB327" s="30"/>
      <c r="AC327" s="30"/>
      <c r="AD327" s="30"/>
    </row>
    <row r="328" ht="15.75" customHeight="1">
      <c r="A328" s="30"/>
      <c r="B328" s="30"/>
      <c r="C328" s="30"/>
      <c r="D328" s="30"/>
      <c r="E328" s="30"/>
      <c r="F328" s="30"/>
      <c r="G328" s="30"/>
      <c r="H328" s="37"/>
      <c r="I328" s="37"/>
      <c r="J328" s="37"/>
      <c r="K328" s="37"/>
      <c r="L328" s="37"/>
      <c r="M328" s="37"/>
      <c r="N328" s="30"/>
      <c r="O328" s="30"/>
      <c r="P328" s="30"/>
      <c r="Q328" s="30"/>
      <c r="R328" s="30"/>
      <c r="S328" s="30"/>
      <c r="T328" s="30"/>
      <c r="U328" s="30"/>
      <c r="V328" s="30"/>
      <c r="W328" s="30"/>
      <c r="X328" s="30"/>
      <c r="Y328" s="30"/>
      <c r="Z328" s="30"/>
      <c r="AA328" s="30"/>
      <c r="AB328" s="30"/>
      <c r="AC328" s="30"/>
      <c r="AD328" s="30"/>
    </row>
    <row r="329" ht="15.75" customHeight="1">
      <c r="A329" s="30"/>
      <c r="B329" s="30"/>
      <c r="C329" s="30"/>
      <c r="D329" s="30"/>
      <c r="E329" s="30"/>
      <c r="F329" s="30"/>
      <c r="G329" s="30"/>
      <c r="H329" s="37"/>
      <c r="I329" s="37"/>
      <c r="J329" s="37"/>
      <c r="K329" s="37"/>
      <c r="L329" s="37"/>
      <c r="M329" s="37"/>
      <c r="N329" s="30"/>
      <c r="O329" s="30"/>
      <c r="P329" s="30"/>
      <c r="Q329" s="30"/>
      <c r="R329" s="30"/>
      <c r="S329" s="30"/>
      <c r="T329" s="30"/>
      <c r="U329" s="30"/>
      <c r="V329" s="30"/>
      <c r="W329" s="30"/>
      <c r="X329" s="30"/>
      <c r="Y329" s="30"/>
      <c r="Z329" s="30"/>
      <c r="AA329" s="30"/>
      <c r="AB329" s="30"/>
      <c r="AC329" s="30"/>
      <c r="AD329" s="30"/>
    </row>
    <row r="330" ht="15.75" customHeight="1">
      <c r="A330" s="30"/>
      <c r="B330" s="30"/>
      <c r="C330" s="30"/>
      <c r="D330" s="30"/>
      <c r="E330" s="30"/>
      <c r="F330" s="30"/>
      <c r="G330" s="30"/>
      <c r="H330" s="37"/>
      <c r="I330" s="37"/>
      <c r="J330" s="37"/>
      <c r="K330" s="37"/>
      <c r="L330" s="37"/>
      <c r="M330" s="37"/>
      <c r="N330" s="30"/>
      <c r="O330" s="30"/>
      <c r="P330" s="30"/>
      <c r="Q330" s="30"/>
      <c r="R330" s="30"/>
      <c r="S330" s="30"/>
      <c r="T330" s="30"/>
      <c r="U330" s="30"/>
      <c r="V330" s="30"/>
      <c r="W330" s="30"/>
      <c r="X330" s="30"/>
      <c r="Y330" s="30"/>
      <c r="Z330" s="30"/>
      <c r="AA330" s="30"/>
      <c r="AB330" s="30"/>
      <c r="AC330" s="30"/>
      <c r="AD330" s="30"/>
    </row>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B3:D3"/>
    <mergeCell ref="B5:D5"/>
    <mergeCell ref="E5:G5"/>
    <mergeCell ref="H5:J5"/>
    <mergeCell ref="K5:M5"/>
    <mergeCell ref="B13:D13"/>
    <mergeCell ref="B39:D39"/>
    <mergeCell ref="K39:M39"/>
    <mergeCell ref="B120:C120"/>
    <mergeCell ref="B126:C126"/>
    <mergeCell ref="E39:G39"/>
    <mergeCell ref="H39:J39"/>
    <mergeCell ref="B69:G69"/>
    <mergeCell ref="B75:G75"/>
    <mergeCell ref="B82:K82"/>
    <mergeCell ref="B91:D91"/>
    <mergeCell ref="K91:M91"/>
  </mergeCells>
  <printOptions/>
  <pageMargins bottom="1.0" footer="0.0" header="0.0" left="0.75" right="0.75" top="1.0"/>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outlineLevelCol="1"/>
  <cols>
    <col customWidth="1" min="1" max="1" width="5.29"/>
    <col customWidth="1" min="2" max="2" width="10.86"/>
    <col customWidth="1" min="3" max="3" width="34.71"/>
    <col customWidth="1" min="4" max="4" width="10.86"/>
    <col customWidth="1" min="5" max="5" width="9.71" outlineLevel="1"/>
    <col customWidth="1" min="6" max="6" width="9.57" outlineLevel="1"/>
    <col customWidth="1" min="7" max="7" width="9.86" outlineLevel="1"/>
    <col customWidth="1" min="8" max="8" width="9.43" outlineLevel="1"/>
    <col customWidth="1" min="9" max="9" width="10.0" outlineLevel="1"/>
    <col customWidth="1" min="10" max="10" width="9.71" outlineLevel="1"/>
    <col customWidth="1" min="11" max="11" width="9.14" outlineLevel="1"/>
    <col customWidth="1" min="12" max="12" width="9.86" outlineLevel="1"/>
    <col customWidth="1" min="13" max="13" width="10.0" outlineLevel="1"/>
    <col customWidth="1" min="14" max="15" width="10.14" outlineLevel="1"/>
    <col customWidth="1" min="16" max="16" width="9.86" outlineLevel="1"/>
    <col customWidth="1" min="17" max="17" width="9.71"/>
    <col customWidth="1" min="18" max="18" width="9.57"/>
    <col customWidth="1" min="19" max="19" width="9.71"/>
    <col customWidth="1" min="20" max="20" width="9.43"/>
    <col customWidth="1" min="21" max="21" width="10.0"/>
    <col customWidth="1" min="22" max="22" width="10.43"/>
    <col customWidth="1" min="23" max="23" width="9.43"/>
    <col customWidth="1" min="24" max="24" width="10.0"/>
    <col customWidth="1" min="25" max="25" width="11.14"/>
    <col customWidth="1" min="26" max="26" width="11.29"/>
    <col customWidth="1" min="27" max="28" width="10.57"/>
    <col customWidth="1" min="29" max="29" width="11.0"/>
    <col customWidth="1" min="30" max="30" width="10.57"/>
    <col customWidth="1" min="31" max="31" width="10.71"/>
    <col customWidth="1" min="32" max="32" width="10.57"/>
    <col customWidth="1" min="33" max="34" width="10.86"/>
    <col customWidth="1" min="35" max="35" width="10.57"/>
    <col customWidth="1" min="36" max="36" width="10.86"/>
    <col customWidth="1" min="37" max="37" width="11.14"/>
    <col customWidth="1" min="38" max="39" width="11.0"/>
    <col customWidth="1" min="40" max="40" width="10.86"/>
    <col customWidth="1" min="41" max="42" width="10.57"/>
    <col customWidth="1" min="43" max="44" width="10.86"/>
    <col customWidth="1" min="45" max="45" width="11.0"/>
    <col customWidth="1" min="46" max="46" width="10.86"/>
    <col customWidth="1" min="47" max="47" width="11.0"/>
    <col customWidth="1" min="48" max="48" width="10.86"/>
    <col customWidth="1" min="49" max="49" width="10.57"/>
    <col customWidth="1" min="50" max="50" width="11.0"/>
    <col customWidth="1" min="51" max="51" width="11.57"/>
    <col customWidth="1" min="52" max="52" width="11.29"/>
    <col customWidth="1" min="53" max="54" width="10.86"/>
    <col customWidth="1" min="55" max="55" width="11.29"/>
    <col customWidth="1" min="56" max="56" width="12.14"/>
    <col customWidth="1" min="57" max="57" width="11.57"/>
    <col customWidth="1" min="58" max="58" width="12.57" outlineLevel="1"/>
    <col customWidth="1" min="59" max="59" width="10.86"/>
  </cols>
  <sheetData>
    <row r="1" ht="15.75" customHeight="1">
      <c r="A1" s="141" t="s">
        <v>189</v>
      </c>
      <c r="B1" s="142" t="s">
        <v>190</v>
      </c>
      <c r="C1" s="143"/>
      <c r="D1" s="144"/>
      <c r="E1" s="145"/>
      <c r="F1" s="145"/>
      <c r="G1" s="145"/>
      <c r="H1" s="145"/>
      <c r="I1" s="145"/>
      <c r="J1" s="145"/>
      <c r="K1" s="145"/>
      <c r="L1" s="145"/>
      <c r="M1" s="145"/>
      <c r="N1" s="145"/>
      <c r="O1" s="145"/>
      <c r="P1" s="145"/>
      <c r="Q1" s="145"/>
      <c r="R1" s="146"/>
      <c r="S1" s="147"/>
      <c r="T1" s="148"/>
      <c r="U1" s="145"/>
      <c r="V1" s="145"/>
      <c r="W1" s="145"/>
      <c r="X1" s="145"/>
      <c r="Y1" s="145"/>
      <c r="Z1" s="145"/>
      <c r="AA1" s="145"/>
      <c r="AB1" s="145"/>
      <c r="AC1" s="145"/>
      <c r="AD1" s="145"/>
      <c r="AE1" s="145"/>
      <c r="AF1" s="145"/>
      <c r="AG1" s="145"/>
      <c r="AH1" s="145"/>
      <c r="AI1" s="145"/>
      <c r="AJ1" s="145"/>
      <c r="AK1" s="145"/>
      <c r="AL1" s="145"/>
      <c r="AM1" s="145"/>
      <c r="AN1" s="145"/>
      <c r="AO1" s="145"/>
      <c r="AP1" s="145"/>
      <c r="AQ1" s="145"/>
      <c r="AR1" s="145"/>
      <c r="AS1" s="145"/>
      <c r="AT1" s="145"/>
      <c r="AU1" s="145"/>
      <c r="AV1" s="145"/>
      <c r="AW1" s="145"/>
      <c r="AX1" s="145"/>
      <c r="AY1" s="145"/>
      <c r="AZ1" s="146"/>
      <c r="BA1" s="37"/>
      <c r="BB1" s="146"/>
      <c r="BC1" s="146"/>
      <c r="BD1" s="146"/>
      <c r="BE1" s="146"/>
      <c r="BF1" s="146"/>
      <c r="BG1" s="149"/>
    </row>
    <row r="2" ht="13.5" customHeight="1">
      <c r="A2" s="150"/>
      <c r="B2" s="151"/>
      <c r="C2" s="151"/>
      <c r="D2" s="151"/>
      <c r="E2" s="152" t="s">
        <v>191</v>
      </c>
      <c r="F2" s="152"/>
      <c r="G2" s="152"/>
      <c r="H2" s="152"/>
      <c r="I2" s="152"/>
      <c r="J2" s="152"/>
      <c r="K2" s="152"/>
      <c r="L2" s="152"/>
      <c r="M2" s="152"/>
      <c r="N2" s="152"/>
      <c r="O2" s="152"/>
      <c r="P2" s="152"/>
      <c r="Q2" s="152" t="s">
        <v>192</v>
      </c>
      <c r="R2" s="153"/>
      <c r="S2" s="154"/>
      <c r="T2" s="155"/>
      <c r="U2" s="152"/>
      <c r="V2" s="152"/>
      <c r="W2" s="152"/>
      <c r="X2" s="152"/>
      <c r="Y2" s="152"/>
      <c r="Z2" s="152"/>
      <c r="AA2" s="152"/>
      <c r="AB2" s="152"/>
      <c r="AC2" s="152" t="s">
        <v>193</v>
      </c>
      <c r="AD2" s="152"/>
      <c r="AE2" s="152"/>
      <c r="AF2" s="152"/>
      <c r="AG2" s="152"/>
      <c r="AH2" s="152"/>
      <c r="AI2" s="152"/>
      <c r="AJ2" s="152"/>
      <c r="AK2" s="152"/>
      <c r="AL2" s="152"/>
      <c r="AM2" s="152"/>
      <c r="AN2" s="152"/>
      <c r="AO2" s="156" t="s">
        <v>194</v>
      </c>
      <c r="AP2" s="156"/>
      <c r="AQ2" s="156"/>
      <c r="AR2" s="156"/>
      <c r="AS2" s="156"/>
      <c r="AT2" s="156"/>
      <c r="AU2" s="156"/>
      <c r="AV2" s="156"/>
      <c r="AW2" s="156"/>
      <c r="AX2" s="156"/>
      <c r="AY2" s="156"/>
      <c r="AZ2" s="157"/>
      <c r="BA2" s="158"/>
      <c r="BB2" s="157"/>
      <c r="BC2" s="157"/>
      <c r="BD2" s="157"/>
      <c r="BE2" s="157"/>
      <c r="BF2" s="157"/>
      <c r="BG2" s="159"/>
    </row>
    <row r="3" ht="13.5" customHeight="1">
      <c r="A3" s="150"/>
      <c r="B3" s="151"/>
      <c r="C3" s="151"/>
      <c r="D3" s="151"/>
      <c r="E3" s="160">
        <v>45658.0</v>
      </c>
      <c r="F3" s="160">
        <v>45689.0</v>
      </c>
      <c r="G3" s="160">
        <v>45717.0</v>
      </c>
      <c r="H3" s="160">
        <v>45748.0</v>
      </c>
      <c r="I3" s="160">
        <v>45778.0</v>
      </c>
      <c r="J3" s="160">
        <v>45809.0</v>
      </c>
      <c r="K3" s="160">
        <v>45839.0</v>
      </c>
      <c r="L3" s="160">
        <v>45870.0</v>
      </c>
      <c r="M3" s="160">
        <v>45901.0</v>
      </c>
      <c r="N3" s="160">
        <v>45931.0</v>
      </c>
      <c r="O3" s="160">
        <v>45962.0</v>
      </c>
      <c r="P3" s="160">
        <v>45992.0</v>
      </c>
      <c r="Q3" s="160">
        <v>46023.0</v>
      </c>
      <c r="R3" s="160">
        <v>46054.0</v>
      </c>
      <c r="S3" s="160">
        <v>46082.0</v>
      </c>
      <c r="T3" s="160">
        <v>46113.0</v>
      </c>
      <c r="U3" s="160">
        <v>46143.0</v>
      </c>
      <c r="V3" s="160">
        <v>46174.0</v>
      </c>
      <c r="W3" s="160">
        <v>46204.0</v>
      </c>
      <c r="X3" s="160">
        <v>46235.0</v>
      </c>
      <c r="Y3" s="160">
        <v>46266.0</v>
      </c>
      <c r="Z3" s="160">
        <v>46296.0</v>
      </c>
      <c r="AA3" s="160">
        <v>46327.0</v>
      </c>
      <c r="AB3" s="160">
        <v>46357.0</v>
      </c>
      <c r="AC3" s="160">
        <v>46388.0</v>
      </c>
      <c r="AD3" s="160">
        <v>46419.0</v>
      </c>
      <c r="AE3" s="160">
        <v>46447.0</v>
      </c>
      <c r="AF3" s="160">
        <v>46478.0</v>
      </c>
      <c r="AG3" s="160">
        <v>46508.0</v>
      </c>
      <c r="AH3" s="160">
        <v>46539.0</v>
      </c>
      <c r="AI3" s="160">
        <v>46569.0</v>
      </c>
      <c r="AJ3" s="160">
        <v>46600.0</v>
      </c>
      <c r="AK3" s="160">
        <v>46631.0</v>
      </c>
      <c r="AL3" s="160">
        <v>46661.0</v>
      </c>
      <c r="AM3" s="160">
        <v>46692.0</v>
      </c>
      <c r="AN3" s="160">
        <v>46722.0</v>
      </c>
      <c r="AO3" s="160">
        <v>46753.0</v>
      </c>
      <c r="AP3" s="160">
        <v>46784.0</v>
      </c>
      <c r="AQ3" s="160">
        <v>46813.0</v>
      </c>
      <c r="AR3" s="160">
        <v>46844.0</v>
      </c>
      <c r="AS3" s="160">
        <v>46874.0</v>
      </c>
      <c r="AT3" s="160">
        <v>46905.0</v>
      </c>
      <c r="AU3" s="160">
        <v>46935.0</v>
      </c>
      <c r="AV3" s="160">
        <v>46966.0</v>
      </c>
      <c r="AW3" s="160">
        <v>46997.0</v>
      </c>
      <c r="AX3" s="160">
        <v>47027.0</v>
      </c>
      <c r="AY3" s="160">
        <v>47058.0</v>
      </c>
      <c r="AZ3" s="160">
        <v>47088.0</v>
      </c>
      <c r="BA3" s="158"/>
      <c r="BB3" s="161">
        <v>2025.0</v>
      </c>
      <c r="BC3" s="161">
        <v>2026.0</v>
      </c>
      <c r="BD3" s="161">
        <v>2027.0</v>
      </c>
      <c r="BE3" s="161">
        <v>2028.0</v>
      </c>
      <c r="BF3" s="161">
        <v>2029.0</v>
      </c>
      <c r="BG3" s="162"/>
    </row>
    <row r="4">
      <c r="A4" s="112"/>
      <c r="B4" s="163"/>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12"/>
      <c r="BB4" s="163"/>
      <c r="BC4" s="163"/>
      <c r="BD4" s="163"/>
      <c r="BE4" s="163"/>
      <c r="BF4" s="163"/>
      <c r="BG4" s="112"/>
    </row>
    <row r="5" ht="15.75" customHeight="1">
      <c r="A5" s="164"/>
      <c r="B5" s="165" t="s">
        <v>195</v>
      </c>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c r="AH5" s="164"/>
      <c r="AI5" s="164"/>
      <c r="AJ5" s="164"/>
      <c r="AK5" s="164"/>
      <c r="AL5" s="164"/>
      <c r="AM5" s="164"/>
      <c r="AN5" s="164"/>
      <c r="AO5" s="164"/>
      <c r="AP5" s="164"/>
      <c r="AQ5" s="164"/>
      <c r="AR5" s="164"/>
      <c r="AS5" s="164"/>
      <c r="AT5" s="164"/>
      <c r="AU5" s="164"/>
      <c r="AV5" s="164"/>
      <c r="AW5" s="164"/>
      <c r="AX5" s="164"/>
      <c r="AY5" s="164"/>
      <c r="AZ5" s="164"/>
      <c r="BA5" s="164"/>
      <c r="BB5" s="164"/>
      <c r="BC5" s="164"/>
      <c r="BD5" s="164"/>
      <c r="BE5" s="164"/>
      <c r="BF5" s="164"/>
      <c r="BG5" s="164"/>
    </row>
    <row r="6" ht="13.5" customHeight="1">
      <c r="A6" s="166"/>
      <c r="B6" s="167" t="s">
        <v>196</v>
      </c>
      <c r="C6" s="168"/>
      <c r="D6" s="168"/>
      <c r="E6" s="168"/>
      <c r="F6" s="168"/>
      <c r="G6" s="168"/>
      <c r="H6" s="168"/>
      <c r="I6" s="168"/>
      <c r="J6" s="168"/>
      <c r="K6" s="168"/>
      <c r="L6" s="168"/>
      <c r="M6" s="168"/>
      <c r="N6" s="168"/>
      <c r="O6" s="168"/>
      <c r="P6" s="168"/>
      <c r="Q6" s="168"/>
      <c r="R6" s="169"/>
      <c r="S6" s="170"/>
      <c r="T6" s="171"/>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9"/>
      <c r="BA6" s="112"/>
      <c r="BB6" s="169"/>
      <c r="BC6" s="169"/>
      <c r="BD6" s="169"/>
      <c r="BE6" s="169"/>
      <c r="BF6" s="169"/>
      <c r="BG6" s="112"/>
    </row>
    <row r="7" ht="15.0" customHeight="1">
      <c r="A7" s="112"/>
      <c r="B7" s="163" t="s">
        <v>197</v>
      </c>
      <c r="C7" s="163"/>
      <c r="D7" s="163" t="s">
        <v>198</v>
      </c>
      <c r="E7" s="164"/>
      <c r="F7" s="164"/>
      <c r="G7" s="164"/>
      <c r="H7" s="164"/>
      <c r="I7" s="164"/>
      <c r="J7" s="164"/>
      <c r="K7" s="164"/>
      <c r="L7" s="164"/>
      <c r="M7" s="164" t="str">
        <f>'Revenue Forecast'!M9</f>
        <v/>
      </c>
      <c r="N7" s="164" t="str">
        <f>'Revenue Forecast'!N9</f>
        <v/>
      </c>
      <c r="O7" s="164" t="str">
        <f>'Revenue Forecast'!O9</f>
        <v/>
      </c>
      <c r="P7" s="164" t="str">
        <f>'Revenue Forecast'!P9</f>
        <v/>
      </c>
      <c r="Q7" s="164">
        <f>'Revenue Forecast'!Q9</f>
        <v>0</v>
      </c>
      <c r="R7" s="164">
        <f>'Revenue Forecast'!R9</f>
        <v>0</v>
      </c>
      <c r="S7" s="164">
        <f>'Revenue Forecast'!S9</f>
        <v>0</v>
      </c>
      <c r="T7" s="164">
        <f>'Revenue Forecast'!T9</f>
        <v>0</v>
      </c>
      <c r="U7" s="164">
        <f>'Revenue Forecast'!U9</f>
        <v>0</v>
      </c>
      <c r="V7" s="164">
        <f>'Revenue Forecast'!V9</f>
        <v>0</v>
      </c>
      <c r="W7" s="164">
        <f>'Revenue Forecast'!W9</f>
        <v>0</v>
      </c>
      <c r="X7" s="164">
        <f>'Revenue Forecast'!X9</f>
        <v>0</v>
      </c>
      <c r="Y7" s="164">
        <f>'Revenue Forecast'!Y9</f>
        <v>0</v>
      </c>
      <c r="Z7" s="164">
        <f>'Revenue Forecast'!Z9</f>
        <v>0</v>
      </c>
      <c r="AA7" s="164">
        <f>'Revenue Forecast'!AA9</f>
        <v>0</v>
      </c>
      <c r="AB7" s="164">
        <f>'Revenue Forecast'!AB9</f>
        <v>0</v>
      </c>
      <c r="AC7" s="164">
        <f>'Revenue Forecast'!AC9</f>
        <v>171541.8192</v>
      </c>
      <c r="AD7" s="164">
        <f>'Revenue Forecast'!AD9</f>
        <v>189598.8528</v>
      </c>
      <c r="AE7" s="164">
        <f>'Revenue Forecast'!AE9</f>
        <v>207655.8864</v>
      </c>
      <c r="AF7" s="164">
        <f>'Revenue Forecast'!AF9</f>
        <v>225712.92</v>
      </c>
      <c r="AG7" s="164">
        <f>'Revenue Forecast'!AG9</f>
        <v>252798.4704</v>
      </c>
      <c r="AH7" s="164">
        <f>'Revenue Forecast'!AH9</f>
        <v>270855.504</v>
      </c>
      <c r="AI7" s="164">
        <f>'Revenue Forecast'!AI9</f>
        <v>297941.0544</v>
      </c>
      <c r="AJ7" s="164">
        <f>'Revenue Forecast'!AJ9</f>
        <v>325026.6048</v>
      </c>
      <c r="AK7" s="164">
        <f>'Revenue Forecast'!AK9</f>
        <v>361140.672</v>
      </c>
      <c r="AL7" s="164">
        <f>'Revenue Forecast'!AL9</f>
        <v>397254.7392</v>
      </c>
      <c r="AM7" s="164">
        <f>'Revenue Forecast'!AM9</f>
        <v>433368.8064</v>
      </c>
      <c r="AN7" s="164">
        <f>'Revenue Forecast'!AN9</f>
        <v>478511.3904</v>
      </c>
      <c r="AO7" s="164">
        <f>'Revenue Forecast'!AO9</f>
        <v>523653.9744</v>
      </c>
      <c r="AP7" s="164">
        <f>'Revenue Forecast'!AP9</f>
        <v>568796.5584</v>
      </c>
      <c r="AQ7" s="164">
        <f>'Revenue Forecast'!AQ9</f>
        <v>622967.6592</v>
      </c>
      <c r="AR7" s="164">
        <f>'Revenue Forecast'!AR9</f>
        <v>686167.2768</v>
      </c>
      <c r="AS7" s="164">
        <f>'Revenue Forecast'!AS9</f>
        <v>749366.8944</v>
      </c>
      <c r="AT7" s="164">
        <f>'Revenue Forecast'!AT9</f>
        <v>821595.0288</v>
      </c>
      <c r="AU7" s="164">
        <f>'Revenue Forecast'!AU9</f>
        <v>902851.68</v>
      </c>
      <c r="AV7" s="164">
        <f>'Revenue Forecast'!AV9</f>
        <v>984108.3312</v>
      </c>
      <c r="AW7" s="164">
        <f>'Revenue Forecast'!AW9</f>
        <v>1083422.016</v>
      </c>
      <c r="AX7" s="164">
        <f>'Revenue Forecast'!AX9</f>
        <v>1182735.701</v>
      </c>
      <c r="AY7" s="164">
        <f>'Revenue Forecast'!AY9</f>
        <v>1300106.419</v>
      </c>
      <c r="AZ7" s="164">
        <f>'Revenue Forecast'!AZ9</f>
        <v>1408448.621</v>
      </c>
      <c r="BA7" s="112"/>
      <c r="BB7" s="164">
        <f t="shared" ref="BB7:BB8" si="1">sum(E7:P7)</f>
        <v>0</v>
      </c>
      <c r="BC7" s="164">
        <f t="shared" ref="BC7:BC8" si="2">sum(Q7:AB7)</f>
        <v>0</v>
      </c>
      <c r="BD7" s="164">
        <f t="shared" ref="BD7:BD8" si="3">sum(AC7:AN7)</f>
        <v>3611406.72</v>
      </c>
      <c r="BE7" s="164">
        <f t="shared" ref="BE7:BE8" si="4">sum(AO7:AZ7)</f>
        <v>10834220.16</v>
      </c>
      <c r="BF7" s="164">
        <f>'Revenue Forecast'!BF9</f>
        <v>21670840.32</v>
      </c>
      <c r="BG7" s="42"/>
    </row>
    <row r="8" ht="15.0" customHeight="1">
      <c r="A8" s="112"/>
      <c r="B8" s="163" t="s">
        <v>50</v>
      </c>
      <c r="C8" s="163"/>
      <c r="D8" s="163" t="s">
        <v>198</v>
      </c>
      <c r="E8" s="164"/>
      <c r="F8" s="164"/>
      <c r="G8" s="164"/>
      <c r="H8" s="164"/>
      <c r="I8" s="164"/>
      <c r="J8" s="164"/>
      <c r="K8" s="164"/>
      <c r="L8" s="164"/>
      <c r="M8" s="164" t="str">
        <f>'Revenue Forecast'!M15</f>
        <v/>
      </c>
      <c r="N8" s="164" t="str">
        <f>'Revenue Forecast'!N15</f>
        <v/>
      </c>
      <c r="O8" s="164" t="str">
        <f>'Revenue Forecast'!O15</f>
        <v/>
      </c>
      <c r="P8" s="164" t="str">
        <f>'Revenue Forecast'!P15</f>
        <v/>
      </c>
      <c r="Q8" s="164">
        <f>'Revenue Forecast'!Q15</f>
        <v>0</v>
      </c>
      <c r="R8" s="164">
        <f>'Revenue Forecast'!R15</f>
        <v>0</v>
      </c>
      <c r="S8" s="164">
        <f>'Revenue Forecast'!S15</f>
        <v>0</v>
      </c>
      <c r="T8" s="164">
        <f>'Revenue Forecast'!T15</f>
        <v>0</v>
      </c>
      <c r="U8" s="164">
        <f>'Revenue Forecast'!U15</f>
        <v>0</v>
      </c>
      <c r="V8" s="164">
        <f>'Revenue Forecast'!V15</f>
        <v>0</v>
      </c>
      <c r="W8" s="164">
        <f>'Revenue Forecast'!W15</f>
        <v>0</v>
      </c>
      <c r="X8" s="164">
        <f>'Revenue Forecast'!X15</f>
        <v>0</v>
      </c>
      <c r="Y8" s="164">
        <f>'Revenue Forecast'!Y15</f>
        <v>0</v>
      </c>
      <c r="Z8" s="164">
        <f>'Revenue Forecast'!Z15</f>
        <v>0</v>
      </c>
      <c r="AA8" s="164">
        <f>'Revenue Forecast'!AA15</f>
        <v>0</v>
      </c>
      <c r="AB8" s="164">
        <f>'Revenue Forecast'!AB15</f>
        <v>0</v>
      </c>
      <c r="AC8" s="164">
        <f>'Revenue Forecast'!AC15</f>
        <v>157928.2152</v>
      </c>
      <c r="AD8" s="164">
        <f>'Revenue Forecast'!AD15</f>
        <v>180489.3888</v>
      </c>
      <c r="AE8" s="164">
        <f>'Revenue Forecast'!AE15</f>
        <v>191769.9756</v>
      </c>
      <c r="AF8" s="164">
        <f>'Revenue Forecast'!AF15</f>
        <v>214331.1492</v>
      </c>
      <c r="AG8" s="164">
        <f>'Revenue Forecast'!AG15</f>
        <v>236892.3228</v>
      </c>
      <c r="AH8" s="164">
        <f>'Revenue Forecast'!AH15</f>
        <v>259453.4964</v>
      </c>
      <c r="AI8" s="164">
        <f>'Revenue Forecast'!AI15</f>
        <v>282014.67</v>
      </c>
      <c r="AJ8" s="164">
        <f>'Revenue Forecast'!AJ15</f>
        <v>304575.8436</v>
      </c>
      <c r="AK8" s="164">
        <f>'Revenue Forecast'!AK15</f>
        <v>338417.604</v>
      </c>
      <c r="AL8" s="164">
        <f>'Revenue Forecast'!AL15</f>
        <v>372259.3644</v>
      </c>
      <c r="AM8" s="164">
        <f>'Revenue Forecast'!AM15</f>
        <v>406101.1248</v>
      </c>
      <c r="AN8" s="164">
        <f>'Revenue Forecast'!AN15</f>
        <v>439942.8852</v>
      </c>
      <c r="AO8" s="164">
        <f>'Revenue Forecast'!AO15</f>
        <v>485065.2324</v>
      </c>
      <c r="AP8" s="164">
        <f>'Revenue Forecast'!AP15</f>
        <v>530187.5796</v>
      </c>
      <c r="AQ8" s="164">
        <f>'Revenue Forecast'!AQ15</f>
        <v>586590.5136</v>
      </c>
      <c r="AR8" s="164">
        <f>'Revenue Forecast'!AR15</f>
        <v>642993.4476</v>
      </c>
      <c r="AS8" s="164">
        <f>'Revenue Forecast'!AS15</f>
        <v>699396.3816</v>
      </c>
      <c r="AT8" s="164">
        <f>'Revenue Forecast'!AT15</f>
        <v>767079.9024</v>
      </c>
      <c r="AU8" s="164">
        <f>'Revenue Forecast'!AU15</f>
        <v>846044.01</v>
      </c>
      <c r="AV8" s="164">
        <f>'Revenue Forecast'!AV15</f>
        <v>925008.1176</v>
      </c>
      <c r="AW8" s="164">
        <f>'Revenue Forecast'!AW15</f>
        <v>1015252.812</v>
      </c>
      <c r="AX8" s="164">
        <f>'Revenue Forecast'!AX15</f>
        <v>1105497.506</v>
      </c>
      <c r="AY8" s="164">
        <f>'Revenue Forecast'!AY15</f>
        <v>1218303.374</v>
      </c>
      <c r="AZ8" s="164">
        <f>'Revenue Forecast'!AZ15</f>
        <v>1331109.242</v>
      </c>
      <c r="BA8" s="112"/>
      <c r="BB8" s="164">
        <f t="shared" si="1"/>
        <v>0</v>
      </c>
      <c r="BC8" s="164">
        <f t="shared" si="2"/>
        <v>0</v>
      </c>
      <c r="BD8" s="164">
        <f t="shared" si="3"/>
        <v>3384176.04</v>
      </c>
      <c r="BE8" s="164">
        <f t="shared" si="4"/>
        <v>10152528.12</v>
      </c>
      <c r="BF8" s="164">
        <f>'Revenue Forecast'!BF15</f>
        <v>20305056.24</v>
      </c>
      <c r="BG8" s="42"/>
    </row>
    <row r="9" ht="15.0" customHeight="1">
      <c r="A9" s="112"/>
      <c r="B9" s="163" t="s">
        <v>51</v>
      </c>
      <c r="C9" s="163"/>
      <c r="D9" s="163" t="s">
        <v>198</v>
      </c>
      <c r="E9" s="164"/>
      <c r="F9" s="164"/>
      <c r="G9" s="164"/>
      <c r="H9" s="164"/>
      <c r="I9" s="164"/>
      <c r="J9" s="164"/>
      <c r="K9" s="164"/>
      <c r="L9" s="164"/>
      <c r="M9" s="164"/>
      <c r="N9" s="164"/>
      <c r="O9" s="164"/>
      <c r="P9" s="164"/>
      <c r="Q9" s="164">
        <f>'Revenue Forecast'!Q21</f>
        <v>0</v>
      </c>
      <c r="R9" s="164">
        <f>'Revenue Forecast'!R21</f>
        <v>0</v>
      </c>
      <c r="S9" s="164">
        <f>'Revenue Forecast'!S21</f>
        <v>0</v>
      </c>
      <c r="T9" s="164">
        <f>'Revenue Forecast'!T21</f>
        <v>0</v>
      </c>
      <c r="U9" s="164">
        <f>'Revenue Forecast'!U21</f>
        <v>0</v>
      </c>
      <c r="V9" s="164">
        <f>'Revenue Forecast'!V21</f>
        <v>0</v>
      </c>
      <c r="W9" s="164">
        <f>'Revenue Forecast'!W21</f>
        <v>0</v>
      </c>
      <c r="X9" s="164">
        <f>'Revenue Forecast'!X21</f>
        <v>0</v>
      </c>
      <c r="Y9" s="164">
        <f>'Revenue Forecast'!Y21</f>
        <v>0</v>
      </c>
      <c r="Z9" s="164">
        <f>'Revenue Forecast'!Z21</f>
        <v>0</v>
      </c>
      <c r="AA9" s="164">
        <f>'Revenue Forecast'!AA21</f>
        <v>0</v>
      </c>
      <c r="AB9" s="164">
        <f>'Revenue Forecast'!AB21</f>
        <v>0</v>
      </c>
      <c r="AC9" s="164">
        <f>'Revenue Forecast'!AC21</f>
        <v>200738.1152</v>
      </c>
      <c r="AD9" s="164">
        <f>'Revenue Forecast'!AD21</f>
        <v>229414.9888</v>
      </c>
      <c r="AE9" s="164">
        <f>'Revenue Forecast'!AE21</f>
        <v>243753.4256</v>
      </c>
      <c r="AF9" s="164">
        <f>'Revenue Forecast'!AF21</f>
        <v>272430.2992</v>
      </c>
      <c r="AG9" s="164">
        <f>'Revenue Forecast'!AG21</f>
        <v>301107.1728</v>
      </c>
      <c r="AH9" s="164">
        <f>'Revenue Forecast'!AH21</f>
        <v>329784.0464</v>
      </c>
      <c r="AI9" s="164">
        <f>'Revenue Forecast'!AI21</f>
        <v>358460.92</v>
      </c>
      <c r="AJ9" s="164">
        <f>'Revenue Forecast'!AJ21</f>
        <v>387137.7936</v>
      </c>
      <c r="AK9" s="164">
        <f>'Revenue Forecast'!AK21</f>
        <v>430153.104</v>
      </c>
      <c r="AL9" s="164">
        <f>'Revenue Forecast'!AL21</f>
        <v>473168.4144</v>
      </c>
      <c r="AM9" s="164">
        <f>'Revenue Forecast'!AM21</f>
        <v>516183.7248</v>
      </c>
      <c r="AN9" s="164">
        <f>'Revenue Forecast'!AN21</f>
        <v>559199.0352</v>
      </c>
      <c r="AO9" s="164">
        <f>'Revenue Forecast'!AO21</f>
        <v>616552.7824</v>
      </c>
      <c r="AP9" s="164">
        <f>'Revenue Forecast'!AP21</f>
        <v>673906.5296</v>
      </c>
      <c r="AQ9" s="164">
        <f>'Revenue Forecast'!AQ21</f>
        <v>745598.7136</v>
      </c>
      <c r="AR9" s="164">
        <f>'Revenue Forecast'!AR21</f>
        <v>817290.8976</v>
      </c>
      <c r="AS9" s="164">
        <f>'Revenue Forecast'!AS21</f>
        <v>888983.0816</v>
      </c>
      <c r="AT9" s="164">
        <f>'Revenue Forecast'!AT21</f>
        <v>975013.7024</v>
      </c>
      <c r="AU9" s="164">
        <f>'Revenue Forecast'!AU21</f>
        <v>1075382.76</v>
      </c>
      <c r="AV9" s="164">
        <f>'Revenue Forecast'!AV21</f>
        <v>1175751.818</v>
      </c>
      <c r="AW9" s="164">
        <f>'Revenue Forecast'!AW21</f>
        <v>1290459.312</v>
      </c>
      <c r="AX9" s="164">
        <f>'Revenue Forecast'!AX21</f>
        <v>1405166.806</v>
      </c>
      <c r="AY9" s="164">
        <f>'Revenue Forecast'!AY21</f>
        <v>1548551.174</v>
      </c>
      <c r="AZ9" s="164">
        <f>'Revenue Forecast'!AZ21</f>
        <v>1691935.542</v>
      </c>
      <c r="BA9" s="112"/>
      <c r="BB9" s="164">
        <f>'Revenue Forecast'!BB21</f>
        <v>0</v>
      </c>
      <c r="BC9" s="164">
        <f>'Revenue Forecast'!BC21</f>
        <v>0</v>
      </c>
      <c r="BD9" s="164">
        <f>'Revenue Forecast'!BD21</f>
        <v>4301531.04</v>
      </c>
      <c r="BE9" s="164">
        <f>'Revenue Forecast'!BE21</f>
        <v>12904593.12</v>
      </c>
      <c r="BF9" s="164">
        <f>'Revenue Forecast'!BF21</f>
        <v>25809186.24</v>
      </c>
      <c r="BG9" s="42"/>
    </row>
    <row r="10" ht="15.0" customHeight="1">
      <c r="A10" s="112"/>
      <c r="B10" s="163" t="s">
        <v>199</v>
      </c>
      <c r="C10" s="163"/>
      <c r="D10" s="163" t="s">
        <v>198</v>
      </c>
      <c r="E10" s="164"/>
      <c r="F10" s="164"/>
      <c r="G10" s="164"/>
      <c r="H10" s="164"/>
      <c r="I10" s="164"/>
      <c r="J10" s="164"/>
      <c r="K10" s="164"/>
      <c r="L10" s="164"/>
      <c r="M10" s="164">
        <f>'Revenue Forecast'!M25+'Revenue Forecast'!M31</f>
        <v>0</v>
      </c>
      <c r="N10" s="164">
        <f>'Revenue Forecast'!N25+'Revenue Forecast'!N31</f>
        <v>0</v>
      </c>
      <c r="O10" s="164">
        <f>'Revenue Forecast'!O25+'Revenue Forecast'!O31</f>
        <v>0</v>
      </c>
      <c r="P10" s="164">
        <f>'Revenue Forecast'!P25+'Revenue Forecast'!P31</f>
        <v>0</v>
      </c>
      <c r="Q10" s="164">
        <f>'Revenue Forecast'!Q25+'Revenue Forecast'!Q31</f>
        <v>0</v>
      </c>
      <c r="R10" s="164">
        <f>'Revenue Forecast'!R25+'Revenue Forecast'!R31</f>
        <v>0</v>
      </c>
      <c r="S10" s="164">
        <f>'Revenue Forecast'!S25+'Revenue Forecast'!S31</f>
        <v>0</v>
      </c>
      <c r="T10" s="164">
        <f>'Revenue Forecast'!T25+'Revenue Forecast'!T31</f>
        <v>0</v>
      </c>
      <c r="U10" s="164">
        <f>'Revenue Forecast'!U25+'Revenue Forecast'!U31</f>
        <v>0</v>
      </c>
      <c r="V10" s="164">
        <f>'Revenue Forecast'!V25+'Revenue Forecast'!V31</f>
        <v>0</v>
      </c>
      <c r="W10" s="164">
        <f>'Revenue Forecast'!W25+'Revenue Forecast'!W31</f>
        <v>0</v>
      </c>
      <c r="X10" s="164">
        <f>'Revenue Forecast'!X25+'Revenue Forecast'!X31</f>
        <v>0</v>
      </c>
      <c r="Y10" s="164">
        <f>'Revenue Forecast'!Y25+'Revenue Forecast'!Y31</f>
        <v>0</v>
      </c>
      <c r="Z10" s="164">
        <f>'Revenue Forecast'!Z25+'Revenue Forecast'!Z31</f>
        <v>0</v>
      </c>
      <c r="AA10" s="164">
        <f>'Revenue Forecast'!AA25+'Revenue Forecast'!AA31</f>
        <v>0</v>
      </c>
      <c r="AB10" s="164">
        <f>'Revenue Forecast'!AB25+'Revenue Forecast'!AB31</f>
        <v>0</v>
      </c>
      <c r="AC10" s="164">
        <f>'Revenue Forecast'!AC25+'Revenue Forecast'!AC31</f>
        <v>167073</v>
      </c>
      <c r="AD10" s="164">
        <f>'Revenue Forecast'!AD25+'Revenue Forecast'!AD31</f>
        <v>188827</v>
      </c>
      <c r="AE10" s="164">
        <f>'Revenue Forecast'!AE25+'Revenue Forecast'!AE31</f>
        <v>202663</v>
      </c>
      <c r="AF10" s="164">
        <f>'Revenue Forecast'!AF25+'Revenue Forecast'!AF31</f>
        <v>224417</v>
      </c>
      <c r="AG10" s="164">
        <f>'Revenue Forecast'!AG25+'Revenue Forecast'!AG31</f>
        <v>249130</v>
      </c>
      <c r="AH10" s="164">
        <f>'Revenue Forecast'!AH25+'Revenue Forecast'!AH31</f>
        <v>270884</v>
      </c>
      <c r="AI10" s="164">
        <f>'Revenue Forecast'!AI25+'Revenue Forecast'!AI31</f>
        <v>295597</v>
      </c>
      <c r="AJ10" s="164">
        <f>'Revenue Forecast'!AJ25+'Revenue Forecast'!AJ31</f>
        <v>320310</v>
      </c>
      <c r="AK10" s="164">
        <f>'Revenue Forecast'!AK25+'Revenue Forecast'!AK31</f>
        <v>355900</v>
      </c>
      <c r="AL10" s="164">
        <f>'Revenue Forecast'!AL25+'Revenue Forecast'!AL31</f>
        <v>391490</v>
      </c>
      <c r="AM10" s="164">
        <f>'Revenue Forecast'!AM25+'Revenue Forecast'!AM31</f>
        <v>427080</v>
      </c>
      <c r="AN10" s="164">
        <f>'Revenue Forecast'!AN25+'Revenue Forecast'!AN31</f>
        <v>465629</v>
      </c>
      <c r="AO10" s="164">
        <f>'Revenue Forecast'!AO25+'Revenue Forecast'!AO31</f>
        <v>519569</v>
      </c>
      <c r="AP10" s="164">
        <f>'Revenue Forecast'!AP25+'Revenue Forecast'!AP31</f>
        <v>566990</v>
      </c>
      <c r="AQ10" s="164">
        <f>'Revenue Forecast'!AQ25+'Revenue Forecast'!AQ31</f>
        <v>624970</v>
      </c>
      <c r="AR10" s="164">
        <f>'Revenue Forecast'!AR25+'Revenue Forecast'!AR31</f>
        <v>686227</v>
      </c>
      <c r="AS10" s="164">
        <f>'Revenue Forecast'!AS25+'Revenue Forecast'!AS31</f>
        <v>747643</v>
      </c>
      <c r="AT10" s="164">
        <f>'Revenue Forecast'!AT25+'Revenue Forecast'!AT31</f>
        <v>819777</v>
      </c>
      <c r="AU10" s="164">
        <f>'Revenue Forecast'!AU25+'Revenue Forecast'!AU31</f>
        <v>902947</v>
      </c>
      <c r="AV10" s="164">
        <f>'Revenue Forecast'!AV25+'Revenue Forecast'!AV31</f>
        <v>986117</v>
      </c>
      <c r="AW10" s="164">
        <f>'Revenue Forecast'!AW25+'Revenue Forecast'!AW31</f>
        <v>1083600</v>
      </c>
      <c r="AX10" s="164">
        <f>'Revenue Forecast'!AX25+'Revenue Forecast'!AX31</f>
        <v>1181083</v>
      </c>
      <c r="AY10" s="164">
        <f>'Revenue Forecast'!AY25+'Revenue Forecast'!AY31</f>
        <v>1300320</v>
      </c>
      <c r="AZ10" s="164">
        <f>'Revenue Forecast'!AZ25+'Revenue Forecast'!AZ31</f>
        <v>1416757</v>
      </c>
      <c r="BA10" s="112"/>
      <c r="BB10" s="164">
        <f t="shared" ref="BB10:BB12" si="5">sum(E10:P10)</f>
        <v>0</v>
      </c>
      <c r="BC10" s="164">
        <f t="shared" ref="BC10:BC12" si="6">sum(Q10:AB10)</f>
        <v>0</v>
      </c>
      <c r="BD10" s="164">
        <f>sum(AC10:AN10)</f>
        <v>3559000</v>
      </c>
      <c r="BE10" s="164">
        <f>sum(AO10:AZ10)</f>
        <v>10836000</v>
      </c>
      <c r="BF10" s="164">
        <f>'Revenue Forecast'!BF25+'Revenue Forecast'!BF31</f>
        <v>21402177</v>
      </c>
      <c r="BG10" s="42"/>
    </row>
    <row r="11" ht="15.0" customHeight="1">
      <c r="A11" s="112"/>
      <c r="B11" s="164" t="s">
        <v>200</v>
      </c>
      <c r="C11" s="163"/>
      <c r="D11" s="163" t="s">
        <v>198</v>
      </c>
      <c r="E11" s="164"/>
      <c r="F11" s="164"/>
      <c r="G11" s="164"/>
      <c r="H11" s="164"/>
      <c r="I11" s="164"/>
      <c r="J11" s="164"/>
      <c r="K11" s="164"/>
      <c r="L11" s="164"/>
      <c r="M11" s="164">
        <f>'Revenue Forecast'!M35</f>
        <v>0</v>
      </c>
      <c r="N11" s="164">
        <f>'Revenue Forecast'!N35</f>
        <v>19480</v>
      </c>
      <c r="O11" s="164">
        <f>'Revenue Forecast'!O35</f>
        <v>78000</v>
      </c>
      <c r="P11" s="164">
        <f>'Revenue Forecast'!P35</f>
        <v>0</v>
      </c>
      <c r="Q11" s="164">
        <f>'Revenue Forecast'!Q35</f>
        <v>0</v>
      </c>
      <c r="R11" s="164">
        <f>'Revenue Forecast'!R35</f>
        <v>0</v>
      </c>
      <c r="S11" s="164">
        <f>'Revenue Forecast'!S35</f>
        <v>0</v>
      </c>
      <c r="T11" s="164">
        <v>0.0</v>
      </c>
      <c r="U11" s="164">
        <f>'Revenue Forecast'!U35</f>
        <v>0</v>
      </c>
      <c r="V11" s="164">
        <f>'Revenue Forecast'!V35</f>
        <v>0</v>
      </c>
      <c r="W11" s="164">
        <f>'Revenue Forecast'!W35</f>
        <v>0</v>
      </c>
      <c r="X11" s="164">
        <f>'Revenue Forecast'!X35</f>
        <v>106782</v>
      </c>
      <c r="Y11" s="164">
        <f>'Revenue Forecast'!Y35</f>
        <v>0</v>
      </c>
      <c r="Z11" s="164">
        <f>'Revenue Forecast'!Z35</f>
        <v>0</v>
      </c>
      <c r="AA11" s="164">
        <f>'Revenue Forecast'!AA35</f>
        <v>0</v>
      </c>
      <c r="AB11" s="164">
        <f>'Revenue Forecast'!AB35</f>
        <v>0</v>
      </c>
      <c r="AC11" s="164">
        <f>'Revenue Forecast'!AC35</f>
        <v>0</v>
      </c>
      <c r="AD11" s="164">
        <f>'Revenue Forecast'!AD35</f>
        <v>0</v>
      </c>
      <c r="AE11" s="164">
        <f>'Revenue Forecast'!AE35</f>
        <v>0</v>
      </c>
      <c r="AF11" s="164">
        <f>'Revenue Forecast'!AF35</f>
        <v>0</v>
      </c>
      <c r="AG11" s="164">
        <f>'Revenue Forecast'!AG35</f>
        <v>0</v>
      </c>
      <c r="AH11" s="164">
        <f>'Revenue Forecast'!AH35</f>
        <v>0</v>
      </c>
      <c r="AI11" s="164">
        <f>'Revenue Forecast'!AI35</f>
        <v>0</v>
      </c>
      <c r="AJ11" s="164">
        <f>'Revenue Forecast'!AJ35</f>
        <v>0</v>
      </c>
      <c r="AK11" s="164">
        <f>'Revenue Forecast'!AK35</f>
        <v>0</v>
      </c>
      <c r="AL11" s="164">
        <f>'Revenue Forecast'!AL35</f>
        <v>0</v>
      </c>
      <c r="AM11" s="164">
        <f>'Revenue Forecast'!AM35</f>
        <v>0</v>
      </c>
      <c r="AN11" s="164">
        <f>'Revenue Forecast'!AN35</f>
        <v>0</v>
      </c>
      <c r="AO11" s="164">
        <f>'Revenue Forecast'!AO35</f>
        <v>0</v>
      </c>
      <c r="AP11" s="164">
        <f>'Revenue Forecast'!AP35</f>
        <v>0</v>
      </c>
      <c r="AQ11" s="164">
        <f>'Revenue Forecast'!AQ35</f>
        <v>0</v>
      </c>
      <c r="AR11" s="164">
        <f>'Revenue Forecast'!AR35</f>
        <v>0</v>
      </c>
      <c r="AS11" s="164">
        <f>'Revenue Forecast'!AS35</f>
        <v>0</v>
      </c>
      <c r="AT11" s="164">
        <f>'Revenue Forecast'!AT35</f>
        <v>0</v>
      </c>
      <c r="AU11" s="164">
        <f>'Revenue Forecast'!AU35</f>
        <v>0</v>
      </c>
      <c r="AV11" s="164">
        <f>'Revenue Forecast'!AV35</f>
        <v>0</v>
      </c>
      <c r="AW11" s="164">
        <f>'Revenue Forecast'!AW35</f>
        <v>0</v>
      </c>
      <c r="AX11" s="164">
        <f>'Revenue Forecast'!AX35</f>
        <v>0</v>
      </c>
      <c r="AY11" s="164">
        <f>'Revenue Forecast'!AY35</f>
        <v>0</v>
      </c>
      <c r="AZ11" s="164">
        <f>'Revenue Forecast'!AZ35</f>
        <v>0</v>
      </c>
      <c r="BA11" s="112"/>
      <c r="BB11" s="164">
        <f t="shared" si="5"/>
        <v>97480</v>
      </c>
      <c r="BC11" s="164">
        <f t="shared" si="6"/>
        <v>106782</v>
      </c>
      <c r="BD11" s="172" t="s">
        <v>201</v>
      </c>
      <c r="BE11" s="172" t="s">
        <v>201</v>
      </c>
      <c r="BF11" s="172" t="s">
        <v>201</v>
      </c>
      <c r="BG11" s="42"/>
    </row>
    <row r="12" ht="12.75" customHeight="1">
      <c r="A12" s="173"/>
      <c r="B12" s="174" t="s">
        <v>202</v>
      </c>
      <c r="C12" s="175"/>
      <c r="D12" s="174" t="s">
        <v>198</v>
      </c>
      <c r="E12" s="174"/>
      <c r="F12" s="174"/>
      <c r="G12" s="174"/>
      <c r="H12" s="174"/>
      <c r="I12" s="174"/>
      <c r="J12" s="174"/>
      <c r="K12" s="174"/>
      <c r="L12" s="174"/>
      <c r="M12" s="174">
        <f>'Revenue Forecast'!M37</f>
        <v>0</v>
      </c>
      <c r="N12" s="174">
        <f>'Revenue Forecast'!N37</f>
        <v>19480</v>
      </c>
      <c r="O12" s="174">
        <f>'Revenue Forecast'!O37</f>
        <v>78000</v>
      </c>
      <c r="P12" s="174">
        <f>'Revenue Forecast'!P37</f>
        <v>0</v>
      </c>
      <c r="Q12" s="174">
        <f>'Revenue Forecast'!Q37</f>
        <v>0</v>
      </c>
      <c r="R12" s="174">
        <f>'Revenue Forecast'!R37</f>
        <v>0</v>
      </c>
      <c r="S12" s="174">
        <f>'Revenue Forecast'!S37</f>
        <v>0</v>
      </c>
      <c r="T12" s="174">
        <f>'Revenue Forecast'!T37</f>
        <v>0</v>
      </c>
      <c r="U12" s="174">
        <f>'Revenue Forecast'!U37</f>
        <v>0</v>
      </c>
      <c r="V12" s="174">
        <f>'Revenue Forecast'!V37</f>
        <v>0</v>
      </c>
      <c r="W12" s="174">
        <f>'Revenue Forecast'!W37</f>
        <v>0</v>
      </c>
      <c r="X12" s="174">
        <f>'Revenue Forecast'!X37</f>
        <v>106782</v>
      </c>
      <c r="Y12" s="174">
        <f>'Revenue Forecast'!Y37</f>
        <v>0</v>
      </c>
      <c r="Z12" s="174">
        <f>'Revenue Forecast'!Z37</f>
        <v>0</v>
      </c>
      <c r="AA12" s="174">
        <f>'Revenue Forecast'!AA37</f>
        <v>0</v>
      </c>
      <c r="AB12" s="174">
        <f>'Revenue Forecast'!AB37</f>
        <v>0</v>
      </c>
      <c r="AC12" s="174">
        <f>'Revenue Forecast'!AC37</f>
        <v>697281.1496</v>
      </c>
      <c r="AD12" s="174">
        <f>'Revenue Forecast'!AD37</f>
        <v>788330.2304</v>
      </c>
      <c r="AE12" s="174">
        <f>'Revenue Forecast'!AE37</f>
        <v>845842.2876</v>
      </c>
      <c r="AF12" s="174">
        <f>'Revenue Forecast'!AF37</f>
        <v>936891.3684</v>
      </c>
      <c r="AG12" s="174">
        <f>'Revenue Forecast'!AG37</f>
        <v>1039927.966</v>
      </c>
      <c r="AH12" s="174">
        <f>'Revenue Forecast'!AH37</f>
        <v>1130977.047</v>
      </c>
      <c r="AI12" s="174">
        <f>'Revenue Forecast'!AI37</f>
        <v>1234013.644</v>
      </c>
      <c r="AJ12" s="174">
        <f>'Revenue Forecast'!AJ37</f>
        <v>1337050.242</v>
      </c>
      <c r="AK12" s="174">
        <f>'Revenue Forecast'!AK37</f>
        <v>1485611.38</v>
      </c>
      <c r="AL12" s="174">
        <f>'Revenue Forecast'!AL37</f>
        <v>1634172.518</v>
      </c>
      <c r="AM12" s="174">
        <f>'Revenue Forecast'!AM37</f>
        <v>1782733.656</v>
      </c>
      <c r="AN12" s="174">
        <f>'Revenue Forecast'!AN37</f>
        <v>1943282.311</v>
      </c>
      <c r="AO12" s="174">
        <f>'Revenue Forecast'!AO37</f>
        <v>2144840.989</v>
      </c>
      <c r="AP12" s="174">
        <f>'Revenue Forecast'!AP37</f>
        <v>2339880.668</v>
      </c>
      <c r="AQ12" s="174">
        <f>'Revenue Forecast'!AQ37</f>
        <v>2580126.886</v>
      </c>
      <c r="AR12" s="174">
        <f>'Revenue Forecast'!AR37</f>
        <v>2832678.622</v>
      </c>
      <c r="AS12" s="174">
        <f>'Revenue Forecast'!AS37</f>
        <v>3085389.358</v>
      </c>
      <c r="AT12" s="174">
        <f>'Revenue Forecast'!AT37</f>
        <v>3383465.634</v>
      </c>
      <c r="AU12" s="174">
        <f>'Revenue Forecast'!AU37</f>
        <v>3727225.45</v>
      </c>
      <c r="AV12" s="174">
        <f>'Revenue Forecast'!AV37</f>
        <v>4070985.266</v>
      </c>
      <c r="AW12" s="174">
        <f>'Revenue Forecast'!AW37</f>
        <v>4472734.14</v>
      </c>
      <c r="AX12" s="174">
        <f>'Revenue Forecast'!AX37</f>
        <v>4874483.014</v>
      </c>
      <c r="AY12" s="174">
        <f>'Revenue Forecast'!AY37</f>
        <v>5367280.968</v>
      </c>
      <c r="AZ12" s="174">
        <f>'Revenue Forecast'!AZ37</f>
        <v>5848250.406</v>
      </c>
      <c r="BA12" s="176"/>
      <c r="BB12" s="177">
        <f t="shared" si="5"/>
        <v>97480</v>
      </c>
      <c r="BC12" s="177">
        <f t="shared" si="6"/>
        <v>106782</v>
      </c>
      <c r="BD12" s="177">
        <f>sum(AC12:AN12)</f>
        <v>14856113.8</v>
      </c>
      <c r="BE12" s="177">
        <f>sum(AO12:AZ12)</f>
        <v>44727341.4</v>
      </c>
      <c r="BF12" s="177">
        <f>sum(BF7:BF11)</f>
        <v>89187259.8</v>
      </c>
      <c r="BG12" s="178"/>
    </row>
    <row r="13" ht="15.0" customHeight="1">
      <c r="A13" s="112"/>
      <c r="B13" s="179"/>
      <c r="C13" s="163"/>
      <c r="D13" s="179"/>
      <c r="E13" s="163"/>
      <c r="F13" s="163"/>
      <c r="G13" s="163"/>
      <c r="H13" s="163"/>
      <c r="I13" s="163"/>
      <c r="J13" s="163"/>
      <c r="K13" s="163"/>
      <c r="L13" s="163"/>
      <c r="M13" s="163"/>
      <c r="N13" s="163"/>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c r="AU13" s="163"/>
      <c r="AV13" s="163"/>
      <c r="AW13" s="163"/>
      <c r="AX13" s="163"/>
      <c r="AY13" s="163"/>
      <c r="AZ13" s="163"/>
      <c r="BA13" s="112"/>
      <c r="BB13" s="163"/>
      <c r="BC13" s="163"/>
      <c r="BD13" s="163"/>
      <c r="BE13" s="163"/>
      <c r="BF13" s="163"/>
      <c r="BG13" s="112"/>
    </row>
    <row r="14" ht="13.5" customHeight="1">
      <c r="A14" s="166"/>
      <c r="B14" s="167" t="s">
        <v>203</v>
      </c>
      <c r="C14" s="168"/>
      <c r="D14" s="168"/>
      <c r="E14" s="168"/>
      <c r="F14" s="168"/>
      <c r="G14" s="168"/>
      <c r="H14" s="168"/>
      <c r="I14" s="168"/>
      <c r="J14" s="168"/>
      <c r="K14" s="168"/>
      <c r="L14" s="168"/>
      <c r="M14" s="168"/>
      <c r="N14" s="168"/>
      <c r="O14" s="168"/>
      <c r="P14" s="168"/>
      <c r="Q14" s="168"/>
      <c r="R14" s="169"/>
      <c r="S14" s="170"/>
      <c r="T14" s="171"/>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9"/>
      <c r="BA14" s="112"/>
      <c r="BB14" s="169"/>
      <c r="BC14" s="169"/>
      <c r="BD14" s="169"/>
      <c r="BE14" s="169"/>
      <c r="BF14" s="169"/>
      <c r="BG14" s="112"/>
    </row>
    <row r="15" ht="15.0" customHeight="1">
      <c r="A15" s="112"/>
      <c r="B15" s="164" t="s">
        <v>49</v>
      </c>
      <c r="C15" s="163"/>
      <c r="D15" s="163" t="s">
        <v>198</v>
      </c>
      <c r="E15" s="164" t="str">
        <f>COGS!E9</f>
        <v/>
      </c>
      <c r="F15" s="164" t="str">
        <f>COGS!F9</f>
        <v/>
      </c>
      <c r="G15" s="164" t="str">
        <f>COGS!G9</f>
        <v/>
      </c>
      <c r="H15" s="164" t="str">
        <f>COGS!H9</f>
        <v/>
      </c>
      <c r="I15" s="164" t="str">
        <f>COGS!I9</f>
        <v/>
      </c>
      <c r="J15" s="164" t="str">
        <f>COGS!J9</f>
        <v/>
      </c>
      <c r="K15" s="164" t="str">
        <f>COGS!K9</f>
        <v/>
      </c>
      <c r="L15" s="164" t="str">
        <f>COGS!L9</f>
        <v/>
      </c>
      <c r="M15" s="164" t="str">
        <f>COGS!M9</f>
        <v/>
      </c>
      <c r="N15" s="164" t="str">
        <f>COGS!N9</f>
        <v/>
      </c>
      <c r="O15" s="164" t="str">
        <f>COGS!O9</f>
        <v/>
      </c>
      <c r="P15" s="164" t="str">
        <f>COGS!P9</f>
        <v/>
      </c>
      <c r="Q15" s="164">
        <f>COGS!Q9</f>
        <v>0</v>
      </c>
      <c r="R15" s="164">
        <f>COGS!R9</f>
        <v>0</v>
      </c>
      <c r="S15" s="164">
        <f>COGS!S9</f>
        <v>0</v>
      </c>
      <c r="T15" s="164">
        <f>COGS!T9</f>
        <v>0</v>
      </c>
      <c r="U15" s="164">
        <f>COGS!U9</f>
        <v>0</v>
      </c>
      <c r="V15" s="164">
        <f>COGS!V9</f>
        <v>0</v>
      </c>
      <c r="W15" s="164">
        <f>COGS!W9</f>
        <v>0</v>
      </c>
      <c r="X15" s="164">
        <f>COGS!X9</f>
        <v>0</v>
      </c>
      <c r="Y15" s="164">
        <f>COGS!Y9</f>
        <v>0</v>
      </c>
      <c r="Z15" s="164">
        <f>COGS!Z9</f>
        <v>0</v>
      </c>
      <c r="AA15" s="164">
        <f>COGS!AA9</f>
        <v>0</v>
      </c>
      <c r="AB15" s="164">
        <f>COGS!AB9</f>
        <v>0</v>
      </c>
      <c r="AC15" s="164">
        <f>COGS!AC9</f>
        <v>193832.68</v>
      </c>
      <c r="AD15" s="164">
        <f>COGS!AD9</f>
        <v>214236.12</v>
      </c>
      <c r="AE15" s="164">
        <f>COGS!AE9</f>
        <v>234639.56</v>
      </c>
      <c r="AF15" s="164">
        <f>COGS!AF9</f>
        <v>255043</v>
      </c>
      <c r="AG15" s="164">
        <f>COGS!AG9</f>
        <v>285648.16</v>
      </c>
      <c r="AH15" s="164">
        <f>COGS!AH9</f>
        <v>306051.6</v>
      </c>
      <c r="AI15" s="164">
        <f>COGS!AI9</f>
        <v>336656.76</v>
      </c>
      <c r="AJ15" s="164">
        <f>COGS!AJ9</f>
        <v>367261.92</v>
      </c>
      <c r="AK15" s="164">
        <f>COGS!AK9</f>
        <v>408068.8</v>
      </c>
      <c r="AL15" s="164">
        <f>COGS!AL9</f>
        <v>448875.68</v>
      </c>
      <c r="AM15" s="164">
        <f>COGS!AM9</f>
        <v>489682.56</v>
      </c>
      <c r="AN15" s="164">
        <f>COGS!AN9</f>
        <v>540691.16</v>
      </c>
      <c r="AO15" s="164">
        <f>COGS!AO9</f>
        <v>422631.152</v>
      </c>
      <c r="AP15" s="164">
        <f>COGS!AP9</f>
        <v>459064.872</v>
      </c>
      <c r="AQ15" s="164">
        <f>COGS!AQ9</f>
        <v>502785.336</v>
      </c>
      <c r="AR15" s="164">
        <f>COGS!AR9</f>
        <v>553792.544</v>
      </c>
      <c r="AS15" s="164">
        <f>COGS!AS9</f>
        <v>604799.752</v>
      </c>
      <c r="AT15" s="164">
        <f>COGS!AT9</f>
        <v>663093.704</v>
      </c>
      <c r="AU15" s="164">
        <f>COGS!AU9</f>
        <v>728674.4</v>
      </c>
      <c r="AV15" s="164">
        <f>COGS!AV9</f>
        <v>794255.096</v>
      </c>
      <c r="AW15" s="164">
        <f>COGS!AW9</f>
        <v>874409.28</v>
      </c>
      <c r="AX15" s="164">
        <f>COGS!AX9</f>
        <v>954563.464</v>
      </c>
      <c r="AY15" s="164">
        <f>COGS!AY9</f>
        <v>1049291.136</v>
      </c>
      <c r="AZ15" s="164">
        <f>COGS!AZ9</f>
        <v>1136732.064</v>
      </c>
      <c r="BA15" s="112"/>
      <c r="BB15" s="164">
        <f t="shared" ref="BB15:BB16" si="7">sum(E15:P15)</f>
        <v>0</v>
      </c>
      <c r="BC15" s="164">
        <f t="shared" ref="BC15:BC16" si="8">sum(Q15:AB15)</f>
        <v>0</v>
      </c>
      <c r="BD15" s="164">
        <f t="shared" ref="BD15:BD16" si="9">sum(AC15:AN15)</f>
        <v>4080688</v>
      </c>
      <c r="BE15" s="164">
        <f t="shared" ref="BE15:BE16" si="10">sum(AO15:AZ15)</f>
        <v>8744092.8</v>
      </c>
      <c r="BF15" s="164">
        <f>COGS!BF9</f>
        <v>12517920</v>
      </c>
      <c r="BG15" s="42"/>
    </row>
    <row r="16" ht="15.0" customHeight="1">
      <c r="A16" s="112"/>
      <c r="B16" s="164" t="s">
        <v>50</v>
      </c>
      <c r="C16" s="163"/>
      <c r="D16" s="163" t="s">
        <v>198</v>
      </c>
      <c r="E16" s="164" t="str">
        <f>COGS!E14</f>
        <v/>
      </c>
      <c r="F16" s="164" t="str">
        <f>COGS!F14</f>
        <v/>
      </c>
      <c r="G16" s="164" t="str">
        <f>COGS!G14</f>
        <v/>
      </c>
      <c r="H16" s="164" t="str">
        <f>COGS!H14</f>
        <v/>
      </c>
      <c r="I16" s="164" t="str">
        <f>COGS!I14</f>
        <v/>
      </c>
      <c r="J16" s="164" t="str">
        <f>COGS!J14</f>
        <v/>
      </c>
      <c r="K16" s="164" t="str">
        <f>COGS!K14</f>
        <v/>
      </c>
      <c r="L16" s="164" t="str">
        <f>COGS!L14</f>
        <v/>
      </c>
      <c r="M16" s="164" t="str">
        <f>COGS!M14</f>
        <v/>
      </c>
      <c r="N16" s="164" t="str">
        <f>COGS!N14</f>
        <v/>
      </c>
      <c r="O16" s="164" t="str">
        <f>COGS!O14</f>
        <v/>
      </c>
      <c r="P16" s="164" t="str">
        <f>COGS!P14</f>
        <v/>
      </c>
      <c r="Q16" s="164">
        <f>COGS!Q14</f>
        <v>0</v>
      </c>
      <c r="R16" s="164">
        <f>COGS!R14</f>
        <v>0</v>
      </c>
      <c r="S16" s="164">
        <f>COGS!S14</f>
        <v>0</v>
      </c>
      <c r="T16" s="164">
        <f>COGS!T14</f>
        <v>0</v>
      </c>
      <c r="U16" s="164">
        <f>COGS!U14</f>
        <v>0</v>
      </c>
      <c r="V16" s="164">
        <f>COGS!V14</f>
        <v>0</v>
      </c>
      <c r="W16" s="164">
        <f>COGS!W14</f>
        <v>0</v>
      </c>
      <c r="X16" s="164">
        <f>COGS!X14</f>
        <v>0</v>
      </c>
      <c r="Y16" s="164">
        <f>COGS!Y14</f>
        <v>0</v>
      </c>
      <c r="Z16" s="164">
        <f>COGS!Z14</f>
        <v>0</v>
      </c>
      <c r="AA16" s="164">
        <f>COGS!AA14</f>
        <v>0</v>
      </c>
      <c r="AB16" s="164">
        <f>COGS!AB14</f>
        <v>0</v>
      </c>
      <c r="AC16" s="164">
        <f>COGS!AC14</f>
        <v>160721.12</v>
      </c>
      <c r="AD16" s="164">
        <f>COGS!AD14</f>
        <v>183681.28</v>
      </c>
      <c r="AE16" s="164">
        <f>COGS!AE14</f>
        <v>195161.36</v>
      </c>
      <c r="AF16" s="164">
        <f>COGS!AF14</f>
        <v>218121.52</v>
      </c>
      <c r="AG16" s="164">
        <f>COGS!AG14</f>
        <v>241081.68</v>
      </c>
      <c r="AH16" s="164">
        <f>COGS!AH14</f>
        <v>264041.84</v>
      </c>
      <c r="AI16" s="164">
        <f>COGS!AI14</f>
        <v>287002</v>
      </c>
      <c r="AJ16" s="164">
        <f>COGS!AJ14</f>
        <v>309962.16</v>
      </c>
      <c r="AK16" s="164">
        <f>COGS!AK14</f>
        <v>344402.4</v>
      </c>
      <c r="AL16" s="164">
        <f>COGS!AL14</f>
        <v>378842.64</v>
      </c>
      <c r="AM16" s="164">
        <f>COGS!AM14</f>
        <v>413282.88</v>
      </c>
      <c r="AN16" s="164">
        <f>COGS!AN14</f>
        <v>447723.12</v>
      </c>
      <c r="AO16" s="164">
        <f>COGS!AO14</f>
        <v>368299.472</v>
      </c>
      <c r="AP16" s="164">
        <f>COGS!AP14</f>
        <v>402559.888</v>
      </c>
      <c r="AQ16" s="164">
        <f>COGS!AQ14</f>
        <v>445385.408</v>
      </c>
      <c r="AR16" s="164">
        <f>COGS!AR14</f>
        <v>488210.928</v>
      </c>
      <c r="AS16" s="164">
        <f>COGS!AS14</f>
        <v>531036.448</v>
      </c>
      <c r="AT16" s="164">
        <f>COGS!AT14</f>
        <v>582427.072</v>
      </c>
      <c r="AU16" s="164">
        <f>COGS!AU14</f>
        <v>642382.8</v>
      </c>
      <c r="AV16" s="164">
        <f>COGS!AV14</f>
        <v>702338.528</v>
      </c>
      <c r="AW16" s="164">
        <f>COGS!AW14</f>
        <v>770859.36</v>
      </c>
      <c r="AX16" s="164">
        <f>COGS!AX14</f>
        <v>839380.192</v>
      </c>
      <c r="AY16" s="164">
        <f>COGS!AY14</f>
        <v>925031.232</v>
      </c>
      <c r="AZ16" s="164">
        <f>COGS!AZ14</f>
        <v>1010682.272</v>
      </c>
      <c r="BA16" s="112"/>
      <c r="BB16" s="164">
        <f t="shared" si="7"/>
        <v>0</v>
      </c>
      <c r="BC16" s="164">
        <f t="shared" si="8"/>
        <v>0</v>
      </c>
      <c r="BD16" s="164">
        <f t="shared" si="9"/>
        <v>3444024</v>
      </c>
      <c r="BE16" s="164">
        <f t="shared" si="10"/>
        <v>7708593.6</v>
      </c>
      <c r="BF16" s="164">
        <f>COGS!BF14</f>
        <v>11477376</v>
      </c>
      <c r="BG16" s="42"/>
    </row>
    <row r="17" ht="15.0" customHeight="1">
      <c r="A17" s="112"/>
      <c r="B17" s="164" t="s">
        <v>51</v>
      </c>
      <c r="C17" s="163"/>
      <c r="D17" s="163" t="s">
        <v>198</v>
      </c>
      <c r="E17" s="164"/>
      <c r="F17" s="164"/>
      <c r="G17" s="164"/>
      <c r="H17" s="164"/>
      <c r="I17" s="164"/>
      <c r="J17" s="164"/>
      <c r="K17" s="164"/>
      <c r="L17" s="164"/>
      <c r="M17" s="164"/>
      <c r="N17" s="164"/>
      <c r="O17" s="164"/>
      <c r="P17" s="164"/>
      <c r="Q17" s="164">
        <f>COGS!Q19</f>
        <v>0</v>
      </c>
      <c r="R17" s="164">
        <f>COGS!R19</f>
        <v>0</v>
      </c>
      <c r="S17" s="164">
        <f>COGS!S19</f>
        <v>0</v>
      </c>
      <c r="T17" s="164">
        <f>COGS!T19</f>
        <v>0</v>
      </c>
      <c r="U17" s="164">
        <f>COGS!U19</f>
        <v>0</v>
      </c>
      <c r="V17" s="164">
        <f>COGS!V19</f>
        <v>0</v>
      </c>
      <c r="W17" s="164">
        <f>COGS!W19</f>
        <v>0</v>
      </c>
      <c r="X17" s="164">
        <f>COGS!X19</f>
        <v>0</v>
      </c>
      <c r="Y17" s="164">
        <f>COGS!Y19</f>
        <v>0</v>
      </c>
      <c r="Z17" s="164">
        <f>COGS!Z19</f>
        <v>0</v>
      </c>
      <c r="AA17" s="164">
        <f>COGS!AA19</f>
        <v>0</v>
      </c>
      <c r="AB17" s="164">
        <f>COGS!AB19</f>
        <v>0</v>
      </c>
      <c r="AC17" s="164">
        <f>COGS!AC19</f>
        <v>163860.48</v>
      </c>
      <c r="AD17" s="164">
        <f>COGS!AD19</f>
        <v>187269.12</v>
      </c>
      <c r="AE17" s="164">
        <f>COGS!AE19</f>
        <v>198973.44</v>
      </c>
      <c r="AF17" s="164">
        <f>COGS!AF19</f>
        <v>222382.08</v>
      </c>
      <c r="AG17" s="164">
        <f>COGS!AG19</f>
        <v>245790.72</v>
      </c>
      <c r="AH17" s="164">
        <f>COGS!AH19</f>
        <v>269199.36</v>
      </c>
      <c r="AI17" s="164">
        <f>COGS!AI19</f>
        <v>292608</v>
      </c>
      <c r="AJ17" s="164">
        <f>COGS!AJ19</f>
        <v>316016.64</v>
      </c>
      <c r="AK17" s="164">
        <f>COGS!AK19</f>
        <v>351129.6</v>
      </c>
      <c r="AL17" s="164">
        <f>COGS!AL19</f>
        <v>386242.56</v>
      </c>
      <c r="AM17" s="164">
        <f>COGS!AM19</f>
        <v>421355.52</v>
      </c>
      <c r="AN17" s="164">
        <f>COGS!AN19</f>
        <v>456468.48</v>
      </c>
      <c r="AO17" s="164">
        <f>COGS!AO19</f>
        <v>377941.792</v>
      </c>
      <c r="AP17" s="164">
        <f>COGS!AP19</f>
        <v>413099.168</v>
      </c>
      <c r="AQ17" s="164">
        <f>COGS!AQ19</f>
        <v>457045.888</v>
      </c>
      <c r="AR17" s="164">
        <f>COGS!AR19</f>
        <v>500992.608</v>
      </c>
      <c r="AS17" s="164">
        <f>COGS!AS19</f>
        <v>544939.328</v>
      </c>
      <c r="AT17" s="164">
        <f>COGS!AT19</f>
        <v>597675.392</v>
      </c>
      <c r="AU17" s="164">
        <f>COGS!AU19</f>
        <v>659200.8</v>
      </c>
      <c r="AV17" s="164">
        <f>COGS!AV19</f>
        <v>720726.208</v>
      </c>
      <c r="AW17" s="164">
        <f>COGS!AW19</f>
        <v>791040.96</v>
      </c>
      <c r="AX17" s="164">
        <f>COGS!AX19</f>
        <v>861355.712</v>
      </c>
      <c r="AY17" s="164">
        <f>COGS!AY19</f>
        <v>949249.152</v>
      </c>
      <c r="AZ17" s="164">
        <f>COGS!AZ19</f>
        <v>1037142.592</v>
      </c>
      <c r="BA17" s="112"/>
      <c r="BB17" s="164" t="str">
        <f>COGS!BB19</f>
        <v/>
      </c>
      <c r="BC17" s="164">
        <f>COGS!BC19</f>
        <v>0</v>
      </c>
      <c r="BD17" s="164">
        <f>COGS!BD19</f>
        <v>3511296</v>
      </c>
      <c r="BE17" s="164">
        <f>COGS!BE19</f>
        <v>7910409.6</v>
      </c>
      <c r="BF17" s="164">
        <f>COGS!BF19</f>
        <v>11840652</v>
      </c>
      <c r="BG17" s="42"/>
    </row>
    <row r="18" ht="15.0" customHeight="1">
      <c r="A18" s="112"/>
      <c r="B18" s="164" t="s">
        <v>204</v>
      </c>
      <c r="C18" s="163"/>
      <c r="D18" s="163" t="s">
        <v>198</v>
      </c>
      <c r="E18" s="164" t="str">
        <f>COGS!E22</f>
        <v/>
      </c>
      <c r="F18" s="164" t="str">
        <f>COGS!F22</f>
        <v/>
      </c>
      <c r="G18" s="164" t="str">
        <f>COGS!G22</f>
        <v/>
      </c>
      <c r="H18" s="164" t="str">
        <f>COGS!H22</f>
        <v/>
      </c>
      <c r="I18" s="164" t="str">
        <f>COGS!I22</f>
        <v/>
      </c>
      <c r="J18" s="164" t="str">
        <f>COGS!J22</f>
        <v/>
      </c>
      <c r="K18" s="164" t="str">
        <f>COGS!K22</f>
        <v/>
      </c>
      <c r="L18" s="164" t="str">
        <f>COGS!L22</f>
        <v/>
      </c>
      <c r="M18" s="164" t="str">
        <f>COGS!M22</f>
        <v/>
      </c>
      <c r="N18" s="164" t="str">
        <f>COGS!N22</f>
        <v/>
      </c>
      <c r="O18" s="164" t="str">
        <f>COGS!O22</f>
        <v/>
      </c>
      <c r="P18" s="164" t="str">
        <f>COGS!P22</f>
        <v/>
      </c>
      <c r="Q18" s="164">
        <f>COGS!Q22+COGS!Q27</f>
        <v>0</v>
      </c>
      <c r="R18" s="164">
        <f>COGS!R22+COGS!R27</f>
        <v>0</v>
      </c>
      <c r="S18" s="164">
        <f>COGS!S22+COGS!S27</f>
        <v>0</v>
      </c>
      <c r="T18" s="164">
        <f>COGS!T22+COGS!T27</f>
        <v>0</v>
      </c>
      <c r="U18" s="164">
        <f>COGS!U22+COGS!U27</f>
        <v>0</v>
      </c>
      <c r="V18" s="164">
        <f>COGS!V22+COGS!V27</f>
        <v>0</v>
      </c>
      <c r="W18" s="164">
        <f>COGS!W22+COGS!W27</f>
        <v>0</v>
      </c>
      <c r="X18" s="164">
        <f>COGS!X22+COGS!X27</f>
        <v>0</v>
      </c>
      <c r="Y18" s="164">
        <f>COGS!Y22+COGS!Y27</f>
        <v>0</v>
      </c>
      <c r="Z18" s="164">
        <f>COGS!Z22+COGS!Z27</f>
        <v>0</v>
      </c>
      <c r="AA18" s="164">
        <f>COGS!AA22+COGS!AA27</f>
        <v>0</v>
      </c>
      <c r="AB18" s="164">
        <f>COGS!AB22+COGS!AB27</f>
        <v>0</v>
      </c>
      <c r="AC18" s="164">
        <f>COGS!AC22+COGS!AC27</f>
        <v>163336.5</v>
      </c>
      <c r="AD18" s="164">
        <f>COGS!AD22+COGS!AD27</f>
        <v>184613.5</v>
      </c>
      <c r="AE18" s="164">
        <f>COGS!AE22+COGS!AE27</f>
        <v>198131.5</v>
      </c>
      <c r="AF18" s="164">
        <f>COGS!AF22+COGS!AF27</f>
        <v>219408.5</v>
      </c>
      <c r="AG18" s="164">
        <f>COGS!AG22+COGS!AG27</f>
        <v>243565</v>
      </c>
      <c r="AH18" s="164">
        <f>COGS!AH22+COGS!AH27</f>
        <v>264842</v>
      </c>
      <c r="AI18" s="164">
        <f>COGS!AI22+COGS!AI27</f>
        <v>288998.5</v>
      </c>
      <c r="AJ18" s="164">
        <f>COGS!AJ22+COGS!AJ27</f>
        <v>313155</v>
      </c>
      <c r="AK18" s="164">
        <f>COGS!AK22+COGS!AK27</f>
        <v>347950</v>
      </c>
      <c r="AL18" s="164">
        <f>COGS!AL22+COGS!AL27</f>
        <v>382745</v>
      </c>
      <c r="AM18" s="164">
        <f>COGS!AM22+COGS!AM27</f>
        <v>417540</v>
      </c>
      <c r="AN18" s="164">
        <f>COGS!AN22+COGS!AN27</f>
        <v>455214.5</v>
      </c>
      <c r="AO18" s="164">
        <f>COGS!AO22+COGS!AO27</f>
        <v>504384.5</v>
      </c>
      <c r="AP18" s="164">
        <f>COGS!AP22+COGS!AP27</f>
        <v>550295</v>
      </c>
      <c r="AQ18" s="164">
        <f>COGS!AQ22+COGS!AQ27</f>
        <v>606685</v>
      </c>
      <c r="AR18" s="164">
        <f>COGS!AR22+COGS!AR27</f>
        <v>666113.5</v>
      </c>
      <c r="AS18" s="164">
        <f>COGS!AS22+COGS!AS27</f>
        <v>725621.5</v>
      </c>
      <c r="AT18" s="164">
        <f>COGS!AT22+COGS!AT27</f>
        <v>795688.5</v>
      </c>
      <c r="AU18" s="164">
        <f>COGS!AU22+COGS!AU27</f>
        <v>876473.5</v>
      </c>
      <c r="AV18" s="164">
        <f>COGS!AV22+COGS!AV27</f>
        <v>957258.5</v>
      </c>
      <c r="AW18" s="164">
        <f>COGS!AW22+COGS!AW27</f>
        <v>1051800</v>
      </c>
      <c r="AX18" s="164">
        <f>COGS!AX22+COGS!AX27</f>
        <v>1146341.5</v>
      </c>
      <c r="AY18" s="164">
        <f>COGS!AY22+COGS!AY27</f>
        <v>1262160</v>
      </c>
      <c r="AZ18" s="164">
        <f>COGS!AZ22+COGS!AZ27</f>
        <v>1375178.5</v>
      </c>
      <c r="BA18" s="112"/>
      <c r="BB18" s="164">
        <f t="shared" ref="BB18:BB19" si="11">sum(E18:P18)</f>
        <v>0</v>
      </c>
      <c r="BC18" s="164">
        <f t="shared" ref="BC18:BC19" si="12">sum(Q18:AB18)</f>
        <v>0</v>
      </c>
      <c r="BD18" s="164">
        <f t="shared" ref="BD18:BD19" si="13">sum(AC18:AN18)</f>
        <v>3479500</v>
      </c>
      <c r="BE18" s="164">
        <f t="shared" ref="BE18:BE19" si="14">sum(AO18:AZ18)</f>
        <v>10518000</v>
      </c>
      <c r="BF18" s="164">
        <f>COGS!BF22</f>
        <v>20400000</v>
      </c>
      <c r="BG18" s="42"/>
    </row>
    <row r="19" ht="12.75" customHeight="1">
      <c r="A19" s="173"/>
      <c r="B19" s="174" t="s">
        <v>205</v>
      </c>
      <c r="C19" s="175"/>
      <c r="D19" s="174" t="s">
        <v>198</v>
      </c>
      <c r="E19" s="174"/>
      <c r="F19" s="174"/>
      <c r="G19" s="174"/>
      <c r="H19" s="174"/>
      <c r="I19" s="174"/>
      <c r="J19" s="174"/>
      <c r="K19" s="174"/>
      <c r="L19" s="174"/>
      <c r="M19" s="174">
        <f>COGS!M29</f>
        <v>0</v>
      </c>
      <c r="N19" s="174">
        <f>COGS!N29</f>
        <v>0</v>
      </c>
      <c r="O19" s="174">
        <f>COGS!O29</f>
        <v>0</v>
      </c>
      <c r="P19" s="174">
        <f>COGS!P29</f>
        <v>0</v>
      </c>
      <c r="Q19" s="174">
        <f>COGS!Q29</f>
        <v>0</v>
      </c>
      <c r="R19" s="174">
        <f>COGS!R29</f>
        <v>0</v>
      </c>
      <c r="S19" s="174">
        <f>COGS!S29</f>
        <v>0</v>
      </c>
      <c r="T19" s="174">
        <f>COGS!T29</f>
        <v>0</v>
      </c>
      <c r="U19" s="174">
        <f>COGS!U29</f>
        <v>0</v>
      </c>
      <c r="V19" s="174">
        <f>COGS!V29</f>
        <v>0</v>
      </c>
      <c r="W19" s="174">
        <f>COGS!W29</f>
        <v>0</v>
      </c>
      <c r="X19" s="174">
        <f>COGS!X29</f>
        <v>0</v>
      </c>
      <c r="Y19" s="174">
        <f>COGS!Y29</f>
        <v>0</v>
      </c>
      <c r="Z19" s="174">
        <f>COGS!Z29</f>
        <v>0</v>
      </c>
      <c r="AA19" s="174">
        <f>COGS!AA29</f>
        <v>0</v>
      </c>
      <c r="AB19" s="174">
        <f>COGS!AB29</f>
        <v>0</v>
      </c>
      <c r="AC19" s="174">
        <f>COGS!AC29</f>
        <v>681750.78</v>
      </c>
      <c r="AD19" s="174">
        <f>COGS!AD29</f>
        <v>769800.02</v>
      </c>
      <c r="AE19" s="174">
        <f>COGS!AE29</f>
        <v>826905.86</v>
      </c>
      <c r="AF19" s="174">
        <f>COGS!AF29</f>
        <v>914955.1</v>
      </c>
      <c r="AG19" s="174">
        <f>COGS!AG29</f>
        <v>1016085.56</v>
      </c>
      <c r="AH19" s="174">
        <f>COGS!AH29</f>
        <v>1104134.8</v>
      </c>
      <c r="AI19" s="174">
        <f>COGS!AI29</f>
        <v>1205265.26</v>
      </c>
      <c r="AJ19" s="174">
        <f>COGS!AJ29</f>
        <v>1306395.72</v>
      </c>
      <c r="AK19" s="174">
        <f>COGS!AK29</f>
        <v>1451550.8</v>
      </c>
      <c r="AL19" s="174">
        <f>COGS!AL29</f>
        <v>1596705.88</v>
      </c>
      <c r="AM19" s="174">
        <f>COGS!AM29</f>
        <v>1741860.96</v>
      </c>
      <c r="AN19" s="174">
        <f>COGS!AN29</f>
        <v>1900097.26</v>
      </c>
      <c r="AO19" s="174">
        <f>COGS!AO29</f>
        <v>1673256.916</v>
      </c>
      <c r="AP19" s="174">
        <f>COGS!AP29</f>
        <v>1825018.928</v>
      </c>
      <c r="AQ19" s="174">
        <f>COGS!AQ29</f>
        <v>2011901.632</v>
      </c>
      <c r="AR19" s="174">
        <f>COGS!AR29</f>
        <v>2209109.58</v>
      </c>
      <c r="AS19" s="174">
        <f>COGS!AS29</f>
        <v>2406397.028</v>
      </c>
      <c r="AT19" s="174">
        <f>COGS!AT29</f>
        <v>2638884.668</v>
      </c>
      <c r="AU19" s="174">
        <f>COGS!AU29</f>
        <v>2906731.5</v>
      </c>
      <c r="AV19" s="174">
        <f>COGS!AV29</f>
        <v>3174578.332</v>
      </c>
      <c r="AW19" s="174">
        <f>COGS!AW29</f>
        <v>3488109.6</v>
      </c>
      <c r="AX19" s="174">
        <f>COGS!AX29</f>
        <v>3801640.868</v>
      </c>
      <c r="AY19" s="174">
        <f>COGS!AY29</f>
        <v>4185731.52</v>
      </c>
      <c r="AZ19" s="174">
        <f>COGS!AZ29</f>
        <v>4559735.428</v>
      </c>
      <c r="BA19" s="176"/>
      <c r="BB19" s="177">
        <f t="shared" si="11"/>
        <v>0</v>
      </c>
      <c r="BC19" s="177">
        <f t="shared" si="12"/>
        <v>0</v>
      </c>
      <c r="BD19" s="177">
        <f t="shared" si="13"/>
        <v>14515508</v>
      </c>
      <c r="BE19" s="177">
        <f t="shared" si="14"/>
        <v>34881096</v>
      </c>
      <c r="BF19" s="177">
        <f>sum(BF15:BF18)</f>
        <v>56235948</v>
      </c>
      <c r="BG19" s="178"/>
    </row>
    <row r="20" ht="12.75" customHeight="1">
      <c r="A20" s="166"/>
      <c r="B20" s="164"/>
      <c r="C20" s="163"/>
      <c r="D20" s="163"/>
      <c r="E20" s="180"/>
      <c r="F20" s="180"/>
      <c r="G20" s="180"/>
      <c r="H20" s="180"/>
      <c r="I20" s="180"/>
      <c r="J20" s="180"/>
      <c r="K20" s="180"/>
      <c r="L20" s="180"/>
      <c r="M20" s="180"/>
      <c r="N20" s="180"/>
      <c r="O20" s="180"/>
      <c r="P20" s="180"/>
      <c r="Q20" s="180"/>
      <c r="R20" s="180"/>
      <c r="S20" s="180"/>
      <c r="T20" s="180"/>
      <c r="U20" s="180"/>
      <c r="V20" s="180"/>
      <c r="W20" s="180"/>
      <c r="X20" s="180"/>
      <c r="Y20" s="180"/>
      <c r="Z20" s="180"/>
      <c r="AA20" s="180"/>
      <c r="AB20" s="180"/>
      <c r="AC20" s="180"/>
      <c r="AD20" s="180"/>
      <c r="AE20" s="180"/>
      <c r="AF20" s="180"/>
      <c r="AG20" s="180"/>
      <c r="AH20" s="180"/>
      <c r="AI20" s="180"/>
      <c r="AJ20" s="180"/>
      <c r="AK20" s="180"/>
      <c r="AL20" s="180"/>
      <c r="AM20" s="180"/>
      <c r="AN20" s="180"/>
      <c r="AO20" s="180"/>
      <c r="AP20" s="180"/>
      <c r="AQ20" s="180"/>
      <c r="AR20" s="180"/>
      <c r="AS20" s="180"/>
      <c r="AT20" s="180"/>
      <c r="AU20" s="180"/>
      <c r="AV20" s="180"/>
      <c r="AW20" s="180"/>
      <c r="AX20" s="180"/>
      <c r="AY20" s="180"/>
      <c r="AZ20" s="180"/>
      <c r="BA20" s="112"/>
      <c r="BB20" s="180"/>
      <c r="BC20" s="180"/>
      <c r="BD20" s="180"/>
      <c r="BE20" s="180"/>
      <c r="BF20" s="180"/>
      <c r="BG20" s="181"/>
    </row>
    <row r="21" ht="12.75" customHeight="1">
      <c r="A21" s="182"/>
      <c r="B21" s="183" t="s">
        <v>206</v>
      </c>
      <c r="C21" s="184"/>
      <c r="D21" s="184"/>
      <c r="E21" s="184"/>
      <c r="F21" s="184"/>
      <c r="G21" s="184"/>
      <c r="H21" s="184"/>
      <c r="I21" s="184"/>
      <c r="J21" s="184"/>
      <c r="K21" s="184"/>
      <c r="L21" s="184"/>
      <c r="M21" s="184"/>
      <c r="N21" s="184"/>
      <c r="O21" s="184"/>
      <c r="P21" s="184"/>
      <c r="Q21" s="184"/>
      <c r="R21" s="185"/>
      <c r="S21" s="186"/>
      <c r="T21" s="187"/>
      <c r="U21" s="184"/>
      <c r="V21" s="184"/>
      <c r="W21" s="184"/>
      <c r="X21" s="184"/>
      <c r="Y21" s="184"/>
      <c r="Z21" s="184"/>
      <c r="AA21" s="184"/>
      <c r="AB21" s="184"/>
      <c r="AC21" s="184"/>
      <c r="AD21" s="184"/>
      <c r="AE21" s="184"/>
      <c r="AF21" s="184"/>
      <c r="AG21" s="184"/>
      <c r="AH21" s="184"/>
      <c r="AI21" s="184"/>
      <c r="AJ21" s="184"/>
      <c r="AK21" s="184"/>
      <c r="AL21" s="184"/>
      <c r="AM21" s="184"/>
      <c r="AN21" s="184"/>
      <c r="AO21" s="184"/>
      <c r="AP21" s="184"/>
      <c r="AQ21" s="184"/>
      <c r="AR21" s="184"/>
      <c r="AS21" s="184"/>
      <c r="AT21" s="184"/>
      <c r="AU21" s="184"/>
      <c r="AV21" s="184"/>
      <c r="AW21" s="184"/>
      <c r="AX21" s="184"/>
      <c r="AY21" s="184"/>
      <c r="AZ21" s="185"/>
      <c r="BA21" s="188"/>
      <c r="BB21" s="185"/>
      <c r="BC21" s="185"/>
      <c r="BD21" s="185"/>
      <c r="BE21" s="185"/>
      <c r="BF21" s="185"/>
      <c r="BG21" s="188"/>
    </row>
    <row r="22" ht="15.0" customHeight="1">
      <c r="A22" s="112"/>
      <c r="B22" s="164" t="s">
        <v>49</v>
      </c>
      <c r="C22" s="163"/>
      <c r="D22" s="163" t="s">
        <v>198</v>
      </c>
      <c r="E22" s="164"/>
      <c r="F22" s="164"/>
      <c r="G22" s="164"/>
      <c r="H22" s="164"/>
      <c r="I22" s="164"/>
      <c r="J22" s="164"/>
      <c r="K22" s="164"/>
      <c r="L22" s="164"/>
      <c r="M22" s="164"/>
      <c r="N22" s="164"/>
      <c r="O22" s="164"/>
      <c r="P22" s="164"/>
      <c r="Q22" s="164">
        <f t="shared" ref="Q22:AZ22" si="15">Q7-Q15</f>
        <v>0</v>
      </c>
      <c r="R22" s="164">
        <f t="shared" si="15"/>
        <v>0</v>
      </c>
      <c r="S22" s="164">
        <f t="shared" si="15"/>
        <v>0</v>
      </c>
      <c r="T22" s="164">
        <f t="shared" si="15"/>
        <v>0</v>
      </c>
      <c r="U22" s="164">
        <f t="shared" si="15"/>
        <v>0</v>
      </c>
      <c r="V22" s="164">
        <f t="shared" si="15"/>
        <v>0</v>
      </c>
      <c r="W22" s="164">
        <f t="shared" si="15"/>
        <v>0</v>
      </c>
      <c r="X22" s="164">
        <f t="shared" si="15"/>
        <v>0</v>
      </c>
      <c r="Y22" s="164">
        <f t="shared" si="15"/>
        <v>0</v>
      </c>
      <c r="Z22" s="164">
        <f t="shared" si="15"/>
        <v>0</v>
      </c>
      <c r="AA22" s="164">
        <f t="shared" si="15"/>
        <v>0</v>
      </c>
      <c r="AB22" s="164">
        <f t="shared" si="15"/>
        <v>0</v>
      </c>
      <c r="AC22" s="164">
        <f t="shared" si="15"/>
        <v>-22290.8608</v>
      </c>
      <c r="AD22" s="164">
        <f t="shared" si="15"/>
        <v>-24637.2672</v>
      </c>
      <c r="AE22" s="164">
        <f t="shared" si="15"/>
        <v>-26983.6736</v>
      </c>
      <c r="AF22" s="164">
        <f t="shared" si="15"/>
        <v>-29330.08</v>
      </c>
      <c r="AG22" s="164">
        <f t="shared" si="15"/>
        <v>-32849.6896</v>
      </c>
      <c r="AH22" s="164">
        <f t="shared" si="15"/>
        <v>-35196.096</v>
      </c>
      <c r="AI22" s="164">
        <f t="shared" si="15"/>
        <v>-38715.7056</v>
      </c>
      <c r="AJ22" s="164">
        <f t="shared" si="15"/>
        <v>-42235.3152</v>
      </c>
      <c r="AK22" s="164">
        <f t="shared" si="15"/>
        <v>-46928.128</v>
      </c>
      <c r="AL22" s="164">
        <f t="shared" si="15"/>
        <v>-51620.9408</v>
      </c>
      <c r="AM22" s="164">
        <f t="shared" si="15"/>
        <v>-56313.7536</v>
      </c>
      <c r="AN22" s="164">
        <f t="shared" si="15"/>
        <v>-62179.7696</v>
      </c>
      <c r="AO22" s="164">
        <f t="shared" si="15"/>
        <v>101022.8224</v>
      </c>
      <c r="AP22" s="164">
        <f t="shared" si="15"/>
        <v>109731.6864</v>
      </c>
      <c r="AQ22" s="164">
        <f t="shared" si="15"/>
        <v>120182.3232</v>
      </c>
      <c r="AR22" s="164">
        <f t="shared" si="15"/>
        <v>132374.7328</v>
      </c>
      <c r="AS22" s="164">
        <f t="shared" si="15"/>
        <v>144567.1424</v>
      </c>
      <c r="AT22" s="164">
        <f t="shared" si="15"/>
        <v>158501.3248</v>
      </c>
      <c r="AU22" s="164">
        <f t="shared" si="15"/>
        <v>174177.28</v>
      </c>
      <c r="AV22" s="164">
        <f t="shared" si="15"/>
        <v>189853.2352</v>
      </c>
      <c r="AW22" s="164">
        <f t="shared" si="15"/>
        <v>209012.736</v>
      </c>
      <c r="AX22" s="164">
        <f t="shared" si="15"/>
        <v>228172.2368</v>
      </c>
      <c r="AY22" s="164">
        <f t="shared" si="15"/>
        <v>250815.2832</v>
      </c>
      <c r="AZ22" s="164">
        <f t="shared" si="15"/>
        <v>271716.5568</v>
      </c>
      <c r="BA22" s="112"/>
      <c r="BB22" s="164"/>
      <c r="BC22" s="164">
        <f t="shared" ref="BC22:BF22" si="16">BC7-BC15</f>
        <v>0</v>
      </c>
      <c r="BD22" s="164">
        <f t="shared" si="16"/>
        <v>-469281.28</v>
      </c>
      <c r="BE22" s="164">
        <f t="shared" si="16"/>
        <v>2090127.36</v>
      </c>
      <c r="BF22" s="164">
        <f t="shared" si="16"/>
        <v>9152920.32</v>
      </c>
      <c r="BG22" s="42"/>
    </row>
    <row r="23" ht="15.0" customHeight="1">
      <c r="A23" s="112"/>
      <c r="B23" s="164" t="s">
        <v>50</v>
      </c>
      <c r="C23" s="163"/>
      <c r="D23" s="163" t="s">
        <v>198</v>
      </c>
      <c r="E23" s="164"/>
      <c r="F23" s="164"/>
      <c r="G23" s="164"/>
      <c r="H23" s="164"/>
      <c r="I23" s="164"/>
      <c r="J23" s="164"/>
      <c r="K23" s="164"/>
      <c r="L23" s="164"/>
      <c r="M23" s="164"/>
      <c r="N23" s="164"/>
      <c r="O23" s="164"/>
      <c r="P23" s="164"/>
      <c r="Q23" s="164">
        <f t="shared" ref="Q23:AZ23" si="17">Q8-Q16</f>
        <v>0</v>
      </c>
      <c r="R23" s="164">
        <f t="shared" si="17"/>
        <v>0</v>
      </c>
      <c r="S23" s="164">
        <f t="shared" si="17"/>
        <v>0</v>
      </c>
      <c r="T23" s="164">
        <f t="shared" si="17"/>
        <v>0</v>
      </c>
      <c r="U23" s="164">
        <f t="shared" si="17"/>
        <v>0</v>
      </c>
      <c r="V23" s="164">
        <f t="shared" si="17"/>
        <v>0</v>
      </c>
      <c r="W23" s="164">
        <f t="shared" si="17"/>
        <v>0</v>
      </c>
      <c r="X23" s="164">
        <f t="shared" si="17"/>
        <v>0</v>
      </c>
      <c r="Y23" s="164">
        <f t="shared" si="17"/>
        <v>0</v>
      </c>
      <c r="Z23" s="164">
        <f t="shared" si="17"/>
        <v>0</v>
      </c>
      <c r="AA23" s="164">
        <f t="shared" si="17"/>
        <v>0</v>
      </c>
      <c r="AB23" s="164">
        <f t="shared" si="17"/>
        <v>0</v>
      </c>
      <c r="AC23" s="164">
        <f t="shared" si="17"/>
        <v>-2792.9048</v>
      </c>
      <c r="AD23" s="164">
        <f t="shared" si="17"/>
        <v>-3191.8912</v>
      </c>
      <c r="AE23" s="164">
        <f t="shared" si="17"/>
        <v>-3391.3844</v>
      </c>
      <c r="AF23" s="164">
        <f t="shared" si="17"/>
        <v>-3790.3708</v>
      </c>
      <c r="AG23" s="164">
        <f t="shared" si="17"/>
        <v>-4189.3572</v>
      </c>
      <c r="AH23" s="164">
        <f t="shared" si="17"/>
        <v>-4588.3436</v>
      </c>
      <c r="AI23" s="164">
        <f t="shared" si="17"/>
        <v>-4987.33</v>
      </c>
      <c r="AJ23" s="164">
        <f t="shared" si="17"/>
        <v>-5386.3164</v>
      </c>
      <c r="AK23" s="164">
        <f t="shared" si="17"/>
        <v>-5984.796</v>
      </c>
      <c r="AL23" s="164">
        <f t="shared" si="17"/>
        <v>-6583.2756</v>
      </c>
      <c r="AM23" s="164">
        <f t="shared" si="17"/>
        <v>-7181.7552</v>
      </c>
      <c r="AN23" s="164">
        <f t="shared" si="17"/>
        <v>-7780.2348</v>
      </c>
      <c r="AO23" s="164">
        <f t="shared" si="17"/>
        <v>116765.7604</v>
      </c>
      <c r="AP23" s="164">
        <f t="shared" si="17"/>
        <v>127627.6916</v>
      </c>
      <c r="AQ23" s="164">
        <f t="shared" si="17"/>
        <v>141205.1056</v>
      </c>
      <c r="AR23" s="164">
        <f t="shared" si="17"/>
        <v>154782.5196</v>
      </c>
      <c r="AS23" s="164">
        <f t="shared" si="17"/>
        <v>168359.9336</v>
      </c>
      <c r="AT23" s="164">
        <f t="shared" si="17"/>
        <v>184652.8304</v>
      </c>
      <c r="AU23" s="164">
        <f t="shared" si="17"/>
        <v>203661.21</v>
      </c>
      <c r="AV23" s="164">
        <f t="shared" si="17"/>
        <v>222669.5896</v>
      </c>
      <c r="AW23" s="164">
        <f t="shared" si="17"/>
        <v>244393.452</v>
      </c>
      <c r="AX23" s="164">
        <f t="shared" si="17"/>
        <v>266117.3144</v>
      </c>
      <c r="AY23" s="164">
        <f t="shared" si="17"/>
        <v>293272.1424</v>
      </c>
      <c r="AZ23" s="164">
        <f t="shared" si="17"/>
        <v>320426.9704</v>
      </c>
      <c r="BA23" s="112"/>
      <c r="BB23" s="164"/>
      <c r="BC23" s="164">
        <f t="shared" ref="BC23:BF23" si="18">BC8-BC16</f>
        <v>0</v>
      </c>
      <c r="BD23" s="164">
        <f t="shared" si="18"/>
        <v>-59847.96</v>
      </c>
      <c r="BE23" s="164">
        <f t="shared" si="18"/>
        <v>2443934.52</v>
      </c>
      <c r="BF23" s="164">
        <f t="shared" si="18"/>
        <v>8827680.24</v>
      </c>
      <c r="BG23" s="42"/>
    </row>
    <row r="24" ht="15.0" customHeight="1">
      <c r="A24" s="112"/>
      <c r="B24" s="164" t="s">
        <v>51</v>
      </c>
      <c r="C24" s="163"/>
      <c r="D24" s="163" t="s">
        <v>198</v>
      </c>
      <c r="E24" s="164"/>
      <c r="F24" s="164"/>
      <c r="G24" s="164"/>
      <c r="H24" s="164"/>
      <c r="I24" s="164"/>
      <c r="J24" s="164"/>
      <c r="K24" s="164"/>
      <c r="L24" s="164"/>
      <c r="M24" s="164"/>
      <c r="N24" s="164"/>
      <c r="O24" s="164"/>
      <c r="P24" s="164"/>
      <c r="Q24" s="164">
        <f t="shared" ref="Q24:AZ24" si="19">Q9-Q17</f>
        <v>0</v>
      </c>
      <c r="R24" s="164">
        <f t="shared" si="19"/>
        <v>0</v>
      </c>
      <c r="S24" s="164">
        <f t="shared" si="19"/>
        <v>0</v>
      </c>
      <c r="T24" s="164">
        <f t="shared" si="19"/>
        <v>0</v>
      </c>
      <c r="U24" s="164">
        <f t="shared" si="19"/>
        <v>0</v>
      </c>
      <c r="V24" s="164">
        <f t="shared" si="19"/>
        <v>0</v>
      </c>
      <c r="W24" s="164">
        <f t="shared" si="19"/>
        <v>0</v>
      </c>
      <c r="X24" s="164">
        <f t="shared" si="19"/>
        <v>0</v>
      </c>
      <c r="Y24" s="164">
        <f t="shared" si="19"/>
        <v>0</v>
      </c>
      <c r="Z24" s="164">
        <f t="shared" si="19"/>
        <v>0</v>
      </c>
      <c r="AA24" s="164">
        <f t="shared" si="19"/>
        <v>0</v>
      </c>
      <c r="AB24" s="164">
        <f t="shared" si="19"/>
        <v>0</v>
      </c>
      <c r="AC24" s="164">
        <f t="shared" si="19"/>
        <v>36877.6352</v>
      </c>
      <c r="AD24" s="164">
        <f t="shared" si="19"/>
        <v>42145.8688</v>
      </c>
      <c r="AE24" s="164">
        <f t="shared" si="19"/>
        <v>44779.9856</v>
      </c>
      <c r="AF24" s="164">
        <f t="shared" si="19"/>
        <v>50048.2192</v>
      </c>
      <c r="AG24" s="164">
        <f t="shared" si="19"/>
        <v>55316.4528</v>
      </c>
      <c r="AH24" s="164">
        <f t="shared" si="19"/>
        <v>60584.6864</v>
      </c>
      <c r="AI24" s="164">
        <f t="shared" si="19"/>
        <v>65852.92</v>
      </c>
      <c r="AJ24" s="164">
        <f t="shared" si="19"/>
        <v>71121.1536</v>
      </c>
      <c r="AK24" s="164">
        <f t="shared" si="19"/>
        <v>79023.504</v>
      </c>
      <c r="AL24" s="164">
        <f t="shared" si="19"/>
        <v>86925.8544</v>
      </c>
      <c r="AM24" s="164">
        <f t="shared" si="19"/>
        <v>94828.2048</v>
      </c>
      <c r="AN24" s="164">
        <f t="shared" si="19"/>
        <v>102730.5552</v>
      </c>
      <c r="AO24" s="164">
        <f t="shared" si="19"/>
        <v>238610.9904</v>
      </c>
      <c r="AP24" s="164">
        <f t="shared" si="19"/>
        <v>260807.3616</v>
      </c>
      <c r="AQ24" s="164">
        <f t="shared" si="19"/>
        <v>288552.8256</v>
      </c>
      <c r="AR24" s="164">
        <f t="shared" si="19"/>
        <v>316298.2896</v>
      </c>
      <c r="AS24" s="164">
        <f t="shared" si="19"/>
        <v>344043.7536</v>
      </c>
      <c r="AT24" s="164">
        <f t="shared" si="19"/>
        <v>377338.3104</v>
      </c>
      <c r="AU24" s="164">
        <f t="shared" si="19"/>
        <v>416181.96</v>
      </c>
      <c r="AV24" s="164">
        <f t="shared" si="19"/>
        <v>455025.6096</v>
      </c>
      <c r="AW24" s="164">
        <f t="shared" si="19"/>
        <v>499418.352</v>
      </c>
      <c r="AX24" s="164">
        <f t="shared" si="19"/>
        <v>543811.0944</v>
      </c>
      <c r="AY24" s="164">
        <f t="shared" si="19"/>
        <v>599302.0224</v>
      </c>
      <c r="AZ24" s="164">
        <f t="shared" si="19"/>
        <v>654792.9504</v>
      </c>
      <c r="BA24" s="112"/>
      <c r="BB24" s="164"/>
      <c r="BC24" s="164">
        <f t="shared" ref="BC24:BF24" si="20">BC9-BC17</f>
        <v>0</v>
      </c>
      <c r="BD24" s="164">
        <f t="shared" si="20"/>
        <v>790235.04</v>
      </c>
      <c r="BE24" s="164">
        <f t="shared" si="20"/>
        <v>4994183.52</v>
      </c>
      <c r="BF24" s="164">
        <f t="shared" si="20"/>
        <v>13968534.24</v>
      </c>
      <c r="BG24" s="42"/>
    </row>
    <row r="25" ht="15.0" customHeight="1">
      <c r="A25" s="112"/>
      <c r="B25" s="164" t="s">
        <v>204</v>
      </c>
      <c r="C25" s="163"/>
      <c r="D25" s="163" t="s">
        <v>198</v>
      </c>
      <c r="E25" s="164"/>
      <c r="F25" s="164"/>
      <c r="G25" s="164"/>
      <c r="H25" s="164"/>
      <c r="I25" s="164"/>
      <c r="J25" s="164"/>
      <c r="K25" s="164"/>
      <c r="L25" s="164"/>
      <c r="M25" s="164"/>
      <c r="N25" s="164"/>
      <c r="O25" s="164"/>
      <c r="P25" s="164"/>
      <c r="Q25" s="164">
        <f t="shared" ref="Q25:AZ25" si="21">Q10-Q18</f>
        <v>0</v>
      </c>
      <c r="R25" s="164">
        <f t="shared" si="21"/>
        <v>0</v>
      </c>
      <c r="S25" s="164">
        <f t="shared" si="21"/>
        <v>0</v>
      </c>
      <c r="T25" s="164">
        <f t="shared" si="21"/>
        <v>0</v>
      </c>
      <c r="U25" s="164">
        <f t="shared" si="21"/>
        <v>0</v>
      </c>
      <c r="V25" s="164">
        <f t="shared" si="21"/>
        <v>0</v>
      </c>
      <c r="W25" s="164">
        <f t="shared" si="21"/>
        <v>0</v>
      </c>
      <c r="X25" s="164">
        <f t="shared" si="21"/>
        <v>0</v>
      </c>
      <c r="Y25" s="164">
        <f t="shared" si="21"/>
        <v>0</v>
      </c>
      <c r="Z25" s="164">
        <f t="shared" si="21"/>
        <v>0</v>
      </c>
      <c r="AA25" s="164">
        <f t="shared" si="21"/>
        <v>0</v>
      </c>
      <c r="AB25" s="164">
        <f t="shared" si="21"/>
        <v>0</v>
      </c>
      <c r="AC25" s="164">
        <f t="shared" si="21"/>
        <v>3736.5</v>
      </c>
      <c r="AD25" s="164">
        <f t="shared" si="21"/>
        <v>4213.5</v>
      </c>
      <c r="AE25" s="164">
        <f t="shared" si="21"/>
        <v>4531.5</v>
      </c>
      <c r="AF25" s="164">
        <f t="shared" si="21"/>
        <v>5008.5</v>
      </c>
      <c r="AG25" s="164">
        <f t="shared" si="21"/>
        <v>5565</v>
      </c>
      <c r="AH25" s="164">
        <f t="shared" si="21"/>
        <v>6042</v>
      </c>
      <c r="AI25" s="164">
        <f t="shared" si="21"/>
        <v>6598.5</v>
      </c>
      <c r="AJ25" s="164">
        <f t="shared" si="21"/>
        <v>7155</v>
      </c>
      <c r="AK25" s="164">
        <f t="shared" si="21"/>
        <v>7950</v>
      </c>
      <c r="AL25" s="164">
        <f t="shared" si="21"/>
        <v>8745</v>
      </c>
      <c r="AM25" s="164">
        <f t="shared" si="21"/>
        <v>9540</v>
      </c>
      <c r="AN25" s="164">
        <f t="shared" si="21"/>
        <v>10414.5</v>
      </c>
      <c r="AO25" s="164">
        <f t="shared" si="21"/>
        <v>15184.5</v>
      </c>
      <c r="AP25" s="164">
        <f t="shared" si="21"/>
        <v>16695</v>
      </c>
      <c r="AQ25" s="164">
        <f t="shared" si="21"/>
        <v>18285</v>
      </c>
      <c r="AR25" s="164">
        <f t="shared" si="21"/>
        <v>20113.5</v>
      </c>
      <c r="AS25" s="164">
        <f t="shared" si="21"/>
        <v>22021.5</v>
      </c>
      <c r="AT25" s="164">
        <f t="shared" si="21"/>
        <v>24088.5</v>
      </c>
      <c r="AU25" s="164">
        <f t="shared" si="21"/>
        <v>26473.5</v>
      </c>
      <c r="AV25" s="164">
        <f t="shared" si="21"/>
        <v>28858.5</v>
      </c>
      <c r="AW25" s="164">
        <f t="shared" si="21"/>
        <v>31800</v>
      </c>
      <c r="AX25" s="164">
        <f t="shared" si="21"/>
        <v>34741.5</v>
      </c>
      <c r="AY25" s="164">
        <f t="shared" si="21"/>
        <v>38160</v>
      </c>
      <c r="AZ25" s="164">
        <f t="shared" si="21"/>
        <v>41578.5</v>
      </c>
      <c r="BA25" s="112"/>
      <c r="BB25" s="164"/>
      <c r="BC25" s="164">
        <f t="shared" ref="BC25:BF25" si="22">BC10-BC18</f>
        <v>0</v>
      </c>
      <c r="BD25" s="164">
        <f t="shared" si="22"/>
        <v>79500</v>
      </c>
      <c r="BE25" s="164">
        <f t="shared" si="22"/>
        <v>318000</v>
      </c>
      <c r="BF25" s="164">
        <f t="shared" si="22"/>
        <v>1002177</v>
      </c>
      <c r="BG25" s="42"/>
    </row>
    <row r="26" ht="12.75" customHeight="1">
      <c r="A26" s="173"/>
      <c r="B26" s="174" t="s">
        <v>206</v>
      </c>
      <c r="C26" s="175"/>
      <c r="D26" s="174" t="s">
        <v>198</v>
      </c>
      <c r="E26" s="174"/>
      <c r="F26" s="174"/>
      <c r="G26" s="174"/>
      <c r="H26" s="174"/>
      <c r="I26" s="174"/>
      <c r="J26" s="174"/>
      <c r="K26" s="174"/>
      <c r="L26" s="174"/>
      <c r="M26" s="174">
        <f t="shared" ref="M26:AZ26" si="23">M12-M19</f>
        <v>0</v>
      </c>
      <c r="N26" s="174">
        <f t="shared" si="23"/>
        <v>19480</v>
      </c>
      <c r="O26" s="174">
        <f t="shared" si="23"/>
        <v>78000</v>
      </c>
      <c r="P26" s="174">
        <f t="shared" si="23"/>
        <v>0</v>
      </c>
      <c r="Q26" s="174">
        <f t="shared" si="23"/>
        <v>0</v>
      </c>
      <c r="R26" s="174">
        <f t="shared" si="23"/>
        <v>0</v>
      </c>
      <c r="S26" s="174">
        <f t="shared" si="23"/>
        <v>0</v>
      </c>
      <c r="T26" s="174">
        <f t="shared" si="23"/>
        <v>0</v>
      </c>
      <c r="U26" s="174">
        <f t="shared" si="23"/>
        <v>0</v>
      </c>
      <c r="V26" s="174">
        <f t="shared" si="23"/>
        <v>0</v>
      </c>
      <c r="W26" s="174">
        <f t="shared" si="23"/>
        <v>0</v>
      </c>
      <c r="X26" s="174">
        <f t="shared" si="23"/>
        <v>106782</v>
      </c>
      <c r="Y26" s="174">
        <f t="shared" si="23"/>
        <v>0</v>
      </c>
      <c r="Z26" s="174">
        <f t="shared" si="23"/>
        <v>0</v>
      </c>
      <c r="AA26" s="174">
        <f t="shared" si="23"/>
        <v>0</v>
      </c>
      <c r="AB26" s="174">
        <f t="shared" si="23"/>
        <v>0</v>
      </c>
      <c r="AC26" s="174">
        <f t="shared" si="23"/>
        <v>15530.3696</v>
      </c>
      <c r="AD26" s="174">
        <f t="shared" si="23"/>
        <v>18530.2104</v>
      </c>
      <c r="AE26" s="174">
        <f t="shared" si="23"/>
        <v>18936.4276</v>
      </c>
      <c r="AF26" s="174">
        <f t="shared" si="23"/>
        <v>21936.2684</v>
      </c>
      <c r="AG26" s="174">
        <f t="shared" si="23"/>
        <v>23842.406</v>
      </c>
      <c r="AH26" s="174">
        <f t="shared" si="23"/>
        <v>26842.2468</v>
      </c>
      <c r="AI26" s="174">
        <f t="shared" si="23"/>
        <v>28748.3844</v>
      </c>
      <c r="AJ26" s="174">
        <f t="shared" si="23"/>
        <v>30654.522</v>
      </c>
      <c r="AK26" s="174">
        <f t="shared" si="23"/>
        <v>34060.58</v>
      </c>
      <c r="AL26" s="174">
        <f t="shared" si="23"/>
        <v>37466.638</v>
      </c>
      <c r="AM26" s="174">
        <f t="shared" si="23"/>
        <v>40872.696</v>
      </c>
      <c r="AN26" s="174">
        <f t="shared" si="23"/>
        <v>43185.0508</v>
      </c>
      <c r="AO26" s="174">
        <f t="shared" si="23"/>
        <v>471584.0732</v>
      </c>
      <c r="AP26" s="174">
        <f t="shared" si="23"/>
        <v>514861.7396</v>
      </c>
      <c r="AQ26" s="174">
        <f t="shared" si="23"/>
        <v>568225.2544</v>
      </c>
      <c r="AR26" s="174">
        <f t="shared" si="23"/>
        <v>623569.042</v>
      </c>
      <c r="AS26" s="174">
        <f t="shared" si="23"/>
        <v>678992.3296</v>
      </c>
      <c r="AT26" s="174">
        <f t="shared" si="23"/>
        <v>744580.9656</v>
      </c>
      <c r="AU26" s="174">
        <f t="shared" si="23"/>
        <v>820493.95</v>
      </c>
      <c r="AV26" s="174">
        <f t="shared" si="23"/>
        <v>896406.9344</v>
      </c>
      <c r="AW26" s="174">
        <f t="shared" si="23"/>
        <v>984624.54</v>
      </c>
      <c r="AX26" s="174">
        <f t="shared" si="23"/>
        <v>1072842.146</v>
      </c>
      <c r="AY26" s="174">
        <f t="shared" si="23"/>
        <v>1181549.448</v>
      </c>
      <c r="AZ26" s="177">
        <f t="shared" si="23"/>
        <v>1288514.978</v>
      </c>
      <c r="BA26" s="176"/>
      <c r="BB26" s="177">
        <f>sum(E26:P26)</f>
        <v>97480</v>
      </c>
      <c r="BC26" s="177">
        <f>sum(Q26:AB26)</f>
        <v>106782</v>
      </c>
      <c r="BD26" s="177">
        <f>sum(AC26:AN26)</f>
        <v>340605.8</v>
      </c>
      <c r="BE26" s="177">
        <f>sum(AO26:AZ26)</f>
        <v>9846245.4</v>
      </c>
      <c r="BF26" s="177">
        <f>BF12-BF19</f>
        <v>32951311.8</v>
      </c>
      <c r="BG26" s="178"/>
    </row>
    <row r="27" ht="15.0" customHeight="1">
      <c r="A27" s="189"/>
      <c r="B27" s="190" t="s">
        <v>207</v>
      </c>
      <c r="C27" s="191"/>
      <c r="D27" s="190" t="s">
        <v>46</v>
      </c>
      <c r="E27" s="190"/>
      <c r="F27" s="190"/>
      <c r="G27" s="190"/>
      <c r="H27" s="190"/>
      <c r="I27" s="190"/>
      <c r="J27" s="190"/>
      <c r="K27" s="190"/>
      <c r="L27" s="190"/>
      <c r="M27" s="190"/>
      <c r="N27" s="190"/>
      <c r="O27" s="190"/>
      <c r="P27" s="190"/>
      <c r="Q27" s="190"/>
      <c r="R27" s="190"/>
      <c r="S27" s="190"/>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f t="shared" ref="BD27:BF27" si="24">BD26/BD12</f>
        <v>0.02292697839</v>
      </c>
      <c r="BE27" s="190">
        <f t="shared" si="24"/>
        <v>0.2201392949</v>
      </c>
      <c r="BF27" s="190">
        <f t="shared" si="24"/>
        <v>0.3694620944</v>
      </c>
      <c r="BG27" s="192"/>
    </row>
    <row r="28" ht="15.75" customHeight="1">
      <c r="A28" s="112"/>
      <c r="B28" s="163"/>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12"/>
      <c r="BB28" s="163"/>
      <c r="BC28" s="163"/>
      <c r="BD28" s="163"/>
      <c r="BE28" s="163"/>
      <c r="BF28" s="163"/>
      <c r="BG28" s="112"/>
    </row>
    <row r="29" ht="13.5" customHeight="1">
      <c r="A29" s="166"/>
      <c r="B29" s="167" t="s">
        <v>208</v>
      </c>
      <c r="C29" s="168"/>
      <c r="D29" s="168"/>
      <c r="E29" s="168"/>
      <c r="F29" s="168"/>
      <c r="G29" s="168"/>
      <c r="H29" s="168"/>
      <c r="I29" s="168"/>
      <c r="J29" s="168"/>
      <c r="K29" s="168"/>
      <c r="L29" s="168"/>
      <c r="M29" s="168"/>
      <c r="N29" s="168"/>
      <c r="O29" s="168"/>
      <c r="P29" s="168"/>
      <c r="Q29" s="168"/>
      <c r="R29" s="169"/>
      <c r="S29" s="170"/>
      <c r="T29" s="171"/>
      <c r="U29" s="168"/>
      <c r="V29" s="168"/>
      <c r="W29" s="168"/>
      <c r="X29" s="168"/>
      <c r="Y29" s="168"/>
      <c r="Z29" s="168"/>
      <c r="AA29" s="168"/>
      <c r="AB29" s="168"/>
      <c r="AC29" s="168"/>
      <c r="AD29" s="168"/>
      <c r="AE29" s="168"/>
      <c r="AF29" s="168"/>
      <c r="AG29" s="168"/>
      <c r="AH29" s="168"/>
      <c r="AI29" s="168"/>
      <c r="AJ29" s="168"/>
      <c r="AK29" s="168"/>
      <c r="AL29" s="168"/>
      <c r="AM29" s="168"/>
      <c r="AN29" s="168"/>
      <c r="AO29" s="168"/>
      <c r="AP29" s="168"/>
      <c r="AQ29" s="168"/>
      <c r="AR29" s="168"/>
      <c r="AS29" s="168"/>
      <c r="AT29" s="168"/>
      <c r="AU29" s="168"/>
      <c r="AV29" s="168"/>
      <c r="AW29" s="168"/>
      <c r="AX29" s="168"/>
      <c r="AY29" s="168"/>
      <c r="AZ29" s="169"/>
      <c r="BA29" s="112"/>
      <c r="BB29" s="169"/>
      <c r="BC29" s="169"/>
      <c r="BD29" s="169"/>
      <c r="BE29" s="169"/>
      <c r="BF29" s="169"/>
      <c r="BG29" s="112"/>
    </row>
    <row r="30" ht="15.0" customHeight="1">
      <c r="A30" s="112"/>
      <c r="B30" s="164" t="s">
        <v>144</v>
      </c>
      <c r="C30" s="163"/>
      <c r="D30" s="163" t="s">
        <v>198</v>
      </c>
      <c r="E30" s="164"/>
      <c r="F30" s="164"/>
      <c r="G30" s="164"/>
      <c r="H30" s="164"/>
      <c r="I30" s="164"/>
      <c r="J30" s="164"/>
      <c r="K30" s="164"/>
      <c r="L30" s="164"/>
      <c r="M30" s="164">
        <f>OPEX!O38</f>
        <v>47500</v>
      </c>
      <c r="N30" s="164">
        <f>OPEX!P38</f>
        <v>47500</v>
      </c>
      <c r="O30" s="164">
        <f>OPEX!Q38</f>
        <v>47500</v>
      </c>
      <c r="P30" s="164">
        <f>OPEX!R38</f>
        <v>216433</v>
      </c>
      <c r="Q30" s="164">
        <f>OPEX!S38</f>
        <v>75700</v>
      </c>
      <c r="R30" s="164">
        <f>OPEX!T38</f>
        <v>75700</v>
      </c>
      <c r="S30" s="164">
        <f>OPEX!U38</f>
        <v>75700</v>
      </c>
      <c r="T30" s="164">
        <f>OPEX!V38</f>
        <v>75700</v>
      </c>
      <c r="U30" s="164">
        <f>OPEX!W38</f>
        <v>75700</v>
      </c>
      <c r="V30" s="164">
        <f>OPEX!X38</f>
        <v>75700</v>
      </c>
      <c r="W30" s="164">
        <f>OPEX!Y38</f>
        <v>75700</v>
      </c>
      <c r="X30" s="164">
        <f>OPEX!Z38</f>
        <v>81700</v>
      </c>
      <c r="Y30" s="164">
        <f>OPEX!AA38</f>
        <v>85700</v>
      </c>
      <c r="Z30" s="164">
        <f>OPEX!AB38</f>
        <v>194620</v>
      </c>
      <c r="AA30" s="164">
        <f>OPEX!AC38</f>
        <v>139620</v>
      </c>
      <c r="AB30" s="164">
        <f>OPEX!AD38</f>
        <v>94620</v>
      </c>
      <c r="AC30" s="164">
        <f>OPEX!AE38</f>
        <v>128319.6</v>
      </c>
      <c r="AD30" s="164">
        <f>OPEX!AF38</f>
        <v>128319.6</v>
      </c>
      <c r="AE30" s="164">
        <f>OPEX!AG38</f>
        <v>128319.6</v>
      </c>
      <c r="AF30" s="164">
        <f>OPEX!AH38</f>
        <v>128319.6</v>
      </c>
      <c r="AG30" s="164">
        <f>OPEX!AI38</f>
        <v>128319.6</v>
      </c>
      <c r="AH30" s="164">
        <f>OPEX!AJ38</f>
        <v>134819.6</v>
      </c>
      <c r="AI30" s="164">
        <f>OPEX!AK38</f>
        <v>134819.6</v>
      </c>
      <c r="AJ30" s="164">
        <f>OPEX!AL38</f>
        <v>135299.6</v>
      </c>
      <c r="AK30" s="164">
        <f>OPEX!AM38</f>
        <v>135299.6</v>
      </c>
      <c r="AL30" s="164">
        <f>OPEX!AN38</f>
        <v>135939.6</v>
      </c>
      <c r="AM30" s="164">
        <f>OPEX!AO38</f>
        <v>135939.6</v>
      </c>
      <c r="AN30" s="164">
        <f>OPEX!AP38</f>
        <v>135939.6</v>
      </c>
      <c r="AO30" s="164">
        <f>OPEX!AQ38</f>
        <v>154197.668</v>
      </c>
      <c r="AP30" s="164">
        <f>OPEX!AR38</f>
        <v>154197.668</v>
      </c>
      <c r="AQ30" s="164">
        <f>OPEX!AS38</f>
        <v>154197.668</v>
      </c>
      <c r="AR30" s="164">
        <f>OPEX!AT38</f>
        <v>154197.668</v>
      </c>
      <c r="AS30" s="164">
        <f>OPEX!AU38</f>
        <v>154197.668</v>
      </c>
      <c r="AT30" s="164">
        <f>OPEX!AV38</f>
        <v>154717.668</v>
      </c>
      <c r="AU30" s="164">
        <f>OPEX!AW38</f>
        <v>154717.668</v>
      </c>
      <c r="AV30" s="164">
        <f>OPEX!AX38</f>
        <v>155236.068</v>
      </c>
      <c r="AW30" s="164">
        <f>OPEX!AY38</f>
        <v>155236.068</v>
      </c>
      <c r="AX30" s="164">
        <f>OPEX!AZ38</f>
        <v>155927.268</v>
      </c>
      <c r="AY30" s="164">
        <f>OPEX!BA38</f>
        <v>155927.268</v>
      </c>
      <c r="AZ30" s="164">
        <f>OPEX!BB38</f>
        <v>155927.268</v>
      </c>
      <c r="BA30" s="112"/>
      <c r="BB30" s="164">
        <f t="shared" ref="BB30:BB33" si="25">sum(E30:P30)</f>
        <v>358933</v>
      </c>
      <c r="BC30" s="164">
        <f t="shared" ref="BC30:BC33" si="26">sum(Q30:AB30)</f>
        <v>1126160</v>
      </c>
      <c r="BD30" s="164">
        <f t="shared" ref="BD30:BD33" si="27">sum(AC30:AN30)</f>
        <v>1589655.2</v>
      </c>
      <c r="BE30" s="164">
        <f t="shared" ref="BE30:BE33" si="28">sum(AO30:AZ30)</f>
        <v>1858677.616</v>
      </c>
      <c r="BF30" s="164">
        <f>OPEX!BH38</f>
        <v>2628853.393</v>
      </c>
      <c r="BG30" s="42"/>
    </row>
    <row r="31" ht="15.75" customHeight="1">
      <c r="A31" s="112"/>
      <c r="B31" s="164" t="s">
        <v>141</v>
      </c>
      <c r="C31" s="163"/>
      <c r="D31" s="163" t="s">
        <v>198</v>
      </c>
      <c r="E31" s="164"/>
      <c r="F31" s="164"/>
      <c r="G31" s="164"/>
      <c r="H31" s="164"/>
      <c r="I31" s="164"/>
      <c r="J31" s="164"/>
      <c r="K31" s="164"/>
      <c r="L31" s="164"/>
      <c r="M31" s="164">
        <f>OPEX!O39</f>
        <v>0</v>
      </c>
      <c r="N31" s="164">
        <f>OPEX!P39</f>
        <v>0</v>
      </c>
      <c r="O31" s="164">
        <f>OPEX!Q39</f>
        <v>0</v>
      </c>
      <c r="P31" s="164">
        <f>OPEX!R39</f>
        <v>20000</v>
      </c>
      <c r="Q31" s="164">
        <f>OPEX!S39</f>
        <v>21000</v>
      </c>
      <c r="R31" s="164">
        <f>OPEX!T39</f>
        <v>31800</v>
      </c>
      <c r="S31" s="164">
        <f>OPEX!U39</f>
        <v>31800</v>
      </c>
      <c r="T31" s="164">
        <f>OPEX!V39</f>
        <v>31800</v>
      </c>
      <c r="U31" s="164">
        <f>OPEX!W39</f>
        <v>41800</v>
      </c>
      <c r="V31" s="164">
        <f>OPEX!X39</f>
        <v>41800</v>
      </c>
      <c r="W31" s="164">
        <f>OPEX!Y39</f>
        <v>31800</v>
      </c>
      <c r="X31" s="164">
        <f>OPEX!Z39</f>
        <v>40800</v>
      </c>
      <c r="Y31" s="164">
        <f>OPEX!AA39</f>
        <v>40800</v>
      </c>
      <c r="Z31" s="164">
        <f>OPEX!AB39</f>
        <v>50300</v>
      </c>
      <c r="AA31" s="164">
        <f>OPEX!AC39</f>
        <v>50300</v>
      </c>
      <c r="AB31" s="164">
        <f>OPEX!AD39</f>
        <v>50300</v>
      </c>
      <c r="AC31" s="164">
        <f>OPEX!AE39</f>
        <v>72464</v>
      </c>
      <c r="AD31" s="164">
        <f>OPEX!AF39</f>
        <v>75664</v>
      </c>
      <c r="AE31" s="164">
        <f>OPEX!AG39</f>
        <v>78064</v>
      </c>
      <c r="AF31" s="164">
        <f>OPEX!AH39</f>
        <v>81264</v>
      </c>
      <c r="AG31" s="164">
        <f>OPEX!AI39</f>
        <v>85264</v>
      </c>
      <c r="AH31" s="164">
        <f>OPEX!AJ39</f>
        <v>110964</v>
      </c>
      <c r="AI31" s="164">
        <f>OPEX!AK39</f>
        <v>114964</v>
      </c>
      <c r="AJ31" s="164">
        <f>OPEX!AL39</f>
        <v>119684</v>
      </c>
      <c r="AK31" s="164">
        <f>OPEX!AM39</f>
        <v>125284</v>
      </c>
      <c r="AL31" s="164">
        <f>OPEX!AN39</f>
        <v>131404</v>
      </c>
      <c r="AM31" s="164">
        <f>OPEX!AO39</f>
        <v>130284</v>
      </c>
      <c r="AN31" s="164">
        <f>OPEX!AP39</f>
        <v>136044</v>
      </c>
      <c r="AO31" s="164">
        <f>OPEX!AQ39</f>
        <v>165072.12</v>
      </c>
      <c r="AP31" s="164">
        <f>OPEX!AR39</f>
        <v>171552.12</v>
      </c>
      <c r="AQ31" s="164">
        <f>OPEX!AS39</f>
        <v>179472.12</v>
      </c>
      <c r="AR31" s="164">
        <f>OPEX!AT39</f>
        <v>178536.12</v>
      </c>
      <c r="AS31" s="164">
        <f>OPEX!AU39</f>
        <v>186312.12</v>
      </c>
      <c r="AT31" s="164">
        <f>OPEX!AV39</f>
        <v>197184.12</v>
      </c>
      <c r="AU31" s="164">
        <f>OPEX!AW39</f>
        <v>231052.12</v>
      </c>
      <c r="AV31" s="164">
        <f>OPEX!AX39</f>
        <v>242197.72</v>
      </c>
      <c r="AW31" s="164">
        <f>OPEX!AY39</f>
        <v>254509.72</v>
      </c>
      <c r="AX31" s="164">
        <f>OPEX!AZ39</f>
        <v>267044.12</v>
      </c>
      <c r="AY31" s="164">
        <f>OPEX!BA39</f>
        <v>286957.72</v>
      </c>
      <c r="AZ31" s="164">
        <f>OPEX!BB39</f>
        <v>299788.12</v>
      </c>
      <c r="BA31" s="112"/>
      <c r="BB31" s="164">
        <f t="shared" si="25"/>
        <v>20000</v>
      </c>
      <c r="BC31" s="164">
        <f t="shared" si="26"/>
        <v>464300</v>
      </c>
      <c r="BD31" s="164">
        <f t="shared" si="27"/>
        <v>1261348</v>
      </c>
      <c r="BE31" s="164">
        <f t="shared" si="28"/>
        <v>2659678.24</v>
      </c>
      <c r="BF31" s="164">
        <f>OPEX!BH39</f>
        <v>4818295.015</v>
      </c>
      <c r="BG31" s="42"/>
    </row>
    <row r="32" ht="15.75" customHeight="1">
      <c r="A32" s="112"/>
      <c r="B32" s="164" t="s">
        <v>137</v>
      </c>
      <c r="C32" s="163"/>
      <c r="D32" s="163" t="s">
        <v>198</v>
      </c>
      <c r="E32" s="164"/>
      <c r="F32" s="164"/>
      <c r="G32" s="164"/>
      <c r="H32" s="164"/>
      <c r="I32" s="164"/>
      <c r="J32" s="164"/>
      <c r="K32" s="164"/>
      <c r="L32" s="164"/>
      <c r="M32" s="164">
        <f>OPEX!O40</f>
        <v>11500</v>
      </c>
      <c r="N32" s="164">
        <f>OPEX!P40</f>
        <v>11500</v>
      </c>
      <c r="O32" s="164">
        <f>OPEX!Q40</f>
        <v>11500</v>
      </c>
      <c r="P32" s="164">
        <f>OPEX!R40</f>
        <v>11500</v>
      </c>
      <c r="Q32" s="164">
        <f>OPEX!S40</f>
        <v>31820</v>
      </c>
      <c r="R32" s="164">
        <f>OPEX!T40</f>
        <v>31820</v>
      </c>
      <c r="S32" s="164">
        <f>OPEX!U40</f>
        <v>31820</v>
      </c>
      <c r="T32" s="164">
        <f>OPEX!V40</f>
        <v>31820</v>
      </c>
      <c r="U32" s="164">
        <f>OPEX!W40</f>
        <v>31820</v>
      </c>
      <c r="V32" s="164">
        <f>OPEX!X40</f>
        <v>31820</v>
      </c>
      <c r="W32" s="164">
        <f>OPEX!Y40</f>
        <v>31820</v>
      </c>
      <c r="X32" s="164">
        <f>OPEX!Z40</f>
        <v>40820</v>
      </c>
      <c r="Y32" s="164">
        <f>OPEX!AA40</f>
        <v>45740</v>
      </c>
      <c r="Z32" s="164">
        <f>OPEX!AB40</f>
        <v>50920</v>
      </c>
      <c r="AA32" s="164">
        <f>OPEX!AC40</f>
        <v>50920</v>
      </c>
      <c r="AB32" s="164">
        <f>OPEX!AD40</f>
        <v>50920</v>
      </c>
      <c r="AC32" s="164">
        <f>OPEX!AE40</f>
        <v>69913.6</v>
      </c>
      <c r="AD32" s="164">
        <f>OPEX!AF40</f>
        <v>69913.6</v>
      </c>
      <c r="AE32" s="164">
        <f>OPEX!AG40</f>
        <v>69913.6</v>
      </c>
      <c r="AF32" s="164">
        <f>OPEX!AH40</f>
        <v>69913.6</v>
      </c>
      <c r="AG32" s="164">
        <f>OPEX!AI40</f>
        <v>69913.6</v>
      </c>
      <c r="AH32" s="164">
        <f>OPEX!AJ40</f>
        <v>69913.6</v>
      </c>
      <c r="AI32" s="164">
        <f>OPEX!AK40</f>
        <v>69913.6</v>
      </c>
      <c r="AJ32" s="164">
        <f>OPEX!AL40</f>
        <v>70633.6</v>
      </c>
      <c r="AK32" s="164">
        <f>OPEX!AM40</f>
        <v>70633.6</v>
      </c>
      <c r="AL32" s="164">
        <f>OPEX!AN40</f>
        <v>71393.6</v>
      </c>
      <c r="AM32" s="164">
        <f>OPEX!AO40</f>
        <v>71393.6</v>
      </c>
      <c r="AN32" s="164">
        <f>OPEX!AP40</f>
        <v>71393.6</v>
      </c>
      <c r="AO32" s="164">
        <f>OPEX!AQ40</f>
        <v>90296.688</v>
      </c>
      <c r="AP32" s="164">
        <f>OPEX!AR40</f>
        <v>90296.688</v>
      </c>
      <c r="AQ32" s="164">
        <f>OPEX!AS40</f>
        <v>90296.688</v>
      </c>
      <c r="AR32" s="164">
        <f>OPEX!AT40</f>
        <v>90296.688</v>
      </c>
      <c r="AS32" s="164">
        <f>OPEX!AU40</f>
        <v>90296.688</v>
      </c>
      <c r="AT32" s="164">
        <f>OPEX!AV40</f>
        <v>90296.688</v>
      </c>
      <c r="AU32" s="164">
        <f>OPEX!AW40</f>
        <v>90296.688</v>
      </c>
      <c r="AV32" s="164">
        <f>OPEX!AX40</f>
        <v>91074.288</v>
      </c>
      <c r="AW32" s="164">
        <f>OPEX!AY40</f>
        <v>91074.288</v>
      </c>
      <c r="AX32" s="164">
        <f>OPEX!AZ40</f>
        <v>98395.088</v>
      </c>
      <c r="AY32" s="164">
        <f>OPEX!BA40</f>
        <v>98395.088</v>
      </c>
      <c r="AZ32" s="164">
        <f>OPEX!BB40</f>
        <v>98395.088</v>
      </c>
      <c r="BA32" s="112"/>
      <c r="BB32" s="164">
        <f t="shared" si="25"/>
        <v>46000</v>
      </c>
      <c r="BC32" s="164">
        <f t="shared" si="26"/>
        <v>462060</v>
      </c>
      <c r="BD32" s="164">
        <f t="shared" si="27"/>
        <v>844843.2</v>
      </c>
      <c r="BE32" s="164">
        <f t="shared" si="28"/>
        <v>1109410.656</v>
      </c>
      <c r="BF32" s="164">
        <f>OPEX!BH40</f>
        <v>1357154.221</v>
      </c>
      <c r="BG32" s="42"/>
    </row>
    <row r="33" ht="12.75" customHeight="1">
      <c r="A33" s="166"/>
      <c r="B33" s="193" t="s">
        <v>209</v>
      </c>
      <c r="C33" s="194"/>
      <c r="D33" s="195" t="s">
        <v>198</v>
      </c>
      <c r="E33" s="193"/>
      <c r="F33" s="193"/>
      <c r="G33" s="193"/>
      <c r="H33" s="193"/>
      <c r="I33" s="193"/>
      <c r="J33" s="193"/>
      <c r="K33" s="193"/>
      <c r="L33" s="193"/>
      <c r="M33" s="193">
        <f t="shared" ref="M33:AZ33" si="29">(M32+M31+M30)</f>
        <v>59000</v>
      </c>
      <c r="N33" s="193">
        <f t="shared" si="29"/>
        <v>59000</v>
      </c>
      <c r="O33" s="193">
        <f t="shared" si="29"/>
        <v>59000</v>
      </c>
      <c r="P33" s="193">
        <f t="shared" si="29"/>
        <v>247933</v>
      </c>
      <c r="Q33" s="193">
        <f t="shared" si="29"/>
        <v>128520</v>
      </c>
      <c r="R33" s="196">
        <f t="shared" si="29"/>
        <v>139320</v>
      </c>
      <c r="S33" s="197">
        <f t="shared" si="29"/>
        <v>139320</v>
      </c>
      <c r="T33" s="198">
        <f t="shared" si="29"/>
        <v>139320</v>
      </c>
      <c r="U33" s="193">
        <f t="shared" si="29"/>
        <v>149320</v>
      </c>
      <c r="V33" s="193">
        <f t="shared" si="29"/>
        <v>149320</v>
      </c>
      <c r="W33" s="193">
        <f t="shared" si="29"/>
        <v>139320</v>
      </c>
      <c r="X33" s="193">
        <f t="shared" si="29"/>
        <v>163320</v>
      </c>
      <c r="Y33" s="193">
        <f t="shared" si="29"/>
        <v>172240</v>
      </c>
      <c r="Z33" s="193">
        <f t="shared" si="29"/>
        <v>295840</v>
      </c>
      <c r="AA33" s="193">
        <f t="shared" si="29"/>
        <v>240840</v>
      </c>
      <c r="AB33" s="193">
        <f t="shared" si="29"/>
        <v>195840</v>
      </c>
      <c r="AC33" s="193">
        <f t="shared" si="29"/>
        <v>270697.2</v>
      </c>
      <c r="AD33" s="193">
        <f t="shared" si="29"/>
        <v>273897.2</v>
      </c>
      <c r="AE33" s="193">
        <f t="shared" si="29"/>
        <v>276297.2</v>
      </c>
      <c r="AF33" s="193">
        <f t="shared" si="29"/>
        <v>279497.2</v>
      </c>
      <c r="AG33" s="193">
        <f t="shared" si="29"/>
        <v>283497.2</v>
      </c>
      <c r="AH33" s="193">
        <f t="shared" si="29"/>
        <v>315697.2</v>
      </c>
      <c r="AI33" s="193">
        <f t="shared" si="29"/>
        <v>319697.2</v>
      </c>
      <c r="AJ33" s="193">
        <f t="shared" si="29"/>
        <v>325617.2</v>
      </c>
      <c r="AK33" s="193">
        <f t="shared" si="29"/>
        <v>331217.2</v>
      </c>
      <c r="AL33" s="193">
        <f t="shared" si="29"/>
        <v>338737.2</v>
      </c>
      <c r="AM33" s="193">
        <f t="shared" si="29"/>
        <v>337617.2</v>
      </c>
      <c r="AN33" s="193">
        <f t="shared" si="29"/>
        <v>343377.2</v>
      </c>
      <c r="AO33" s="193">
        <f t="shared" si="29"/>
        <v>409566.476</v>
      </c>
      <c r="AP33" s="193">
        <f t="shared" si="29"/>
        <v>416046.476</v>
      </c>
      <c r="AQ33" s="193">
        <f t="shared" si="29"/>
        <v>423966.476</v>
      </c>
      <c r="AR33" s="193">
        <f t="shared" si="29"/>
        <v>423030.476</v>
      </c>
      <c r="AS33" s="193">
        <f t="shared" si="29"/>
        <v>430806.476</v>
      </c>
      <c r="AT33" s="193">
        <f t="shared" si="29"/>
        <v>442198.476</v>
      </c>
      <c r="AU33" s="193">
        <f t="shared" si="29"/>
        <v>476066.476</v>
      </c>
      <c r="AV33" s="193">
        <f t="shared" si="29"/>
        <v>488508.076</v>
      </c>
      <c r="AW33" s="193">
        <f t="shared" si="29"/>
        <v>500820.076</v>
      </c>
      <c r="AX33" s="193">
        <f t="shared" si="29"/>
        <v>521366.476</v>
      </c>
      <c r="AY33" s="193">
        <f t="shared" si="29"/>
        <v>541280.076</v>
      </c>
      <c r="AZ33" s="196">
        <f t="shared" si="29"/>
        <v>554110.476</v>
      </c>
      <c r="BA33" s="112"/>
      <c r="BB33" s="196">
        <f t="shared" si="25"/>
        <v>424933</v>
      </c>
      <c r="BC33" s="196">
        <f t="shared" si="26"/>
        <v>2052520</v>
      </c>
      <c r="BD33" s="196">
        <f t="shared" si="27"/>
        <v>3695846.4</v>
      </c>
      <c r="BE33" s="196">
        <f t="shared" si="28"/>
        <v>5627766.512</v>
      </c>
      <c r="BF33" s="196">
        <f>sum(BF30:BF32)</f>
        <v>8804302.63</v>
      </c>
      <c r="BG33" s="181"/>
    </row>
    <row r="34" ht="15.75" customHeight="1">
      <c r="A34" s="112"/>
      <c r="B34" s="163"/>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3"/>
      <c r="AX34" s="163"/>
      <c r="AY34" s="163"/>
      <c r="AZ34" s="163"/>
      <c r="BA34" s="112"/>
      <c r="BB34" s="163"/>
      <c r="BC34" s="163"/>
      <c r="BD34" s="163"/>
      <c r="BE34" s="163"/>
      <c r="BF34" s="163"/>
      <c r="BG34" s="112"/>
    </row>
    <row r="35" ht="12.75" customHeight="1">
      <c r="A35" s="173"/>
      <c r="B35" s="174" t="s">
        <v>210</v>
      </c>
      <c r="C35" s="175"/>
      <c r="D35" s="174" t="s">
        <v>198</v>
      </c>
      <c r="E35" s="174"/>
      <c r="F35" s="174"/>
      <c r="G35" s="174"/>
      <c r="H35" s="174"/>
      <c r="I35" s="174"/>
      <c r="J35" s="174"/>
      <c r="K35" s="174"/>
      <c r="L35" s="174"/>
      <c r="M35" s="174">
        <f t="shared" ref="M35:AZ35" si="30">M26-M33</f>
        <v>-59000</v>
      </c>
      <c r="N35" s="174">
        <f t="shared" si="30"/>
        <v>-39520</v>
      </c>
      <c r="O35" s="174">
        <f t="shared" si="30"/>
        <v>19000</v>
      </c>
      <c r="P35" s="174">
        <f t="shared" si="30"/>
        <v>-247933</v>
      </c>
      <c r="Q35" s="174">
        <f t="shared" si="30"/>
        <v>-128520</v>
      </c>
      <c r="R35" s="174">
        <f t="shared" si="30"/>
        <v>-139320</v>
      </c>
      <c r="S35" s="174">
        <f t="shared" si="30"/>
        <v>-139320</v>
      </c>
      <c r="T35" s="174">
        <f t="shared" si="30"/>
        <v>-139320</v>
      </c>
      <c r="U35" s="174">
        <f t="shared" si="30"/>
        <v>-149320</v>
      </c>
      <c r="V35" s="174">
        <f t="shared" si="30"/>
        <v>-149320</v>
      </c>
      <c r="W35" s="174">
        <f t="shared" si="30"/>
        <v>-139320</v>
      </c>
      <c r="X35" s="174">
        <f t="shared" si="30"/>
        <v>-56538</v>
      </c>
      <c r="Y35" s="174">
        <f t="shared" si="30"/>
        <v>-172240</v>
      </c>
      <c r="Z35" s="174">
        <f t="shared" si="30"/>
        <v>-295840</v>
      </c>
      <c r="AA35" s="174">
        <f t="shared" si="30"/>
        <v>-240840</v>
      </c>
      <c r="AB35" s="174">
        <f t="shared" si="30"/>
        <v>-195840</v>
      </c>
      <c r="AC35" s="174">
        <f t="shared" si="30"/>
        <v>-255166.8304</v>
      </c>
      <c r="AD35" s="174">
        <f t="shared" si="30"/>
        <v>-255366.9896</v>
      </c>
      <c r="AE35" s="174">
        <f t="shared" si="30"/>
        <v>-257360.7724</v>
      </c>
      <c r="AF35" s="174">
        <f t="shared" si="30"/>
        <v>-257560.9316</v>
      </c>
      <c r="AG35" s="174">
        <f t="shared" si="30"/>
        <v>-259654.794</v>
      </c>
      <c r="AH35" s="174">
        <f t="shared" si="30"/>
        <v>-288854.9532</v>
      </c>
      <c r="AI35" s="174">
        <f t="shared" si="30"/>
        <v>-290948.8156</v>
      </c>
      <c r="AJ35" s="174">
        <f t="shared" si="30"/>
        <v>-294962.678</v>
      </c>
      <c r="AK35" s="174">
        <f t="shared" si="30"/>
        <v>-297156.62</v>
      </c>
      <c r="AL35" s="174">
        <f t="shared" si="30"/>
        <v>-301270.562</v>
      </c>
      <c r="AM35" s="174">
        <f t="shared" si="30"/>
        <v>-296744.504</v>
      </c>
      <c r="AN35" s="174">
        <f t="shared" si="30"/>
        <v>-300192.1492</v>
      </c>
      <c r="AO35" s="174">
        <f t="shared" si="30"/>
        <v>62017.5972</v>
      </c>
      <c r="AP35" s="174">
        <f t="shared" si="30"/>
        <v>98815.2636</v>
      </c>
      <c r="AQ35" s="174">
        <f t="shared" si="30"/>
        <v>144258.7784</v>
      </c>
      <c r="AR35" s="174">
        <f t="shared" si="30"/>
        <v>200538.566</v>
      </c>
      <c r="AS35" s="174">
        <f t="shared" si="30"/>
        <v>248185.8536</v>
      </c>
      <c r="AT35" s="174">
        <f t="shared" si="30"/>
        <v>302382.4896</v>
      </c>
      <c r="AU35" s="174">
        <f t="shared" si="30"/>
        <v>344427.474</v>
      </c>
      <c r="AV35" s="174">
        <f t="shared" si="30"/>
        <v>407898.8584</v>
      </c>
      <c r="AW35" s="174">
        <f t="shared" si="30"/>
        <v>483804.464</v>
      </c>
      <c r="AX35" s="174">
        <f t="shared" si="30"/>
        <v>551475.6696</v>
      </c>
      <c r="AY35" s="174">
        <f t="shared" si="30"/>
        <v>640269.372</v>
      </c>
      <c r="AZ35" s="177">
        <f t="shared" si="30"/>
        <v>734404.5016</v>
      </c>
      <c r="BA35" s="176"/>
      <c r="BB35" s="177">
        <f>sum(E35:P35)</f>
        <v>-327453</v>
      </c>
      <c r="BC35" s="177">
        <f>sum(Q35:AB35)</f>
        <v>-1945738</v>
      </c>
      <c r="BD35" s="177">
        <f>sum(AC35:AN35)</f>
        <v>-3355240.6</v>
      </c>
      <c r="BE35" s="177">
        <f>sum(AO35:AZ35)</f>
        <v>4218478.888</v>
      </c>
      <c r="BF35" s="177">
        <f>BF26-BF33</f>
        <v>24147009.17</v>
      </c>
      <c r="BG35" s="178"/>
    </row>
    <row r="36" ht="15.75" customHeight="1">
      <c r="A36" s="189"/>
      <c r="B36" s="190" t="s">
        <v>211</v>
      </c>
      <c r="C36" s="191"/>
      <c r="D36" s="190" t="s">
        <v>46</v>
      </c>
      <c r="E36" s="190"/>
      <c r="F36" s="190"/>
      <c r="G36" s="190"/>
      <c r="H36" s="190"/>
      <c r="I36" s="190"/>
      <c r="J36" s="190"/>
      <c r="K36" s="190"/>
      <c r="L36" s="190"/>
      <c r="M36" s="190"/>
      <c r="N36" s="190"/>
      <c r="O36" s="190"/>
      <c r="P36" s="190"/>
      <c r="Q36" s="190"/>
      <c r="R36" s="190"/>
      <c r="S36" s="190"/>
      <c r="T36" s="190"/>
      <c r="U36" s="190"/>
      <c r="V36" s="190"/>
      <c r="W36" s="190"/>
      <c r="X36" s="190"/>
      <c r="Y36" s="190"/>
      <c r="Z36" s="190"/>
      <c r="AA36" s="190"/>
      <c r="AB36" s="190"/>
      <c r="AC36" s="190"/>
      <c r="AD36" s="190"/>
      <c r="AE36" s="190"/>
      <c r="AF36" s="190"/>
      <c r="AG36" s="190"/>
      <c r="AH36" s="190"/>
      <c r="AI36" s="190"/>
      <c r="AJ36" s="190"/>
      <c r="AK36" s="190"/>
      <c r="AL36" s="190"/>
      <c r="AM36" s="190"/>
      <c r="AN36" s="190"/>
      <c r="AO36" s="190"/>
      <c r="AP36" s="190"/>
      <c r="AQ36" s="190"/>
      <c r="AR36" s="190"/>
      <c r="AS36" s="190"/>
      <c r="AT36" s="190"/>
      <c r="AU36" s="190"/>
      <c r="AV36" s="190"/>
      <c r="AW36" s="190"/>
      <c r="AX36" s="190"/>
      <c r="AY36" s="190"/>
      <c r="AZ36" s="190"/>
      <c r="BA36" s="189"/>
      <c r="BB36" s="190"/>
      <c r="BC36" s="190"/>
      <c r="BD36" s="190"/>
      <c r="BE36" s="190">
        <f t="shared" ref="BE36:BF36" si="31">BE35/BE12</f>
        <v>0.09431544009</v>
      </c>
      <c r="BF36" s="190">
        <f t="shared" si="31"/>
        <v>0.2707450506</v>
      </c>
      <c r="BG36" s="192"/>
    </row>
    <row r="37" ht="15.75" customHeight="1">
      <c r="A37" s="199"/>
      <c r="B37" s="200"/>
      <c r="C37" s="201"/>
      <c r="D37" s="200"/>
      <c r="E37" s="200"/>
      <c r="F37" s="200"/>
      <c r="G37" s="200"/>
      <c r="H37" s="200"/>
      <c r="I37" s="200"/>
      <c r="J37" s="200"/>
      <c r="K37" s="200"/>
      <c r="L37" s="200"/>
      <c r="M37" s="200"/>
      <c r="N37" s="200"/>
      <c r="O37" s="200"/>
      <c r="P37" s="200"/>
      <c r="Q37" s="200"/>
      <c r="R37" s="200"/>
      <c r="S37" s="200"/>
      <c r="T37" s="200"/>
      <c r="U37" s="200"/>
      <c r="V37" s="200"/>
      <c r="W37" s="200"/>
      <c r="X37" s="200"/>
      <c r="Y37" s="200"/>
      <c r="Z37" s="200"/>
      <c r="AA37" s="200"/>
      <c r="AB37" s="200"/>
      <c r="AC37" s="200"/>
      <c r="AD37" s="200"/>
      <c r="AE37" s="200"/>
      <c r="AF37" s="200"/>
      <c r="AG37" s="200"/>
      <c r="AH37" s="200"/>
      <c r="AI37" s="200"/>
      <c r="AJ37" s="200"/>
      <c r="AK37" s="200"/>
      <c r="AL37" s="200"/>
      <c r="AM37" s="200"/>
      <c r="AN37" s="200"/>
      <c r="AO37" s="200"/>
      <c r="AP37" s="200"/>
      <c r="AQ37" s="200"/>
      <c r="AR37" s="200"/>
      <c r="AS37" s="200"/>
      <c r="AT37" s="200"/>
      <c r="AU37" s="200"/>
      <c r="AV37" s="200"/>
      <c r="AW37" s="200"/>
      <c r="AX37" s="200"/>
      <c r="AY37" s="200"/>
      <c r="AZ37" s="200"/>
      <c r="BA37" s="199"/>
      <c r="BB37" s="200"/>
      <c r="BC37" s="200"/>
      <c r="BD37" s="200"/>
      <c r="BE37" s="200"/>
      <c r="BF37" s="200"/>
      <c r="BG37" s="202"/>
    </row>
    <row r="38" ht="15.75" customHeight="1">
      <c r="A38" s="112"/>
      <c r="B38" s="164" t="s">
        <v>212</v>
      </c>
      <c r="C38" s="163"/>
      <c r="D38" s="163" t="s">
        <v>198</v>
      </c>
      <c r="E38" s="164"/>
      <c r="F38" s="164"/>
      <c r="G38" s="164"/>
      <c r="H38" s="164"/>
      <c r="I38" s="164"/>
      <c r="J38" s="164"/>
      <c r="K38" s="164"/>
      <c r="L38" s="164"/>
      <c r="M38" s="164">
        <v>0.0</v>
      </c>
      <c r="N38" s="164">
        <v>0.0</v>
      </c>
      <c r="O38" s="164">
        <v>0.0</v>
      </c>
      <c r="P38" s="164">
        <v>0.0</v>
      </c>
      <c r="Q38" s="164">
        <v>0.0</v>
      </c>
      <c r="R38" s="164">
        <v>0.0</v>
      </c>
      <c r="S38" s="164">
        <v>0.0</v>
      </c>
      <c r="T38" s="164">
        <v>0.0</v>
      </c>
      <c r="U38" s="164">
        <v>0.0</v>
      </c>
      <c r="V38" s="164">
        <v>0.0</v>
      </c>
      <c r="W38" s="164">
        <v>0.0</v>
      </c>
      <c r="X38" s="164">
        <v>0.0</v>
      </c>
      <c r="Y38" s="164">
        <v>0.0</v>
      </c>
      <c r="Z38" s="164">
        <v>0.0</v>
      </c>
      <c r="AA38" s="164">
        <v>0.0</v>
      </c>
      <c r="AB38" s="164">
        <v>0.0</v>
      </c>
      <c r="AC38" s="164">
        <v>0.0</v>
      </c>
      <c r="AD38" s="164">
        <v>0.0</v>
      </c>
      <c r="AE38" s="164">
        <v>0.0</v>
      </c>
      <c r="AF38" s="164">
        <v>0.0</v>
      </c>
      <c r="AG38" s="164">
        <v>0.0</v>
      </c>
      <c r="AH38" s="164">
        <v>0.0</v>
      </c>
      <c r="AI38" s="164">
        <v>0.0</v>
      </c>
      <c r="AJ38" s="164">
        <v>0.0</v>
      </c>
      <c r="AK38" s="164">
        <v>0.0</v>
      </c>
      <c r="AL38" s="164">
        <v>0.0</v>
      </c>
      <c r="AM38" s="164">
        <v>0.0</v>
      </c>
      <c r="AN38" s="164">
        <v>0.0</v>
      </c>
      <c r="AO38" s="164">
        <v>0.0</v>
      </c>
      <c r="AP38" s="164">
        <v>0.0</v>
      </c>
      <c r="AQ38" s="164">
        <v>0.0</v>
      </c>
      <c r="AR38" s="164">
        <v>0.0</v>
      </c>
      <c r="AS38" s="164">
        <v>0.0</v>
      </c>
      <c r="AT38" s="164">
        <v>0.0</v>
      </c>
      <c r="AU38" s="164">
        <v>0.0</v>
      </c>
      <c r="AV38" s="164">
        <v>0.0</v>
      </c>
      <c r="AW38" s="164">
        <v>0.0</v>
      </c>
      <c r="AX38" s="164">
        <v>0.0</v>
      </c>
      <c r="AY38" s="164">
        <v>0.0</v>
      </c>
      <c r="AZ38" s="164">
        <v>0.0</v>
      </c>
      <c r="BA38" s="112"/>
      <c r="BB38" s="164">
        <f t="shared" ref="BB38:BB40" si="32">sum(E38:P38)</f>
        <v>0</v>
      </c>
      <c r="BC38" s="164">
        <f t="shared" ref="BC38:BC40" si="33">sum(Q38:AB38)</f>
        <v>0</v>
      </c>
      <c r="BD38" s="164">
        <f t="shared" ref="BD38:BD40" si="34">sum(AC38:AN38)</f>
        <v>0</v>
      </c>
      <c r="BE38" s="164">
        <f t="shared" ref="BE38:BE40" si="35">sum(AO38:AZ38)</f>
        <v>0</v>
      </c>
      <c r="BF38" s="164">
        <v>0.0</v>
      </c>
      <c r="BG38" s="42"/>
    </row>
    <row r="39" ht="15.75" customHeight="1">
      <c r="A39" s="112"/>
      <c r="B39" s="164" t="s">
        <v>213</v>
      </c>
      <c r="C39" s="163"/>
      <c r="D39" s="163" t="s">
        <v>198</v>
      </c>
      <c r="E39" s="164"/>
      <c r="F39" s="164"/>
      <c r="G39" s="164"/>
      <c r="H39" s="164"/>
      <c r="I39" s="164"/>
      <c r="J39" s="164"/>
      <c r="K39" s="164"/>
      <c r="L39" s="164"/>
      <c r="M39" s="164">
        <v>0.0</v>
      </c>
      <c r="N39" s="164">
        <v>0.0</v>
      </c>
      <c r="O39" s="164">
        <v>0.0</v>
      </c>
      <c r="P39" s="164">
        <v>0.0</v>
      </c>
      <c r="Q39" s="164">
        <f>P85*Assumptions!$C$11/12</f>
        <v>0</v>
      </c>
      <c r="R39" s="164">
        <f>Q85*Assumptions!$C$11/12</f>
        <v>0</v>
      </c>
      <c r="S39" s="164">
        <f>R85*Assumptions!$C$11/12</f>
        <v>0</v>
      </c>
      <c r="T39" s="164">
        <f>S85*Assumptions!$C$11/12</f>
        <v>0</v>
      </c>
      <c r="U39" s="164">
        <f>T85*Assumptions!$C$11/12</f>
        <v>0</v>
      </c>
      <c r="V39" s="164">
        <f>U85*Assumptions!$C$11/12</f>
        <v>0</v>
      </c>
      <c r="W39" s="164">
        <f>V85*Assumptions!$C$11/12</f>
        <v>0</v>
      </c>
      <c r="X39" s="164">
        <f>W85*Assumptions!$C$11/12</f>
        <v>0</v>
      </c>
      <c r="Y39" s="164">
        <f>X85*Assumptions!$C$11/12</f>
        <v>0</v>
      </c>
      <c r="Z39" s="164">
        <f>Y85*Assumptions!$C$11/12</f>
        <v>0</v>
      </c>
      <c r="AA39" s="164">
        <f>Z85*Assumptions!$C$11/12</f>
        <v>0</v>
      </c>
      <c r="AB39" s="164">
        <f>AA85*Assumptions!$C$11/12</f>
        <v>0</v>
      </c>
      <c r="AC39" s="164">
        <f>AB85*Assumptions!$C$11/12</f>
        <v>0</v>
      </c>
      <c r="AD39" s="164">
        <f>AC85*Assumptions!$C$11/12</f>
        <v>139.825</v>
      </c>
      <c r="AE39" s="164">
        <f>AD85*Assumptions!$C$11/12</f>
        <v>297.5</v>
      </c>
      <c r="AF39" s="164">
        <f>AE85*Assumptions!$C$11/12</f>
        <v>467.075</v>
      </c>
      <c r="AG39" s="164">
        <f>AF85*Assumptions!$C$11/12</f>
        <v>654.5</v>
      </c>
      <c r="AH39" s="164">
        <f>AG85*Assumptions!$C$11/12</f>
        <v>862.75</v>
      </c>
      <c r="AI39" s="164">
        <f>AH85*Assumptions!$C$11/12</f>
        <v>1088.85</v>
      </c>
      <c r="AJ39" s="164">
        <f>AI85*Assumptions!$C$11/12</f>
        <v>1335.775</v>
      </c>
      <c r="AK39" s="164">
        <f>AJ85*Assumptions!$C$11/12</f>
        <v>1603.525</v>
      </c>
      <c r="AL39" s="164">
        <f>AK85*Assumptions!$C$11/12</f>
        <v>1901.025</v>
      </c>
      <c r="AM39" s="164">
        <f>AL85*Assumptions!$C$11/12</f>
        <v>2228.275</v>
      </c>
      <c r="AN39" s="164">
        <f>AM85*Assumptions!$C$11/12</f>
        <v>2585.275</v>
      </c>
      <c r="AO39" s="164">
        <f>AN85*Assumptions!$C$11/12</f>
        <v>2975</v>
      </c>
      <c r="AP39" s="164">
        <f>AO85*Assumptions!$C$11/12</f>
        <v>2975</v>
      </c>
      <c r="AQ39" s="164">
        <f>AP85*Assumptions!$C$11/12</f>
        <v>2975</v>
      </c>
      <c r="AR39" s="164">
        <f>AQ85*Assumptions!$C$11/12</f>
        <v>2975</v>
      </c>
      <c r="AS39" s="164">
        <f>AR85*Assumptions!$C$11/12</f>
        <v>2975</v>
      </c>
      <c r="AT39" s="164">
        <f>AS85*Assumptions!$C$11/12</f>
        <v>2975</v>
      </c>
      <c r="AU39" s="164">
        <f>AT85*Assumptions!$C$11/12</f>
        <v>2975</v>
      </c>
      <c r="AV39" s="164">
        <f>AU85*Assumptions!$C$11/12</f>
        <v>2975</v>
      </c>
      <c r="AW39" s="164">
        <f>AV85*Assumptions!$C$11/12</f>
        <v>2975</v>
      </c>
      <c r="AX39" s="164">
        <f>AW85*Assumptions!$C$11/12</f>
        <v>2975</v>
      </c>
      <c r="AY39" s="164">
        <f>AX85*Assumptions!$C$11/12</f>
        <v>2975</v>
      </c>
      <c r="AZ39" s="164">
        <f>AY85*Assumptions!$C$11/12</f>
        <v>2975</v>
      </c>
      <c r="BA39" s="112"/>
      <c r="BB39" s="163">
        <f t="shared" si="32"/>
        <v>0</v>
      </c>
      <c r="BC39" s="163">
        <f t="shared" si="33"/>
        <v>0</v>
      </c>
      <c r="BD39" s="163">
        <f t="shared" si="34"/>
        <v>13164.375</v>
      </c>
      <c r="BE39" s="163">
        <f t="shared" si="35"/>
        <v>35700</v>
      </c>
      <c r="BF39" s="163">
        <f>BE85*0.05/12</f>
        <v>2975</v>
      </c>
      <c r="BG39" s="112"/>
    </row>
    <row r="40" ht="12.75" customHeight="1">
      <c r="A40" s="173"/>
      <c r="B40" s="174" t="s">
        <v>214</v>
      </c>
      <c r="C40" s="175"/>
      <c r="D40" s="174" t="s">
        <v>198</v>
      </c>
      <c r="E40" s="177"/>
      <c r="F40" s="177"/>
      <c r="G40" s="177"/>
      <c r="H40" s="177"/>
      <c r="I40" s="177"/>
      <c r="J40" s="177"/>
      <c r="K40" s="177"/>
      <c r="L40" s="177"/>
      <c r="M40" s="177">
        <f t="shared" ref="M40:AZ40" si="36">M35-sum(M38:M39)</f>
        <v>-59000</v>
      </c>
      <c r="N40" s="177">
        <f t="shared" si="36"/>
        <v>-39520</v>
      </c>
      <c r="O40" s="177">
        <f t="shared" si="36"/>
        <v>19000</v>
      </c>
      <c r="P40" s="177">
        <f t="shared" si="36"/>
        <v>-247933</v>
      </c>
      <c r="Q40" s="177">
        <f t="shared" si="36"/>
        <v>-128520</v>
      </c>
      <c r="R40" s="177">
        <f t="shared" si="36"/>
        <v>-139320</v>
      </c>
      <c r="S40" s="177">
        <f t="shared" si="36"/>
        <v>-139320</v>
      </c>
      <c r="T40" s="177">
        <f t="shared" si="36"/>
        <v>-139320</v>
      </c>
      <c r="U40" s="177">
        <f t="shared" si="36"/>
        <v>-149320</v>
      </c>
      <c r="V40" s="177">
        <f t="shared" si="36"/>
        <v>-149320</v>
      </c>
      <c r="W40" s="177">
        <f t="shared" si="36"/>
        <v>-139320</v>
      </c>
      <c r="X40" s="177">
        <f t="shared" si="36"/>
        <v>-56538</v>
      </c>
      <c r="Y40" s="177">
        <f t="shared" si="36"/>
        <v>-172240</v>
      </c>
      <c r="Z40" s="177">
        <f t="shared" si="36"/>
        <v>-295840</v>
      </c>
      <c r="AA40" s="177">
        <f t="shared" si="36"/>
        <v>-240840</v>
      </c>
      <c r="AB40" s="177">
        <f t="shared" si="36"/>
        <v>-195840</v>
      </c>
      <c r="AC40" s="177">
        <f t="shared" si="36"/>
        <v>-255166.8304</v>
      </c>
      <c r="AD40" s="177">
        <f t="shared" si="36"/>
        <v>-255506.8146</v>
      </c>
      <c r="AE40" s="177">
        <f t="shared" si="36"/>
        <v>-257658.2724</v>
      </c>
      <c r="AF40" s="177">
        <f t="shared" si="36"/>
        <v>-258028.0066</v>
      </c>
      <c r="AG40" s="177">
        <f t="shared" si="36"/>
        <v>-260309.294</v>
      </c>
      <c r="AH40" s="177">
        <f t="shared" si="36"/>
        <v>-289717.7032</v>
      </c>
      <c r="AI40" s="177">
        <f t="shared" si="36"/>
        <v>-292037.6656</v>
      </c>
      <c r="AJ40" s="177">
        <f t="shared" si="36"/>
        <v>-296298.453</v>
      </c>
      <c r="AK40" s="177">
        <f t="shared" si="36"/>
        <v>-298760.145</v>
      </c>
      <c r="AL40" s="177">
        <f t="shared" si="36"/>
        <v>-303171.587</v>
      </c>
      <c r="AM40" s="177">
        <f t="shared" si="36"/>
        <v>-298972.779</v>
      </c>
      <c r="AN40" s="177">
        <f t="shared" si="36"/>
        <v>-302777.4242</v>
      </c>
      <c r="AO40" s="177">
        <f t="shared" si="36"/>
        <v>59042.5972</v>
      </c>
      <c r="AP40" s="177">
        <f t="shared" si="36"/>
        <v>95840.2636</v>
      </c>
      <c r="AQ40" s="177">
        <f t="shared" si="36"/>
        <v>141283.7784</v>
      </c>
      <c r="AR40" s="177">
        <f t="shared" si="36"/>
        <v>197563.566</v>
      </c>
      <c r="AS40" s="177">
        <f t="shared" si="36"/>
        <v>245210.8536</v>
      </c>
      <c r="AT40" s="177">
        <f t="shared" si="36"/>
        <v>299407.4896</v>
      </c>
      <c r="AU40" s="177">
        <f t="shared" si="36"/>
        <v>341452.474</v>
      </c>
      <c r="AV40" s="177">
        <f t="shared" si="36"/>
        <v>404923.8584</v>
      </c>
      <c r="AW40" s="177">
        <f t="shared" si="36"/>
        <v>480829.464</v>
      </c>
      <c r="AX40" s="177">
        <f t="shared" si="36"/>
        <v>548500.6696</v>
      </c>
      <c r="AY40" s="177">
        <f t="shared" si="36"/>
        <v>637294.372</v>
      </c>
      <c r="AZ40" s="177">
        <f t="shared" si="36"/>
        <v>731429.5016</v>
      </c>
      <c r="BA40" s="176"/>
      <c r="BB40" s="177">
        <f t="shared" si="32"/>
        <v>-327453</v>
      </c>
      <c r="BC40" s="177">
        <f t="shared" si="33"/>
        <v>-1945738</v>
      </c>
      <c r="BD40" s="177">
        <f t="shared" si="34"/>
        <v>-3368404.975</v>
      </c>
      <c r="BE40" s="177">
        <f t="shared" si="35"/>
        <v>4182778.888</v>
      </c>
      <c r="BF40" s="177">
        <f>BF35-sum(BF38:BF39)</f>
        <v>24144034.17</v>
      </c>
      <c r="BG40" s="178"/>
    </row>
    <row r="41" ht="15.75" customHeight="1">
      <c r="A41" s="112"/>
      <c r="B41" s="164"/>
      <c r="C41" s="163"/>
      <c r="D41" s="179"/>
      <c r="E41" s="164"/>
      <c r="F41" s="164"/>
      <c r="G41" s="164"/>
      <c r="H41" s="164"/>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164"/>
      <c r="AH41" s="164"/>
      <c r="AI41" s="164"/>
      <c r="AJ41" s="164"/>
      <c r="AK41" s="164"/>
      <c r="AL41" s="164"/>
      <c r="AM41" s="164"/>
      <c r="AN41" s="164"/>
      <c r="AO41" s="164"/>
      <c r="AP41" s="164"/>
      <c r="AQ41" s="164"/>
      <c r="AR41" s="164"/>
      <c r="AS41" s="164"/>
      <c r="AT41" s="164"/>
      <c r="AU41" s="164"/>
      <c r="AV41" s="164"/>
      <c r="AW41" s="164"/>
      <c r="AX41" s="164"/>
      <c r="AY41" s="164"/>
      <c r="AZ41" s="164"/>
      <c r="BA41" s="112"/>
      <c r="BB41" s="190"/>
      <c r="BC41" s="190"/>
      <c r="BD41" s="190"/>
      <c r="BE41" s="190">
        <f t="shared" ref="BE41:BF41" si="37">BE40/BE12</f>
        <v>0.09351727058</v>
      </c>
      <c r="BF41" s="190">
        <f t="shared" si="37"/>
        <v>0.2707116938</v>
      </c>
      <c r="BG41" s="42"/>
    </row>
    <row r="42" ht="15.75" customHeight="1">
      <c r="A42" s="112"/>
      <c r="B42" s="164"/>
      <c r="C42" s="163"/>
      <c r="D42" s="179"/>
      <c r="E42" s="164"/>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c r="AG42" s="164"/>
      <c r="AH42" s="164"/>
      <c r="AI42" s="164"/>
      <c r="AJ42" s="164"/>
      <c r="AK42" s="164"/>
      <c r="AL42" s="164"/>
      <c r="AM42" s="164"/>
      <c r="AN42" s="164"/>
      <c r="AO42" s="164"/>
      <c r="AP42" s="164"/>
      <c r="AQ42" s="164"/>
      <c r="AR42" s="164"/>
      <c r="AS42" s="164"/>
      <c r="AT42" s="164"/>
      <c r="AU42" s="164"/>
      <c r="AV42" s="164"/>
      <c r="AW42" s="164"/>
      <c r="AX42" s="164"/>
      <c r="AY42" s="164"/>
      <c r="AZ42" s="164"/>
      <c r="BA42" s="112"/>
      <c r="BB42" s="190"/>
      <c r="BC42" s="190"/>
      <c r="BD42" s="190"/>
      <c r="BE42" s="190"/>
      <c r="BF42" s="190"/>
      <c r="BG42" s="42"/>
    </row>
    <row r="43" ht="15.75" customHeight="1">
      <c r="A43" s="112"/>
      <c r="B43" s="164" t="s">
        <v>215</v>
      </c>
      <c r="C43" s="163"/>
      <c r="D43" s="163" t="s">
        <v>198</v>
      </c>
      <c r="E43" s="164"/>
      <c r="F43" s="164"/>
      <c r="G43" s="164"/>
      <c r="H43" s="164"/>
      <c r="I43" s="164"/>
      <c r="J43" s="164"/>
      <c r="K43" s="164"/>
      <c r="L43" s="164"/>
      <c r="M43" s="164">
        <v>0.0</v>
      </c>
      <c r="N43" s="164">
        <v>0.0</v>
      </c>
      <c r="O43" s="164">
        <v>0.0</v>
      </c>
      <c r="P43" s="164">
        <v>0.0</v>
      </c>
      <c r="Q43" s="164">
        <v>0.0</v>
      </c>
      <c r="R43" s="164">
        <v>0.0</v>
      </c>
      <c r="S43" s="164">
        <v>0.0</v>
      </c>
      <c r="T43" s="164">
        <v>0.0</v>
      </c>
      <c r="U43" s="164">
        <v>0.0</v>
      </c>
      <c r="V43" s="164">
        <v>0.0</v>
      </c>
      <c r="W43" s="164">
        <v>0.0</v>
      </c>
      <c r="X43" s="164">
        <v>0.0</v>
      </c>
      <c r="Y43" s="164">
        <v>0.0</v>
      </c>
      <c r="Z43" s="164">
        <v>0.0</v>
      </c>
      <c r="AA43" s="164">
        <v>0.0</v>
      </c>
      <c r="AB43" s="164">
        <v>0.0</v>
      </c>
      <c r="AC43" s="164">
        <v>0.0</v>
      </c>
      <c r="AD43" s="164">
        <v>0.0</v>
      </c>
      <c r="AE43" s="164">
        <v>0.0</v>
      </c>
      <c r="AF43" s="164">
        <v>0.0</v>
      </c>
      <c r="AG43" s="164">
        <v>0.0</v>
      </c>
      <c r="AH43" s="164">
        <v>0.0</v>
      </c>
      <c r="AI43" s="164">
        <v>0.0</v>
      </c>
      <c r="AJ43" s="164">
        <v>0.0</v>
      </c>
      <c r="AK43" s="164">
        <v>0.0</v>
      </c>
      <c r="AL43" s="164">
        <v>0.0</v>
      </c>
      <c r="AM43" s="164">
        <v>0.0</v>
      </c>
      <c r="AN43" s="164">
        <v>0.0</v>
      </c>
      <c r="AO43" s="164">
        <v>0.0</v>
      </c>
      <c r="AP43" s="164">
        <v>0.0</v>
      </c>
      <c r="AQ43" s="164">
        <v>0.0</v>
      </c>
      <c r="AR43" s="164">
        <v>0.0</v>
      </c>
      <c r="AS43" s="164">
        <v>0.0</v>
      </c>
      <c r="AT43" s="164">
        <v>0.0</v>
      </c>
      <c r="AU43" s="164">
        <v>0.0</v>
      </c>
      <c r="AV43" s="164">
        <v>0.0</v>
      </c>
      <c r="AW43" s="164">
        <v>0.0</v>
      </c>
      <c r="AX43" s="164">
        <v>0.0</v>
      </c>
      <c r="AY43" s="164">
        <v>0.0</v>
      </c>
      <c r="AZ43" s="164">
        <v>0.0</v>
      </c>
      <c r="BA43" s="112"/>
      <c r="BB43" s="164">
        <f t="shared" ref="BB43:BB44" si="39">sum(E43:P43)</f>
        <v>0</v>
      </c>
      <c r="BC43" s="164">
        <f t="shared" ref="BC43:BC44" si="40">sum(Q43:AB43)</f>
        <v>0</v>
      </c>
      <c r="BD43" s="164">
        <f t="shared" ref="BD43:BD44" si="41">sum(AC43:AN43)</f>
        <v>0</v>
      </c>
      <c r="BE43" s="164">
        <f t="shared" ref="BE43:BE44" si="42">sum(AO43:AZ43)</f>
        <v>0</v>
      </c>
      <c r="BF43" s="164">
        <f>(BF40-AZ47)*Assumptions!$C$10</f>
        <v>6108057.729</v>
      </c>
      <c r="BG43" s="42"/>
    </row>
    <row r="44" ht="12.75" customHeight="1">
      <c r="A44" s="173"/>
      <c r="B44" s="174" t="s">
        <v>216</v>
      </c>
      <c r="C44" s="175"/>
      <c r="D44" s="174" t="s">
        <v>198</v>
      </c>
      <c r="E44" s="177"/>
      <c r="F44" s="177"/>
      <c r="G44" s="177"/>
      <c r="H44" s="177"/>
      <c r="I44" s="177"/>
      <c r="J44" s="177"/>
      <c r="K44" s="177"/>
      <c r="L44" s="177"/>
      <c r="M44" s="177">
        <f t="shared" ref="M44:AZ44" si="38">M40-M43</f>
        <v>-59000</v>
      </c>
      <c r="N44" s="177">
        <f t="shared" si="38"/>
        <v>-39520</v>
      </c>
      <c r="O44" s="177">
        <f t="shared" si="38"/>
        <v>19000</v>
      </c>
      <c r="P44" s="177">
        <f t="shared" si="38"/>
        <v>-247933</v>
      </c>
      <c r="Q44" s="177">
        <f t="shared" si="38"/>
        <v>-128520</v>
      </c>
      <c r="R44" s="177">
        <f t="shared" si="38"/>
        <v>-139320</v>
      </c>
      <c r="S44" s="177">
        <f t="shared" si="38"/>
        <v>-139320</v>
      </c>
      <c r="T44" s="177">
        <f t="shared" si="38"/>
        <v>-139320</v>
      </c>
      <c r="U44" s="177">
        <f t="shared" si="38"/>
        <v>-149320</v>
      </c>
      <c r="V44" s="177">
        <f t="shared" si="38"/>
        <v>-149320</v>
      </c>
      <c r="W44" s="177">
        <f t="shared" si="38"/>
        <v>-139320</v>
      </c>
      <c r="X44" s="177">
        <f t="shared" si="38"/>
        <v>-56538</v>
      </c>
      <c r="Y44" s="177">
        <f t="shared" si="38"/>
        <v>-172240</v>
      </c>
      <c r="Z44" s="177">
        <f t="shared" si="38"/>
        <v>-295840</v>
      </c>
      <c r="AA44" s="177">
        <f t="shared" si="38"/>
        <v>-240840</v>
      </c>
      <c r="AB44" s="177">
        <f t="shared" si="38"/>
        <v>-195840</v>
      </c>
      <c r="AC44" s="177">
        <f t="shared" si="38"/>
        <v>-255166.8304</v>
      </c>
      <c r="AD44" s="177">
        <f t="shared" si="38"/>
        <v>-255506.8146</v>
      </c>
      <c r="AE44" s="177">
        <f t="shared" si="38"/>
        <v>-257658.2724</v>
      </c>
      <c r="AF44" s="177">
        <f t="shared" si="38"/>
        <v>-258028.0066</v>
      </c>
      <c r="AG44" s="177">
        <f t="shared" si="38"/>
        <v>-260309.294</v>
      </c>
      <c r="AH44" s="177">
        <f t="shared" si="38"/>
        <v>-289717.7032</v>
      </c>
      <c r="AI44" s="177">
        <f t="shared" si="38"/>
        <v>-292037.6656</v>
      </c>
      <c r="AJ44" s="177">
        <f t="shared" si="38"/>
        <v>-296298.453</v>
      </c>
      <c r="AK44" s="177">
        <f t="shared" si="38"/>
        <v>-298760.145</v>
      </c>
      <c r="AL44" s="177">
        <f t="shared" si="38"/>
        <v>-303171.587</v>
      </c>
      <c r="AM44" s="177">
        <f t="shared" si="38"/>
        <v>-298972.779</v>
      </c>
      <c r="AN44" s="177">
        <f t="shared" si="38"/>
        <v>-302777.4242</v>
      </c>
      <c r="AO44" s="177">
        <f t="shared" si="38"/>
        <v>59042.5972</v>
      </c>
      <c r="AP44" s="177">
        <f t="shared" si="38"/>
        <v>95840.2636</v>
      </c>
      <c r="AQ44" s="177">
        <f t="shared" si="38"/>
        <v>141283.7784</v>
      </c>
      <c r="AR44" s="177">
        <f t="shared" si="38"/>
        <v>197563.566</v>
      </c>
      <c r="AS44" s="177">
        <f t="shared" si="38"/>
        <v>245210.8536</v>
      </c>
      <c r="AT44" s="177">
        <f t="shared" si="38"/>
        <v>299407.4896</v>
      </c>
      <c r="AU44" s="177">
        <f t="shared" si="38"/>
        <v>341452.474</v>
      </c>
      <c r="AV44" s="177">
        <f t="shared" si="38"/>
        <v>404923.8584</v>
      </c>
      <c r="AW44" s="177">
        <f t="shared" si="38"/>
        <v>480829.464</v>
      </c>
      <c r="AX44" s="177">
        <f t="shared" si="38"/>
        <v>548500.6696</v>
      </c>
      <c r="AY44" s="177">
        <f t="shared" si="38"/>
        <v>637294.372</v>
      </c>
      <c r="AZ44" s="177">
        <f t="shared" si="38"/>
        <v>731429.5016</v>
      </c>
      <c r="BA44" s="176"/>
      <c r="BB44" s="177">
        <f t="shared" si="39"/>
        <v>-327453</v>
      </c>
      <c r="BC44" s="177">
        <f t="shared" si="40"/>
        <v>-1945738</v>
      </c>
      <c r="BD44" s="177">
        <f t="shared" si="41"/>
        <v>-3368404.975</v>
      </c>
      <c r="BE44" s="177">
        <f t="shared" si="42"/>
        <v>4182778.888</v>
      </c>
      <c r="BF44" s="177">
        <f>BF40-BF43</f>
        <v>18035976.44</v>
      </c>
      <c r="BG44" s="178"/>
    </row>
    <row r="45" ht="15.75" customHeight="1">
      <c r="A45" s="112"/>
      <c r="B45" s="203" t="s">
        <v>217</v>
      </c>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c r="AU45" s="163"/>
      <c r="AV45" s="163"/>
      <c r="AW45" s="163"/>
      <c r="AX45" s="163"/>
      <c r="AY45" s="163"/>
      <c r="AZ45" s="163"/>
      <c r="BA45" s="112"/>
      <c r="BB45" s="163"/>
      <c r="BC45" s="163"/>
      <c r="BD45" s="191"/>
      <c r="BE45" s="190">
        <f t="shared" ref="BE45:BF45" si="43">BE44/BE12</f>
        <v>0.09351727058</v>
      </c>
      <c r="BF45" s="190">
        <f t="shared" si="43"/>
        <v>0.2022259287</v>
      </c>
      <c r="BG45" s="112"/>
    </row>
    <row r="46" ht="15.75" customHeight="1">
      <c r="A46" s="112"/>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c r="AY46" s="163"/>
      <c r="AZ46" s="163"/>
      <c r="BA46" s="112"/>
      <c r="BB46" s="163"/>
      <c r="BC46" s="163"/>
      <c r="BD46" s="163"/>
      <c r="BE46" s="163"/>
      <c r="BF46" s="163"/>
      <c r="BG46" s="112"/>
    </row>
    <row r="47" ht="15.75" customHeight="1">
      <c r="A47" s="204"/>
      <c r="B47" s="204" t="s">
        <v>218</v>
      </c>
      <c r="C47" s="204"/>
      <c r="D47" s="204"/>
      <c r="E47" s="204"/>
      <c r="F47" s="204"/>
      <c r="G47" s="204"/>
      <c r="H47" s="204"/>
      <c r="I47" s="204"/>
      <c r="J47" s="204"/>
      <c r="K47" s="204"/>
      <c r="L47" s="204"/>
      <c r="M47" s="205">
        <v>108239.0</v>
      </c>
      <c r="N47" s="205">
        <f>M47+(-N44*Assumptions!$C$10)</f>
        <v>118435.16</v>
      </c>
      <c r="O47" s="205">
        <f>N47+(-O44*Assumptions!$C$10)</f>
        <v>113533.16</v>
      </c>
      <c r="P47" s="205">
        <f>O47+(-P44*Assumptions!$C$10)</f>
        <v>177499.874</v>
      </c>
      <c r="Q47" s="205">
        <f>P47+(-Q44*Assumptions!$C$10)</f>
        <v>210658.034</v>
      </c>
      <c r="R47" s="205">
        <f>Q47+(-R44*Assumptions!$C$10)</f>
        <v>246602.594</v>
      </c>
      <c r="S47" s="205">
        <f>R47+(-S44*Assumptions!$C$10)</f>
        <v>282547.154</v>
      </c>
      <c r="T47" s="205">
        <f>S47+(-T44*Assumptions!$C$10)</f>
        <v>318491.714</v>
      </c>
      <c r="U47" s="205">
        <f>T47+(-U44*Assumptions!$C$10)</f>
        <v>357016.274</v>
      </c>
      <c r="V47" s="205">
        <f>U47+(-V44*Assumptions!$C$10)</f>
        <v>395540.834</v>
      </c>
      <c r="W47" s="205">
        <f>V47+(-W44*Assumptions!$C$10)</f>
        <v>431485.394</v>
      </c>
      <c r="X47" s="205">
        <f>W47+(-X44*Assumptions!$C$10)</f>
        <v>446072.198</v>
      </c>
      <c r="Y47" s="205">
        <f>X47+(-Y44*Assumptions!$C$10)</f>
        <v>490510.118</v>
      </c>
      <c r="Z47" s="205">
        <f>Y47+(-Z44*Assumptions!$C$10)</f>
        <v>566836.838</v>
      </c>
      <c r="AA47" s="205">
        <f>Z47+(-AA44*Assumptions!$C$10)</f>
        <v>628973.558</v>
      </c>
      <c r="AB47" s="205">
        <f>AA47+(-AB44*Assumptions!$C$10)</f>
        <v>679500.278</v>
      </c>
      <c r="AC47" s="205">
        <f>AB47+(-AC44*Assumptions!$C$10)</f>
        <v>745333.3202</v>
      </c>
      <c r="AD47" s="205">
        <f>AC47+(-AD44*Assumptions!$C$10)</f>
        <v>811254.0784</v>
      </c>
      <c r="AE47" s="205">
        <f>AD47+(-AE44*Assumptions!$C$10)</f>
        <v>877729.9127</v>
      </c>
      <c r="AF47" s="205">
        <f>AE47+(-AF44*Assumptions!$C$10)</f>
        <v>944301.1384</v>
      </c>
      <c r="AG47" s="205">
        <f>AF47+(-AG44*Assumptions!$C$10)</f>
        <v>1011460.936</v>
      </c>
      <c r="AH47" s="205">
        <f>AG47+(-AH44*Assumptions!$C$10)</f>
        <v>1086208.104</v>
      </c>
      <c r="AI47" s="205">
        <f>AH47+(-AI44*Assumptions!$C$10)</f>
        <v>1161553.821</v>
      </c>
      <c r="AJ47" s="205">
        <f>AI47+(-AJ44*Assumptions!$C$10)</f>
        <v>1237998.822</v>
      </c>
      <c r="AK47" s="205">
        <f>AJ47+(-AK44*Assumptions!$C$10)</f>
        <v>1315078.94</v>
      </c>
      <c r="AL47" s="205">
        <f>AK47+(-AL44*Assumptions!$C$10)</f>
        <v>1393297.209</v>
      </c>
      <c r="AM47" s="205">
        <f>AL47+(-AM44*Assumptions!$C$10)</f>
        <v>1470432.186</v>
      </c>
      <c r="AN47" s="205">
        <f>AM47+(-AN44*Assumptions!$C$10)</f>
        <v>1548548.762</v>
      </c>
      <c r="AO47" s="205">
        <f>AN47+(-AO44*Assumptions!$C$10)</f>
        <v>1533315.771</v>
      </c>
      <c r="AP47" s="205">
        <f>AO47+(-AP44*Assumptions!$C$10)</f>
        <v>1508588.983</v>
      </c>
      <c r="AQ47" s="205">
        <f>AP47+(-AQ44*Assumptions!$C$10)</f>
        <v>1472137.769</v>
      </c>
      <c r="AR47" s="205">
        <f>AQ47+(-AR44*Assumptions!$C$10)</f>
        <v>1421166.369</v>
      </c>
      <c r="AS47" s="205">
        <f>AR47+(-AS44*Assumptions!$C$10)</f>
        <v>1357901.968</v>
      </c>
      <c r="AT47" s="205">
        <f>AS47+(-AT44*Assumptions!$C$10)</f>
        <v>1280654.836</v>
      </c>
      <c r="AU47" s="205">
        <f>AT47+(-AU44*Assumptions!$C$10)</f>
        <v>1192560.098</v>
      </c>
      <c r="AV47" s="205">
        <f>AU47+(-AV44*Assumptions!$C$10)</f>
        <v>1088089.742</v>
      </c>
      <c r="AW47" s="205">
        <f>AV47+(-AW44*Assumptions!$C$10)</f>
        <v>964035.7406</v>
      </c>
      <c r="AX47" s="205">
        <f>AW47+(-AX44*Assumptions!$C$10)</f>
        <v>822522.5678</v>
      </c>
      <c r="AY47" s="205">
        <f>AX47+(-AY44*Assumptions!$C$10)</f>
        <v>658100.6199</v>
      </c>
      <c r="AZ47" s="205">
        <f>AY47+(-AZ44*Assumptions!$C$10)</f>
        <v>469391.8084</v>
      </c>
      <c r="BA47" s="204"/>
      <c r="BB47" s="205"/>
      <c r="BC47" s="205"/>
      <c r="BD47" s="205"/>
      <c r="BE47" s="205"/>
      <c r="BF47" s="205"/>
      <c r="BG47" s="204"/>
    </row>
    <row r="48" ht="15.75" customHeight="1">
      <c r="A48" s="112"/>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12"/>
      <c r="BB48" s="163"/>
      <c r="BC48" s="163"/>
      <c r="BD48" s="163"/>
      <c r="BE48" s="163"/>
      <c r="BF48" s="163"/>
      <c r="BG48" s="112"/>
    </row>
    <row r="49" ht="15.75" customHeight="1">
      <c r="A49" s="164"/>
      <c r="B49" s="180" t="s">
        <v>219</v>
      </c>
      <c r="C49" s="164"/>
      <c r="D49" s="164"/>
      <c r="E49" s="180"/>
      <c r="F49" s="180"/>
      <c r="G49" s="180"/>
      <c r="H49" s="180"/>
      <c r="I49" s="180"/>
      <c r="J49" s="180"/>
      <c r="K49" s="180"/>
      <c r="L49" s="180"/>
      <c r="M49" s="180"/>
      <c r="N49" s="180"/>
      <c r="O49" s="180"/>
      <c r="P49" s="180"/>
      <c r="Q49" s="180"/>
      <c r="R49" s="180"/>
      <c r="S49" s="180"/>
      <c r="T49" s="180"/>
      <c r="U49" s="180"/>
      <c r="V49" s="180"/>
      <c r="W49" s="180"/>
      <c r="X49" s="180"/>
      <c r="Y49" s="180"/>
      <c r="Z49" s="180"/>
      <c r="AA49" s="180"/>
      <c r="AB49" s="180"/>
      <c r="AC49" s="180"/>
      <c r="AD49" s="180"/>
      <c r="AE49" s="180"/>
      <c r="AF49" s="180"/>
      <c r="AG49" s="180"/>
      <c r="AH49" s="180"/>
      <c r="AI49" s="180"/>
      <c r="AJ49" s="180"/>
      <c r="AK49" s="180"/>
      <c r="AL49" s="180"/>
      <c r="AM49" s="180"/>
      <c r="AN49" s="180"/>
      <c r="AO49" s="180"/>
      <c r="AP49" s="180"/>
      <c r="AQ49" s="180"/>
      <c r="AR49" s="180"/>
      <c r="AS49" s="180"/>
      <c r="AT49" s="180"/>
      <c r="AU49" s="180"/>
      <c r="AV49" s="180"/>
      <c r="AW49" s="180"/>
      <c r="AX49" s="180"/>
      <c r="AY49" s="180"/>
      <c r="AZ49" s="180"/>
      <c r="BA49" s="164"/>
      <c r="BB49" s="180"/>
      <c r="BC49" s="180"/>
      <c r="BD49" s="180"/>
      <c r="BE49" s="180"/>
      <c r="BF49" s="180"/>
      <c r="BG49" s="180"/>
    </row>
    <row r="50" ht="15.75" customHeight="1">
      <c r="A50" s="112"/>
      <c r="B50" s="164" t="s">
        <v>220</v>
      </c>
      <c r="C50" s="163"/>
      <c r="D50" s="163" t="s">
        <v>198</v>
      </c>
      <c r="E50" s="206"/>
      <c r="F50" s="206"/>
      <c r="G50" s="206"/>
      <c r="H50" s="206"/>
      <c r="I50" s="206"/>
      <c r="J50" s="206"/>
      <c r="K50" s="206"/>
      <c r="L50" s="206"/>
      <c r="M50" s="164">
        <f t="shared" ref="M50:AZ50" si="44">M44</f>
        <v>-59000</v>
      </c>
      <c r="N50" s="164">
        <f t="shared" si="44"/>
        <v>-39520</v>
      </c>
      <c r="O50" s="164">
        <f t="shared" si="44"/>
        <v>19000</v>
      </c>
      <c r="P50" s="164">
        <f t="shared" si="44"/>
        <v>-247933</v>
      </c>
      <c r="Q50" s="164">
        <f t="shared" si="44"/>
        <v>-128520</v>
      </c>
      <c r="R50" s="164">
        <f t="shared" si="44"/>
        <v>-139320</v>
      </c>
      <c r="S50" s="164">
        <f t="shared" si="44"/>
        <v>-139320</v>
      </c>
      <c r="T50" s="164">
        <f t="shared" si="44"/>
        <v>-139320</v>
      </c>
      <c r="U50" s="164">
        <f t="shared" si="44"/>
        <v>-149320</v>
      </c>
      <c r="V50" s="164">
        <f t="shared" si="44"/>
        <v>-149320</v>
      </c>
      <c r="W50" s="164">
        <f t="shared" si="44"/>
        <v>-139320</v>
      </c>
      <c r="X50" s="164">
        <f t="shared" si="44"/>
        <v>-56538</v>
      </c>
      <c r="Y50" s="164">
        <f t="shared" si="44"/>
        <v>-172240</v>
      </c>
      <c r="Z50" s="164">
        <f t="shared" si="44"/>
        <v>-295840</v>
      </c>
      <c r="AA50" s="164">
        <f t="shared" si="44"/>
        <v>-240840</v>
      </c>
      <c r="AB50" s="164">
        <f t="shared" si="44"/>
        <v>-195840</v>
      </c>
      <c r="AC50" s="164">
        <f t="shared" si="44"/>
        <v>-255166.8304</v>
      </c>
      <c r="AD50" s="164">
        <f t="shared" si="44"/>
        <v>-255506.8146</v>
      </c>
      <c r="AE50" s="164">
        <f t="shared" si="44"/>
        <v>-257658.2724</v>
      </c>
      <c r="AF50" s="164">
        <f t="shared" si="44"/>
        <v>-258028.0066</v>
      </c>
      <c r="AG50" s="164">
        <f t="shared" si="44"/>
        <v>-260309.294</v>
      </c>
      <c r="AH50" s="164">
        <f t="shared" si="44"/>
        <v>-289717.7032</v>
      </c>
      <c r="AI50" s="164">
        <f t="shared" si="44"/>
        <v>-292037.6656</v>
      </c>
      <c r="AJ50" s="164">
        <f t="shared" si="44"/>
        <v>-296298.453</v>
      </c>
      <c r="AK50" s="164">
        <f t="shared" si="44"/>
        <v>-298760.145</v>
      </c>
      <c r="AL50" s="164">
        <f t="shared" si="44"/>
        <v>-303171.587</v>
      </c>
      <c r="AM50" s="164">
        <f t="shared" si="44"/>
        <v>-298972.779</v>
      </c>
      <c r="AN50" s="164">
        <f t="shared" si="44"/>
        <v>-302777.4242</v>
      </c>
      <c r="AO50" s="164">
        <f t="shared" si="44"/>
        <v>59042.5972</v>
      </c>
      <c r="AP50" s="164">
        <f t="shared" si="44"/>
        <v>95840.2636</v>
      </c>
      <c r="AQ50" s="164">
        <f t="shared" si="44"/>
        <v>141283.7784</v>
      </c>
      <c r="AR50" s="164">
        <f t="shared" si="44"/>
        <v>197563.566</v>
      </c>
      <c r="AS50" s="164">
        <f t="shared" si="44"/>
        <v>245210.8536</v>
      </c>
      <c r="AT50" s="164">
        <f t="shared" si="44"/>
        <v>299407.4896</v>
      </c>
      <c r="AU50" s="164">
        <f t="shared" si="44"/>
        <v>341452.474</v>
      </c>
      <c r="AV50" s="164">
        <f t="shared" si="44"/>
        <v>404923.8584</v>
      </c>
      <c r="AW50" s="164">
        <f t="shared" si="44"/>
        <v>480829.464</v>
      </c>
      <c r="AX50" s="164">
        <f t="shared" si="44"/>
        <v>548500.6696</v>
      </c>
      <c r="AY50" s="164">
        <f t="shared" si="44"/>
        <v>637294.372</v>
      </c>
      <c r="AZ50" s="164">
        <f t="shared" si="44"/>
        <v>731429.5016</v>
      </c>
      <c r="BA50" s="112"/>
      <c r="BB50" s="164">
        <f t="shared" ref="BB50:BB59" si="45">sum(E50:P50)</f>
        <v>-327453</v>
      </c>
      <c r="BC50" s="164">
        <f t="shared" ref="BC50:BC59" si="46">sum(Q50:AB50)</f>
        <v>-1945738</v>
      </c>
      <c r="BD50" s="164">
        <f t="shared" ref="BD50:BD59" si="47">sum(AC50:AN50)</f>
        <v>-3368404.975</v>
      </c>
      <c r="BE50" s="164">
        <f t="shared" ref="BE50:BE59" si="48">sum(AO50:AZ50)</f>
        <v>4182778.888</v>
      </c>
      <c r="BF50" s="164">
        <f>BF44</f>
        <v>18035976.44</v>
      </c>
      <c r="BG50" s="42"/>
    </row>
    <row r="51" ht="15.75" customHeight="1">
      <c r="A51" s="112"/>
      <c r="B51" s="164" t="s">
        <v>221</v>
      </c>
      <c r="C51" s="163"/>
      <c r="D51" s="163" t="s">
        <v>198</v>
      </c>
      <c r="E51" s="206"/>
      <c r="F51" s="206"/>
      <c r="G51" s="206"/>
      <c r="H51" s="206"/>
      <c r="I51" s="206"/>
      <c r="J51" s="206"/>
      <c r="K51" s="206"/>
      <c r="L51" s="206"/>
      <c r="M51" s="164">
        <v>0.0</v>
      </c>
      <c r="N51" s="164">
        <v>0.0</v>
      </c>
      <c r="O51" s="164">
        <v>0.0</v>
      </c>
      <c r="P51" s="164">
        <v>0.0</v>
      </c>
      <c r="Q51" s="164">
        <v>0.0</v>
      </c>
      <c r="R51" s="164">
        <v>0.0</v>
      </c>
      <c r="S51" s="164">
        <v>0.0</v>
      </c>
      <c r="T51" s="164">
        <v>0.0</v>
      </c>
      <c r="U51" s="164">
        <v>0.0</v>
      </c>
      <c r="V51" s="164">
        <v>0.0</v>
      </c>
      <c r="W51" s="164">
        <v>0.0</v>
      </c>
      <c r="X51" s="164">
        <v>0.0</v>
      </c>
      <c r="Y51" s="164">
        <v>0.0</v>
      </c>
      <c r="Z51" s="164">
        <v>0.0</v>
      </c>
      <c r="AA51" s="164">
        <v>0.0</v>
      </c>
      <c r="AB51" s="164">
        <v>0.0</v>
      </c>
      <c r="AC51" s="164">
        <v>0.0</v>
      </c>
      <c r="AD51" s="164">
        <v>0.0</v>
      </c>
      <c r="AE51" s="164">
        <v>0.0</v>
      </c>
      <c r="AF51" s="164">
        <v>0.0</v>
      </c>
      <c r="AG51" s="164">
        <v>0.0</v>
      </c>
      <c r="AH51" s="164">
        <v>0.0</v>
      </c>
      <c r="AI51" s="164">
        <v>0.0</v>
      </c>
      <c r="AJ51" s="164">
        <v>0.0</v>
      </c>
      <c r="AK51" s="164">
        <v>0.0</v>
      </c>
      <c r="AL51" s="164">
        <v>0.0</v>
      </c>
      <c r="AM51" s="164">
        <v>0.0</v>
      </c>
      <c r="AN51" s="164">
        <v>0.0</v>
      </c>
      <c r="AO51" s="164">
        <v>0.0</v>
      </c>
      <c r="AP51" s="164">
        <v>0.0</v>
      </c>
      <c r="AQ51" s="164">
        <v>0.0</v>
      </c>
      <c r="AR51" s="164">
        <v>0.0</v>
      </c>
      <c r="AS51" s="164">
        <v>0.0</v>
      </c>
      <c r="AT51" s="164">
        <v>0.0</v>
      </c>
      <c r="AU51" s="164">
        <v>0.0</v>
      </c>
      <c r="AV51" s="164">
        <v>0.0</v>
      </c>
      <c r="AW51" s="164">
        <v>0.0</v>
      </c>
      <c r="AX51" s="164">
        <v>0.0</v>
      </c>
      <c r="AY51" s="164">
        <v>0.0</v>
      </c>
      <c r="AZ51" s="164">
        <v>0.0</v>
      </c>
      <c r="BA51" s="112"/>
      <c r="BB51" s="164">
        <f t="shared" si="45"/>
        <v>0</v>
      </c>
      <c r="BC51" s="164">
        <f t="shared" si="46"/>
        <v>0</v>
      </c>
      <c r="BD51" s="164">
        <f t="shared" si="47"/>
        <v>0</v>
      </c>
      <c r="BE51" s="164">
        <f t="shared" si="48"/>
        <v>0</v>
      </c>
      <c r="BF51" s="164">
        <f>BF38</f>
        <v>0</v>
      </c>
      <c r="BG51" s="42"/>
    </row>
    <row r="52" ht="15.75" customHeight="1">
      <c r="A52" s="112"/>
      <c r="B52" s="164" t="s">
        <v>222</v>
      </c>
      <c r="C52" s="164"/>
      <c r="D52" s="163" t="s">
        <v>198</v>
      </c>
      <c r="E52" s="164"/>
      <c r="F52" s="164"/>
      <c r="G52" s="164"/>
      <c r="H52" s="164"/>
      <c r="I52" s="164"/>
      <c r="J52" s="164"/>
      <c r="K52" s="164"/>
      <c r="L52" s="164"/>
      <c r="M52" s="164">
        <v>0.0</v>
      </c>
      <c r="N52" s="164">
        <f t="shared" ref="N52:AZ52" si="49">-(N71-M71)</f>
        <v>-12986.66667</v>
      </c>
      <c r="O52" s="164">
        <f t="shared" si="49"/>
        <v>-39013.33333</v>
      </c>
      <c r="P52" s="164">
        <f t="shared" si="49"/>
        <v>52000</v>
      </c>
      <c r="Q52" s="164">
        <f t="shared" si="49"/>
        <v>0</v>
      </c>
      <c r="R52" s="164">
        <f t="shared" si="49"/>
        <v>0</v>
      </c>
      <c r="S52" s="164">
        <f t="shared" si="49"/>
        <v>0</v>
      </c>
      <c r="T52" s="164">
        <f t="shared" si="49"/>
        <v>0</v>
      </c>
      <c r="U52" s="164">
        <f t="shared" si="49"/>
        <v>0</v>
      </c>
      <c r="V52" s="164">
        <f t="shared" si="49"/>
        <v>0</v>
      </c>
      <c r="W52" s="164">
        <f t="shared" si="49"/>
        <v>0</v>
      </c>
      <c r="X52" s="164">
        <f t="shared" si="49"/>
        <v>-71188</v>
      </c>
      <c r="Y52" s="164">
        <f t="shared" si="49"/>
        <v>71188</v>
      </c>
      <c r="Z52" s="164">
        <f t="shared" si="49"/>
        <v>0</v>
      </c>
      <c r="AA52" s="164">
        <f t="shared" si="49"/>
        <v>0</v>
      </c>
      <c r="AB52" s="164">
        <f t="shared" si="49"/>
        <v>0</v>
      </c>
      <c r="AC52" s="164">
        <f t="shared" si="49"/>
        <v>-464854.0997</v>
      </c>
      <c r="AD52" s="164">
        <f t="shared" si="49"/>
        <v>-60699.3872</v>
      </c>
      <c r="AE52" s="164">
        <f t="shared" si="49"/>
        <v>-38341.37147</v>
      </c>
      <c r="AF52" s="164">
        <f t="shared" si="49"/>
        <v>-60699.3872</v>
      </c>
      <c r="AG52" s="164">
        <f t="shared" si="49"/>
        <v>-68691.06507</v>
      </c>
      <c r="AH52" s="164">
        <f t="shared" si="49"/>
        <v>-60699.3872</v>
      </c>
      <c r="AI52" s="164">
        <f t="shared" si="49"/>
        <v>-68691.06507</v>
      </c>
      <c r="AJ52" s="164">
        <f t="shared" si="49"/>
        <v>-68691.06507</v>
      </c>
      <c r="AK52" s="164">
        <f t="shared" si="49"/>
        <v>-99040.75867</v>
      </c>
      <c r="AL52" s="164">
        <f t="shared" si="49"/>
        <v>-99040.75867</v>
      </c>
      <c r="AM52" s="164">
        <f t="shared" si="49"/>
        <v>-99040.75867</v>
      </c>
      <c r="AN52" s="164">
        <f t="shared" si="49"/>
        <v>-107032.4365</v>
      </c>
      <c r="AO52" s="164">
        <f t="shared" si="49"/>
        <v>-134372.4523</v>
      </c>
      <c r="AP52" s="164">
        <f t="shared" si="49"/>
        <v>-130026.4523</v>
      </c>
      <c r="AQ52" s="164">
        <f t="shared" si="49"/>
        <v>-160164.1459</v>
      </c>
      <c r="AR52" s="164">
        <f t="shared" si="49"/>
        <v>-168367.8237</v>
      </c>
      <c r="AS52" s="164">
        <f t="shared" si="49"/>
        <v>-168473.8237</v>
      </c>
      <c r="AT52" s="164">
        <f t="shared" si="49"/>
        <v>-198717.5173</v>
      </c>
      <c r="AU52" s="164">
        <f t="shared" si="49"/>
        <v>-229173.2109</v>
      </c>
      <c r="AV52" s="164">
        <f t="shared" si="49"/>
        <v>-229173.2109</v>
      </c>
      <c r="AW52" s="164">
        <f t="shared" si="49"/>
        <v>-267832.5824</v>
      </c>
      <c r="AX52" s="164">
        <f t="shared" si="49"/>
        <v>-267832.5824</v>
      </c>
      <c r="AY52" s="164">
        <f t="shared" si="49"/>
        <v>-328531.9696</v>
      </c>
      <c r="AZ52" s="164">
        <f t="shared" si="49"/>
        <v>-320646.2917</v>
      </c>
      <c r="BA52" s="112"/>
      <c r="BB52" s="164">
        <f t="shared" si="45"/>
        <v>0</v>
      </c>
      <c r="BC52" s="164">
        <f t="shared" si="46"/>
        <v>0</v>
      </c>
      <c r="BD52" s="164">
        <f t="shared" si="47"/>
        <v>-1295521.541</v>
      </c>
      <c r="BE52" s="164">
        <f t="shared" si="48"/>
        <v>-2603312.063</v>
      </c>
      <c r="BF52" s="164">
        <f>-(BF71-BE71)</f>
        <v>-988139.536</v>
      </c>
      <c r="BG52" s="42"/>
    </row>
    <row r="53" ht="15.75" customHeight="1">
      <c r="A53" s="112"/>
      <c r="B53" s="164" t="s">
        <v>223</v>
      </c>
      <c r="C53" s="163"/>
      <c r="D53" s="163" t="s">
        <v>198</v>
      </c>
      <c r="E53" s="164"/>
      <c r="F53" s="164"/>
      <c r="G53" s="164"/>
      <c r="H53" s="164"/>
      <c r="I53" s="164"/>
      <c r="J53" s="164"/>
      <c r="K53" s="164"/>
      <c r="L53" s="164"/>
      <c r="M53" s="164">
        <v>0.0</v>
      </c>
      <c r="N53" s="164">
        <f t="shared" ref="N53:AZ53" si="50">(N80-M80)</f>
        <v>0</v>
      </c>
      <c r="O53" s="164">
        <f t="shared" si="50"/>
        <v>0</v>
      </c>
      <c r="P53" s="164">
        <f t="shared" si="50"/>
        <v>0</v>
      </c>
      <c r="Q53" s="164">
        <f t="shared" si="50"/>
        <v>0</v>
      </c>
      <c r="R53" s="164">
        <f t="shared" si="50"/>
        <v>0</v>
      </c>
      <c r="S53" s="164">
        <f t="shared" si="50"/>
        <v>0</v>
      </c>
      <c r="T53" s="164">
        <f t="shared" si="50"/>
        <v>0</v>
      </c>
      <c r="U53" s="164">
        <f t="shared" si="50"/>
        <v>0</v>
      </c>
      <c r="V53" s="164">
        <f t="shared" si="50"/>
        <v>0</v>
      </c>
      <c r="W53" s="164">
        <f t="shared" si="50"/>
        <v>0</v>
      </c>
      <c r="X53" s="164">
        <f t="shared" si="50"/>
        <v>0</v>
      </c>
      <c r="Y53" s="164">
        <f t="shared" si="50"/>
        <v>0</v>
      </c>
      <c r="Z53" s="164">
        <f t="shared" si="50"/>
        <v>0</v>
      </c>
      <c r="AA53" s="164">
        <f t="shared" si="50"/>
        <v>0</v>
      </c>
      <c r="AB53" s="164">
        <f t="shared" si="50"/>
        <v>0</v>
      </c>
      <c r="AC53" s="164">
        <f t="shared" si="50"/>
        <v>1022626.17</v>
      </c>
      <c r="AD53" s="164">
        <f t="shared" si="50"/>
        <v>132073.86</v>
      </c>
      <c r="AE53" s="164">
        <f t="shared" si="50"/>
        <v>85658.76</v>
      </c>
      <c r="AF53" s="164">
        <f t="shared" si="50"/>
        <v>132073.86</v>
      </c>
      <c r="AG53" s="164">
        <f t="shared" si="50"/>
        <v>151695.69</v>
      </c>
      <c r="AH53" s="164">
        <f t="shared" si="50"/>
        <v>132073.86</v>
      </c>
      <c r="AI53" s="164">
        <f t="shared" si="50"/>
        <v>151695.69</v>
      </c>
      <c r="AJ53" s="164">
        <f t="shared" si="50"/>
        <v>151695.69</v>
      </c>
      <c r="AK53" s="164">
        <f t="shared" si="50"/>
        <v>217732.62</v>
      </c>
      <c r="AL53" s="164">
        <f t="shared" si="50"/>
        <v>217732.62</v>
      </c>
      <c r="AM53" s="164">
        <f t="shared" si="50"/>
        <v>217732.62</v>
      </c>
      <c r="AN53" s="164">
        <f t="shared" si="50"/>
        <v>237354.45</v>
      </c>
      <c r="AO53" s="164">
        <f t="shared" si="50"/>
        <v>-340260.516</v>
      </c>
      <c r="AP53" s="164">
        <f t="shared" si="50"/>
        <v>227643.018</v>
      </c>
      <c r="AQ53" s="164">
        <f t="shared" si="50"/>
        <v>280324.056</v>
      </c>
      <c r="AR53" s="164">
        <f t="shared" si="50"/>
        <v>295811.922</v>
      </c>
      <c r="AS53" s="164">
        <f t="shared" si="50"/>
        <v>295931.172</v>
      </c>
      <c r="AT53" s="164">
        <f t="shared" si="50"/>
        <v>348731.46</v>
      </c>
      <c r="AU53" s="164">
        <f t="shared" si="50"/>
        <v>401770.248</v>
      </c>
      <c r="AV53" s="164">
        <f t="shared" si="50"/>
        <v>401770.248</v>
      </c>
      <c r="AW53" s="164">
        <f t="shared" si="50"/>
        <v>470296.902</v>
      </c>
      <c r="AX53" s="164">
        <f t="shared" si="50"/>
        <v>470296.902</v>
      </c>
      <c r="AY53" s="164">
        <f t="shared" si="50"/>
        <v>576135.978</v>
      </c>
      <c r="AZ53" s="164">
        <f t="shared" si="50"/>
        <v>561005.862</v>
      </c>
      <c r="BA53" s="42"/>
      <c r="BB53" s="164">
        <f t="shared" si="45"/>
        <v>0</v>
      </c>
      <c r="BC53" s="164">
        <f t="shared" si="46"/>
        <v>0</v>
      </c>
      <c r="BD53" s="164">
        <f t="shared" si="47"/>
        <v>2850145.89</v>
      </c>
      <c r="BE53" s="164">
        <f t="shared" si="48"/>
        <v>3989457.252</v>
      </c>
      <c r="BF53" s="164">
        <f>BF80-BE80</f>
        <v>93595.92649</v>
      </c>
      <c r="BG53" s="42"/>
    </row>
    <row r="54" ht="15.75" customHeight="1">
      <c r="A54" s="112"/>
      <c r="B54" s="164" t="s">
        <v>224</v>
      </c>
      <c r="C54" s="163"/>
      <c r="D54" s="163" t="s">
        <v>198</v>
      </c>
      <c r="E54" s="164"/>
      <c r="F54" s="164"/>
      <c r="G54" s="164"/>
      <c r="H54" s="164"/>
      <c r="I54" s="164"/>
      <c r="J54" s="164"/>
      <c r="K54" s="164"/>
      <c r="L54" s="164"/>
      <c r="M54" s="164">
        <v>0.0</v>
      </c>
      <c r="N54" s="164">
        <f t="shared" ref="N54:AZ54" si="51">-(N72-M72)</f>
        <v>0</v>
      </c>
      <c r="O54" s="164">
        <f t="shared" si="51"/>
        <v>0</v>
      </c>
      <c r="P54" s="164">
        <f t="shared" si="51"/>
        <v>0</v>
      </c>
      <c r="Q54" s="164">
        <f t="shared" si="51"/>
        <v>0</v>
      </c>
      <c r="R54" s="164">
        <f t="shared" si="51"/>
        <v>0</v>
      </c>
      <c r="S54" s="164">
        <f t="shared" si="51"/>
        <v>0</v>
      </c>
      <c r="T54" s="164">
        <f t="shared" si="51"/>
        <v>0</v>
      </c>
      <c r="U54" s="164">
        <f t="shared" si="51"/>
        <v>0</v>
      </c>
      <c r="V54" s="164">
        <f t="shared" si="51"/>
        <v>0</v>
      </c>
      <c r="W54" s="164">
        <f t="shared" si="51"/>
        <v>0</v>
      </c>
      <c r="X54" s="164">
        <f t="shared" si="51"/>
        <v>0</v>
      </c>
      <c r="Y54" s="164">
        <f t="shared" si="51"/>
        <v>0</v>
      </c>
      <c r="Z54" s="164">
        <f t="shared" si="51"/>
        <v>0</v>
      </c>
      <c r="AA54" s="164">
        <f t="shared" si="51"/>
        <v>0</v>
      </c>
      <c r="AB54" s="164">
        <f t="shared" si="51"/>
        <v>0</v>
      </c>
      <c r="AC54" s="164">
        <f t="shared" si="51"/>
        <v>0</v>
      </c>
      <c r="AD54" s="164">
        <f t="shared" si="51"/>
        <v>0</v>
      </c>
      <c r="AE54" s="164">
        <f t="shared" si="51"/>
        <v>0</v>
      </c>
      <c r="AF54" s="164">
        <f t="shared" si="51"/>
        <v>0</v>
      </c>
      <c r="AG54" s="164">
        <f t="shared" si="51"/>
        <v>0</v>
      </c>
      <c r="AH54" s="164">
        <f t="shared" si="51"/>
        <v>0</v>
      </c>
      <c r="AI54" s="164">
        <f t="shared" si="51"/>
        <v>0</v>
      </c>
      <c r="AJ54" s="164">
        <f t="shared" si="51"/>
        <v>0</v>
      </c>
      <c r="AK54" s="164">
        <f t="shared" si="51"/>
        <v>0</v>
      </c>
      <c r="AL54" s="164">
        <f t="shared" si="51"/>
        <v>0</v>
      </c>
      <c r="AM54" s="164">
        <f t="shared" si="51"/>
        <v>0</v>
      </c>
      <c r="AN54" s="164">
        <f t="shared" si="51"/>
        <v>0</v>
      </c>
      <c r="AO54" s="164">
        <f t="shared" si="51"/>
        <v>0</v>
      </c>
      <c r="AP54" s="164">
        <f t="shared" si="51"/>
        <v>0</v>
      </c>
      <c r="AQ54" s="164">
        <f t="shared" si="51"/>
        <v>0</v>
      </c>
      <c r="AR54" s="164">
        <f t="shared" si="51"/>
        <v>0</v>
      </c>
      <c r="AS54" s="164">
        <f t="shared" si="51"/>
        <v>0</v>
      </c>
      <c r="AT54" s="164">
        <f t="shared" si="51"/>
        <v>0</v>
      </c>
      <c r="AU54" s="164">
        <f t="shared" si="51"/>
        <v>0</v>
      </c>
      <c r="AV54" s="164">
        <f t="shared" si="51"/>
        <v>0</v>
      </c>
      <c r="AW54" s="164">
        <f t="shared" si="51"/>
        <v>0</v>
      </c>
      <c r="AX54" s="164">
        <f t="shared" si="51"/>
        <v>0</v>
      </c>
      <c r="AY54" s="164">
        <f t="shared" si="51"/>
        <v>0</v>
      </c>
      <c r="AZ54" s="164">
        <f t="shared" si="51"/>
        <v>0</v>
      </c>
      <c r="BA54" s="112"/>
      <c r="BB54" s="164">
        <f t="shared" si="45"/>
        <v>0</v>
      </c>
      <c r="BC54" s="164">
        <f t="shared" si="46"/>
        <v>0</v>
      </c>
      <c r="BD54" s="164">
        <f t="shared" si="47"/>
        <v>0</v>
      </c>
      <c r="BE54" s="164">
        <f t="shared" si="48"/>
        <v>0</v>
      </c>
      <c r="BF54" s="164">
        <v>0.0</v>
      </c>
      <c r="BG54" s="42"/>
    </row>
    <row r="55" ht="12.75" customHeight="1">
      <c r="A55" s="166"/>
      <c r="B55" s="193" t="s">
        <v>225</v>
      </c>
      <c r="C55" s="194"/>
      <c r="D55" s="195" t="s">
        <v>198</v>
      </c>
      <c r="E55" s="193"/>
      <c r="F55" s="193"/>
      <c r="G55" s="193"/>
      <c r="H55" s="193"/>
      <c r="I55" s="193"/>
      <c r="J55" s="193"/>
      <c r="K55" s="193"/>
      <c r="L55" s="193"/>
      <c r="M55" s="193">
        <f t="shared" ref="M55:AZ55" si="52">sum(M50:M54)</f>
        <v>-59000</v>
      </c>
      <c r="N55" s="193">
        <f t="shared" si="52"/>
        <v>-52506.66667</v>
      </c>
      <c r="O55" s="193">
        <f t="shared" si="52"/>
        <v>-20013.33333</v>
      </c>
      <c r="P55" s="193">
        <f t="shared" si="52"/>
        <v>-195933</v>
      </c>
      <c r="Q55" s="193">
        <f t="shared" si="52"/>
        <v>-128520</v>
      </c>
      <c r="R55" s="193">
        <f t="shared" si="52"/>
        <v>-139320</v>
      </c>
      <c r="S55" s="193">
        <f t="shared" si="52"/>
        <v>-139320</v>
      </c>
      <c r="T55" s="193">
        <f t="shared" si="52"/>
        <v>-139320</v>
      </c>
      <c r="U55" s="193">
        <f t="shared" si="52"/>
        <v>-149320</v>
      </c>
      <c r="V55" s="193">
        <f t="shared" si="52"/>
        <v>-149320</v>
      </c>
      <c r="W55" s="193">
        <f t="shared" si="52"/>
        <v>-139320</v>
      </c>
      <c r="X55" s="193">
        <f t="shared" si="52"/>
        <v>-127726</v>
      </c>
      <c r="Y55" s="193">
        <f t="shared" si="52"/>
        <v>-101052</v>
      </c>
      <c r="Z55" s="193">
        <f t="shared" si="52"/>
        <v>-295840</v>
      </c>
      <c r="AA55" s="193">
        <f t="shared" si="52"/>
        <v>-240840</v>
      </c>
      <c r="AB55" s="193">
        <f t="shared" si="52"/>
        <v>-195840</v>
      </c>
      <c r="AC55" s="193">
        <f t="shared" si="52"/>
        <v>302605.2399</v>
      </c>
      <c r="AD55" s="193">
        <f t="shared" si="52"/>
        <v>-184132.3418</v>
      </c>
      <c r="AE55" s="193">
        <f t="shared" si="52"/>
        <v>-210340.8839</v>
      </c>
      <c r="AF55" s="193">
        <f t="shared" si="52"/>
        <v>-186653.5338</v>
      </c>
      <c r="AG55" s="193">
        <f t="shared" si="52"/>
        <v>-177304.6691</v>
      </c>
      <c r="AH55" s="193">
        <f t="shared" si="52"/>
        <v>-218343.2304</v>
      </c>
      <c r="AI55" s="193">
        <f t="shared" si="52"/>
        <v>-209033.0407</v>
      </c>
      <c r="AJ55" s="193">
        <f t="shared" si="52"/>
        <v>-213293.8281</v>
      </c>
      <c r="AK55" s="193">
        <f t="shared" si="52"/>
        <v>-180068.2837</v>
      </c>
      <c r="AL55" s="193">
        <f t="shared" si="52"/>
        <v>-184479.7257</v>
      </c>
      <c r="AM55" s="193">
        <f t="shared" si="52"/>
        <v>-180280.9177</v>
      </c>
      <c r="AN55" s="193">
        <f t="shared" si="52"/>
        <v>-172455.4107</v>
      </c>
      <c r="AO55" s="193">
        <f t="shared" si="52"/>
        <v>-415590.3711</v>
      </c>
      <c r="AP55" s="193">
        <f t="shared" si="52"/>
        <v>193456.8293</v>
      </c>
      <c r="AQ55" s="193">
        <f t="shared" si="52"/>
        <v>261443.6885</v>
      </c>
      <c r="AR55" s="193">
        <f t="shared" si="52"/>
        <v>325007.6643</v>
      </c>
      <c r="AS55" s="193">
        <f t="shared" si="52"/>
        <v>372668.2019</v>
      </c>
      <c r="AT55" s="193">
        <f t="shared" si="52"/>
        <v>449421.4323</v>
      </c>
      <c r="AU55" s="193">
        <f t="shared" si="52"/>
        <v>514049.5111</v>
      </c>
      <c r="AV55" s="193">
        <f t="shared" si="52"/>
        <v>577520.8955</v>
      </c>
      <c r="AW55" s="193">
        <f t="shared" si="52"/>
        <v>683293.7836</v>
      </c>
      <c r="AX55" s="193">
        <f t="shared" si="52"/>
        <v>750964.9892</v>
      </c>
      <c r="AY55" s="193">
        <f t="shared" si="52"/>
        <v>884898.3804</v>
      </c>
      <c r="AZ55" s="193">
        <f t="shared" si="52"/>
        <v>971789.0719</v>
      </c>
      <c r="BA55" s="112"/>
      <c r="BB55" s="196">
        <f t="shared" si="45"/>
        <v>-327453</v>
      </c>
      <c r="BC55" s="196">
        <f t="shared" si="46"/>
        <v>-1945738</v>
      </c>
      <c r="BD55" s="196">
        <f t="shared" si="47"/>
        <v>-1813780.626</v>
      </c>
      <c r="BE55" s="196">
        <f t="shared" si="48"/>
        <v>5568924.077</v>
      </c>
      <c r="BF55" s="196">
        <f>sum(BF50:BF54)</f>
        <v>17141432.83</v>
      </c>
      <c r="BG55" s="181"/>
    </row>
    <row r="56" ht="15.75" customHeight="1">
      <c r="A56" s="112"/>
      <c r="B56" s="163" t="s">
        <v>226</v>
      </c>
      <c r="C56" s="164"/>
      <c r="D56" s="163" t="s">
        <v>198</v>
      </c>
      <c r="E56" s="206"/>
      <c r="F56" s="206"/>
      <c r="G56" s="206"/>
      <c r="H56" s="206"/>
      <c r="I56" s="206"/>
      <c r="J56" s="206"/>
      <c r="K56" s="206"/>
      <c r="L56" s="206"/>
      <c r="M56" s="164">
        <v>0.0</v>
      </c>
      <c r="N56" s="164">
        <v>0.0</v>
      </c>
      <c r="O56" s="164">
        <v>0.0</v>
      </c>
      <c r="P56" s="164">
        <v>0.0</v>
      </c>
      <c r="Q56" s="164">
        <v>0.0</v>
      </c>
      <c r="R56" s="164">
        <v>0.0</v>
      </c>
      <c r="S56" s="164">
        <v>0.0</v>
      </c>
      <c r="T56" s="164">
        <v>0.0</v>
      </c>
      <c r="U56" s="164">
        <v>0.0</v>
      </c>
      <c r="V56" s="164">
        <v>0.0</v>
      </c>
      <c r="W56" s="164">
        <v>0.0</v>
      </c>
      <c r="X56" s="164">
        <v>0.0</v>
      </c>
      <c r="Y56" s="164">
        <v>0.0</v>
      </c>
      <c r="Z56" s="164">
        <v>0.0</v>
      </c>
      <c r="AA56" s="164">
        <v>0.0</v>
      </c>
      <c r="AB56" s="164">
        <v>0.0</v>
      </c>
      <c r="AC56" s="164">
        <v>0.0</v>
      </c>
      <c r="AD56" s="164">
        <v>0.0</v>
      </c>
      <c r="AE56" s="164">
        <v>0.0</v>
      </c>
      <c r="AF56" s="164">
        <v>0.0</v>
      </c>
      <c r="AG56" s="164">
        <v>0.0</v>
      </c>
      <c r="AH56" s="164">
        <v>0.0</v>
      </c>
      <c r="AI56" s="164">
        <v>0.0</v>
      </c>
      <c r="AJ56" s="164">
        <v>0.0</v>
      </c>
      <c r="AK56" s="164">
        <v>0.0</v>
      </c>
      <c r="AL56" s="164">
        <v>0.0</v>
      </c>
      <c r="AM56" s="164">
        <v>0.0</v>
      </c>
      <c r="AN56" s="164">
        <v>0.0</v>
      </c>
      <c r="AO56" s="164">
        <v>0.0</v>
      </c>
      <c r="AP56" s="164">
        <v>0.0</v>
      </c>
      <c r="AQ56" s="164">
        <v>0.0</v>
      </c>
      <c r="AR56" s="164">
        <v>0.0</v>
      </c>
      <c r="AS56" s="164">
        <v>0.0</v>
      </c>
      <c r="AT56" s="164">
        <v>0.0</v>
      </c>
      <c r="AU56" s="164">
        <v>0.0</v>
      </c>
      <c r="AV56" s="164">
        <v>0.0</v>
      </c>
      <c r="AW56" s="164">
        <v>0.0</v>
      </c>
      <c r="AX56" s="164">
        <v>0.0</v>
      </c>
      <c r="AY56" s="164">
        <v>0.0</v>
      </c>
      <c r="AZ56" s="164">
        <v>0.0</v>
      </c>
      <c r="BA56" s="112"/>
      <c r="BB56" s="164">
        <f t="shared" si="45"/>
        <v>0</v>
      </c>
      <c r="BC56" s="164">
        <f t="shared" si="46"/>
        <v>0</v>
      </c>
      <c r="BD56" s="164">
        <f t="shared" si="47"/>
        <v>0</v>
      </c>
      <c r="BE56" s="164">
        <f t="shared" si="48"/>
        <v>0</v>
      </c>
      <c r="BF56" s="164">
        <v>0.0</v>
      </c>
      <c r="BG56" s="42"/>
    </row>
    <row r="57" ht="12.75" customHeight="1">
      <c r="A57" s="166"/>
      <c r="B57" s="193" t="s">
        <v>227</v>
      </c>
      <c r="C57" s="194"/>
      <c r="D57" s="194"/>
      <c r="E57" s="193"/>
      <c r="F57" s="193"/>
      <c r="G57" s="193"/>
      <c r="H57" s="193"/>
      <c r="I57" s="193"/>
      <c r="J57" s="193"/>
      <c r="K57" s="193"/>
      <c r="L57" s="193"/>
      <c r="M57" s="193">
        <f t="shared" ref="M57:AZ57" si="53">M56</f>
        <v>0</v>
      </c>
      <c r="N57" s="193">
        <f t="shared" si="53"/>
        <v>0</v>
      </c>
      <c r="O57" s="193">
        <f t="shared" si="53"/>
        <v>0</v>
      </c>
      <c r="P57" s="193">
        <f t="shared" si="53"/>
        <v>0</v>
      </c>
      <c r="Q57" s="193">
        <f t="shared" si="53"/>
        <v>0</v>
      </c>
      <c r="R57" s="196">
        <f t="shared" si="53"/>
        <v>0</v>
      </c>
      <c r="S57" s="197">
        <f t="shared" si="53"/>
        <v>0</v>
      </c>
      <c r="T57" s="198">
        <f t="shared" si="53"/>
        <v>0</v>
      </c>
      <c r="U57" s="193">
        <f t="shared" si="53"/>
        <v>0</v>
      </c>
      <c r="V57" s="193">
        <f t="shared" si="53"/>
        <v>0</v>
      </c>
      <c r="W57" s="193">
        <f t="shared" si="53"/>
        <v>0</v>
      </c>
      <c r="X57" s="193">
        <f t="shared" si="53"/>
        <v>0</v>
      </c>
      <c r="Y57" s="193">
        <f t="shared" si="53"/>
        <v>0</v>
      </c>
      <c r="Z57" s="193">
        <f t="shared" si="53"/>
        <v>0</v>
      </c>
      <c r="AA57" s="193">
        <f t="shared" si="53"/>
        <v>0</v>
      </c>
      <c r="AB57" s="193">
        <f t="shared" si="53"/>
        <v>0</v>
      </c>
      <c r="AC57" s="193">
        <f t="shared" si="53"/>
        <v>0</v>
      </c>
      <c r="AD57" s="193">
        <f t="shared" si="53"/>
        <v>0</v>
      </c>
      <c r="AE57" s="193">
        <f t="shared" si="53"/>
        <v>0</v>
      </c>
      <c r="AF57" s="193">
        <f t="shared" si="53"/>
        <v>0</v>
      </c>
      <c r="AG57" s="193">
        <f t="shared" si="53"/>
        <v>0</v>
      </c>
      <c r="AH57" s="193">
        <f t="shared" si="53"/>
        <v>0</v>
      </c>
      <c r="AI57" s="193">
        <f t="shared" si="53"/>
        <v>0</v>
      </c>
      <c r="AJ57" s="193">
        <f t="shared" si="53"/>
        <v>0</v>
      </c>
      <c r="AK57" s="193">
        <f t="shared" si="53"/>
        <v>0</v>
      </c>
      <c r="AL57" s="193">
        <f t="shared" si="53"/>
        <v>0</v>
      </c>
      <c r="AM57" s="193">
        <f t="shared" si="53"/>
        <v>0</v>
      </c>
      <c r="AN57" s="193">
        <f t="shared" si="53"/>
        <v>0</v>
      </c>
      <c r="AO57" s="193">
        <f t="shared" si="53"/>
        <v>0</v>
      </c>
      <c r="AP57" s="193">
        <f t="shared" si="53"/>
        <v>0</v>
      </c>
      <c r="AQ57" s="193">
        <f t="shared" si="53"/>
        <v>0</v>
      </c>
      <c r="AR57" s="193">
        <f t="shared" si="53"/>
        <v>0</v>
      </c>
      <c r="AS57" s="193">
        <f t="shared" si="53"/>
        <v>0</v>
      </c>
      <c r="AT57" s="193">
        <f t="shared" si="53"/>
        <v>0</v>
      </c>
      <c r="AU57" s="193">
        <f t="shared" si="53"/>
        <v>0</v>
      </c>
      <c r="AV57" s="193">
        <f t="shared" si="53"/>
        <v>0</v>
      </c>
      <c r="AW57" s="193">
        <f t="shared" si="53"/>
        <v>0</v>
      </c>
      <c r="AX57" s="193">
        <f t="shared" si="53"/>
        <v>0</v>
      </c>
      <c r="AY57" s="193">
        <f t="shared" si="53"/>
        <v>0</v>
      </c>
      <c r="AZ57" s="196">
        <f t="shared" si="53"/>
        <v>0</v>
      </c>
      <c r="BA57" s="112"/>
      <c r="BB57" s="196">
        <f t="shared" si="45"/>
        <v>0</v>
      </c>
      <c r="BC57" s="196">
        <f t="shared" si="46"/>
        <v>0</v>
      </c>
      <c r="BD57" s="196">
        <f t="shared" si="47"/>
        <v>0</v>
      </c>
      <c r="BE57" s="196">
        <f t="shared" si="48"/>
        <v>0</v>
      </c>
      <c r="BF57" s="196">
        <f>BF56</f>
        <v>0</v>
      </c>
      <c r="BG57" s="181"/>
    </row>
    <row r="58" ht="15.75" customHeight="1">
      <c r="A58" s="112"/>
      <c r="B58" s="164" t="s">
        <v>228</v>
      </c>
      <c r="C58" s="164"/>
      <c r="D58" s="164" t="s">
        <v>198</v>
      </c>
      <c r="E58" s="207"/>
      <c r="F58" s="207"/>
      <c r="G58" s="207"/>
      <c r="H58" s="207"/>
      <c r="I58" s="207"/>
      <c r="J58" s="207"/>
      <c r="K58" s="207"/>
      <c r="L58" s="207"/>
      <c r="M58" s="207"/>
      <c r="N58" s="207"/>
      <c r="O58" s="207"/>
      <c r="P58" s="207"/>
      <c r="Q58" s="207"/>
      <c r="R58" s="207"/>
      <c r="S58" s="207">
        <v>0.0</v>
      </c>
      <c r="T58" s="207"/>
      <c r="U58" s="207">
        <v>300000.0</v>
      </c>
      <c r="V58" s="207"/>
      <c r="W58" s="207"/>
      <c r="X58" s="208"/>
      <c r="Y58" s="207"/>
      <c r="Z58" s="207">
        <v>2500000.0</v>
      </c>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112"/>
      <c r="BB58" s="164">
        <f t="shared" si="45"/>
        <v>0</v>
      </c>
      <c r="BC58" s="164">
        <f t="shared" si="46"/>
        <v>2800000</v>
      </c>
      <c r="BD58" s="164">
        <f t="shared" si="47"/>
        <v>0</v>
      </c>
      <c r="BE58" s="164">
        <f t="shared" si="48"/>
        <v>0</v>
      </c>
      <c r="BF58" s="164">
        <v>0.0</v>
      </c>
      <c r="BG58" s="42"/>
    </row>
    <row r="59" ht="15.75" customHeight="1">
      <c r="A59" s="112"/>
      <c r="B59" s="164" t="s">
        <v>229</v>
      </c>
      <c r="C59" s="164"/>
      <c r="D59" s="164" t="s">
        <v>198</v>
      </c>
      <c r="E59" s="207"/>
      <c r="F59" s="207"/>
      <c r="G59" s="207"/>
      <c r="H59" s="207"/>
      <c r="I59" s="207"/>
      <c r="J59" s="207"/>
      <c r="K59" s="207"/>
      <c r="L59" s="207"/>
      <c r="M59" s="207"/>
      <c r="N59" s="207"/>
      <c r="O59" s="207"/>
      <c r="P59" s="207"/>
      <c r="Q59" s="207"/>
      <c r="R59" s="207"/>
      <c r="S59" s="207"/>
      <c r="T59" s="207"/>
      <c r="U59" s="207"/>
      <c r="V59" s="207"/>
      <c r="W59" s="208">
        <v>300000.0</v>
      </c>
      <c r="X59" s="207"/>
      <c r="Y59" s="207"/>
      <c r="Z59" s="207"/>
      <c r="AA59" s="207"/>
      <c r="AB59" s="207"/>
      <c r="AC59" s="209"/>
      <c r="AD59" s="207"/>
      <c r="AE59" s="207"/>
      <c r="AF59" s="207"/>
      <c r="AG59" s="207"/>
      <c r="AH59" s="207"/>
      <c r="AI59" s="207"/>
      <c r="AJ59" s="207"/>
      <c r="AK59" s="207"/>
      <c r="AL59" s="207"/>
      <c r="AM59" s="207"/>
      <c r="AN59" s="207"/>
      <c r="AO59" s="207"/>
      <c r="AP59" s="207"/>
      <c r="AQ59" s="207"/>
      <c r="AR59" s="207"/>
      <c r="AS59" s="207"/>
      <c r="AT59" s="207"/>
      <c r="AU59" s="207"/>
      <c r="AV59" s="207"/>
      <c r="AW59" s="207"/>
      <c r="AX59" s="207"/>
      <c r="AY59" s="207"/>
      <c r="AZ59" s="207"/>
      <c r="BA59" s="112"/>
      <c r="BB59" s="164">
        <f t="shared" si="45"/>
        <v>0</v>
      </c>
      <c r="BC59" s="164">
        <f t="shared" si="46"/>
        <v>300000</v>
      </c>
      <c r="BD59" s="164">
        <f t="shared" si="47"/>
        <v>0</v>
      </c>
      <c r="BE59" s="164">
        <f t="shared" si="48"/>
        <v>0</v>
      </c>
      <c r="BF59" s="164">
        <v>0.0</v>
      </c>
      <c r="BG59" s="42"/>
    </row>
    <row r="60" ht="15.75" customHeight="1">
      <c r="A60" s="112"/>
      <c r="B60" s="164" t="s">
        <v>230</v>
      </c>
      <c r="C60" s="164"/>
      <c r="D60" s="164"/>
      <c r="E60" s="207">
        <f>E85</f>
        <v>0</v>
      </c>
      <c r="F60" s="207">
        <f t="shared" ref="F60:AZ60" si="54">F85-E85</f>
        <v>0</v>
      </c>
      <c r="G60" s="207">
        <f t="shared" si="54"/>
        <v>0</v>
      </c>
      <c r="H60" s="207">
        <f t="shared" si="54"/>
        <v>0</v>
      </c>
      <c r="I60" s="207">
        <f t="shared" si="54"/>
        <v>0</v>
      </c>
      <c r="J60" s="207">
        <f t="shared" si="54"/>
        <v>0</v>
      </c>
      <c r="K60" s="207">
        <f t="shared" si="54"/>
        <v>0</v>
      </c>
      <c r="L60" s="207">
        <f t="shared" si="54"/>
        <v>0</v>
      </c>
      <c r="M60" s="207">
        <f t="shared" si="54"/>
        <v>0</v>
      </c>
      <c r="N60" s="207">
        <f t="shared" si="54"/>
        <v>0</v>
      </c>
      <c r="O60" s="207">
        <f t="shared" si="54"/>
        <v>0</v>
      </c>
      <c r="P60" s="207">
        <f t="shared" si="54"/>
        <v>0</v>
      </c>
      <c r="Q60" s="207">
        <f t="shared" si="54"/>
        <v>0</v>
      </c>
      <c r="R60" s="207">
        <f t="shared" si="54"/>
        <v>0</v>
      </c>
      <c r="S60" s="207">
        <f t="shared" si="54"/>
        <v>0</v>
      </c>
      <c r="T60" s="207">
        <f t="shared" si="54"/>
        <v>0</v>
      </c>
      <c r="U60" s="207">
        <f t="shared" si="54"/>
        <v>0</v>
      </c>
      <c r="V60" s="207">
        <f t="shared" si="54"/>
        <v>0</v>
      </c>
      <c r="W60" s="207">
        <f t="shared" si="54"/>
        <v>0</v>
      </c>
      <c r="X60" s="207">
        <f t="shared" si="54"/>
        <v>0</v>
      </c>
      <c r="Y60" s="207">
        <f t="shared" si="54"/>
        <v>0</v>
      </c>
      <c r="Z60" s="207">
        <f t="shared" si="54"/>
        <v>0</v>
      </c>
      <c r="AA60" s="207">
        <f t="shared" si="54"/>
        <v>0</v>
      </c>
      <c r="AB60" s="207">
        <f t="shared" si="54"/>
        <v>0</v>
      </c>
      <c r="AC60" s="209">
        <f t="shared" si="54"/>
        <v>33558</v>
      </c>
      <c r="AD60" s="207">
        <f t="shared" si="54"/>
        <v>37842</v>
      </c>
      <c r="AE60" s="207">
        <f t="shared" si="54"/>
        <v>40698</v>
      </c>
      <c r="AF60" s="207">
        <f t="shared" si="54"/>
        <v>44982</v>
      </c>
      <c r="AG60" s="207">
        <f t="shared" si="54"/>
        <v>49980</v>
      </c>
      <c r="AH60" s="207">
        <f t="shared" si="54"/>
        <v>54264</v>
      </c>
      <c r="AI60" s="207">
        <f t="shared" si="54"/>
        <v>59262</v>
      </c>
      <c r="AJ60" s="207">
        <f t="shared" si="54"/>
        <v>64260</v>
      </c>
      <c r="AK60" s="207">
        <f t="shared" si="54"/>
        <v>71400</v>
      </c>
      <c r="AL60" s="207">
        <f t="shared" si="54"/>
        <v>78540</v>
      </c>
      <c r="AM60" s="207">
        <f t="shared" si="54"/>
        <v>85680</v>
      </c>
      <c r="AN60" s="207">
        <f t="shared" si="54"/>
        <v>93534</v>
      </c>
      <c r="AO60" s="207">
        <f t="shared" si="54"/>
        <v>0</v>
      </c>
      <c r="AP60" s="207">
        <f t="shared" si="54"/>
        <v>0</v>
      </c>
      <c r="AQ60" s="207">
        <f t="shared" si="54"/>
        <v>0</v>
      </c>
      <c r="AR60" s="207">
        <f t="shared" si="54"/>
        <v>0</v>
      </c>
      <c r="AS60" s="207">
        <f t="shared" si="54"/>
        <v>0</v>
      </c>
      <c r="AT60" s="207">
        <f t="shared" si="54"/>
        <v>0</v>
      </c>
      <c r="AU60" s="207">
        <f t="shared" si="54"/>
        <v>0</v>
      </c>
      <c r="AV60" s="207">
        <f t="shared" si="54"/>
        <v>0</v>
      </c>
      <c r="AW60" s="207">
        <f t="shared" si="54"/>
        <v>0</v>
      </c>
      <c r="AX60" s="207">
        <f t="shared" si="54"/>
        <v>0</v>
      </c>
      <c r="AY60" s="207">
        <f t="shared" si="54"/>
        <v>0</v>
      </c>
      <c r="AZ60" s="207">
        <f t="shared" si="54"/>
        <v>0</v>
      </c>
      <c r="BA60" s="112"/>
      <c r="BB60" s="164"/>
      <c r="BC60" s="164">
        <f>SUM(Q60:AB60)</f>
        <v>0</v>
      </c>
      <c r="BD60" s="164">
        <f>SUM(AC60:AN60)</f>
        <v>714000</v>
      </c>
      <c r="BE60" s="164">
        <f>SUM(AO60:AZ60)</f>
        <v>0</v>
      </c>
      <c r="BF60" s="164">
        <f>BF85-BE85</f>
        <v>-714000</v>
      </c>
      <c r="BG60" s="42"/>
    </row>
    <row r="61" ht="12.75" customHeight="1">
      <c r="A61" s="166"/>
      <c r="B61" s="193" t="s">
        <v>231</v>
      </c>
      <c r="C61" s="194"/>
      <c r="D61" s="195" t="s">
        <v>198</v>
      </c>
      <c r="E61" s="193">
        <f t="shared" ref="E61:AZ61" si="55">E58+E59+E60</f>
        <v>0</v>
      </c>
      <c r="F61" s="193">
        <f t="shared" si="55"/>
        <v>0</v>
      </c>
      <c r="G61" s="193">
        <f t="shared" si="55"/>
        <v>0</v>
      </c>
      <c r="H61" s="193">
        <f t="shared" si="55"/>
        <v>0</v>
      </c>
      <c r="I61" s="193">
        <f t="shared" si="55"/>
        <v>0</v>
      </c>
      <c r="J61" s="193">
        <f t="shared" si="55"/>
        <v>0</v>
      </c>
      <c r="K61" s="193">
        <f t="shared" si="55"/>
        <v>0</v>
      </c>
      <c r="L61" s="193">
        <f t="shared" si="55"/>
        <v>0</v>
      </c>
      <c r="M61" s="193">
        <f t="shared" si="55"/>
        <v>0</v>
      </c>
      <c r="N61" s="193">
        <f t="shared" si="55"/>
        <v>0</v>
      </c>
      <c r="O61" s="193">
        <f t="shared" si="55"/>
        <v>0</v>
      </c>
      <c r="P61" s="193">
        <f t="shared" si="55"/>
        <v>0</v>
      </c>
      <c r="Q61" s="193">
        <f t="shared" si="55"/>
        <v>0</v>
      </c>
      <c r="R61" s="196">
        <f t="shared" si="55"/>
        <v>0</v>
      </c>
      <c r="S61" s="197">
        <f t="shared" si="55"/>
        <v>0</v>
      </c>
      <c r="T61" s="198">
        <f t="shared" si="55"/>
        <v>0</v>
      </c>
      <c r="U61" s="193">
        <f t="shared" si="55"/>
        <v>300000</v>
      </c>
      <c r="V61" s="193">
        <f t="shared" si="55"/>
        <v>0</v>
      </c>
      <c r="W61" s="193">
        <f t="shared" si="55"/>
        <v>300000</v>
      </c>
      <c r="X61" s="193">
        <f t="shared" si="55"/>
        <v>0</v>
      </c>
      <c r="Y61" s="193">
        <f t="shared" si="55"/>
        <v>0</v>
      </c>
      <c r="Z61" s="193">
        <f t="shared" si="55"/>
        <v>2500000</v>
      </c>
      <c r="AA61" s="193">
        <f t="shared" si="55"/>
        <v>0</v>
      </c>
      <c r="AB61" s="193">
        <f t="shared" si="55"/>
        <v>0</v>
      </c>
      <c r="AC61" s="193">
        <f t="shared" si="55"/>
        <v>33558</v>
      </c>
      <c r="AD61" s="193">
        <f t="shared" si="55"/>
        <v>37842</v>
      </c>
      <c r="AE61" s="193">
        <f t="shared" si="55"/>
        <v>40698</v>
      </c>
      <c r="AF61" s="193">
        <f t="shared" si="55"/>
        <v>44982</v>
      </c>
      <c r="AG61" s="193">
        <f t="shared" si="55"/>
        <v>49980</v>
      </c>
      <c r="AH61" s="193">
        <f t="shared" si="55"/>
        <v>54264</v>
      </c>
      <c r="AI61" s="193">
        <f t="shared" si="55"/>
        <v>59262</v>
      </c>
      <c r="AJ61" s="193">
        <f t="shared" si="55"/>
        <v>64260</v>
      </c>
      <c r="AK61" s="193">
        <f t="shared" si="55"/>
        <v>71400</v>
      </c>
      <c r="AL61" s="193">
        <f t="shared" si="55"/>
        <v>78540</v>
      </c>
      <c r="AM61" s="193">
        <f t="shared" si="55"/>
        <v>85680</v>
      </c>
      <c r="AN61" s="193">
        <f t="shared" si="55"/>
        <v>93534</v>
      </c>
      <c r="AO61" s="193">
        <f t="shared" si="55"/>
        <v>0</v>
      </c>
      <c r="AP61" s="193">
        <f t="shared" si="55"/>
        <v>0</v>
      </c>
      <c r="AQ61" s="193">
        <f t="shared" si="55"/>
        <v>0</v>
      </c>
      <c r="AR61" s="193">
        <f t="shared" si="55"/>
        <v>0</v>
      </c>
      <c r="AS61" s="193">
        <f t="shared" si="55"/>
        <v>0</v>
      </c>
      <c r="AT61" s="193">
        <f t="shared" si="55"/>
        <v>0</v>
      </c>
      <c r="AU61" s="193">
        <f t="shared" si="55"/>
        <v>0</v>
      </c>
      <c r="AV61" s="193">
        <f t="shared" si="55"/>
        <v>0</v>
      </c>
      <c r="AW61" s="193">
        <f t="shared" si="55"/>
        <v>0</v>
      </c>
      <c r="AX61" s="193">
        <f t="shared" si="55"/>
        <v>0</v>
      </c>
      <c r="AY61" s="193">
        <f t="shared" si="55"/>
        <v>0</v>
      </c>
      <c r="AZ61" s="196">
        <f t="shared" si="55"/>
        <v>0</v>
      </c>
      <c r="BA61" s="112"/>
      <c r="BB61" s="196">
        <f>sum(E61:P61)</f>
        <v>0</v>
      </c>
      <c r="BC61" s="196">
        <f>sum(Q61:AB61)</f>
        <v>3100000</v>
      </c>
      <c r="BD61" s="196">
        <f>sum(AC61:AN61)</f>
        <v>714000</v>
      </c>
      <c r="BE61" s="196">
        <f>sum(AO61:AZ61)</f>
        <v>0</v>
      </c>
      <c r="BF61" s="196">
        <f>BF58+BF59+BF60</f>
        <v>-714000</v>
      </c>
      <c r="BG61" s="181"/>
    </row>
    <row r="62" ht="15.75" customHeight="1">
      <c r="A62" s="112"/>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c r="AA62" s="163"/>
      <c r="AB62" s="163"/>
      <c r="AC62" s="163"/>
      <c r="AD62" s="163"/>
      <c r="AE62" s="163"/>
      <c r="AF62" s="163"/>
      <c r="AG62" s="163"/>
      <c r="AH62" s="163"/>
      <c r="AI62" s="163"/>
      <c r="AJ62" s="163"/>
      <c r="AK62" s="163"/>
      <c r="AL62" s="163"/>
      <c r="AM62" s="163"/>
      <c r="AN62" s="163"/>
      <c r="AO62" s="163"/>
      <c r="AP62" s="163"/>
      <c r="AQ62" s="163"/>
      <c r="AR62" s="163"/>
      <c r="AS62" s="163"/>
      <c r="AT62" s="163"/>
      <c r="AU62" s="163"/>
      <c r="AV62" s="163"/>
      <c r="AW62" s="163"/>
      <c r="AX62" s="163"/>
      <c r="AY62" s="163"/>
      <c r="AZ62" s="163"/>
      <c r="BA62" s="112"/>
      <c r="BB62" s="163"/>
      <c r="BC62" s="163"/>
      <c r="BD62" s="163"/>
      <c r="BE62" s="163"/>
      <c r="BF62" s="163"/>
      <c r="BG62" s="112"/>
    </row>
    <row r="63" ht="12.75" customHeight="1">
      <c r="A63" s="166"/>
      <c r="B63" s="193" t="s">
        <v>232</v>
      </c>
      <c r="C63" s="194"/>
      <c r="D63" s="195" t="s">
        <v>198</v>
      </c>
      <c r="E63" s="193"/>
      <c r="F63" s="193"/>
      <c r="G63" s="193"/>
      <c r="H63" s="193"/>
      <c r="I63" s="193"/>
      <c r="J63" s="193"/>
      <c r="K63" s="193"/>
      <c r="L63" s="193"/>
      <c r="M63" s="193">
        <f t="shared" ref="M63:AZ63" si="56">M55+M57+M61</f>
        <v>-59000</v>
      </c>
      <c r="N63" s="193">
        <f t="shared" si="56"/>
        <v>-52506.66667</v>
      </c>
      <c r="O63" s="193">
        <f t="shared" si="56"/>
        <v>-20013.33333</v>
      </c>
      <c r="P63" s="193">
        <f t="shared" si="56"/>
        <v>-195933</v>
      </c>
      <c r="Q63" s="193">
        <f t="shared" si="56"/>
        <v>-128520</v>
      </c>
      <c r="R63" s="196">
        <f t="shared" si="56"/>
        <v>-139320</v>
      </c>
      <c r="S63" s="197">
        <f t="shared" si="56"/>
        <v>-139320</v>
      </c>
      <c r="T63" s="198">
        <f t="shared" si="56"/>
        <v>-139320</v>
      </c>
      <c r="U63" s="193">
        <f t="shared" si="56"/>
        <v>150680</v>
      </c>
      <c r="V63" s="193">
        <f t="shared" si="56"/>
        <v>-149320</v>
      </c>
      <c r="W63" s="193">
        <f t="shared" si="56"/>
        <v>160680</v>
      </c>
      <c r="X63" s="193">
        <f t="shared" si="56"/>
        <v>-127726</v>
      </c>
      <c r="Y63" s="193">
        <f t="shared" si="56"/>
        <v>-101052</v>
      </c>
      <c r="Z63" s="193">
        <f t="shared" si="56"/>
        <v>2204160</v>
      </c>
      <c r="AA63" s="193">
        <f t="shared" si="56"/>
        <v>-240840</v>
      </c>
      <c r="AB63" s="193">
        <f t="shared" si="56"/>
        <v>-195840</v>
      </c>
      <c r="AC63" s="193">
        <f t="shared" si="56"/>
        <v>336163.2399</v>
      </c>
      <c r="AD63" s="193">
        <f t="shared" si="56"/>
        <v>-146290.3418</v>
      </c>
      <c r="AE63" s="193">
        <f t="shared" si="56"/>
        <v>-169642.8839</v>
      </c>
      <c r="AF63" s="193">
        <f t="shared" si="56"/>
        <v>-141671.5338</v>
      </c>
      <c r="AG63" s="193">
        <f t="shared" si="56"/>
        <v>-127324.6691</v>
      </c>
      <c r="AH63" s="193">
        <f t="shared" si="56"/>
        <v>-164079.2304</v>
      </c>
      <c r="AI63" s="193">
        <f t="shared" si="56"/>
        <v>-149771.0407</v>
      </c>
      <c r="AJ63" s="193">
        <f t="shared" si="56"/>
        <v>-149033.8281</v>
      </c>
      <c r="AK63" s="193">
        <f t="shared" si="56"/>
        <v>-108668.2837</v>
      </c>
      <c r="AL63" s="193">
        <f t="shared" si="56"/>
        <v>-105939.7257</v>
      </c>
      <c r="AM63" s="193">
        <f t="shared" si="56"/>
        <v>-94600.91767</v>
      </c>
      <c r="AN63" s="193">
        <f t="shared" si="56"/>
        <v>-78921.41073</v>
      </c>
      <c r="AO63" s="193">
        <f t="shared" si="56"/>
        <v>-415590.3711</v>
      </c>
      <c r="AP63" s="193">
        <f t="shared" si="56"/>
        <v>193456.8293</v>
      </c>
      <c r="AQ63" s="193">
        <f t="shared" si="56"/>
        <v>261443.6885</v>
      </c>
      <c r="AR63" s="193">
        <f t="shared" si="56"/>
        <v>325007.6643</v>
      </c>
      <c r="AS63" s="193">
        <f t="shared" si="56"/>
        <v>372668.2019</v>
      </c>
      <c r="AT63" s="193">
        <f t="shared" si="56"/>
        <v>449421.4323</v>
      </c>
      <c r="AU63" s="193">
        <f t="shared" si="56"/>
        <v>514049.5111</v>
      </c>
      <c r="AV63" s="193">
        <f t="shared" si="56"/>
        <v>577520.8955</v>
      </c>
      <c r="AW63" s="193">
        <f t="shared" si="56"/>
        <v>683293.7836</v>
      </c>
      <c r="AX63" s="193">
        <f t="shared" si="56"/>
        <v>750964.9892</v>
      </c>
      <c r="AY63" s="193">
        <f t="shared" si="56"/>
        <v>884898.3804</v>
      </c>
      <c r="AZ63" s="196">
        <f t="shared" si="56"/>
        <v>971789.0719</v>
      </c>
      <c r="BA63" s="112"/>
      <c r="BB63" s="196">
        <f t="shared" ref="BB63:BF63" si="57">BB61+BB57+BB55</f>
        <v>-327453</v>
      </c>
      <c r="BC63" s="196">
        <f t="shared" si="57"/>
        <v>1154262</v>
      </c>
      <c r="BD63" s="196">
        <f t="shared" si="57"/>
        <v>-1099780.626</v>
      </c>
      <c r="BE63" s="196">
        <f t="shared" si="57"/>
        <v>5568924.077</v>
      </c>
      <c r="BF63" s="196">
        <f t="shared" si="57"/>
        <v>16427432.83</v>
      </c>
      <c r="BG63" s="181"/>
    </row>
    <row r="64" ht="15.75" customHeight="1">
      <c r="A64" s="112"/>
      <c r="B64" s="164" t="s">
        <v>233</v>
      </c>
      <c r="C64" s="163"/>
      <c r="D64" s="164" t="s">
        <v>198</v>
      </c>
      <c r="E64" s="206"/>
      <c r="F64" s="206"/>
      <c r="G64" s="206"/>
      <c r="H64" s="206"/>
      <c r="I64" s="206"/>
      <c r="J64" s="206"/>
      <c r="K64" s="206"/>
      <c r="L64" s="206"/>
      <c r="M64" s="206">
        <v>1111108.0</v>
      </c>
      <c r="N64" s="164">
        <f t="shared" ref="N64:AZ64" si="58">M65</f>
        <v>1052108</v>
      </c>
      <c r="O64" s="164">
        <f t="shared" si="58"/>
        <v>999601.3333</v>
      </c>
      <c r="P64" s="164">
        <f t="shared" si="58"/>
        <v>979588</v>
      </c>
      <c r="Q64" s="164">
        <f t="shared" si="58"/>
        <v>783655</v>
      </c>
      <c r="R64" s="164">
        <f t="shared" si="58"/>
        <v>655135</v>
      </c>
      <c r="S64" s="164">
        <f t="shared" si="58"/>
        <v>515815</v>
      </c>
      <c r="T64" s="164">
        <f t="shared" si="58"/>
        <v>376495</v>
      </c>
      <c r="U64" s="164">
        <f t="shared" si="58"/>
        <v>237175</v>
      </c>
      <c r="V64" s="164">
        <f t="shared" si="58"/>
        <v>387855</v>
      </c>
      <c r="W64" s="164">
        <f t="shared" si="58"/>
        <v>238535</v>
      </c>
      <c r="X64" s="164">
        <f t="shared" si="58"/>
        <v>399215</v>
      </c>
      <c r="Y64" s="164">
        <f t="shared" si="58"/>
        <v>271489</v>
      </c>
      <c r="Z64" s="164">
        <f t="shared" si="58"/>
        <v>170437</v>
      </c>
      <c r="AA64" s="164">
        <f t="shared" si="58"/>
        <v>2374597</v>
      </c>
      <c r="AB64" s="164">
        <f t="shared" si="58"/>
        <v>2133757</v>
      </c>
      <c r="AC64" s="164">
        <f t="shared" si="58"/>
        <v>1937917</v>
      </c>
      <c r="AD64" s="164">
        <f t="shared" si="58"/>
        <v>2274080.24</v>
      </c>
      <c r="AE64" s="164">
        <f t="shared" si="58"/>
        <v>2127789.898</v>
      </c>
      <c r="AF64" s="164">
        <f t="shared" si="58"/>
        <v>1958147.014</v>
      </c>
      <c r="AG64" s="164">
        <f t="shared" si="58"/>
        <v>1816475.48</v>
      </c>
      <c r="AH64" s="164">
        <f t="shared" si="58"/>
        <v>1689150.811</v>
      </c>
      <c r="AI64" s="164">
        <f t="shared" si="58"/>
        <v>1525071.581</v>
      </c>
      <c r="AJ64" s="164">
        <f t="shared" si="58"/>
        <v>1375300.54</v>
      </c>
      <c r="AK64" s="164">
        <f t="shared" si="58"/>
        <v>1226266.712</v>
      </c>
      <c r="AL64" s="164">
        <f t="shared" si="58"/>
        <v>1117598.429</v>
      </c>
      <c r="AM64" s="164">
        <f t="shared" si="58"/>
        <v>1011658.703</v>
      </c>
      <c r="AN64" s="164">
        <f t="shared" si="58"/>
        <v>917057.7852</v>
      </c>
      <c r="AO64" s="164">
        <f t="shared" si="58"/>
        <v>838136.3745</v>
      </c>
      <c r="AP64" s="164">
        <f t="shared" si="58"/>
        <v>422546.0034</v>
      </c>
      <c r="AQ64" s="164">
        <f t="shared" si="58"/>
        <v>616002.8327</v>
      </c>
      <c r="AR64" s="164">
        <f t="shared" si="58"/>
        <v>877446.5213</v>
      </c>
      <c r="AS64" s="164">
        <f t="shared" si="58"/>
        <v>1202454.186</v>
      </c>
      <c r="AT64" s="164">
        <f t="shared" si="58"/>
        <v>1575122.387</v>
      </c>
      <c r="AU64" s="164">
        <f t="shared" si="58"/>
        <v>2024543.82</v>
      </c>
      <c r="AV64" s="164">
        <f t="shared" si="58"/>
        <v>2538593.331</v>
      </c>
      <c r="AW64" s="164">
        <f t="shared" si="58"/>
        <v>3116114.226</v>
      </c>
      <c r="AX64" s="164">
        <f t="shared" si="58"/>
        <v>3799408.01</v>
      </c>
      <c r="AY64" s="164">
        <f t="shared" si="58"/>
        <v>4550372.999</v>
      </c>
      <c r="AZ64" s="164">
        <f t="shared" si="58"/>
        <v>5435271.379</v>
      </c>
      <c r="BA64" s="112"/>
      <c r="BB64" s="164">
        <f>BB63+BB65</f>
        <v>456202</v>
      </c>
      <c r="BC64" s="164">
        <f>Q64</f>
        <v>783655</v>
      </c>
      <c r="BD64" s="164">
        <f>AC64</f>
        <v>1937917</v>
      </c>
      <c r="BE64" s="164">
        <f>AO64</f>
        <v>838136.3745</v>
      </c>
      <c r="BF64" s="164">
        <f>AZ65</f>
        <v>6407060.451</v>
      </c>
      <c r="BG64" s="42"/>
    </row>
    <row r="65" ht="15.75" customHeight="1">
      <c r="A65" s="173"/>
      <c r="B65" s="174" t="s">
        <v>234</v>
      </c>
      <c r="C65" s="175"/>
      <c r="D65" s="174" t="s">
        <v>198</v>
      </c>
      <c r="E65" s="174"/>
      <c r="F65" s="174"/>
      <c r="G65" s="174"/>
      <c r="H65" s="174"/>
      <c r="I65" s="174"/>
      <c r="J65" s="174"/>
      <c r="K65" s="174"/>
      <c r="L65" s="174"/>
      <c r="M65" s="174">
        <f>M63+M64</f>
        <v>1052108</v>
      </c>
      <c r="N65" s="174">
        <f t="shared" ref="N65:AZ65" si="59">N64+N63</f>
        <v>999601.3333</v>
      </c>
      <c r="O65" s="174">
        <f t="shared" si="59"/>
        <v>979588</v>
      </c>
      <c r="P65" s="174">
        <f t="shared" si="59"/>
        <v>783655</v>
      </c>
      <c r="Q65" s="174">
        <f t="shared" si="59"/>
        <v>655135</v>
      </c>
      <c r="R65" s="174">
        <f t="shared" si="59"/>
        <v>515815</v>
      </c>
      <c r="S65" s="174">
        <f t="shared" si="59"/>
        <v>376495</v>
      </c>
      <c r="T65" s="174">
        <f t="shared" si="59"/>
        <v>237175</v>
      </c>
      <c r="U65" s="174">
        <f t="shared" si="59"/>
        <v>387855</v>
      </c>
      <c r="V65" s="174">
        <f t="shared" si="59"/>
        <v>238535</v>
      </c>
      <c r="W65" s="174">
        <f t="shared" si="59"/>
        <v>399215</v>
      </c>
      <c r="X65" s="174">
        <f t="shared" si="59"/>
        <v>271489</v>
      </c>
      <c r="Y65" s="174">
        <f t="shared" si="59"/>
        <v>170437</v>
      </c>
      <c r="Z65" s="174">
        <f t="shared" si="59"/>
        <v>2374597</v>
      </c>
      <c r="AA65" s="174">
        <f t="shared" si="59"/>
        <v>2133757</v>
      </c>
      <c r="AB65" s="174">
        <f t="shared" si="59"/>
        <v>1937917</v>
      </c>
      <c r="AC65" s="174">
        <f t="shared" si="59"/>
        <v>2274080.24</v>
      </c>
      <c r="AD65" s="174">
        <f t="shared" si="59"/>
        <v>2127789.898</v>
      </c>
      <c r="AE65" s="174">
        <f t="shared" si="59"/>
        <v>1958147.014</v>
      </c>
      <c r="AF65" s="174">
        <f t="shared" si="59"/>
        <v>1816475.48</v>
      </c>
      <c r="AG65" s="174">
        <f t="shared" si="59"/>
        <v>1689150.811</v>
      </c>
      <c r="AH65" s="174">
        <f t="shared" si="59"/>
        <v>1525071.581</v>
      </c>
      <c r="AI65" s="174">
        <f t="shared" si="59"/>
        <v>1375300.54</v>
      </c>
      <c r="AJ65" s="174">
        <f t="shared" si="59"/>
        <v>1226266.712</v>
      </c>
      <c r="AK65" s="174">
        <f t="shared" si="59"/>
        <v>1117598.429</v>
      </c>
      <c r="AL65" s="174">
        <f t="shared" si="59"/>
        <v>1011658.703</v>
      </c>
      <c r="AM65" s="174">
        <f t="shared" si="59"/>
        <v>917057.7852</v>
      </c>
      <c r="AN65" s="174">
        <f t="shared" si="59"/>
        <v>838136.3745</v>
      </c>
      <c r="AO65" s="174">
        <f t="shared" si="59"/>
        <v>422546.0034</v>
      </c>
      <c r="AP65" s="174">
        <f t="shared" si="59"/>
        <v>616002.8327</v>
      </c>
      <c r="AQ65" s="174">
        <f t="shared" si="59"/>
        <v>877446.5213</v>
      </c>
      <c r="AR65" s="174">
        <f t="shared" si="59"/>
        <v>1202454.186</v>
      </c>
      <c r="AS65" s="174">
        <f t="shared" si="59"/>
        <v>1575122.387</v>
      </c>
      <c r="AT65" s="174">
        <f t="shared" si="59"/>
        <v>2024543.82</v>
      </c>
      <c r="AU65" s="174">
        <f t="shared" si="59"/>
        <v>2538593.331</v>
      </c>
      <c r="AV65" s="174">
        <f t="shared" si="59"/>
        <v>3116114.226</v>
      </c>
      <c r="AW65" s="174">
        <f t="shared" si="59"/>
        <v>3799408.01</v>
      </c>
      <c r="AX65" s="174">
        <f t="shared" si="59"/>
        <v>4550372.999</v>
      </c>
      <c r="AY65" s="174">
        <f t="shared" si="59"/>
        <v>5435271.379</v>
      </c>
      <c r="AZ65" s="177">
        <f t="shared" si="59"/>
        <v>6407060.451</v>
      </c>
      <c r="BA65" s="176"/>
      <c r="BB65" s="177">
        <f>P65</f>
        <v>783655</v>
      </c>
      <c r="BC65" s="177">
        <f t="shared" ref="BC65:BF65" si="60">BC63+BC64</f>
        <v>1937917</v>
      </c>
      <c r="BD65" s="177">
        <f t="shared" si="60"/>
        <v>838136.3745</v>
      </c>
      <c r="BE65" s="177">
        <f t="shared" si="60"/>
        <v>6407060.451</v>
      </c>
      <c r="BF65" s="177">
        <f t="shared" si="60"/>
        <v>22834493.28</v>
      </c>
      <c r="BG65" s="178"/>
    </row>
    <row r="66" ht="15.75" customHeight="1">
      <c r="A66" s="112"/>
      <c r="B66" s="210"/>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c r="AA66" s="163"/>
      <c r="AB66" s="163"/>
      <c r="AC66" s="163"/>
      <c r="AD66" s="163"/>
      <c r="AE66" s="163"/>
      <c r="AF66" s="163"/>
      <c r="AG66" s="163"/>
      <c r="AH66" s="163"/>
      <c r="AI66" s="163"/>
      <c r="AJ66" s="163"/>
      <c r="AK66" s="163"/>
      <c r="AL66" s="163"/>
      <c r="AM66" s="163"/>
      <c r="AN66" s="163"/>
      <c r="AO66" s="163"/>
      <c r="AP66" s="163"/>
      <c r="AQ66" s="163"/>
      <c r="AR66" s="163"/>
      <c r="AS66" s="163"/>
      <c r="AT66" s="163"/>
      <c r="AU66" s="163"/>
      <c r="AV66" s="163"/>
      <c r="AW66" s="163"/>
      <c r="AX66" s="163"/>
      <c r="AY66" s="163"/>
      <c r="AZ66" s="163"/>
      <c r="BA66" s="112"/>
      <c r="BB66" s="163"/>
      <c r="BC66" s="163"/>
      <c r="BD66" s="163"/>
      <c r="BE66" s="163"/>
      <c r="BF66" s="163"/>
      <c r="BG66" s="112"/>
    </row>
    <row r="67" ht="15.75" customHeight="1">
      <c r="A67" s="164"/>
      <c r="B67" s="180" t="s">
        <v>235</v>
      </c>
      <c r="C67" s="164"/>
      <c r="D67" s="164"/>
      <c r="E67" s="180"/>
      <c r="F67" s="180"/>
      <c r="G67" s="180"/>
      <c r="H67" s="180"/>
      <c r="I67" s="180"/>
      <c r="J67" s="180"/>
      <c r="K67" s="180"/>
      <c r="L67" s="180"/>
      <c r="M67" s="180"/>
      <c r="N67" s="180"/>
      <c r="O67" s="180"/>
      <c r="P67" s="180"/>
      <c r="Q67" s="180"/>
      <c r="R67" s="180"/>
      <c r="S67" s="180"/>
      <c r="T67" s="180"/>
      <c r="U67" s="180"/>
      <c r="V67" s="180"/>
      <c r="W67" s="180"/>
      <c r="X67" s="180"/>
      <c r="Y67" s="180"/>
      <c r="Z67" s="180"/>
      <c r="AA67" s="180"/>
      <c r="AB67" s="180"/>
      <c r="AC67" s="180"/>
      <c r="AD67" s="180"/>
      <c r="AE67" s="180"/>
      <c r="AF67" s="180"/>
      <c r="AG67" s="180"/>
      <c r="AH67" s="180"/>
      <c r="AI67" s="180"/>
      <c r="AJ67" s="180"/>
      <c r="AK67" s="180"/>
      <c r="AL67" s="180"/>
      <c r="AM67" s="180"/>
      <c r="AN67" s="180"/>
      <c r="AO67" s="180"/>
      <c r="AP67" s="180"/>
      <c r="AQ67" s="180"/>
      <c r="AR67" s="180"/>
      <c r="AS67" s="180"/>
      <c r="AT67" s="180"/>
      <c r="AU67" s="180"/>
      <c r="AV67" s="180"/>
      <c r="AW67" s="180"/>
      <c r="AX67" s="180"/>
      <c r="AY67" s="180"/>
      <c r="AZ67" s="180"/>
      <c r="BA67" s="164"/>
      <c r="BB67" s="180"/>
      <c r="BC67" s="180"/>
      <c r="BD67" s="180"/>
      <c r="BE67" s="180"/>
      <c r="BF67" s="180"/>
      <c r="BG67" s="180"/>
    </row>
    <row r="68" ht="13.5" customHeight="1">
      <c r="A68" s="166"/>
      <c r="B68" s="167" t="s">
        <v>236</v>
      </c>
      <c r="C68" s="168"/>
      <c r="D68" s="168"/>
      <c r="E68" s="168"/>
      <c r="F68" s="168"/>
      <c r="G68" s="168"/>
      <c r="H68" s="168"/>
      <c r="I68" s="168"/>
      <c r="J68" s="168"/>
      <c r="K68" s="168"/>
      <c r="L68" s="168"/>
      <c r="M68" s="168"/>
      <c r="N68" s="168"/>
      <c r="O68" s="168"/>
      <c r="P68" s="168"/>
      <c r="Q68" s="168"/>
      <c r="R68" s="169"/>
      <c r="S68" s="170"/>
      <c r="T68" s="171"/>
      <c r="U68" s="168"/>
      <c r="V68" s="168"/>
      <c r="W68" s="168"/>
      <c r="X68" s="168"/>
      <c r="Y68" s="168"/>
      <c r="Z68" s="168"/>
      <c r="AA68" s="168"/>
      <c r="AB68" s="168"/>
      <c r="AC68" s="168"/>
      <c r="AD68" s="168"/>
      <c r="AE68" s="168"/>
      <c r="AF68" s="168"/>
      <c r="AG68" s="168"/>
      <c r="AH68" s="168"/>
      <c r="AI68" s="168"/>
      <c r="AJ68" s="168"/>
      <c r="AK68" s="168"/>
      <c r="AL68" s="168"/>
      <c r="AM68" s="168"/>
      <c r="AN68" s="168"/>
      <c r="AO68" s="168"/>
      <c r="AP68" s="168"/>
      <c r="AQ68" s="168"/>
      <c r="AR68" s="168"/>
      <c r="AS68" s="168"/>
      <c r="AT68" s="168"/>
      <c r="AU68" s="168"/>
      <c r="AV68" s="168"/>
      <c r="AW68" s="168"/>
      <c r="AX68" s="168"/>
      <c r="AY68" s="168"/>
      <c r="AZ68" s="169"/>
      <c r="BA68" s="112"/>
      <c r="BB68" s="169"/>
      <c r="BC68" s="169"/>
      <c r="BD68" s="169"/>
      <c r="BE68" s="169"/>
      <c r="BF68" s="169"/>
      <c r="BG68" s="112"/>
    </row>
    <row r="69" ht="15.75" customHeight="1">
      <c r="A69" s="112"/>
      <c r="B69" s="164" t="s">
        <v>237</v>
      </c>
      <c r="C69" s="163"/>
      <c r="D69" s="164" t="s">
        <v>198</v>
      </c>
      <c r="E69" s="164"/>
      <c r="F69" s="164"/>
      <c r="G69" s="164"/>
      <c r="H69" s="164"/>
      <c r="I69" s="164"/>
      <c r="J69" s="164"/>
      <c r="K69" s="164"/>
      <c r="L69" s="164"/>
      <c r="M69" s="164">
        <f t="shared" ref="M69:AZ69" si="61">M65</f>
        <v>1052108</v>
      </c>
      <c r="N69" s="164">
        <f t="shared" si="61"/>
        <v>999601.3333</v>
      </c>
      <c r="O69" s="164">
        <f t="shared" si="61"/>
        <v>979588</v>
      </c>
      <c r="P69" s="164">
        <f t="shared" si="61"/>
        <v>783655</v>
      </c>
      <c r="Q69" s="164">
        <f t="shared" si="61"/>
        <v>655135</v>
      </c>
      <c r="R69" s="164">
        <f t="shared" si="61"/>
        <v>515815</v>
      </c>
      <c r="S69" s="164">
        <f t="shared" si="61"/>
        <v>376495</v>
      </c>
      <c r="T69" s="164">
        <f t="shared" si="61"/>
        <v>237175</v>
      </c>
      <c r="U69" s="164">
        <f t="shared" si="61"/>
        <v>387855</v>
      </c>
      <c r="V69" s="164">
        <f t="shared" si="61"/>
        <v>238535</v>
      </c>
      <c r="W69" s="164">
        <f t="shared" si="61"/>
        <v>399215</v>
      </c>
      <c r="X69" s="164">
        <f t="shared" si="61"/>
        <v>271489</v>
      </c>
      <c r="Y69" s="164">
        <f t="shared" si="61"/>
        <v>170437</v>
      </c>
      <c r="Z69" s="164">
        <f t="shared" si="61"/>
        <v>2374597</v>
      </c>
      <c r="AA69" s="164">
        <f t="shared" si="61"/>
        <v>2133757</v>
      </c>
      <c r="AB69" s="164">
        <f t="shared" si="61"/>
        <v>1937917</v>
      </c>
      <c r="AC69" s="164">
        <f t="shared" si="61"/>
        <v>2274080.24</v>
      </c>
      <c r="AD69" s="164">
        <f t="shared" si="61"/>
        <v>2127789.898</v>
      </c>
      <c r="AE69" s="164">
        <f t="shared" si="61"/>
        <v>1958147.014</v>
      </c>
      <c r="AF69" s="164">
        <f t="shared" si="61"/>
        <v>1816475.48</v>
      </c>
      <c r="AG69" s="164">
        <f t="shared" si="61"/>
        <v>1689150.811</v>
      </c>
      <c r="AH69" s="164">
        <f t="shared" si="61"/>
        <v>1525071.581</v>
      </c>
      <c r="AI69" s="164">
        <f t="shared" si="61"/>
        <v>1375300.54</v>
      </c>
      <c r="AJ69" s="164">
        <f t="shared" si="61"/>
        <v>1226266.712</v>
      </c>
      <c r="AK69" s="164">
        <f t="shared" si="61"/>
        <v>1117598.429</v>
      </c>
      <c r="AL69" s="164">
        <f t="shared" si="61"/>
        <v>1011658.703</v>
      </c>
      <c r="AM69" s="164">
        <f t="shared" si="61"/>
        <v>917057.7852</v>
      </c>
      <c r="AN69" s="164">
        <f t="shared" si="61"/>
        <v>838136.3745</v>
      </c>
      <c r="AO69" s="164">
        <f t="shared" si="61"/>
        <v>422546.0034</v>
      </c>
      <c r="AP69" s="164">
        <f t="shared" si="61"/>
        <v>616002.8327</v>
      </c>
      <c r="AQ69" s="164">
        <f t="shared" si="61"/>
        <v>877446.5213</v>
      </c>
      <c r="AR69" s="164">
        <f t="shared" si="61"/>
        <v>1202454.186</v>
      </c>
      <c r="AS69" s="164">
        <f t="shared" si="61"/>
        <v>1575122.387</v>
      </c>
      <c r="AT69" s="164">
        <f t="shared" si="61"/>
        <v>2024543.82</v>
      </c>
      <c r="AU69" s="164">
        <f t="shared" si="61"/>
        <v>2538593.331</v>
      </c>
      <c r="AV69" s="164">
        <f t="shared" si="61"/>
        <v>3116114.226</v>
      </c>
      <c r="AW69" s="164">
        <f t="shared" si="61"/>
        <v>3799408.01</v>
      </c>
      <c r="AX69" s="164">
        <f t="shared" si="61"/>
        <v>4550372.999</v>
      </c>
      <c r="AY69" s="164">
        <f t="shared" si="61"/>
        <v>5435271.379</v>
      </c>
      <c r="AZ69" s="164">
        <f t="shared" si="61"/>
        <v>6407060.451</v>
      </c>
      <c r="BA69" s="112"/>
      <c r="BB69" s="164">
        <f t="shared" ref="BB69:BB73" si="63">P69</f>
        <v>783655</v>
      </c>
      <c r="BC69" s="164">
        <f t="shared" ref="BC69:BC73" si="64">AB69</f>
        <v>1937917</v>
      </c>
      <c r="BD69" s="164">
        <f t="shared" ref="BD69:BD73" si="65">AN69</f>
        <v>838136.3745</v>
      </c>
      <c r="BE69" s="164">
        <f t="shared" ref="BE69:BE73" si="66">AZ69</f>
        <v>6407060.451</v>
      </c>
      <c r="BF69" s="164">
        <f>BF65</f>
        <v>22834493.28</v>
      </c>
      <c r="BG69" s="42"/>
    </row>
    <row r="70" ht="15.75" customHeight="1">
      <c r="A70" s="112"/>
      <c r="B70" s="164" t="s">
        <v>238</v>
      </c>
      <c r="C70" s="163"/>
      <c r="D70" s="164" t="s">
        <v>198</v>
      </c>
      <c r="E70" s="164"/>
      <c r="F70" s="164"/>
      <c r="G70" s="164"/>
      <c r="H70" s="164"/>
      <c r="I70" s="164"/>
      <c r="J70" s="164"/>
      <c r="K70" s="164"/>
      <c r="L70" s="164"/>
      <c r="M70" s="164">
        <f t="shared" ref="M70:AZ70" si="62">M47</f>
        <v>108239</v>
      </c>
      <c r="N70" s="164">
        <f t="shared" si="62"/>
        <v>118435.16</v>
      </c>
      <c r="O70" s="164">
        <f t="shared" si="62"/>
        <v>113533.16</v>
      </c>
      <c r="P70" s="164">
        <f t="shared" si="62"/>
        <v>177499.874</v>
      </c>
      <c r="Q70" s="164">
        <f t="shared" si="62"/>
        <v>210658.034</v>
      </c>
      <c r="R70" s="164">
        <f t="shared" si="62"/>
        <v>246602.594</v>
      </c>
      <c r="S70" s="164">
        <f t="shared" si="62"/>
        <v>282547.154</v>
      </c>
      <c r="T70" s="164">
        <f t="shared" si="62"/>
        <v>318491.714</v>
      </c>
      <c r="U70" s="164">
        <f t="shared" si="62"/>
        <v>357016.274</v>
      </c>
      <c r="V70" s="164">
        <f t="shared" si="62"/>
        <v>395540.834</v>
      </c>
      <c r="W70" s="164">
        <f t="shared" si="62"/>
        <v>431485.394</v>
      </c>
      <c r="X70" s="164">
        <f t="shared" si="62"/>
        <v>446072.198</v>
      </c>
      <c r="Y70" s="164">
        <f t="shared" si="62"/>
        <v>490510.118</v>
      </c>
      <c r="Z70" s="164">
        <f t="shared" si="62"/>
        <v>566836.838</v>
      </c>
      <c r="AA70" s="164">
        <f t="shared" si="62"/>
        <v>628973.558</v>
      </c>
      <c r="AB70" s="164">
        <f t="shared" si="62"/>
        <v>679500.278</v>
      </c>
      <c r="AC70" s="164">
        <f t="shared" si="62"/>
        <v>745333.3202</v>
      </c>
      <c r="AD70" s="164">
        <f t="shared" si="62"/>
        <v>811254.0784</v>
      </c>
      <c r="AE70" s="164">
        <f t="shared" si="62"/>
        <v>877729.9127</v>
      </c>
      <c r="AF70" s="164">
        <f t="shared" si="62"/>
        <v>944301.1384</v>
      </c>
      <c r="AG70" s="164">
        <f t="shared" si="62"/>
        <v>1011460.936</v>
      </c>
      <c r="AH70" s="164">
        <f t="shared" si="62"/>
        <v>1086208.104</v>
      </c>
      <c r="AI70" s="164">
        <f t="shared" si="62"/>
        <v>1161553.821</v>
      </c>
      <c r="AJ70" s="164">
        <f t="shared" si="62"/>
        <v>1237998.822</v>
      </c>
      <c r="AK70" s="164">
        <f t="shared" si="62"/>
        <v>1315078.94</v>
      </c>
      <c r="AL70" s="164">
        <f t="shared" si="62"/>
        <v>1393297.209</v>
      </c>
      <c r="AM70" s="164">
        <f t="shared" si="62"/>
        <v>1470432.186</v>
      </c>
      <c r="AN70" s="164">
        <f t="shared" si="62"/>
        <v>1548548.762</v>
      </c>
      <c r="AO70" s="164">
        <f t="shared" si="62"/>
        <v>1533315.771</v>
      </c>
      <c r="AP70" s="164">
        <f t="shared" si="62"/>
        <v>1508588.983</v>
      </c>
      <c r="AQ70" s="164">
        <f t="shared" si="62"/>
        <v>1472137.769</v>
      </c>
      <c r="AR70" s="164">
        <f t="shared" si="62"/>
        <v>1421166.369</v>
      </c>
      <c r="AS70" s="164">
        <f t="shared" si="62"/>
        <v>1357901.968</v>
      </c>
      <c r="AT70" s="164">
        <f t="shared" si="62"/>
        <v>1280654.836</v>
      </c>
      <c r="AU70" s="164">
        <f t="shared" si="62"/>
        <v>1192560.098</v>
      </c>
      <c r="AV70" s="164">
        <f t="shared" si="62"/>
        <v>1088089.742</v>
      </c>
      <c r="AW70" s="164">
        <f t="shared" si="62"/>
        <v>964035.7406</v>
      </c>
      <c r="AX70" s="164">
        <f t="shared" si="62"/>
        <v>822522.5678</v>
      </c>
      <c r="AY70" s="164">
        <f t="shared" si="62"/>
        <v>658100.6199</v>
      </c>
      <c r="AZ70" s="164">
        <f t="shared" si="62"/>
        <v>469391.8084</v>
      </c>
      <c r="BA70" s="112"/>
      <c r="BB70" s="164">
        <f t="shared" si="63"/>
        <v>177499.874</v>
      </c>
      <c r="BC70" s="164">
        <f t="shared" si="64"/>
        <v>679500.278</v>
      </c>
      <c r="BD70" s="164">
        <f t="shared" si="65"/>
        <v>1548548.762</v>
      </c>
      <c r="BE70" s="164">
        <f t="shared" si="66"/>
        <v>469391.8084</v>
      </c>
      <c r="BF70" s="164">
        <v>0.0</v>
      </c>
      <c r="BG70" s="42"/>
    </row>
    <row r="71" ht="15.75" customHeight="1">
      <c r="A71" s="112"/>
      <c r="B71" s="164" t="s">
        <v>239</v>
      </c>
      <c r="C71" s="163"/>
      <c r="D71" s="164" t="s">
        <v>198</v>
      </c>
      <c r="E71" s="164"/>
      <c r="F71" s="164"/>
      <c r="G71" s="164"/>
      <c r="H71" s="164"/>
      <c r="I71" s="164"/>
      <c r="J71" s="164"/>
      <c r="K71" s="164"/>
      <c r="L71" s="164"/>
      <c r="M71" s="164">
        <f>ABS(Assumptions!$D$15*(M12/30))</f>
        <v>0</v>
      </c>
      <c r="N71" s="164">
        <f>ABS(Assumptions!$D$15*(N12/30))</f>
        <v>12986.66667</v>
      </c>
      <c r="O71" s="164">
        <f>ABS(Assumptions!$D$15*(O12/30))</f>
        <v>52000</v>
      </c>
      <c r="P71" s="164">
        <f>ABS(Assumptions!$D$15*(P12/30))</f>
        <v>0</v>
      </c>
      <c r="Q71" s="164">
        <f>ABS(Assumptions!$D$15*(Q12/30))</f>
        <v>0</v>
      </c>
      <c r="R71" s="164">
        <f>ABS(Assumptions!$D$15*(R12/30))</f>
        <v>0</v>
      </c>
      <c r="S71" s="164">
        <f>ABS(Assumptions!$D$15*(S12/30))</f>
        <v>0</v>
      </c>
      <c r="T71" s="164">
        <f>ABS(Assumptions!$D$15*(T12/30))</f>
        <v>0</v>
      </c>
      <c r="U71" s="164">
        <f>ABS(Assumptions!$D$15*(U12/30))</f>
        <v>0</v>
      </c>
      <c r="V71" s="164">
        <f>ABS(Assumptions!$D$15*(V12/30))</f>
        <v>0</v>
      </c>
      <c r="W71" s="164">
        <f>ABS(Assumptions!$D$15*(W12/30))</f>
        <v>0</v>
      </c>
      <c r="X71" s="164">
        <f>ABS(Assumptions!$D$15*(X12/30))</f>
        <v>71188</v>
      </c>
      <c r="Y71" s="164">
        <f>ABS(Assumptions!$D$15*(Y12/30))</f>
        <v>0</v>
      </c>
      <c r="Z71" s="164">
        <f>ABS(Assumptions!$D$15*(Z12/30))</f>
        <v>0</v>
      </c>
      <c r="AA71" s="164">
        <f>ABS(Assumptions!$D$15*(AA12/30))</f>
        <v>0</v>
      </c>
      <c r="AB71" s="164">
        <f>ABS(Assumptions!$D$15*(AB12/30))</f>
        <v>0</v>
      </c>
      <c r="AC71" s="164">
        <f>ABS(Assumptions!$D$15*(AC12/30))</f>
        <v>464854.0997</v>
      </c>
      <c r="AD71" s="164">
        <f>ABS(Assumptions!$D$15*(AD12/30))</f>
        <v>525553.4869</v>
      </c>
      <c r="AE71" s="164">
        <f>ABS(Assumptions!$D$15*(AE12/30))</f>
        <v>563894.8584</v>
      </c>
      <c r="AF71" s="164">
        <f>ABS(Assumptions!$D$15*(AF12/30))</f>
        <v>624594.2456</v>
      </c>
      <c r="AG71" s="164">
        <f>ABS(Assumptions!$D$15*(AG12/30))</f>
        <v>693285.3107</v>
      </c>
      <c r="AH71" s="164">
        <f>ABS(Assumptions!$D$15*(AH12/30))</f>
        <v>753984.6979</v>
      </c>
      <c r="AI71" s="164">
        <f>ABS(Assumptions!$D$15*(AI12/30))</f>
        <v>822675.7629</v>
      </c>
      <c r="AJ71" s="164">
        <f>ABS(Assumptions!$D$15*(AJ12/30))</f>
        <v>891366.828</v>
      </c>
      <c r="AK71" s="164">
        <f>ABS(Assumptions!$D$15*(AK12/30))</f>
        <v>990407.5867</v>
      </c>
      <c r="AL71" s="164">
        <f>ABS(Assumptions!$D$15*(AL12/30))</f>
        <v>1089448.345</v>
      </c>
      <c r="AM71" s="164">
        <f>ABS(Assumptions!$D$15*(AM12/30))</f>
        <v>1188489.104</v>
      </c>
      <c r="AN71" s="164">
        <f>ABS(Assumptions!$D$15*(AN12/30))</f>
        <v>1295521.541</v>
      </c>
      <c r="AO71" s="164">
        <f>ABS(Assumptions!$D$15*(AO12/30))</f>
        <v>1429893.993</v>
      </c>
      <c r="AP71" s="164">
        <f>ABS(Assumptions!$D$15*(AP12/30))</f>
        <v>1559920.445</v>
      </c>
      <c r="AQ71" s="164">
        <f>ABS(Assumptions!$D$15*(AQ12/30))</f>
        <v>1720084.591</v>
      </c>
      <c r="AR71" s="164">
        <f>ABS(Assumptions!$D$15*(AR12/30))</f>
        <v>1888452.415</v>
      </c>
      <c r="AS71" s="164">
        <f>ABS(Assumptions!$D$15*(AS12/30))</f>
        <v>2056926.238</v>
      </c>
      <c r="AT71" s="164">
        <f>ABS(Assumptions!$D$15*(AT12/30))</f>
        <v>2255643.756</v>
      </c>
      <c r="AU71" s="164">
        <f>ABS(Assumptions!$D$15*(AU12/30))</f>
        <v>2484816.967</v>
      </c>
      <c r="AV71" s="164">
        <f>ABS(Assumptions!$D$15*(AV12/30))</f>
        <v>2713990.178</v>
      </c>
      <c r="AW71" s="164">
        <f>ABS(Assumptions!$D$15*(AW12/30))</f>
        <v>2981822.76</v>
      </c>
      <c r="AX71" s="164">
        <f>ABS(Assumptions!$D$15*(AX12/30))</f>
        <v>3249655.342</v>
      </c>
      <c r="AY71" s="164">
        <f>ABS(Assumptions!$D$15*(AY12/30))</f>
        <v>3578187.312</v>
      </c>
      <c r="AZ71" s="164">
        <f>ABS(Assumptions!$D$15*(AZ12/30))</f>
        <v>3898833.604</v>
      </c>
      <c r="BA71" s="112"/>
      <c r="BB71" s="164">
        <f t="shared" si="63"/>
        <v>0</v>
      </c>
      <c r="BC71" s="164">
        <f t="shared" si="64"/>
        <v>0</v>
      </c>
      <c r="BD71" s="164">
        <f t="shared" si="65"/>
        <v>1295521.541</v>
      </c>
      <c r="BE71" s="164">
        <f t="shared" si="66"/>
        <v>3898833.604</v>
      </c>
      <c r="BF71" s="164">
        <f>Assumptions!$D$15/365*BF12</f>
        <v>4886973.14</v>
      </c>
      <c r="BG71" s="42"/>
    </row>
    <row r="72" ht="15.75" customHeight="1">
      <c r="A72" s="112"/>
      <c r="B72" s="164" t="s">
        <v>240</v>
      </c>
      <c r="C72" s="163"/>
      <c r="D72" s="164" t="s">
        <v>198</v>
      </c>
      <c r="E72" s="164"/>
      <c r="F72" s="164"/>
      <c r="G72" s="164"/>
      <c r="H72" s="164"/>
      <c r="I72" s="164"/>
      <c r="J72" s="164"/>
      <c r="K72" s="164"/>
      <c r="L72" s="164"/>
      <c r="M72" s="164">
        <f>ABS(Assumptions!$D$17*(M19/30))</f>
        <v>0</v>
      </c>
      <c r="N72" s="164">
        <f>ABS(Assumptions!$D$17*(N19/30))</f>
        <v>0</v>
      </c>
      <c r="O72" s="164">
        <f>ABS(Assumptions!$D$17*(O19/30))</f>
        <v>0</v>
      </c>
      <c r="P72" s="164">
        <f>ABS(Assumptions!$D$17*(P19/30))</f>
        <v>0</v>
      </c>
      <c r="Q72" s="164">
        <f>ABS(Assumptions!$D$17*(Q19/30))</f>
        <v>0</v>
      </c>
      <c r="R72" s="164">
        <f>ABS(Assumptions!$D$17*(R19/30))</f>
        <v>0</v>
      </c>
      <c r="S72" s="164">
        <f>ABS(Assumptions!$D$17*(S19/30))</f>
        <v>0</v>
      </c>
      <c r="T72" s="164">
        <f>ABS(Assumptions!$D$17*(T19/30))</f>
        <v>0</v>
      </c>
      <c r="U72" s="164">
        <f>ABS(Assumptions!$D$17*(U19/30))</f>
        <v>0</v>
      </c>
      <c r="V72" s="164">
        <f>ABS(Assumptions!$D$17*(V19/30))</f>
        <v>0</v>
      </c>
      <c r="W72" s="164">
        <f>ABS(Assumptions!$D$17*(W19/30))</f>
        <v>0</v>
      </c>
      <c r="X72" s="164">
        <f>ABS(Assumptions!$D$17*(X19/30))</f>
        <v>0</v>
      </c>
      <c r="Y72" s="164">
        <f>ABS(Assumptions!$D$17*(Y19/30))</f>
        <v>0</v>
      </c>
      <c r="Z72" s="164">
        <f>ABS(Assumptions!$D$17*(Z19/30))</f>
        <v>0</v>
      </c>
      <c r="AA72" s="164">
        <f>ABS(Assumptions!$D$17*(AA19/30))</f>
        <v>0</v>
      </c>
      <c r="AB72" s="164">
        <f>ABS(Assumptions!$D$17*(AB19/30))</f>
        <v>0</v>
      </c>
      <c r="AC72" s="164">
        <f>ABS(Assumptions!$D$17*(AC19/30))</f>
        <v>0</v>
      </c>
      <c r="AD72" s="164">
        <f>ABS(Assumptions!$D$17*(AD19/30))</f>
        <v>0</v>
      </c>
      <c r="AE72" s="164">
        <f>ABS(Assumptions!$D$17*(AE19/30))</f>
        <v>0</v>
      </c>
      <c r="AF72" s="164">
        <f>ABS(Assumptions!$D$17*(AF19/30))</f>
        <v>0</v>
      </c>
      <c r="AG72" s="164">
        <f>ABS(Assumptions!$D$17*(AG19/30))</f>
        <v>0</v>
      </c>
      <c r="AH72" s="164">
        <f>ABS(Assumptions!$D$17*(AH19/30))</f>
        <v>0</v>
      </c>
      <c r="AI72" s="164">
        <f>ABS(Assumptions!$D$17*(AI19/30))</f>
        <v>0</v>
      </c>
      <c r="AJ72" s="164">
        <f>ABS(Assumptions!$D$17*(AJ19/30))</f>
        <v>0</v>
      </c>
      <c r="AK72" s="164">
        <f>ABS(Assumptions!$D$17*(AK19/30))</f>
        <v>0</v>
      </c>
      <c r="AL72" s="164">
        <f>ABS(Assumptions!$D$17*(AL19/30))</f>
        <v>0</v>
      </c>
      <c r="AM72" s="164">
        <f>ABS(Assumptions!$D$17*(AM19/30))</f>
        <v>0</v>
      </c>
      <c r="AN72" s="164">
        <f>ABS(Assumptions!$D$17*(AN19/30))</f>
        <v>0</v>
      </c>
      <c r="AO72" s="164">
        <f>ABS(Assumptions!$D$17*(AO19/30))</f>
        <v>0</v>
      </c>
      <c r="AP72" s="164">
        <f>ABS(Assumptions!$D$17*(AP19/30))</f>
        <v>0</v>
      </c>
      <c r="AQ72" s="164">
        <f>ABS(Assumptions!$D$17*(AQ19/30))</f>
        <v>0</v>
      </c>
      <c r="AR72" s="164">
        <f>ABS(Assumptions!$D$17*(AR19/30))</f>
        <v>0</v>
      </c>
      <c r="AS72" s="164">
        <f>ABS(Assumptions!$D$17*(AS19/30))</f>
        <v>0</v>
      </c>
      <c r="AT72" s="164">
        <f>ABS(Assumptions!$D$17*(AT19/30))</f>
        <v>0</v>
      </c>
      <c r="AU72" s="164">
        <f>ABS(Assumptions!$D$17*(AU19/30))</f>
        <v>0</v>
      </c>
      <c r="AV72" s="164">
        <f>ABS(Assumptions!$D$17*(AV19/30))</f>
        <v>0</v>
      </c>
      <c r="AW72" s="164">
        <f>ABS(Assumptions!$D$17*(AW19/30))</f>
        <v>0</v>
      </c>
      <c r="AX72" s="164">
        <f>ABS(Assumptions!$D$17*(AX19/30))</f>
        <v>0</v>
      </c>
      <c r="AY72" s="164">
        <f>ABS(Assumptions!$D$17*(AY19/30))</f>
        <v>0</v>
      </c>
      <c r="AZ72" s="164">
        <f>ABS(Assumptions!$D$17*(AZ19/30))</f>
        <v>0</v>
      </c>
      <c r="BA72" s="112"/>
      <c r="BB72" s="164">
        <f t="shared" si="63"/>
        <v>0</v>
      </c>
      <c r="BC72" s="164">
        <f t="shared" si="64"/>
        <v>0</v>
      </c>
      <c r="BD72" s="164">
        <f t="shared" si="65"/>
        <v>0</v>
      </c>
      <c r="BE72" s="164">
        <f t="shared" si="66"/>
        <v>0</v>
      </c>
      <c r="BF72" s="164">
        <v>0.0</v>
      </c>
      <c r="BG72" s="42"/>
    </row>
    <row r="73" ht="12.75" customHeight="1">
      <c r="A73" s="166"/>
      <c r="B73" s="193" t="s">
        <v>241</v>
      </c>
      <c r="C73" s="194"/>
      <c r="D73" s="195" t="s">
        <v>198</v>
      </c>
      <c r="E73" s="193"/>
      <c r="F73" s="193"/>
      <c r="G73" s="193"/>
      <c r="H73" s="193"/>
      <c r="I73" s="193"/>
      <c r="J73" s="193"/>
      <c r="K73" s="193"/>
      <c r="L73" s="193"/>
      <c r="M73" s="193">
        <f t="shared" ref="M73:AZ73" si="67">sum(M69:M72)</f>
        <v>1160347</v>
      </c>
      <c r="N73" s="193">
        <f t="shared" si="67"/>
        <v>1131023.16</v>
      </c>
      <c r="O73" s="193">
        <f t="shared" si="67"/>
        <v>1145121.16</v>
      </c>
      <c r="P73" s="193">
        <f t="shared" si="67"/>
        <v>961154.874</v>
      </c>
      <c r="Q73" s="193">
        <f t="shared" si="67"/>
        <v>865793.034</v>
      </c>
      <c r="R73" s="193">
        <f t="shared" si="67"/>
        <v>762417.594</v>
      </c>
      <c r="S73" s="193">
        <f t="shared" si="67"/>
        <v>659042.154</v>
      </c>
      <c r="T73" s="193">
        <f t="shared" si="67"/>
        <v>555666.714</v>
      </c>
      <c r="U73" s="193">
        <f t="shared" si="67"/>
        <v>744871.274</v>
      </c>
      <c r="V73" s="193">
        <f t="shared" si="67"/>
        <v>634075.834</v>
      </c>
      <c r="W73" s="193">
        <f t="shared" si="67"/>
        <v>830700.394</v>
      </c>
      <c r="X73" s="193">
        <f t="shared" si="67"/>
        <v>788749.198</v>
      </c>
      <c r="Y73" s="193">
        <f t="shared" si="67"/>
        <v>660947.118</v>
      </c>
      <c r="Z73" s="193">
        <f t="shared" si="67"/>
        <v>2941433.838</v>
      </c>
      <c r="AA73" s="193">
        <f t="shared" si="67"/>
        <v>2762730.558</v>
      </c>
      <c r="AB73" s="193">
        <f t="shared" si="67"/>
        <v>2617417.278</v>
      </c>
      <c r="AC73" s="193">
        <f t="shared" si="67"/>
        <v>3484267.66</v>
      </c>
      <c r="AD73" s="193">
        <f t="shared" si="67"/>
        <v>3464597.463</v>
      </c>
      <c r="AE73" s="193">
        <f t="shared" si="67"/>
        <v>3399771.785</v>
      </c>
      <c r="AF73" s="193">
        <f t="shared" si="67"/>
        <v>3385370.864</v>
      </c>
      <c r="AG73" s="193">
        <f t="shared" si="67"/>
        <v>3393897.058</v>
      </c>
      <c r="AH73" s="193">
        <f t="shared" si="67"/>
        <v>3365264.382</v>
      </c>
      <c r="AI73" s="193">
        <f t="shared" si="67"/>
        <v>3359530.125</v>
      </c>
      <c r="AJ73" s="193">
        <f t="shared" si="67"/>
        <v>3355632.362</v>
      </c>
      <c r="AK73" s="193">
        <f t="shared" si="67"/>
        <v>3423084.955</v>
      </c>
      <c r="AL73" s="193">
        <f t="shared" si="67"/>
        <v>3494404.257</v>
      </c>
      <c r="AM73" s="193">
        <f t="shared" si="67"/>
        <v>3575979.075</v>
      </c>
      <c r="AN73" s="193">
        <f t="shared" si="67"/>
        <v>3682206.677</v>
      </c>
      <c r="AO73" s="193">
        <f t="shared" si="67"/>
        <v>3385755.768</v>
      </c>
      <c r="AP73" s="193">
        <f t="shared" si="67"/>
        <v>3684512.261</v>
      </c>
      <c r="AQ73" s="193">
        <f t="shared" si="67"/>
        <v>4069668.881</v>
      </c>
      <c r="AR73" s="193">
        <f t="shared" si="67"/>
        <v>4512072.969</v>
      </c>
      <c r="AS73" s="193">
        <f t="shared" si="67"/>
        <v>4989950.594</v>
      </c>
      <c r="AT73" s="193">
        <f t="shared" si="67"/>
        <v>5560842.411</v>
      </c>
      <c r="AU73" s="193">
        <f t="shared" si="67"/>
        <v>6215970.395</v>
      </c>
      <c r="AV73" s="193">
        <f t="shared" si="67"/>
        <v>6918194.146</v>
      </c>
      <c r="AW73" s="193">
        <f t="shared" si="67"/>
        <v>7745266.51</v>
      </c>
      <c r="AX73" s="193">
        <f t="shared" si="67"/>
        <v>8622550.909</v>
      </c>
      <c r="AY73" s="193">
        <f t="shared" si="67"/>
        <v>9671559.311</v>
      </c>
      <c r="AZ73" s="193">
        <f t="shared" si="67"/>
        <v>10775285.86</v>
      </c>
      <c r="BA73" s="112"/>
      <c r="BB73" s="196">
        <f t="shared" si="63"/>
        <v>961154.874</v>
      </c>
      <c r="BC73" s="196">
        <f t="shared" si="64"/>
        <v>2617417.278</v>
      </c>
      <c r="BD73" s="196">
        <f t="shared" si="65"/>
        <v>3682206.677</v>
      </c>
      <c r="BE73" s="196">
        <f t="shared" si="66"/>
        <v>10775285.86</v>
      </c>
      <c r="BF73" s="196">
        <f>BF69+BF71+BF72</f>
        <v>27721466.42</v>
      </c>
      <c r="BG73" s="181"/>
    </row>
    <row r="74" ht="15.75" customHeight="1">
      <c r="A74" s="112"/>
      <c r="B74" s="163"/>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c r="AA74" s="163"/>
      <c r="AB74" s="163"/>
      <c r="AC74" s="163"/>
      <c r="AD74" s="163"/>
      <c r="AE74" s="163"/>
      <c r="AF74" s="163"/>
      <c r="AG74" s="163"/>
      <c r="AH74" s="163"/>
      <c r="AI74" s="163"/>
      <c r="AJ74" s="163"/>
      <c r="AK74" s="163"/>
      <c r="AL74" s="163"/>
      <c r="AM74" s="163"/>
      <c r="AN74" s="163"/>
      <c r="AO74" s="163"/>
      <c r="AP74" s="163"/>
      <c r="AQ74" s="163"/>
      <c r="AR74" s="163"/>
      <c r="AS74" s="163"/>
      <c r="AT74" s="163"/>
      <c r="AU74" s="163"/>
      <c r="AV74" s="163"/>
      <c r="AW74" s="163"/>
      <c r="AX74" s="163"/>
      <c r="AY74" s="163"/>
      <c r="AZ74" s="163"/>
      <c r="BA74" s="112"/>
      <c r="BB74" s="163"/>
      <c r="BC74" s="163"/>
      <c r="BD74" s="163"/>
      <c r="BE74" s="163"/>
      <c r="BF74" s="163"/>
      <c r="BG74" s="112"/>
    </row>
    <row r="75" ht="15.75" customHeight="1">
      <c r="A75" s="112"/>
      <c r="B75" s="164" t="s">
        <v>242</v>
      </c>
      <c r="C75" s="163"/>
      <c r="D75" s="164" t="s">
        <v>198</v>
      </c>
      <c r="E75" s="164"/>
      <c r="F75" s="164"/>
      <c r="G75" s="164"/>
      <c r="H75" s="164"/>
      <c r="I75" s="164"/>
      <c r="J75" s="164"/>
      <c r="K75" s="164"/>
      <c r="L75" s="164"/>
      <c r="M75" s="164">
        <v>0.0</v>
      </c>
      <c r="N75" s="164">
        <v>0.0</v>
      </c>
      <c r="O75" s="164">
        <v>0.0</v>
      </c>
      <c r="P75" s="164">
        <v>0.0</v>
      </c>
      <c r="Q75" s="164">
        <v>0.0</v>
      </c>
      <c r="R75" s="164">
        <v>0.0</v>
      </c>
      <c r="S75" s="164">
        <v>0.0</v>
      </c>
      <c r="T75" s="164">
        <v>0.0</v>
      </c>
      <c r="U75" s="164">
        <v>0.0</v>
      </c>
      <c r="V75" s="164">
        <v>0.0</v>
      </c>
      <c r="W75" s="164">
        <v>0.0</v>
      </c>
      <c r="X75" s="164">
        <v>0.0</v>
      </c>
      <c r="Y75" s="164">
        <v>0.0</v>
      </c>
      <c r="Z75" s="164">
        <v>0.0</v>
      </c>
      <c r="AA75" s="164">
        <v>0.0</v>
      </c>
      <c r="AB75" s="164">
        <v>0.0</v>
      </c>
      <c r="AC75" s="164">
        <v>0.0</v>
      </c>
      <c r="AD75" s="164">
        <v>0.0</v>
      </c>
      <c r="AE75" s="164">
        <v>0.0</v>
      </c>
      <c r="AF75" s="164">
        <v>0.0</v>
      </c>
      <c r="AG75" s="164">
        <v>0.0</v>
      </c>
      <c r="AH75" s="164">
        <v>0.0</v>
      </c>
      <c r="AI75" s="164">
        <v>0.0</v>
      </c>
      <c r="AJ75" s="164">
        <v>0.0</v>
      </c>
      <c r="AK75" s="164">
        <v>0.0</v>
      </c>
      <c r="AL75" s="164">
        <v>0.0</v>
      </c>
      <c r="AM75" s="164">
        <v>0.0</v>
      </c>
      <c r="AN75" s="164">
        <v>0.0</v>
      </c>
      <c r="AO75" s="164">
        <v>0.0</v>
      </c>
      <c r="AP75" s="164">
        <v>0.0</v>
      </c>
      <c r="AQ75" s="164">
        <v>0.0</v>
      </c>
      <c r="AR75" s="164">
        <v>0.0</v>
      </c>
      <c r="AS75" s="164">
        <v>0.0</v>
      </c>
      <c r="AT75" s="164">
        <v>0.0</v>
      </c>
      <c r="AU75" s="164">
        <v>0.0</v>
      </c>
      <c r="AV75" s="164">
        <v>0.0</v>
      </c>
      <c r="AW75" s="164">
        <v>0.0</v>
      </c>
      <c r="AX75" s="164">
        <v>0.0</v>
      </c>
      <c r="AY75" s="164">
        <v>0.0</v>
      </c>
      <c r="AZ75" s="164">
        <v>0.0</v>
      </c>
      <c r="BA75" s="112"/>
      <c r="BB75" s="164">
        <f t="shared" ref="BB75:BB77" si="69">P75</f>
        <v>0</v>
      </c>
      <c r="BC75" s="164">
        <f t="shared" ref="BC75:BC77" si="70">AB75</f>
        <v>0</v>
      </c>
      <c r="BD75" s="164">
        <f t="shared" ref="BD75:BD77" si="71">AN75</f>
        <v>0</v>
      </c>
      <c r="BE75" s="164">
        <f t="shared" ref="BE75:BE77" si="72">AZ75</f>
        <v>0</v>
      </c>
      <c r="BF75" s="164">
        <v>0.0</v>
      </c>
      <c r="BG75" s="42"/>
    </row>
    <row r="76" ht="12.75" customHeight="1">
      <c r="A76" s="166"/>
      <c r="B76" s="193" t="s">
        <v>243</v>
      </c>
      <c r="C76" s="194"/>
      <c r="D76" s="195" t="s">
        <v>198</v>
      </c>
      <c r="E76" s="193"/>
      <c r="F76" s="193"/>
      <c r="G76" s="193"/>
      <c r="H76" s="193"/>
      <c r="I76" s="193"/>
      <c r="J76" s="193"/>
      <c r="K76" s="193"/>
      <c r="L76" s="193"/>
      <c r="M76" s="193">
        <f t="shared" ref="M76:AZ76" si="68">M75</f>
        <v>0</v>
      </c>
      <c r="N76" s="193">
        <f t="shared" si="68"/>
        <v>0</v>
      </c>
      <c r="O76" s="193">
        <f t="shared" si="68"/>
        <v>0</v>
      </c>
      <c r="P76" s="193">
        <f t="shared" si="68"/>
        <v>0</v>
      </c>
      <c r="Q76" s="193">
        <f t="shared" si="68"/>
        <v>0</v>
      </c>
      <c r="R76" s="196">
        <f t="shared" si="68"/>
        <v>0</v>
      </c>
      <c r="S76" s="197">
        <f t="shared" si="68"/>
        <v>0</v>
      </c>
      <c r="T76" s="198">
        <f t="shared" si="68"/>
        <v>0</v>
      </c>
      <c r="U76" s="193">
        <f t="shared" si="68"/>
        <v>0</v>
      </c>
      <c r="V76" s="193">
        <f t="shared" si="68"/>
        <v>0</v>
      </c>
      <c r="W76" s="193">
        <f t="shared" si="68"/>
        <v>0</v>
      </c>
      <c r="X76" s="193">
        <f t="shared" si="68"/>
        <v>0</v>
      </c>
      <c r="Y76" s="193">
        <f t="shared" si="68"/>
        <v>0</v>
      </c>
      <c r="Z76" s="193">
        <f t="shared" si="68"/>
        <v>0</v>
      </c>
      <c r="AA76" s="193">
        <f t="shared" si="68"/>
        <v>0</v>
      </c>
      <c r="AB76" s="193">
        <f t="shared" si="68"/>
        <v>0</v>
      </c>
      <c r="AC76" s="193">
        <f t="shared" si="68"/>
        <v>0</v>
      </c>
      <c r="AD76" s="193">
        <f t="shared" si="68"/>
        <v>0</v>
      </c>
      <c r="AE76" s="193">
        <f t="shared" si="68"/>
        <v>0</v>
      </c>
      <c r="AF76" s="193">
        <f t="shared" si="68"/>
        <v>0</v>
      </c>
      <c r="AG76" s="193">
        <f t="shared" si="68"/>
        <v>0</v>
      </c>
      <c r="AH76" s="193">
        <f t="shared" si="68"/>
        <v>0</v>
      </c>
      <c r="AI76" s="193">
        <f t="shared" si="68"/>
        <v>0</v>
      </c>
      <c r="AJ76" s="193">
        <f t="shared" si="68"/>
        <v>0</v>
      </c>
      <c r="AK76" s="193">
        <f t="shared" si="68"/>
        <v>0</v>
      </c>
      <c r="AL76" s="193">
        <f t="shared" si="68"/>
        <v>0</v>
      </c>
      <c r="AM76" s="193">
        <f t="shared" si="68"/>
        <v>0</v>
      </c>
      <c r="AN76" s="193">
        <f t="shared" si="68"/>
        <v>0</v>
      </c>
      <c r="AO76" s="193">
        <f t="shared" si="68"/>
        <v>0</v>
      </c>
      <c r="AP76" s="193">
        <f t="shared" si="68"/>
        <v>0</v>
      </c>
      <c r="AQ76" s="193">
        <f t="shared" si="68"/>
        <v>0</v>
      </c>
      <c r="AR76" s="193">
        <f t="shared" si="68"/>
        <v>0</v>
      </c>
      <c r="AS76" s="193">
        <f t="shared" si="68"/>
        <v>0</v>
      </c>
      <c r="AT76" s="193">
        <f t="shared" si="68"/>
        <v>0</v>
      </c>
      <c r="AU76" s="193">
        <f t="shared" si="68"/>
        <v>0</v>
      </c>
      <c r="AV76" s="193">
        <f t="shared" si="68"/>
        <v>0</v>
      </c>
      <c r="AW76" s="193">
        <f t="shared" si="68"/>
        <v>0</v>
      </c>
      <c r="AX76" s="193">
        <f t="shared" si="68"/>
        <v>0</v>
      </c>
      <c r="AY76" s="193">
        <f t="shared" si="68"/>
        <v>0</v>
      </c>
      <c r="AZ76" s="196">
        <f t="shared" si="68"/>
        <v>0</v>
      </c>
      <c r="BA76" s="112"/>
      <c r="BB76" s="196">
        <f t="shared" si="69"/>
        <v>0</v>
      </c>
      <c r="BC76" s="196">
        <f t="shared" si="70"/>
        <v>0</v>
      </c>
      <c r="BD76" s="196">
        <f t="shared" si="71"/>
        <v>0</v>
      </c>
      <c r="BE76" s="196">
        <f t="shared" si="72"/>
        <v>0</v>
      </c>
      <c r="BF76" s="196">
        <f>BF75</f>
        <v>0</v>
      </c>
      <c r="BG76" s="181"/>
    </row>
    <row r="77" ht="15.75" customHeight="1">
      <c r="A77" s="173"/>
      <c r="B77" s="174" t="s">
        <v>244</v>
      </c>
      <c r="C77" s="175"/>
      <c r="D77" s="174" t="s">
        <v>198</v>
      </c>
      <c r="E77" s="174"/>
      <c r="F77" s="174"/>
      <c r="G77" s="174"/>
      <c r="H77" s="174"/>
      <c r="I77" s="174"/>
      <c r="J77" s="174"/>
      <c r="K77" s="174"/>
      <c r="L77" s="174"/>
      <c r="M77" s="174">
        <f t="shared" ref="M77:AZ77" si="73">M73+M76</f>
        <v>1160347</v>
      </c>
      <c r="N77" s="174">
        <f t="shared" si="73"/>
        <v>1131023.16</v>
      </c>
      <c r="O77" s="174">
        <f t="shared" si="73"/>
        <v>1145121.16</v>
      </c>
      <c r="P77" s="174">
        <f t="shared" si="73"/>
        <v>961154.874</v>
      </c>
      <c r="Q77" s="174">
        <f t="shared" si="73"/>
        <v>865793.034</v>
      </c>
      <c r="R77" s="174">
        <f t="shared" si="73"/>
        <v>762417.594</v>
      </c>
      <c r="S77" s="174">
        <f t="shared" si="73"/>
        <v>659042.154</v>
      </c>
      <c r="T77" s="174">
        <f t="shared" si="73"/>
        <v>555666.714</v>
      </c>
      <c r="U77" s="174">
        <f t="shared" si="73"/>
        <v>744871.274</v>
      </c>
      <c r="V77" s="174">
        <f t="shared" si="73"/>
        <v>634075.834</v>
      </c>
      <c r="W77" s="174">
        <f t="shared" si="73"/>
        <v>830700.394</v>
      </c>
      <c r="X77" s="174">
        <f t="shared" si="73"/>
        <v>788749.198</v>
      </c>
      <c r="Y77" s="174">
        <f t="shared" si="73"/>
        <v>660947.118</v>
      </c>
      <c r="Z77" s="174">
        <f t="shared" si="73"/>
        <v>2941433.838</v>
      </c>
      <c r="AA77" s="174">
        <f t="shared" si="73"/>
        <v>2762730.558</v>
      </c>
      <c r="AB77" s="174">
        <f t="shared" si="73"/>
        <v>2617417.278</v>
      </c>
      <c r="AC77" s="174">
        <f t="shared" si="73"/>
        <v>3484267.66</v>
      </c>
      <c r="AD77" s="174">
        <f t="shared" si="73"/>
        <v>3464597.463</v>
      </c>
      <c r="AE77" s="174">
        <f t="shared" si="73"/>
        <v>3399771.785</v>
      </c>
      <c r="AF77" s="174">
        <f t="shared" si="73"/>
        <v>3385370.864</v>
      </c>
      <c r="AG77" s="174">
        <f t="shared" si="73"/>
        <v>3393897.058</v>
      </c>
      <c r="AH77" s="174">
        <f t="shared" si="73"/>
        <v>3365264.382</v>
      </c>
      <c r="AI77" s="174">
        <f t="shared" si="73"/>
        <v>3359530.125</v>
      </c>
      <c r="AJ77" s="174">
        <f t="shared" si="73"/>
        <v>3355632.362</v>
      </c>
      <c r="AK77" s="174">
        <f t="shared" si="73"/>
        <v>3423084.955</v>
      </c>
      <c r="AL77" s="174">
        <f t="shared" si="73"/>
        <v>3494404.257</v>
      </c>
      <c r="AM77" s="174">
        <f t="shared" si="73"/>
        <v>3575979.075</v>
      </c>
      <c r="AN77" s="174">
        <f t="shared" si="73"/>
        <v>3682206.677</v>
      </c>
      <c r="AO77" s="174">
        <f t="shared" si="73"/>
        <v>3385755.768</v>
      </c>
      <c r="AP77" s="174">
        <f t="shared" si="73"/>
        <v>3684512.261</v>
      </c>
      <c r="AQ77" s="174">
        <f t="shared" si="73"/>
        <v>4069668.881</v>
      </c>
      <c r="AR77" s="174">
        <f t="shared" si="73"/>
        <v>4512072.969</v>
      </c>
      <c r="AS77" s="174">
        <f t="shared" si="73"/>
        <v>4989950.594</v>
      </c>
      <c r="AT77" s="174">
        <f t="shared" si="73"/>
        <v>5560842.411</v>
      </c>
      <c r="AU77" s="174">
        <f t="shared" si="73"/>
        <v>6215970.395</v>
      </c>
      <c r="AV77" s="174">
        <f t="shared" si="73"/>
        <v>6918194.146</v>
      </c>
      <c r="AW77" s="174">
        <f t="shared" si="73"/>
        <v>7745266.51</v>
      </c>
      <c r="AX77" s="174">
        <f t="shared" si="73"/>
        <v>8622550.909</v>
      </c>
      <c r="AY77" s="174">
        <f t="shared" si="73"/>
        <v>9671559.311</v>
      </c>
      <c r="AZ77" s="177">
        <f t="shared" si="73"/>
        <v>10775285.86</v>
      </c>
      <c r="BA77" s="176"/>
      <c r="BB77" s="177">
        <f t="shared" si="69"/>
        <v>961154.874</v>
      </c>
      <c r="BC77" s="177">
        <f t="shared" si="70"/>
        <v>2617417.278</v>
      </c>
      <c r="BD77" s="177">
        <f t="shared" si="71"/>
        <v>3682206.677</v>
      </c>
      <c r="BE77" s="177">
        <f t="shared" si="72"/>
        <v>10775285.86</v>
      </c>
      <c r="BF77" s="177">
        <f>BF73+BF76</f>
        <v>27721466.42</v>
      </c>
      <c r="BG77" s="178"/>
    </row>
    <row r="78" ht="15.75" customHeight="1">
      <c r="A78" s="112"/>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c r="AA78" s="163"/>
      <c r="AB78" s="163"/>
      <c r="AC78" s="163"/>
      <c r="AD78" s="163"/>
      <c r="AE78" s="163"/>
      <c r="AF78" s="163"/>
      <c r="AG78" s="163"/>
      <c r="AH78" s="163"/>
      <c r="AI78" s="163"/>
      <c r="AJ78" s="163"/>
      <c r="AK78" s="163"/>
      <c r="AL78" s="163"/>
      <c r="AM78" s="163"/>
      <c r="AN78" s="163"/>
      <c r="AO78" s="163"/>
      <c r="AP78" s="163"/>
      <c r="AQ78" s="163"/>
      <c r="AR78" s="163"/>
      <c r="AS78" s="163"/>
      <c r="AT78" s="163"/>
      <c r="AU78" s="163"/>
      <c r="AV78" s="163"/>
      <c r="AW78" s="163"/>
      <c r="AX78" s="163"/>
      <c r="AY78" s="163"/>
      <c r="AZ78" s="163"/>
      <c r="BA78" s="112"/>
      <c r="BB78" s="163"/>
      <c r="BC78" s="163"/>
      <c r="BD78" s="163"/>
      <c r="BE78" s="163"/>
      <c r="BF78" s="163"/>
      <c r="BG78" s="112"/>
    </row>
    <row r="79" ht="13.5" customHeight="1">
      <c r="A79" s="166"/>
      <c r="B79" s="167" t="s">
        <v>245</v>
      </c>
      <c r="C79" s="168"/>
      <c r="D79" s="168"/>
      <c r="E79" s="168"/>
      <c r="F79" s="168"/>
      <c r="G79" s="168"/>
      <c r="H79" s="168"/>
      <c r="I79" s="168"/>
      <c r="J79" s="168"/>
      <c r="K79" s="168"/>
      <c r="L79" s="168"/>
      <c r="M79" s="168"/>
      <c r="N79" s="168"/>
      <c r="O79" s="168"/>
      <c r="P79" s="168"/>
      <c r="Q79" s="168"/>
      <c r="R79" s="169"/>
      <c r="S79" s="170"/>
      <c r="T79" s="171"/>
      <c r="U79" s="168"/>
      <c r="V79" s="168"/>
      <c r="W79" s="168"/>
      <c r="X79" s="168"/>
      <c r="Y79" s="168"/>
      <c r="Z79" s="168"/>
      <c r="AA79" s="168"/>
      <c r="AB79" s="168"/>
      <c r="AC79" s="168"/>
      <c r="AD79" s="168"/>
      <c r="AE79" s="168"/>
      <c r="AF79" s="168"/>
      <c r="AG79" s="168"/>
      <c r="AH79" s="168"/>
      <c r="AI79" s="168"/>
      <c r="AJ79" s="168"/>
      <c r="AK79" s="168"/>
      <c r="AL79" s="168"/>
      <c r="AM79" s="168"/>
      <c r="AN79" s="168"/>
      <c r="AO79" s="168"/>
      <c r="AP79" s="168"/>
      <c r="AQ79" s="168"/>
      <c r="AR79" s="168"/>
      <c r="AS79" s="168"/>
      <c r="AT79" s="168"/>
      <c r="AU79" s="168"/>
      <c r="AV79" s="168"/>
      <c r="AW79" s="168"/>
      <c r="AX79" s="168"/>
      <c r="AY79" s="168"/>
      <c r="AZ79" s="169"/>
      <c r="BA79" s="112"/>
      <c r="BB79" s="169"/>
      <c r="BC79" s="169"/>
      <c r="BD79" s="169"/>
      <c r="BE79" s="169"/>
      <c r="BF79" s="169"/>
      <c r="BG79" s="112"/>
    </row>
    <row r="80" ht="15.75" customHeight="1">
      <c r="A80" s="112"/>
      <c r="B80" s="164" t="s">
        <v>246</v>
      </c>
      <c r="C80" s="163"/>
      <c r="D80" s="164" t="s">
        <v>198</v>
      </c>
      <c r="E80" s="164"/>
      <c r="F80" s="164"/>
      <c r="G80" s="164"/>
      <c r="H80" s="164"/>
      <c r="I80" s="164"/>
      <c r="J80" s="164"/>
      <c r="K80" s="164"/>
      <c r="L80" s="164"/>
      <c r="M80" s="164">
        <f>ABS(Assumptions!$D$16*(M19/30))</f>
        <v>0</v>
      </c>
      <c r="N80" s="164">
        <f>ABS(Assumptions!$D$16*(N19/30))</f>
        <v>0</v>
      </c>
      <c r="O80" s="164">
        <f>ABS(Assumptions!$D$16*(O19/30))</f>
        <v>0</v>
      </c>
      <c r="P80" s="164">
        <f>ABS(Assumptions!$D$16*(P19/30))</f>
        <v>0</v>
      </c>
      <c r="Q80" s="164">
        <f>ABS(Assumptions!$D$16*(Q19/30))</f>
        <v>0</v>
      </c>
      <c r="R80" s="164">
        <f>ABS(Assumptions!$D$16*(R19/30))</f>
        <v>0</v>
      </c>
      <c r="S80" s="164">
        <f>ABS(Assumptions!$D$16*(S19/30))</f>
        <v>0</v>
      </c>
      <c r="T80" s="164">
        <f>ABS(Assumptions!$D$16*(T19/30))</f>
        <v>0</v>
      </c>
      <c r="U80" s="164">
        <f>ABS(Assumptions!$D$16*(U19/30))</f>
        <v>0</v>
      </c>
      <c r="V80" s="164">
        <f>ABS(Assumptions!$D$16*(V19/30))</f>
        <v>0</v>
      </c>
      <c r="W80" s="164">
        <f>ABS(Assumptions!$D$16*(W19/30))</f>
        <v>0</v>
      </c>
      <c r="X80" s="164">
        <f>ABS(Assumptions!$D$16*(X19/30))</f>
        <v>0</v>
      </c>
      <c r="Y80" s="164">
        <f>ABS(Assumptions!$D$16*(Y19/30))</f>
        <v>0</v>
      </c>
      <c r="Z80" s="164">
        <f>ABS(Assumptions!$D$16*(Z19/30))</f>
        <v>0</v>
      </c>
      <c r="AA80" s="164">
        <f>ABS(Assumptions!$D$16*(AA19/30))</f>
        <v>0</v>
      </c>
      <c r="AB80" s="164">
        <f>ABS(Assumptions!$D$16*(AB19/30))</f>
        <v>0</v>
      </c>
      <c r="AC80" s="164">
        <f>ABS(Assumptions!$D$16*(AC19/30))</f>
        <v>1022626.17</v>
      </c>
      <c r="AD80" s="164">
        <f>ABS(Assumptions!$D$16*(AD19/30))</f>
        <v>1154700.03</v>
      </c>
      <c r="AE80" s="164">
        <f>ABS(Assumptions!$D$16*(AE19/30))</f>
        <v>1240358.79</v>
      </c>
      <c r="AF80" s="164">
        <f>ABS(Assumptions!$D$16*(AF19/30))</f>
        <v>1372432.65</v>
      </c>
      <c r="AG80" s="164">
        <f>ABS(Assumptions!$D$16*(AG19/30))</f>
        <v>1524128.34</v>
      </c>
      <c r="AH80" s="164">
        <f>ABS(Assumptions!$D$16*(AH19/30))</f>
        <v>1656202.2</v>
      </c>
      <c r="AI80" s="164">
        <f>ABS(Assumptions!$D$16*(AI19/30))</f>
        <v>1807897.89</v>
      </c>
      <c r="AJ80" s="164">
        <f>ABS(Assumptions!$D$16*(AJ19/30))</f>
        <v>1959593.58</v>
      </c>
      <c r="AK80" s="164">
        <f>ABS(Assumptions!$D$16*(AK19/30))</f>
        <v>2177326.2</v>
      </c>
      <c r="AL80" s="164">
        <f>ABS(Assumptions!$D$16*(AL19/30))</f>
        <v>2395058.82</v>
      </c>
      <c r="AM80" s="164">
        <f>ABS(Assumptions!$D$16*(AM19/30))</f>
        <v>2612791.44</v>
      </c>
      <c r="AN80" s="164">
        <f>ABS(Assumptions!$D$16*(AN19/30))</f>
        <v>2850145.89</v>
      </c>
      <c r="AO80" s="164">
        <f>ABS(Assumptions!$D$16*(AO19/30))</f>
        <v>2509885.374</v>
      </c>
      <c r="AP80" s="164">
        <f>ABS(Assumptions!$D$16*(AP19/30))</f>
        <v>2737528.392</v>
      </c>
      <c r="AQ80" s="164">
        <f>ABS(Assumptions!$D$16*(AQ19/30))</f>
        <v>3017852.448</v>
      </c>
      <c r="AR80" s="164">
        <f>ABS(Assumptions!$D$16*(AR19/30))</f>
        <v>3313664.37</v>
      </c>
      <c r="AS80" s="164">
        <f>ABS(Assumptions!$D$16*(AS19/30))</f>
        <v>3609595.542</v>
      </c>
      <c r="AT80" s="164">
        <f>ABS(Assumptions!$D$16*(AT19/30))</f>
        <v>3958327.002</v>
      </c>
      <c r="AU80" s="164">
        <f>ABS(Assumptions!$D$16*(AU19/30))</f>
        <v>4360097.25</v>
      </c>
      <c r="AV80" s="164">
        <f>ABS(Assumptions!$D$16*(AV19/30))</f>
        <v>4761867.498</v>
      </c>
      <c r="AW80" s="164">
        <f>ABS(Assumptions!$D$16*(AW19/30))</f>
        <v>5232164.4</v>
      </c>
      <c r="AX80" s="164">
        <f>ABS(Assumptions!$D$16*(AX19/30))</f>
        <v>5702461.302</v>
      </c>
      <c r="AY80" s="164">
        <f>ABS(Assumptions!$D$16*(AY19/30))</f>
        <v>6278597.28</v>
      </c>
      <c r="AZ80" s="164">
        <f>ABS(Assumptions!$D$16*(AZ19/30))</f>
        <v>6839603.142</v>
      </c>
      <c r="BA80" s="112"/>
      <c r="BB80" s="164">
        <f t="shared" ref="BB80:BB81" si="75">P80</f>
        <v>0</v>
      </c>
      <c r="BC80" s="164">
        <f t="shared" ref="BC80:BC81" si="76">AB80</f>
        <v>0</v>
      </c>
      <c r="BD80" s="164">
        <f t="shared" ref="BD80:BD81" si="77">AN80</f>
        <v>2850145.89</v>
      </c>
      <c r="BE80" s="164">
        <f t="shared" ref="BE80:BE81" si="78">AZ80</f>
        <v>6839603.142</v>
      </c>
      <c r="BF80" s="164">
        <f>Assumptions!$D$16/365*BF19</f>
        <v>6933199.068</v>
      </c>
      <c r="BG80" s="42"/>
    </row>
    <row r="81" ht="12.75" customHeight="1">
      <c r="A81" s="166"/>
      <c r="B81" s="193" t="s">
        <v>247</v>
      </c>
      <c r="C81" s="194"/>
      <c r="D81" s="195" t="s">
        <v>198</v>
      </c>
      <c r="E81" s="193"/>
      <c r="F81" s="193"/>
      <c r="G81" s="193"/>
      <c r="H81" s="193"/>
      <c r="I81" s="193"/>
      <c r="J81" s="193"/>
      <c r="K81" s="193"/>
      <c r="L81" s="193"/>
      <c r="M81" s="193">
        <f t="shared" ref="M81:AZ81" si="74">sum(M80)</f>
        <v>0</v>
      </c>
      <c r="N81" s="193">
        <f t="shared" si="74"/>
        <v>0</v>
      </c>
      <c r="O81" s="193">
        <f t="shared" si="74"/>
        <v>0</v>
      </c>
      <c r="P81" s="193">
        <f t="shared" si="74"/>
        <v>0</v>
      </c>
      <c r="Q81" s="193">
        <f t="shared" si="74"/>
        <v>0</v>
      </c>
      <c r="R81" s="193">
        <f t="shared" si="74"/>
        <v>0</v>
      </c>
      <c r="S81" s="193">
        <f t="shared" si="74"/>
        <v>0</v>
      </c>
      <c r="T81" s="193">
        <f t="shared" si="74"/>
        <v>0</v>
      </c>
      <c r="U81" s="193">
        <f t="shared" si="74"/>
        <v>0</v>
      </c>
      <c r="V81" s="193">
        <f t="shared" si="74"/>
        <v>0</v>
      </c>
      <c r="W81" s="193">
        <f t="shared" si="74"/>
        <v>0</v>
      </c>
      <c r="X81" s="193">
        <f t="shared" si="74"/>
        <v>0</v>
      </c>
      <c r="Y81" s="193">
        <f t="shared" si="74"/>
        <v>0</v>
      </c>
      <c r="Z81" s="193">
        <f t="shared" si="74"/>
        <v>0</v>
      </c>
      <c r="AA81" s="193">
        <f t="shared" si="74"/>
        <v>0</v>
      </c>
      <c r="AB81" s="193">
        <f t="shared" si="74"/>
        <v>0</v>
      </c>
      <c r="AC81" s="193">
        <f t="shared" si="74"/>
        <v>1022626.17</v>
      </c>
      <c r="AD81" s="193">
        <f t="shared" si="74"/>
        <v>1154700.03</v>
      </c>
      <c r="AE81" s="193">
        <f t="shared" si="74"/>
        <v>1240358.79</v>
      </c>
      <c r="AF81" s="193">
        <f t="shared" si="74"/>
        <v>1372432.65</v>
      </c>
      <c r="AG81" s="193">
        <f t="shared" si="74"/>
        <v>1524128.34</v>
      </c>
      <c r="AH81" s="193">
        <f t="shared" si="74"/>
        <v>1656202.2</v>
      </c>
      <c r="AI81" s="193">
        <f t="shared" si="74"/>
        <v>1807897.89</v>
      </c>
      <c r="AJ81" s="193">
        <f t="shared" si="74"/>
        <v>1959593.58</v>
      </c>
      <c r="AK81" s="193">
        <f t="shared" si="74"/>
        <v>2177326.2</v>
      </c>
      <c r="AL81" s="193">
        <f t="shared" si="74"/>
        <v>2395058.82</v>
      </c>
      <c r="AM81" s="193">
        <f t="shared" si="74"/>
        <v>2612791.44</v>
      </c>
      <c r="AN81" s="193">
        <f t="shared" si="74"/>
        <v>2850145.89</v>
      </c>
      <c r="AO81" s="193">
        <f t="shared" si="74"/>
        <v>2509885.374</v>
      </c>
      <c r="AP81" s="193">
        <f t="shared" si="74"/>
        <v>2737528.392</v>
      </c>
      <c r="AQ81" s="193">
        <f t="shared" si="74"/>
        <v>3017852.448</v>
      </c>
      <c r="AR81" s="193">
        <f t="shared" si="74"/>
        <v>3313664.37</v>
      </c>
      <c r="AS81" s="193">
        <f t="shared" si="74"/>
        <v>3609595.542</v>
      </c>
      <c r="AT81" s="193">
        <f t="shared" si="74"/>
        <v>3958327.002</v>
      </c>
      <c r="AU81" s="193">
        <f t="shared" si="74"/>
        <v>4360097.25</v>
      </c>
      <c r="AV81" s="193">
        <f t="shared" si="74"/>
        <v>4761867.498</v>
      </c>
      <c r="AW81" s="193">
        <f t="shared" si="74"/>
        <v>5232164.4</v>
      </c>
      <c r="AX81" s="193">
        <f t="shared" si="74"/>
        <v>5702461.302</v>
      </c>
      <c r="AY81" s="193">
        <f t="shared" si="74"/>
        <v>6278597.28</v>
      </c>
      <c r="AZ81" s="193">
        <f t="shared" si="74"/>
        <v>6839603.142</v>
      </c>
      <c r="BA81" s="112"/>
      <c r="BB81" s="196">
        <f t="shared" si="75"/>
        <v>0</v>
      </c>
      <c r="BC81" s="196">
        <f t="shared" si="76"/>
        <v>0</v>
      </c>
      <c r="BD81" s="196">
        <f t="shared" si="77"/>
        <v>2850145.89</v>
      </c>
      <c r="BE81" s="196">
        <f t="shared" si="78"/>
        <v>6839603.142</v>
      </c>
      <c r="BF81" s="196">
        <f>BF80</f>
        <v>6933199.068</v>
      </c>
      <c r="BG81" s="181"/>
    </row>
    <row r="82" ht="15.75" customHeight="1">
      <c r="A82" s="112"/>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c r="AA82" s="163"/>
      <c r="AB82" s="163"/>
      <c r="AC82" s="163"/>
      <c r="AD82" s="163"/>
      <c r="AE82" s="163"/>
      <c r="AF82" s="163"/>
      <c r="AG82" s="163"/>
      <c r="AH82" s="163"/>
      <c r="AI82" s="163"/>
      <c r="AJ82" s="163"/>
      <c r="AK82" s="163"/>
      <c r="AL82" s="163"/>
      <c r="AM82" s="163"/>
      <c r="AN82" s="163"/>
      <c r="AO82" s="163"/>
      <c r="AP82" s="163"/>
      <c r="AQ82" s="163"/>
      <c r="AR82" s="163"/>
      <c r="AS82" s="163"/>
      <c r="AT82" s="163"/>
      <c r="AU82" s="163"/>
      <c r="AV82" s="163"/>
      <c r="AW82" s="163"/>
      <c r="AX82" s="163"/>
      <c r="AY82" s="163"/>
      <c r="AZ82" s="163"/>
      <c r="BA82" s="112"/>
      <c r="BB82" s="163"/>
      <c r="BC82" s="163"/>
      <c r="BD82" s="163"/>
      <c r="BE82" s="163"/>
      <c r="BF82" s="163"/>
      <c r="BG82" s="112"/>
    </row>
    <row r="83" ht="15.75" customHeight="1">
      <c r="A83" s="112"/>
      <c r="B83" s="164"/>
      <c r="C83" s="163"/>
      <c r="D83" s="164"/>
      <c r="E83" s="164"/>
      <c r="F83" s="164"/>
      <c r="G83" s="164"/>
      <c r="H83" s="164"/>
      <c r="I83" s="164"/>
      <c r="J83" s="164"/>
      <c r="K83" s="164"/>
      <c r="L83" s="164"/>
      <c r="M83" s="164"/>
      <c r="N83" s="164"/>
      <c r="O83" s="164"/>
      <c r="P83" s="164"/>
      <c r="Q83" s="164"/>
      <c r="R83" s="164"/>
      <c r="S83" s="164"/>
      <c r="T83" s="164"/>
      <c r="U83" s="164"/>
      <c r="V83" s="164"/>
      <c r="W83" s="164"/>
      <c r="X83" s="164"/>
      <c r="Y83" s="164"/>
      <c r="Z83" s="164"/>
      <c r="AA83" s="164"/>
      <c r="AB83" s="164"/>
      <c r="AC83" s="164"/>
      <c r="AD83" s="164"/>
      <c r="AE83" s="164"/>
      <c r="AF83" s="164"/>
      <c r="AG83" s="164"/>
      <c r="AH83" s="164"/>
      <c r="AI83" s="164"/>
      <c r="AJ83" s="164"/>
      <c r="AK83" s="164"/>
      <c r="AL83" s="164"/>
      <c r="AM83" s="164"/>
      <c r="AN83" s="164"/>
      <c r="AO83" s="164"/>
      <c r="AP83" s="164"/>
      <c r="AQ83" s="164"/>
      <c r="AR83" s="164"/>
      <c r="AS83" s="164"/>
      <c r="AT83" s="164"/>
      <c r="AU83" s="164"/>
      <c r="AV83" s="164"/>
      <c r="AW83" s="164"/>
      <c r="AX83" s="164"/>
      <c r="AY83" s="164"/>
      <c r="AZ83" s="164"/>
      <c r="BA83" s="164"/>
      <c r="BB83" s="164"/>
      <c r="BC83" s="164"/>
      <c r="BD83" s="164"/>
      <c r="BE83" s="164"/>
      <c r="BF83" s="164"/>
      <c r="BG83" s="42"/>
    </row>
    <row r="84" ht="15.75" customHeight="1">
      <c r="A84" s="112"/>
      <c r="B84" s="164" t="s">
        <v>229</v>
      </c>
      <c r="C84" s="163"/>
      <c r="D84" s="164" t="s">
        <v>198</v>
      </c>
      <c r="E84" s="164"/>
      <c r="F84" s="164"/>
      <c r="G84" s="164"/>
      <c r="H84" s="164"/>
      <c r="I84" s="164"/>
      <c r="J84" s="164"/>
      <c r="K84" s="164"/>
      <c r="L84" s="164"/>
      <c r="M84" s="164"/>
      <c r="N84" s="164"/>
      <c r="O84" s="164"/>
      <c r="P84" s="164"/>
      <c r="Q84" s="164">
        <v>0.0</v>
      </c>
      <c r="R84" s="164">
        <v>0.0</v>
      </c>
      <c r="S84" s="164">
        <v>0.0</v>
      </c>
      <c r="T84" s="164">
        <v>0.0</v>
      </c>
      <c r="U84" s="164">
        <v>0.0</v>
      </c>
      <c r="V84" s="164" t="str">
        <f>V59</f>
        <v/>
      </c>
      <c r="W84" s="164">
        <f>V84+W59</f>
        <v>300000</v>
      </c>
      <c r="X84" s="164">
        <f t="shared" ref="X84:Y84" si="79">W84</f>
        <v>300000</v>
      </c>
      <c r="Y84" s="164">
        <f t="shared" si="79"/>
        <v>300000</v>
      </c>
      <c r="Z84" s="164">
        <v>0.0</v>
      </c>
      <c r="AA84" s="164">
        <v>0.0</v>
      </c>
      <c r="AB84" s="164">
        <v>0.0</v>
      </c>
      <c r="AC84" s="164">
        <v>0.0</v>
      </c>
      <c r="AD84" s="164">
        <v>0.0</v>
      </c>
      <c r="AE84" s="164">
        <v>0.0</v>
      </c>
      <c r="AF84" s="164">
        <v>0.0</v>
      </c>
      <c r="AG84" s="164">
        <v>0.0</v>
      </c>
      <c r="AH84" s="164">
        <v>0.0</v>
      </c>
      <c r="AI84" s="164">
        <v>0.0</v>
      </c>
      <c r="AJ84" s="164">
        <v>0.0</v>
      </c>
      <c r="AK84" s="164">
        <v>0.0</v>
      </c>
      <c r="AL84" s="164">
        <v>0.0</v>
      </c>
      <c r="AM84" s="164">
        <v>0.0</v>
      </c>
      <c r="AN84" s="164">
        <v>0.0</v>
      </c>
      <c r="AO84" s="164">
        <v>0.0</v>
      </c>
      <c r="AP84" s="164">
        <v>0.0</v>
      </c>
      <c r="AQ84" s="164">
        <v>0.0</v>
      </c>
      <c r="AR84" s="164">
        <v>0.0</v>
      </c>
      <c r="AS84" s="164">
        <v>0.0</v>
      </c>
      <c r="AT84" s="164">
        <v>0.0</v>
      </c>
      <c r="AU84" s="164">
        <v>0.0</v>
      </c>
      <c r="AV84" s="164">
        <v>0.0</v>
      </c>
      <c r="AW84" s="164">
        <v>0.0</v>
      </c>
      <c r="AX84" s="164">
        <v>0.0</v>
      </c>
      <c r="AY84" s="164">
        <v>0.0</v>
      </c>
      <c r="AZ84" s="164">
        <v>0.0</v>
      </c>
      <c r="BA84" s="112"/>
      <c r="BB84" s="164">
        <v>0.0</v>
      </c>
      <c r="BC84" s="164">
        <f t="shared" ref="BC84:BC86" si="81">AB84</f>
        <v>0</v>
      </c>
      <c r="BD84" s="164">
        <f t="shared" ref="BD84:BD86" si="82">AN84</f>
        <v>0</v>
      </c>
      <c r="BE84" s="164">
        <f t="shared" ref="BE84:BE86" si="83">AZ84</f>
        <v>0</v>
      </c>
      <c r="BF84" s="164">
        <v>0.0</v>
      </c>
      <c r="BG84" s="42"/>
    </row>
    <row r="85" ht="15.75" customHeight="1">
      <c r="A85" s="112"/>
      <c r="B85" s="164" t="s">
        <v>248</v>
      </c>
      <c r="C85" s="163"/>
      <c r="D85" s="164"/>
      <c r="E85" s="164">
        <f t="shared" ref="E85:AZ85" si="80">MIN(E96,1000)*714</f>
        <v>0</v>
      </c>
      <c r="F85" s="164">
        <f t="shared" si="80"/>
        <v>0</v>
      </c>
      <c r="G85" s="164">
        <f t="shared" si="80"/>
        <v>0</v>
      </c>
      <c r="H85" s="164">
        <f t="shared" si="80"/>
        <v>0</v>
      </c>
      <c r="I85" s="164">
        <f t="shared" si="80"/>
        <v>0</v>
      </c>
      <c r="J85" s="164">
        <f t="shared" si="80"/>
        <v>0</v>
      </c>
      <c r="K85" s="164">
        <f t="shared" si="80"/>
        <v>0</v>
      </c>
      <c r="L85" s="164">
        <f t="shared" si="80"/>
        <v>0</v>
      </c>
      <c r="M85" s="164">
        <f t="shared" si="80"/>
        <v>0</v>
      </c>
      <c r="N85" s="164">
        <f t="shared" si="80"/>
        <v>0</v>
      </c>
      <c r="O85" s="164">
        <f t="shared" si="80"/>
        <v>0</v>
      </c>
      <c r="P85" s="164">
        <f t="shared" si="80"/>
        <v>0</v>
      </c>
      <c r="Q85" s="164">
        <f t="shared" si="80"/>
        <v>0</v>
      </c>
      <c r="R85" s="164">
        <f t="shared" si="80"/>
        <v>0</v>
      </c>
      <c r="S85" s="164">
        <f t="shared" si="80"/>
        <v>0</v>
      </c>
      <c r="T85" s="164">
        <f t="shared" si="80"/>
        <v>0</v>
      </c>
      <c r="U85" s="164">
        <f t="shared" si="80"/>
        <v>0</v>
      </c>
      <c r="V85" s="164">
        <f t="shared" si="80"/>
        <v>0</v>
      </c>
      <c r="W85" s="164">
        <f t="shared" si="80"/>
        <v>0</v>
      </c>
      <c r="X85" s="164">
        <f t="shared" si="80"/>
        <v>0</v>
      </c>
      <c r="Y85" s="164">
        <f t="shared" si="80"/>
        <v>0</v>
      </c>
      <c r="Z85" s="164">
        <f t="shared" si="80"/>
        <v>0</v>
      </c>
      <c r="AA85" s="164">
        <f t="shared" si="80"/>
        <v>0</v>
      </c>
      <c r="AB85" s="164">
        <f t="shared" si="80"/>
        <v>0</v>
      </c>
      <c r="AC85" s="164">
        <f t="shared" si="80"/>
        <v>33558</v>
      </c>
      <c r="AD85" s="164">
        <f t="shared" si="80"/>
        <v>71400</v>
      </c>
      <c r="AE85" s="164">
        <f t="shared" si="80"/>
        <v>112098</v>
      </c>
      <c r="AF85" s="164">
        <f t="shared" si="80"/>
        <v>157080</v>
      </c>
      <c r="AG85" s="164">
        <f t="shared" si="80"/>
        <v>207060</v>
      </c>
      <c r="AH85" s="164">
        <f t="shared" si="80"/>
        <v>261324</v>
      </c>
      <c r="AI85" s="164">
        <f t="shared" si="80"/>
        <v>320586</v>
      </c>
      <c r="AJ85" s="164">
        <f t="shared" si="80"/>
        <v>384846</v>
      </c>
      <c r="AK85" s="164">
        <f t="shared" si="80"/>
        <v>456246</v>
      </c>
      <c r="AL85" s="164">
        <f t="shared" si="80"/>
        <v>534786</v>
      </c>
      <c r="AM85" s="164">
        <f t="shared" si="80"/>
        <v>620466</v>
      </c>
      <c r="AN85" s="164">
        <f t="shared" si="80"/>
        <v>714000</v>
      </c>
      <c r="AO85" s="164">
        <f t="shared" si="80"/>
        <v>714000</v>
      </c>
      <c r="AP85" s="164">
        <f t="shared" si="80"/>
        <v>714000</v>
      </c>
      <c r="AQ85" s="164">
        <f t="shared" si="80"/>
        <v>714000</v>
      </c>
      <c r="AR85" s="164">
        <f t="shared" si="80"/>
        <v>714000</v>
      </c>
      <c r="AS85" s="164">
        <f t="shared" si="80"/>
        <v>714000</v>
      </c>
      <c r="AT85" s="164">
        <f t="shared" si="80"/>
        <v>714000</v>
      </c>
      <c r="AU85" s="164">
        <f t="shared" si="80"/>
        <v>714000</v>
      </c>
      <c r="AV85" s="164">
        <f t="shared" si="80"/>
        <v>714000</v>
      </c>
      <c r="AW85" s="164">
        <f t="shared" si="80"/>
        <v>714000</v>
      </c>
      <c r="AX85" s="164">
        <f t="shared" si="80"/>
        <v>714000</v>
      </c>
      <c r="AY85" s="164">
        <f t="shared" si="80"/>
        <v>714000</v>
      </c>
      <c r="AZ85" s="164">
        <f t="shared" si="80"/>
        <v>714000</v>
      </c>
      <c r="BA85" s="112"/>
      <c r="BB85" s="164"/>
      <c r="BC85" s="164">
        <f t="shared" si="81"/>
        <v>0</v>
      </c>
      <c r="BD85" s="164">
        <f t="shared" si="82"/>
        <v>714000</v>
      </c>
      <c r="BE85" s="164">
        <f t="shared" si="83"/>
        <v>714000</v>
      </c>
      <c r="BF85" s="164">
        <v>0.0</v>
      </c>
      <c r="BG85" s="42"/>
    </row>
    <row r="86" ht="12.75" customHeight="1">
      <c r="A86" s="166"/>
      <c r="B86" s="193" t="s">
        <v>249</v>
      </c>
      <c r="C86" s="194"/>
      <c r="D86" s="195" t="s">
        <v>198</v>
      </c>
      <c r="E86" s="193">
        <f t="shared" ref="E86:AZ86" si="84">E83+E84+E85</f>
        <v>0</v>
      </c>
      <c r="F86" s="193">
        <f t="shared" si="84"/>
        <v>0</v>
      </c>
      <c r="G86" s="193">
        <f t="shared" si="84"/>
        <v>0</v>
      </c>
      <c r="H86" s="193">
        <f t="shared" si="84"/>
        <v>0</v>
      </c>
      <c r="I86" s="193">
        <f t="shared" si="84"/>
        <v>0</v>
      </c>
      <c r="J86" s="193">
        <f t="shared" si="84"/>
        <v>0</v>
      </c>
      <c r="K86" s="193">
        <f t="shared" si="84"/>
        <v>0</v>
      </c>
      <c r="L86" s="193">
        <f t="shared" si="84"/>
        <v>0</v>
      </c>
      <c r="M86" s="193">
        <f t="shared" si="84"/>
        <v>0</v>
      </c>
      <c r="N86" s="193">
        <f t="shared" si="84"/>
        <v>0</v>
      </c>
      <c r="O86" s="193">
        <f t="shared" si="84"/>
        <v>0</v>
      </c>
      <c r="P86" s="193">
        <f t="shared" si="84"/>
        <v>0</v>
      </c>
      <c r="Q86" s="193">
        <f t="shared" si="84"/>
        <v>0</v>
      </c>
      <c r="R86" s="193">
        <f t="shared" si="84"/>
        <v>0</v>
      </c>
      <c r="S86" s="193">
        <f t="shared" si="84"/>
        <v>0</v>
      </c>
      <c r="T86" s="193">
        <f t="shared" si="84"/>
        <v>0</v>
      </c>
      <c r="U86" s="193">
        <f t="shared" si="84"/>
        <v>0</v>
      </c>
      <c r="V86" s="193">
        <f t="shared" si="84"/>
        <v>0</v>
      </c>
      <c r="W86" s="193">
        <f t="shared" si="84"/>
        <v>300000</v>
      </c>
      <c r="X86" s="193">
        <f t="shared" si="84"/>
        <v>300000</v>
      </c>
      <c r="Y86" s="193">
        <f t="shared" si="84"/>
        <v>300000</v>
      </c>
      <c r="Z86" s="193">
        <f t="shared" si="84"/>
        <v>0</v>
      </c>
      <c r="AA86" s="193">
        <f t="shared" si="84"/>
        <v>0</v>
      </c>
      <c r="AB86" s="193">
        <f t="shared" si="84"/>
        <v>0</v>
      </c>
      <c r="AC86" s="193">
        <f t="shared" si="84"/>
        <v>33558</v>
      </c>
      <c r="AD86" s="193">
        <f t="shared" si="84"/>
        <v>71400</v>
      </c>
      <c r="AE86" s="193">
        <f t="shared" si="84"/>
        <v>112098</v>
      </c>
      <c r="AF86" s="193">
        <f t="shared" si="84"/>
        <v>157080</v>
      </c>
      <c r="AG86" s="193">
        <f t="shared" si="84"/>
        <v>207060</v>
      </c>
      <c r="AH86" s="193">
        <f t="shared" si="84"/>
        <v>261324</v>
      </c>
      <c r="AI86" s="193">
        <f t="shared" si="84"/>
        <v>320586</v>
      </c>
      <c r="AJ86" s="193">
        <f t="shared" si="84"/>
        <v>384846</v>
      </c>
      <c r="AK86" s="193">
        <f t="shared" si="84"/>
        <v>456246</v>
      </c>
      <c r="AL86" s="193">
        <f t="shared" si="84"/>
        <v>534786</v>
      </c>
      <c r="AM86" s="193">
        <f t="shared" si="84"/>
        <v>620466</v>
      </c>
      <c r="AN86" s="193">
        <f t="shared" si="84"/>
        <v>714000</v>
      </c>
      <c r="AO86" s="193">
        <f t="shared" si="84"/>
        <v>714000</v>
      </c>
      <c r="AP86" s="193">
        <f t="shared" si="84"/>
        <v>714000</v>
      </c>
      <c r="AQ86" s="193">
        <f t="shared" si="84"/>
        <v>714000</v>
      </c>
      <c r="AR86" s="193">
        <f t="shared" si="84"/>
        <v>714000</v>
      </c>
      <c r="AS86" s="193">
        <f t="shared" si="84"/>
        <v>714000</v>
      </c>
      <c r="AT86" s="193">
        <f t="shared" si="84"/>
        <v>714000</v>
      </c>
      <c r="AU86" s="193">
        <f t="shared" si="84"/>
        <v>714000</v>
      </c>
      <c r="AV86" s="193">
        <f t="shared" si="84"/>
        <v>714000</v>
      </c>
      <c r="AW86" s="193">
        <f t="shared" si="84"/>
        <v>714000</v>
      </c>
      <c r="AX86" s="193">
        <f t="shared" si="84"/>
        <v>714000</v>
      </c>
      <c r="AY86" s="193">
        <f t="shared" si="84"/>
        <v>714000</v>
      </c>
      <c r="AZ86" s="193">
        <f t="shared" si="84"/>
        <v>714000</v>
      </c>
      <c r="BA86" s="112"/>
      <c r="BB86" s="196">
        <f>P86</f>
        <v>0</v>
      </c>
      <c r="BC86" s="196">
        <f t="shared" si="81"/>
        <v>0</v>
      </c>
      <c r="BD86" s="196">
        <f t="shared" si="82"/>
        <v>714000</v>
      </c>
      <c r="BE86" s="196">
        <f t="shared" si="83"/>
        <v>714000</v>
      </c>
      <c r="BF86" s="196">
        <f>sum(BF83:BF85)</f>
        <v>0</v>
      </c>
      <c r="BG86" s="181"/>
    </row>
    <row r="87" ht="15.75" customHeight="1">
      <c r="A87" s="112"/>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c r="AA87" s="163"/>
      <c r="AB87" s="163"/>
      <c r="AC87" s="163"/>
      <c r="AD87" s="163"/>
      <c r="AE87" s="163"/>
      <c r="AF87" s="163"/>
      <c r="AG87" s="163"/>
      <c r="AH87" s="163"/>
      <c r="AI87" s="163"/>
      <c r="AJ87" s="163"/>
      <c r="AK87" s="163"/>
      <c r="AL87" s="163"/>
      <c r="AM87" s="163"/>
      <c r="AN87" s="163"/>
      <c r="AO87" s="163"/>
      <c r="AP87" s="163"/>
      <c r="AQ87" s="163"/>
      <c r="AR87" s="163"/>
      <c r="AS87" s="163"/>
      <c r="AT87" s="163"/>
      <c r="AU87" s="163"/>
      <c r="AV87" s="163"/>
      <c r="AW87" s="163"/>
      <c r="AX87" s="163"/>
      <c r="AY87" s="163"/>
      <c r="AZ87" s="163"/>
      <c r="BA87" s="112"/>
      <c r="BB87" s="163"/>
      <c r="BC87" s="163"/>
      <c r="BD87" s="163"/>
      <c r="BE87" s="163"/>
      <c r="BF87" s="163"/>
      <c r="BG87" s="112"/>
    </row>
    <row r="88" ht="15.75" customHeight="1">
      <c r="A88" s="112"/>
      <c r="B88" s="164" t="s">
        <v>250</v>
      </c>
      <c r="C88" s="163"/>
      <c r="D88" s="164" t="s">
        <v>198</v>
      </c>
      <c r="E88" s="164"/>
      <c r="F88" s="164"/>
      <c r="G88" s="164"/>
      <c r="H88" s="164"/>
      <c r="I88" s="164"/>
      <c r="J88" s="164"/>
      <c r="K88" s="164"/>
      <c r="L88" s="164"/>
      <c r="M88" s="164">
        <f>M64</f>
        <v>1111108</v>
      </c>
      <c r="N88" s="164">
        <f t="shared" ref="N88:Y88" si="85">M88</f>
        <v>1111108</v>
      </c>
      <c r="O88" s="164">
        <f t="shared" si="85"/>
        <v>1111108</v>
      </c>
      <c r="P88" s="164">
        <f t="shared" si="85"/>
        <v>1111108</v>
      </c>
      <c r="Q88" s="164">
        <f t="shared" si="85"/>
        <v>1111108</v>
      </c>
      <c r="R88" s="164">
        <f t="shared" si="85"/>
        <v>1111108</v>
      </c>
      <c r="S88" s="164">
        <f t="shared" si="85"/>
        <v>1111108</v>
      </c>
      <c r="T88" s="164">
        <f t="shared" si="85"/>
        <v>1111108</v>
      </c>
      <c r="U88" s="164">
        <f t="shared" si="85"/>
        <v>1111108</v>
      </c>
      <c r="V88" s="164">
        <f t="shared" si="85"/>
        <v>1111108</v>
      </c>
      <c r="W88" s="164">
        <f t="shared" si="85"/>
        <v>1111108</v>
      </c>
      <c r="X88" s="164">
        <f t="shared" si="85"/>
        <v>1111108</v>
      </c>
      <c r="Y88" s="164">
        <f t="shared" si="85"/>
        <v>1111108</v>
      </c>
      <c r="Z88" s="164">
        <f>Y88+Y84</f>
        <v>1411108</v>
      </c>
      <c r="AA88" s="164">
        <f t="shared" ref="AA88:AZ88" si="86">Z88</f>
        <v>1411108</v>
      </c>
      <c r="AB88" s="164">
        <f t="shared" si="86"/>
        <v>1411108</v>
      </c>
      <c r="AC88" s="164">
        <f t="shared" si="86"/>
        <v>1411108</v>
      </c>
      <c r="AD88" s="164">
        <f t="shared" si="86"/>
        <v>1411108</v>
      </c>
      <c r="AE88" s="164">
        <f t="shared" si="86"/>
        <v>1411108</v>
      </c>
      <c r="AF88" s="164">
        <f t="shared" si="86"/>
        <v>1411108</v>
      </c>
      <c r="AG88" s="164">
        <f t="shared" si="86"/>
        <v>1411108</v>
      </c>
      <c r="AH88" s="164">
        <f t="shared" si="86"/>
        <v>1411108</v>
      </c>
      <c r="AI88" s="164">
        <f t="shared" si="86"/>
        <v>1411108</v>
      </c>
      <c r="AJ88" s="164">
        <f t="shared" si="86"/>
        <v>1411108</v>
      </c>
      <c r="AK88" s="164">
        <f t="shared" si="86"/>
        <v>1411108</v>
      </c>
      <c r="AL88" s="164">
        <f t="shared" si="86"/>
        <v>1411108</v>
      </c>
      <c r="AM88" s="164">
        <f t="shared" si="86"/>
        <v>1411108</v>
      </c>
      <c r="AN88" s="164">
        <f t="shared" si="86"/>
        <v>1411108</v>
      </c>
      <c r="AO88" s="164">
        <f t="shared" si="86"/>
        <v>1411108</v>
      </c>
      <c r="AP88" s="164">
        <f t="shared" si="86"/>
        <v>1411108</v>
      </c>
      <c r="AQ88" s="164">
        <f t="shared" si="86"/>
        <v>1411108</v>
      </c>
      <c r="AR88" s="164">
        <f t="shared" si="86"/>
        <v>1411108</v>
      </c>
      <c r="AS88" s="164">
        <f t="shared" si="86"/>
        <v>1411108</v>
      </c>
      <c r="AT88" s="164">
        <f t="shared" si="86"/>
        <v>1411108</v>
      </c>
      <c r="AU88" s="164">
        <f t="shared" si="86"/>
        <v>1411108</v>
      </c>
      <c r="AV88" s="164">
        <f t="shared" si="86"/>
        <v>1411108</v>
      </c>
      <c r="AW88" s="164">
        <f t="shared" si="86"/>
        <v>1411108</v>
      </c>
      <c r="AX88" s="164">
        <f t="shared" si="86"/>
        <v>1411108</v>
      </c>
      <c r="AY88" s="164">
        <f t="shared" si="86"/>
        <v>1411108</v>
      </c>
      <c r="AZ88" s="164">
        <f t="shared" si="86"/>
        <v>1411108</v>
      </c>
      <c r="BA88" s="112"/>
      <c r="BB88" s="164">
        <f t="shared" ref="BB88:BB92" si="88">P88</f>
        <v>1111108</v>
      </c>
      <c r="BC88" s="164">
        <f t="shared" ref="BC88:BC92" si="89">AB88</f>
        <v>1411108</v>
      </c>
      <c r="BD88" s="164">
        <f t="shared" ref="BD88:BD92" si="90">AN88</f>
        <v>1411108</v>
      </c>
      <c r="BE88" s="164">
        <f t="shared" ref="BE88:BE92" si="91">AZ88</f>
        <v>1411108</v>
      </c>
      <c r="BF88" s="164">
        <f t="shared" ref="BF88:BF89" si="92">BE88</f>
        <v>1411108</v>
      </c>
      <c r="BG88" s="42"/>
    </row>
    <row r="89" ht="15.75" customHeight="1">
      <c r="A89" s="112"/>
      <c r="B89" s="164" t="s">
        <v>251</v>
      </c>
      <c r="C89" s="163"/>
      <c r="D89" s="164" t="s">
        <v>198</v>
      </c>
      <c r="E89" s="164"/>
      <c r="F89" s="164"/>
      <c r="G89" s="164"/>
      <c r="H89" s="164"/>
      <c r="I89" s="164"/>
      <c r="J89" s="164"/>
      <c r="K89" s="164"/>
      <c r="L89" s="164"/>
      <c r="M89" s="164">
        <f>M58+M58</f>
        <v>0</v>
      </c>
      <c r="N89" s="164">
        <f t="shared" ref="N89:AZ89" si="87">M89+N58</f>
        <v>0</v>
      </c>
      <c r="O89" s="164">
        <f t="shared" si="87"/>
        <v>0</v>
      </c>
      <c r="P89" s="164">
        <f t="shared" si="87"/>
        <v>0</v>
      </c>
      <c r="Q89" s="164">
        <f t="shared" si="87"/>
        <v>0</v>
      </c>
      <c r="R89" s="164">
        <f t="shared" si="87"/>
        <v>0</v>
      </c>
      <c r="S89" s="164">
        <f t="shared" si="87"/>
        <v>0</v>
      </c>
      <c r="T89" s="164">
        <f t="shared" si="87"/>
        <v>0</v>
      </c>
      <c r="U89" s="164">
        <f t="shared" si="87"/>
        <v>300000</v>
      </c>
      <c r="V89" s="164">
        <f t="shared" si="87"/>
        <v>300000</v>
      </c>
      <c r="W89" s="164">
        <f t="shared" si="87"/>
        <v>300000</v>
      </c>
      <c r="X89" s="164">
        <f t="shared" si="87"/>
        <v>300000</v>
      </c>
      <c r="Y89" s="164">
        <f t="shared" si="87"/>
        <v>300000</v>
      </c>
      <c r="Z89" s="164">
        <f t="shared" si="87"/>
        <v>2800000</v>
      </c>
      <c r="AA89" s="164">
        <f t="shared" si="87"/>
        <v>2800000</v>
      </c>
      <c r="AB89" s="164">
        <f t="shared" si="87"/>
        <v>2800000</v>
      </c>
      <c r="AC89" s="164">
        <f t="shared" si="87"/>
        <v>2800000</v>
      </c>
      <c r="AD89" s="164">
        <f t="shared" si="87"/>
        <v>2800000</v>
      </c>
      <c r="AE89" s="164">
        <f t="shared" si="87"/>
        <v>2800000</v>
      </c>
      <c r="AF89" s="164">
        <f t="shared" si="87"/>
        <v>2800000</v>
      </c>
      <c r="AG89" s="164">
        <f t="shared" si="87"/>
        <v>2800000</v>
      </c>
      <c r="AH89" s="164">
        <f t="shared" si="87"/>
        <v>2800000</v>
      </c>
      <c r="AI89" s="164">
        <f t="shared" si="87"/>
        <v>2800000</v>
      </c>
      <c r="AJ89" s="164">
        <f t="shared" si="87"/>
        <v>2800000</v>
      </c>
      <c r="AK89" s="164">
        <f t="shared" si="87"/>
        <v>2800000</v>
      </c>
      <c r="AL89" s="164">
        <f t="shared" si="87"/>
        <v>2800000</v>
      </c>
      <c r="AM89" s="164">
        <f t="shared" si="87"/>
        <v>2800000</v>
      </c>
      <c r="AN89" s="164">
        <f t="shared" si="87"/>
        <v>2800000</v>
      </c>
      <c r="AO89" s="164">
        <f t="shared" si="87"/>
        <v>2800000</v>
      </c>
      <c r="AP89" s="164">
        <f t="shared" si="87"/>
        <v>2800000</v>
      </c>
      <c r="AQ89" s="164">
        <f t="shared" si="87"/>
        <v>2800000</v>
      </c>
      <c r="AR89" s="164">
        <f t="shared" si="87"/>
        <v>2800000</v>
      </c>
      <c r="AS89" s="164">
        <f t="shared" si="87"/>
        <v>2800000</v>
      </c>
      <c r="AT89" s="164">
        <f t="shared" si="87"/>
        <v>2800000</v>
      </c>
      <c r="AU89" s="164">
        <f t="shared" si="87"/>
        <v>2800000</v>
      </c>
      <c r="AV89" s="164">
        <f t="shared" si="87"/>
        <v>2800000</v>
      </c>
      <c r="AW89" s="164">
        <f t="shared" si="87"/>
        <v>2800000</v>
      </c>
      <c r="AX89" s="164">
        <f t="shared" si="87"/>
        <v>2800000</v>
      </c>
      <c r="AY89" s="164">
        <f t="shared" si="87"/>
        <v>2800000</v>
      </c>
      <c r="AZ89" s="164">
        <f t="shared" si="87"/>
        <v>2800000</v>
      </c>
      <c r="BA89" s="112"/>
      <c r="BB89" s="164">
        <f t="shared" si="88"/>
        <v>0</v>
      </c>
      <c r="BC89" s="164">
        <f t="shared" si="89"/>
        <v>2800000</v>
      </c>
      <c r="BD89" s="164">
        <f t="shared" si="90"/>
        <v>2800000</v>
      </c>
      <c r="BE89" s="164">
        <f t="shared" si="91"/>
        <v>2800000</v>
      </c>
      <c r="BF89" s="164">
        <f t="shared" si="92"/>
        <v>2800000</v>
      </c>
      <c r="BG89" s="42"/>
    </row>
    <row r="90" ht="15.75" customHeight="1">
      <c r="A90" s="112"/>
      <c r="B90" s="164" t="s">
        <v>252</v>
      </c>
      <c r="C90" s="163"/>
      <c r="D90" s="164" t="s">
        <v>198</v>
      </c>
      <c r="E90" s="164"/>
      <c r="F90" s="164"/>
      <c r="G90" s="164"/>
      <c r="H90" s="164"/>
      <c r="I90" s="164"/>
      <c r="J90" s="164"/>
      <c r="K90" s="164"/>
      <c r="L90" s="164"/>
      <c r="M90" s="164">
        <f>M50</f>
        <v>-59000</v>
      </c>
      <c r="N90" s="164">
        <f t="shared" ref="N90:AZ90" si="93">M90+N44</f>
        <v>-98520</v>
      </c>
      <c r="O90" s="164">
        <f t="shared" si="93"/>
        <v>-79520</v>
      </c>
      <c r="P90" s="164">
        <f t="shared" si="93"/>
        <v>-327453</v>
      </c>
      <c r="Q90" s="164">
        <f t="shared" si="93"/>
        <v>-455973</v>
      </c>
      <c r="R90" s="164">
        <f t="shared" si="93"/>
        <v>-595293</v>
      </c>
      <c r="S90" s="164">
        <f t="shared" si="93"/>
        <v>-734613</v>
      </c>
      <c r="T90" s="164">
        <f t="shared" si="93"/>
        <v>-873933</v>
      </c>
      <c r="U90" s="164">
        <f t="shared" si="93"/>
        <v>-1023253</v>
      </c>
      <c r="V90" s="164">
        <f t="shared" si="93"/>
        <v>-1172573</v>
      </c>
      <c r="W90" s="164">
        <f t="shared" si="93"/>
        <v>-1311893</v>
      </c>
      <c r="X90" s="164">
        <f t="shared" si="93"/>
        <v>-1368431</v>
      </c>
      <c r="Y90" s="164">
        <f t="shared" si="93"/>
        <v>-1540671</v>
      </c>
      <c r="Z90" s="164">
        <f t="shared" si="93"/>
        <v>-1836511</v>
      </c>
      <c r="AA90" s="164">
        <f t="shared" si="93"/>
        <v>-2077351</v>
      </c>
      <c r="AB90" s="164">
        <f t="shared" si="93"/>
        <v>-2273191</v>
      </c>
      <c r="AC90" s="164">
        <f t="shared" si="93"/>
        <v>-2528357.83</v>
      </c>
      <c r="AD90" s="164">
        <f t="shared" si="93"/>
        <v>-2783864.645</v>
      </c>
      <c r="AE90" s="164">
        <f t="shared" si="93"/>
        <v>-3041522.917</v>
      </c>
      <c r="AF90" s="164">
        <f t="shared" si="93"/>
        <v>-3299550.924</v>
      </c>
      <c r="AG90" s="164">
        <f t="shared" si="93"/>
        <v>-3559860.218</v>
      </c>
      <c r="AH90" s="164">
        <f t="shared" si="93"/>
        <v>-3849577.921</v>
      </c>
      <c r="AI90" s="164">
        <f t="shared" si="93"/>
        <v>-4141615.587</v>
      </c>
      <c r="AJ90" s="164">
        <f t="shared" si="93"/>
        <v>-4437914.04</v>
      </c>
      <c r="AK90" s="164">
        <f t="shared" si="93"/>
        <v>-4736674.185</v>
      </c>
      <c r="AL90" s="164">
        <f t="shared" si="93"/>
        <v>-5039845.772</v>
      </c>
      <c r="AM90" s="164">
        <f t="shared" si="93"/>
        <v>-5338818.551</v>
      </c>
      <c r="AN90" s="164">
        <f t="shared" si="93"/>
        <v>-5641595.975</v>
      </c>
      <c r="AO90" s="164">
        <f t="shared" si="93"/>
        <v>-5582553.378</v>
      </c>
      <c r="AP90" s="164">
        <f t="shared" si="93"/>
        <v>-5486713.114</v>
      </c>
      <c r="AQ90" s="164">
        <f t="shared" si="93"/>
        <v>-5345429.336</v>
      </c>
      <c r="AR90" s="164">
        <f t="shared" si="93"/>
        <v>-5147865.77</v>
      </c>
      <c r="AS90" s="164">
        <f t="shared" si="93"/>
        <v>-4902654.916</v>
      </c>
      <c r="AT90" s="164">
        <f t="shared" si="93"/>
        <v>-4603247.427</v>
      </c>
      <c r="AU90" s="164">
        <f t="shared" si="93"/>
        <v>-4261794.953</v>
      </c>
      <c r="AV90" s="164">
        <f t="shared" si="93"/>
        <v>-3856871.094</v>
      </c>
      <c r="AW90" s="164">
        <f t="shared" si="93"/>
        <v>-3376041.63</v>
      </c>
      <c r="AX90" s="164">
        <f t="shared" si="93"/>
        <v>-2827540.961</v>
      </c>
      <c r="AY90" s="164">
        <f t="shared" si="93"/>
        <v>-2190246.589</v>
      </c>
      <c r="AZ90" s="164">
        <f t="shared" si="93"/>
        <v>-1458817.087</v>
      </c>
      <c r="BA90" s="112"/>
      <c r="BB90" s="164">
        <f t="shared" si="88"/>
        <v>-327453</v>
      </c>
      <c r="BC90" s="164">
        <f t="shared" si="89"/>
        <v>-2273191</v>
      </c>
      <c r="BD90" s="164">
        <f t="shared" si="90"/>
        <v>-5641595.975</v>
      </c>
      <c r="BE90" s="164">
        <f t="shared" si="91"/>
        <v>-1458817.087</v>
      </c>
      <c r="BF90" s="164">
        <f>BE90+BF44</f>
        <v>16577159.35</v>
      </c>
      <c r="BG90" s="42"/>
    </row>
    <row r="91" ht="12.75" customHeight="1">
      <c r="A91" s="166"/>
      <c r="B91" s="193" t="s">
        <v>253</v>
      </c>
      <c r="C91" s="194"/>
      <c r="D91" s="195" t="s">
        <v>198</v>
      </c>
      <c r="E91" s="193"/>
      <c r="F91" s="193"/>
      <c r="G91" s="193"/>
      <c r="H91" s="193"/>
      <c r="I91" s="193"/>
      <c r="J91" s="193"/>
      <c r="K91" s="193"/>
      <c r="L91" s="193"/>
      <c r="M91" s="193">
        <f t="shared" ref="M91:AZ91" si="94">M88+M89+M90+M47</f>
        <v>1160347</v>
      </c>
      <c r="N91" s="193">
        <f t="shared" si="94"/>
        <v>1131023.16</v>
      </c>
      <c r="O91" s="193">
        <f t="shared" si="94"/>
        <v>1145121.16</v>
      </c>
      <c r="P91" s="193">
        <f t="shared" si="94"/>
        <v>961154.874</v>
      </c>
      <c r="Q91" s="193">
        <f t="shared" si="94"/>
        <v>865793.034</v>
      </c>
      <c r="R91" s="193">
        <f t="shared" si="94"/>
        <v>762417.594</v>
      </c>
      <c r="S91" s="193">
        <f t="shared" si="94"/>
        <v>659042.154</v>
      </c>
      <c r="T91" s="193">
        <f t="shared" si="94"/>
        <v>555666.714</v>
      </c>
      <c r="U91" s="193">
        <f t="shared" si="94"/>
        <v>744871.274</v>
      </c>
      <c r="V91" s="193">
        <f t="shared" si="94"/>
        <v>634075.834</v>
      </c>
      <c r="W91" s="193">
        <f t="shared" si="94"/>
        <v>530700.394</v>
      </c>
      <c r="X91" s="193">
        <f t="shared" si="94"/>
        <v>488749.198</v>
      </c>
      <c r="Y91" s="193">
        <f t="shared" si="94"/>
        <v>360947.118</v>
      </c>
      <c r="Z91" s="193">
        <f t="shared" si="94"/>
        <v>2941433.838</v>
      </c>
      <c r="AA91" s="193">
        <f t="shared" si="94"/>
        <v>2762730.558</v>
      </c>
      <c r="AB91" s="193">
        <f t="shared" si="94"/>
        <v>2617417.278</v>
      </c>
      <c r="AC91" s="193">
        <f t="shared" si="94"/>
        <v>2428083.49</v>
      </c>
      <c r="AD91" s="193">
        <f t="shared" si="94"/>
        <v>2238497.433</v>
      </c>
      <c r="AE91" s="193">
        <f t="shared" si="94"/>
        <v>2047314.995</v>
      </c>
      <c r="AF91" s="193">
        <f t="shared" si="94"/>
        <v>1855858.214</v>
      </c>
      <c r="AG91" s="193">
        <f t="shared" si="94"/>
        <v>1662708.718</v>
      </c>
      <c r="AH91" s="193">
        <f t="shared" si="94"/>
        <v>1447738.182</v>
      </c>
      <c r="AI91" s="193">
        <f t="shared" si="94"/>
        <v>1231046.235</v>
      </c>
      <c r="AJ91" s="193">
        <f t="shared" si="94"/>
        <v>1011192.782</v>
      </c>
      <c r="AK91" s="193">
        <f t="shared" si="94"/>
        <v>789512.7549</v>
      </c>
      <c r="AL91" s="193">
        <f t="shared" si="94"/>
        <v>564559.4373</v>
      </c>
      <c r="AM91" s="193">
        <f t="shared" si="94"/>
        <v>342721.6353</v>
      </c>
      <c r="AN91" s="193">
        <f t="shared" si="94"/>
        <v>118060.7866</v>
      </c>
      <c r="AO91" s="193">
        <f t="shared" si="94"/>
        <v>161870.3937</v>
      </c>
      <c r="AP91" s="193">
        <f t="shared" si="94"/>
        <v>232983.8693</v>
      </c>
      <c r="AQ91" s="193">
        <f t="shared" si="94"/>
        <v>337816.4328</v>
      </c>
      <c r="AR91" s="193">
        <f t="shared" si="94"/>
        <v>484408.5988</v>
      </c>
      <c r="AS91" s="193">
        <f t="shared" si="94"/>
        <v>666355.0522</v>
      </c>
      <c r="AT91" s="193">
        <f t="shared" si="94"/>
        <v>888515.4095</v>
      </c>
      <c r="AU91" s="193">
        <f t="shared" si="94"/>
        <v>1141873.145</v>
      </c>
      <c r="AV91" s="193">
        <f t="shared" si="94"/>
        <v>1442326.648</v>
      </c>
      <c r="AW91" s="193">
        <f t="shared" si="94"/>
        <v>1799102.11</v>
      </c>
      <c r="AX91" s="193">
        <f t="shared" si="94"/>
        <v>2206089.607</v>
      </c>
      <c r="AY91" s="193">
        <f t="shared" si="94"/>
        <v>2678962.031</v>
      </c>
      <c r="AZ91" s="193">
        <f t="shared" si="94"/>
        <v>3221682.721</v>
      </c>
      <c r="BA91" s="112"/>
      <c r="BB91" s="196">
        <f t="shared" si="88"/>
        <v>961154.874</v>
      </c>
      <c r="BC91" s="196">
        <f t="shared" si="89"/>
        <v>2617417.278</v>
      </c>
      <c r="BD91" s="196">
        <f t="shared" si="90"/>
        <v>118060.7866</v>
      </c>
      <c r="BE91" s="196">
        <f t="shared" si="91"/>
        <v>3221682.721</v>
      </c>
      <c r="BF91" s="196">
        <f>sum(BF88:BF90)</f>
        <v>20788267.35</v>
      </c>
      <c r="BG91" s="181"/>
    </row>
    <row r="92" ht="15.75" customHeight="1">
      <c r="A92" s="173"/>
      <c r="B92" s="174" t="s">
        <v>254</v>
      </c>
      <c r="C92" s="175"/>
      <c r="D92" s="174" t="s">
        <v>198</v>
      </c>
      <c r="E92" s="174"/>
      <c r="F92" s="174"/>
      <c r="G92" s="174"/>
      <c r="H92" s="174"/>
      <c r="I92" s="174"/>
      <c r="J92" s="174"/>
      <c r="K92" s="174"/>
      <c r="L92" s="174"/>
      <c r="M92" s="174">
        <f t="shared" ref="M92:AZ92" si="95">M81+M86+M91</f>
        <v>1160347</v>
      </c>
      <c r="N92" s="174">
        <f t="shared" si="95"/>
        <v>1131023.16</v>
      </c>
      <c r="O92" s="174">
        <f t="shared" si="95"/>
        <v>1145121.16</v>
      </c>
      <c r="P92" s="174">
        <f t="shared" si="95"/>
        <v>961154.874</v>
      </c>
      <c r="Q92" s="174">
        <f t="shared" si="95"/>
        <v>865793.034</v>
      </c>
      <c r="R92" s="174">
        <f t="shared" si="95"/>
        <v>762417.594</v>
      </c>
      <c r="S92" s="174">
        <f t="shared" si="95"/>
        <v>659042.154</v>
      </c>
      <c r="T92" s="174">
        <f t="shared" si="95"/>
        <v>555666.714</v>
      </c>
      <c r="U92" s="174">
        <f t="shared" si="95"/>
        <v>744871.274</v>
      </c>
      <c r="V92" s="174">
        <f t="shared" si="95"/>
        <v>634075.834</v>
      </c>
      <c r="W92" s="174">
        <f t="shared" si="95"/>
        <v>830700.394</v>
      </c>
      <c r="X92" s="174">
        <f t="shared" si="95"/>
        <v>788749.198</v>
      </c>
      <c r="Y92" s="174">
        <f t="shared" si="95"/>
        <v>660947.118</v>
      </c>
      <c r="Z92" s="174">
        <f t="shared" si="95"/>
        <v>2941433.838</v>
      </c>
      <c r="AA92" s="174">
        <f t="shared" si="95"/>
        <v>2762730.558</v>
      </c>
      <c r="AB92" s="174">
        <f t="shared" si="95"/>
        <v>2617417.278</v>
      </c>
      <c r="AC92" s="174">
        <f t="shared" si="95"/>
        <v>3484267.66</v>
      </c>
      <c r="AD92" s="174">
        <f t="shared" si="95"/>
        <v>3464597.463</v>
      </c>
      <c r="AE92" s="174">
        <f t="shared" si="95"/>
        <v>3399771.785</v>
      </c>
      <c r="AF92" s="174">
        <f t="shared" si="95"/>
        <v>3385370.864</v>
      </c>
      <c r="AG92" s="174">
        <f t="shared" si="95"/>
        <v>3393897.058</v>
      </c>
      <c r="AH92" s="174">
        <f t="shared" si="95"/>
        <v>3365264.382</v>
      </c>
      <c r="AI92" s="174">
        <f t="shared" si="95"/>
        <v>3359530.125</v>
      </c>
      <c r="AJ92" s="174">
        <f t="shared" si="95"/>
        <v>3355632.362</v>
      </c>
      <c r="AK92" s="174">
        <f t="shared" si="95"/>
        <v>3423084.955</v>
      </c>
      <c r="AL92" s="174">
        <f t="shared" si="95"/>
        <v>3494404.257</v>
      </c>
      <c r="AM92" s="174">
        <f t="shared" si="95"/>
        <v>3575979.075</v>
      </c>
      <c r="AN92" s="174">
        <f t="shared" si="95"/>
        <v>3682206.677</v>
      </c>
      <c r="AO92" s="174">
        <f t="shared" si="95"/>
        <v>3385755.768</v>
      </c>
      <c r="AP92" s="174">
        <f t="shared" si="95"/>
        <v>3684512.261</v>
      </c>
      <c r="AQ92" s="174">
        <f t="shared" si="95"/>
        <v>4069668.881</v>
      </c>
      <c r="AR92" s="174">
        <f t="shared" si="95"/>
        <v>4512072.969</v>
      </c>
      <c r="AS92" s="174">
        <f t="shared" si="95"/>
        <v>4989950.594</v>
      </c>
      <c r="AT92" s="174">
        <f t="shared" si="95"/>
        <v>5560842.411</v>
      </c>
      <c r="AU92" s="174">
        <f t="shared" si="95"/>
        <v>6215970.395</v>
      </c>
      <c r="AV92" s="174">
        <f t="shared" si="95"/>
        <v>6918194.146</v>
      </c>
      <c r="AW92" s="174">
        <f t="shared" si="95"/>
        <v>7745266.51</v>
      </c>
      <c r="AX92" s="174">
        <f t="shared" si="95"/>
        <v>8622550.909</v>
      </c>
      <c r="AY92" s="174">
        <f t="shared" si="95"/>
        <v>9671559.311</v>
      </c>
      <c r="AZ92" s="177">
        <f t="shared" si="95"/>
        <v>10775285.86</v>
      </c>
      <c r="BA92" s="176"/>
      <c r="BB92" s="177">
        <f t="shared" si="88"/>
        <v>961154.874</v>
      </c>
      <c r="BC92" s="177">
        <f t="shared" si="89"/>
        <v>2617417.278</v>
      </c>
      <c r="BD92" s="177">
        <f t="shared" si="90"/>
        <v>3682206.677</v>
      </c>
      <c r="BE92" s="177">
        <f t="shared" si="91"/>
        <v>10775285.86</v>
      </c>
      <c r="BF92" s="177">
        <f>BF81+BF86+BF91</f>
        <v>27721466.42</v>
      </c>
      <c r="BG92" s="178"/>
    </row>
    <row r="93" ht="15.75" customHeight="1">
      <c r="A93" s="112"/>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c r="AA93" s="163"/>
      <c r="AB93" s="163"/>
      <c r="AC93" s="163"/>
      <c r="AD93" s="163"/>
      <c r="AE93" s="163"/>
      <c r="AF93" s="163"/>
      <c r="AG93" s="163"/>
      <c r="AH93" s="163"/>
      <c r="AI93" s="163"/>
      <c r="AJ93" s="163"/>
      <c r="AK93" s="163"/>
      <c r="AL93" s="163"/>
      <c r="AM93" s="163"/>
      <c r="AN93" s="163"/>
      <c r="AO93" s="163"/>
      <c r="AP93" s="163"/>
      <c r="AQ93" s="163"/>
      <c r="AR93" s="163"/>
      <c r="AS93" s="163"/>
      <c r="AT93" s="163"/>
      <c r="AU93" s="163"/>
      <c r="AV93" s="163"/>
      <c r="AW93" s="163"/>
      <c r="AX93" s="163"/>
      <c r="AY93" s="163"/>
      <c r="AZ93" s="163"/>
      <c r="BA93" s="112"/>
      <c r="BB93" s="163"/>
      <c r="BC93" s="163"/>
      <c r="BD93" s="163"/>
      <c r="BE93" s="163"/>
      <c r="BF93" s="163"/>
      <c r="BG93" s="112"/>
    </row>
    <row r="94" ht="15.75" customHeight="1">
      <c r="A94" s="112"/>
      <c r="B94" s="211" t="s">
        <v>255</v>
      </c>
      <c r="C94" s="163"/>
      <c r="D94" s="163"/>
      <c r="E94" s="211"/>
      <c r="F94" s="211"/>
      <c r="G94" s="211"/>
      <c r="H94" s="211"/>
      <c r="I94" s="211"/>
      <c r="J94" s="211"/>
      <c r="K94" s="211"/>
      <c r="L94" s="211"/>
      <c r="M94" s="211">
        <f t="shared" ref="M94:AZ94" si="96">M77-M92</f>
        <v>0</v>
      </c>
      <c r="N94" s="211">
        <f t="shared" si="96"/>
        <v>0.0000000002328306437</v>
      </c>
      <c r="O94" s="211">
        <f t="shared" si="96"/>
        <v>0</v>
      </c>
      <c r="P94" s="211">
        <f t="shared" si="96"/>
        <v>0</v>
      </c>
      <c r="Q94" s="211">
        <f t="shared" si="96"/>
        <v>0</v>
      </c>
      <c r="R94" s="211">
        <f t="shared" si="96"/>
        <v>0</v>
      </c>
      <c r="S94" s="211">
        <f t="shared" si="96"/>
        <v>0</v>
      </c>
      <c r="T94" s="211">
        <f t="shared" si="96"/>
        <v>0</v>
      </c>
      <c r="U94" s="211">
        <f t="shared" si="96"/>
        <v>0</v>
      </c>
      <c r="V94" s="211">
        <f t="shared" si="96"/>
        <v>0</v>
      </c>
      <c r="W94" s="211">
        <f t="shared" si="96"/>
        <v>0</v>
      </c>
      <c r="X94" s="211">
        <f t="shared" si="96"/>
        <v>0</v>
      </c>
      <c r="Y94" s="211">
        <f t="shared" si="96"/>
        <v>0</v>
      </c>
      <c r="Z94" s="211">
        <f t="shared" si="96"/>
        <v>0</v>
      </c>
      <c r="AA94" s="211">
        <f t="shared" si="96"/>
        <v>0</v>
      </c>
      <c r="AB94" s="211">
        <f t="shared" si="96"/>
        <v>0</v>
      </c>
      <c r="AC94" s="211">
        <f t="shared" si="96"/>
        <v>0</v>
      </c>
      <c r="AD94" s="211">
        <f t="shared" si="96"/>
        <v>-0.0000000004656612873</v>
      </c>
      <c r="AE94" s="211">
        <f t="shared" si="96"/>
        <v>-0.0000000004656612873</v>
      </c>
      <c r="AF94" s="211">
        <f t="shared" si="96"/>
        <v>-0.0000000004656612873</v>
      </c>
      <c r="AG94" s="211">
        <f t="shared" si="96"/>
        <v>-0.0000000009313225746</v>
      </c>
      <c r="AH94" s="211">
        <f t="shared" si="96"/>
        <v>-0.0000000004656612873</v>
      </c>
      <c r="AI94" s="211">
        <f t="shared" si="96"/>
        <v>-0.0000000009313225746</v>
      </c>
      <c r="AJ94" s="211">
        <f t="shared" si="96"/>
        <v>-0.0000000009313225746</v>
      </c>
      <c r="AK94" s="211">
        <f t="shared" si="96"/>
        <v>-0.000000001396983862</v>
      </c>
      <c r="AL94" s="211">
        <f t="shared" si="96"/>
        <v>-0.000000001396983862</v>
      </c>
      <c r="AM94" s="211">
        <f t="shared" si="96"/>
        <v>-0.000000001396983862</v>
      </c>
      <c r="AN94" s="211">
        <f t="shared" si="96"/>
        <v>-0.0000000009313225746</v>
      </c>
      <c r="AO94" s="211">
        <f t="shared" si="96"/>
        <v>-0.0000000004656612873</v>
      </c>
      <c r="AP94" s="211">
        <f t="shared" si="96"/>
        <v>-0.0000000009313225746</v>
      </c>
      <c r="AQ94" s="211">
        <f t="shared" si="96"/>
        <v>-0.0000000004656612873</v>
      </c>
      <c r="AR94" s="211">
        <f t="shared" si="96"/>
        <v>-0.0000000009313225746</v>
      </c>
      <c r="AS94" s="211">
        <f t="shared" si="96"/>
        <v>0</v>
      </c>
      <c r="AT94" s="211">
        <f t="shared" si="96"/>
        <v>0</v>
      </c>
      <c r="AU94" s="211">
        <f t="shared" si="96"/>
        <v>-0.0000000009313225746</v>
      </c>
      <c r="AV94" s="211">
        <f t="shared" si="96"/>
        <v>-0.0000000009313225746</v>
      </c>
      <c r="AW94" s="211">
        <f t="shared" si="96"/>
        <v>-0.0000000009313225746</v>
      </c>
      <c r="AX94" s="211">
        <f t="shared" si="96"/>
        <v>-0.000000001862645149</v>
      </c>
      <c r="AY94" s="211">
        <f t="shared" si="96"/>
        <v>0</v>
      </c>
      <c r="AZ94" s="211">
        <f t="shared" si="96"/>
        <v>-0.000000001862645149</v>
      </c>
      <c r="BA94" s="211"/>
      <c r="BB94" s="211">
        <f t="shared" ref="BB94:BF94" si="97">BB77-BB92</f>
        <v>0</v>
      </c>
      <c r="BC94" s="211">
        <f t="shared" si="97"/>
        <v>0</v>
      </c>
      <c r="BD94" s="211">
        <f t="shared" si="97"/>
        <v>-0.0000000009313225746</v>
      </c>
      <c r="BE94" s="211">
        <f t="shared" si="97"/>
        <v>-0.000000001862645149</v>
      </c>
      <c r="BF94" s="211">
        <f t="shared" si="97"/>
        <v>0</v>
      </c>
      <c r="BG94" s="212"/>
    </row>
    <row r="95" ht="15.75" customHeight="1">
      <c r="A95" s="112"/>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c r="AA95" s="163"/>
      <c r="AB95" s="163"/>
      <c r="AC95" s="163"/>
      <c r="AD95" s="163"/>
      <c r="AE95" s="163"/>
      <c r="AF95" s="163"/>
      <c r="AG95" s="163"/>
      <c r="AH95" s="163"/>
      <c r="AI95" s="163"/>
      <c r="AJ95" s="163"/>
      <c r="AK95" s="163"/>
      <c r="AL95" s="163"/>
      <c r="AM95" s="163"/>
      <c r="AN95" s="163"/>
      <c r="AO95" s="163"/>
      <c r="AP95" s="163"/>
      <c r="AQ95" s="163"/>
      <c r="AR95" s="163"/>
      <c r="AS95" s="163"/>
      <c r="AT95" s="163"/>
      <c r="AU95" s="163"/>
      <c r="AV95" s="163"/>
      <c r="AW95" s="163"/>
      <c r="AX95" s="163"/>
      <c r="AY95" s="163"/>
      <c r="AZ95" s="163"/>
      <c r="BA95" s="112"/>
      <c r="BB95" s="163"/>
      <c r="BC95" s="163"/>
      <c r="BD95" s="163"/>
      <c r="BE95" s="163"/>
      <c r="BF95" s="163"/>
      <c r="BG95" s="112"/>
    </row>
    <row r="96" ht="15.75" customHeight="1">
      <c r="A96" s="112"/>
      <c r="B96" s="163" t="s">
        <v>256</v>
      </c>
      <c r="C96" s="163"/>
      <c r="D96" s="163"/>
      <c r="E96" s="163">
        <f>'Revenue Forecast'!E41</f>
        <v>0</v>
      </c>
      <c r="F96" s="163">
        <f>E96+'Revenue Forecast'!F41</f>
        <v>0</v>
      </c>
      <c r="G96" s="163">
        <f>F96+'Revenue Forecast'!G41</f>
        <v>0</v>
      </c>
      <c r="H96" s="163">
        <f>G96+'Revenue Forecast'!H41</f>
        <v>0</v>
      </c>
      <c r="I96" s="163">
        <f>H96+'Revenue Forecast'!I41</f>
        <v>0</v>
      </c>
      <c r="J96" s="163">
        <f>I96+'Revenue Forecast'!J41</f>
        <v>0</v>
      </c>
      <c r="K96" s="163">
        <f>J96+'Revenue Forecast'!K41</f>
        <v>0</v>
      </c>
      <c r="L96" s="163">
        <f>K96+'Revenue Forecast'!L41</f>
        <v>0</v>
      </c>
      <c r="M96" s="163">
        <f>L96+'Revenue Forecast'!M41</f>
        <v>0</v>
      </c>
      <c r="N96" s="163">
        <f>M96+'Revenue Forecast'!N41</f>
        <v>0</v>
      </c>
      <c r="O96" s="163">
        <f>N96+'Revenue Forecast'!O41</f>
        <v>0</v>
      </c>
      <c r="P96" s="163">
        <f>O96+'Revenue Forecast'!P41</f>
        <v>0</v>
      </c>
      <c r="Q96" s="163">
        <f>P96+'Revenue Forecast'!Q41</f>
        <v>0</v>
      </c>
      <c r="R96" s="163">
        <f>Q96+'Revenue Forecast'!R41</f>
        <v>0</v>
      </c>
      <c r="S96" s="163">
        <f>R96+'Revenue Forecast'!S41</f>
        <v>0</v>
      </c>
      <c r="T96" s="163">
        <f>S96+'Revenue Forecast'!T41</f>
        <v>0</v>
      </c>
      <c r="U96" s="163">
        <f>T96+'Revenue Forecast'!U41</f>
        <v>0</v>
      </c>
      <c r="V96" s="163">
        <f>U96+'Revenue Forecast'!V41</f>
        <v>0</v>
      </c>
      <c r="W96" s="163">
        <f>V96+'Revenue Forecast'!W41</f>
        <v>0</v>
      </c>
      <c r="X96" s="163">
        <f>W96+'Revenue Forecast'!X41</f>
        <v>0</v>
      </c>
      <c r="Y96" s="163">
        <f>X96+'Revenue Forecast'!Y41</f>
        <v>0</v>
      </c>
      <c r="Z96" s="163">
        <f>Y96+'Revenue Forecast'!Z41</f>
        <v>0</v>
      </c>
      <c r="AA96" s="163">
        <f>Z96+'Revenue Forecast'!AA41</f>
        <v>0</v>
      </c>
      <c r="AB96" s="163">
        <f>AA96+'Revenue Forecast'!AB41</f>
        <v>0</v>
      </c>
      <c r="AC96" s="163">
        <f>AB96+'Revenue Forecast'!AC41</f>
        <v>47</v>
      </c>
      <c r="AD96" s="163">
        <f>AC96+'Revenue Forecast'!AD41</f>
        <v>100</v>
      </c>
      <c r="AE96" s="163">
        <f>AD96+'Revenue Forecast'!AE41</f>
        <v>157</v>
      </c>
      <c r="AF96" s="163">
        <f>AE96+'Revenue Forecast'!AF41</f>
        <v>220</v>
      </c>
      <c r="AG96" s="163">
        <f>AF96+'Revenue Forecast'!AG41</f>
        <v>290</v>
      </c>
      <c r="AH96" s="163">
        <f>AG96+'Revenue Forecast'!AH41</f>
        <v>366</v>
      </c>
      <c r="AI96" s="163">
        <f>AH96+'Revenue Forecast'!AI41</f>
        <v>449</v>
      </c>
      <c r="AJ96" s="163">
        <f>AI96+'Revenue Forecast'!AJ41</f>
        <v>539</v>
      </c>
      <c r="AK96" s="163">
        <f>AJ96+'Revenue Forecast'!AK41</f>
        <v>639</v>
      </c>
      <c r="AL96" s="163">
        <f>AK96+'Revenue Forecast'!AL41</f>
        <v>749</v>
      </c>
      <c r="AM96" s="163">
        <f>AL96+'Revenue Forecast'!AM41</f>
        <v>869</v>
      </c>
      <c r="AN96" s="163">
        <f>AM96+'Revenue Forecast'!AN41</f>
        <v>1000</v>
      </c>
      <c r="AO96" s="163">
        <f>AN96+'Revenue Forecast'!AO41</f>
        <v>1144</v>
      </c>
      <c r="AP96" s="163">
        <f>AO96+'Revenue Forecast'!AP41</f>
        <v>1301</v>
      </c>
      <c r="AQ96" s="163">
        <f>AP96+'Revenue Forecast'!AQ41</f>
        <v>1474</v>
      </c>
      <c r="AR96" s="163">
        <f>AQ96+'Revenue Forecast'!AR41</f>
        <v>1664</v>
      </c>
      <c r="AS96" s="163">
        <f>AR96+'Revenue Forecast'!AS41</f>
        <v>1871</v>
      </c>
      <c r="AT96" s="163">
        <f>AS96+'Revenue Forecast'!AT41</f>
        <v>2098</v>
      </c>
      <c r="AU96" s="163">
        <f>AT96+'Revenue Forecast'!AU41</f>
        <v>2348</v>
      </c>
      <c r="AV96" s="163">
        <f>AU96+'Revenue Forecast'!AV41</f>
        <v>2621</v>
      </c>
      <c r="AW96" s="163">
        <f>AV96+'Revenue Forecast'!AW41</f>
        <v>2921</v>
      </c>
      <c r="AX96" s="163">
        <f>AW96+'Revenue Forecast'!AX41</f>
        <v>3248</v>
      </c>
      <c r="AY96" s="163">
        <f>AX96+'Revenue Forecast'!AY41</f>
        <v>3608</v>
      </c>
      <c r="AZ96" s="163">
        <f>AY96+'Revenue Forecast'!AZ41</f>
        <v>4000</v>
      </c>
      <c r="BA96" s="112"/>
      <c r="BB96" s="163"/>
      <c r="BC96" s="163"/>
      <c r="BD96" s="163"/>
      <c r="BE96" s="163"/>
      <c r="BF96" s="163"/>
      <c r="BG96" s="112"/>
    </row>
    <row r="97" ht="15.75" customHeight="1">
      <c r="A97" s="112"/>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c r="AA97" s="163"/>
      <c r="AB97" s="163"/>
      <c r="AC97" s="163"/>
      <c r="AD97" s="163"/>
      <c r="AE97" s="163"/>
      <c r="AF97" s="163"/>
      <c r="AG97" s="163"/>
      <c r="AH97" s="163"/>
      <c r="AI97" s="163"/>
      <c r="AJ97" s="163"/>
      <c r="AK97" s="163"/>
      <c r="AL97" s="163"/>
      <c r="AM97" s="163"/>
      <c r="AN97" s="163"/>
      <c r="AO97" s="163"/>
      <c r="AP97" s="163"/>
      <c r="AQ97" s="163"/>
      <c r="AR97" s="163"/>
      <c r="AS97" s="163"/>
      <c r="AT97" s="163"/>
      <c r="AU97" s="163"/>
      <c r="AV97" s="163"/>
      <c r="AW97" s="163"/>
      <c r="AX97" s="163"/>
      <c r="AY97" s="163"/>
      <c r="AZ97" s="163"/>
      <c r="BA97" s="112"/>
      <c r="BB97" s="163"/>
      <c r="BC97" s="163"/>
      <c r="BD97" s="163"/>
      <c r="BE97" s="163"/>
      <c r="BF97" s="163"/>
      <c r="BG97" s="112"/>
    </row>
    <row r="98" ht="15.75" customHeight="1">
      <c r="A98" s="37"/>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7"/>
      <c r="BB98" s="30"/>
      <c r="BC98" s="30"/>
      <c r="BD98" s="30"/>
      <c r="BE98" s="30"/>
      <c r="BF98" s="30"/>
      <c r="BG98" s="37"/>
    </row>
    <row r="99" ht="15.75" customHeight="1">
      <c r="A99" s="37"/>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7"/>
      <c r="BB99" s="30"/>
      <c r="BC99" s="30"/>
      <c r="BD99" s="30"/>
      <c r="BE99" s="30"/>
      <c r="BF99" s="30"/>
      <c r="BG99" s="37"/>
    </row>
    <row r="100" ht="15.75" customHeight="1">
      <c r="A100" s="37"/>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7"/>
      <c r="BB100" s="30"/>
      <c r="BC100" s="30"/>
      <c r="BD100" s="30"/>
      <c r="BE100" s="30"/>
      <c r="BF100" s="30"/>
      <c r="BG100" s="37"/>
    </row>
    <row r="101" ht="15.75" customHeight="1">
      <c r="A101" s="37"/>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7"/>
      <c r="BB101" s="30"/>
      <c r="BC101" s="30"/>
      <c r="BD101" s="30"/>
      <c r="BE101" s="30"/>
      <c r="BF101" s="30"/>
      <c r="BG101" s="37"/>
    </row>
    <row r="102" ht="15.75" customHeight="1">
      <c r="A102" s="37"/>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7"/>
      <c r="BB102" s="30"/>
      <c r="BC102" s="30"/>
      <c r="BD102" s="30"/>
      <c r="BE102" s="30"/>
      <c r="BF102" s="30"/>
      <c r="BG102" s="37"/>
    </row>
    <row r="103" ht="15.75" customHeight="1">
      <c r="A103" s="37"/>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7"/>
      <c r="BB103" s="30"/>
      <c r="BC103" s="30"/>
      <c r="BD103" s="30"/>
      <c r="BE103" s="30"/>
      <c r="BF103" s="30"/>
      <c r="BG103" s="37"/>
    </row>
    <row r="104" ht="15.75" customHeight="1">
      <c r="A104" s="37"/>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7"/>
      <c r="BB104" s="30"/>
      <c r="BC104" s="30"/>
      <c r="BD104" s="30"/>
      <c r="BE104" s="30"/>
      <c r="BF104" s="30"/>
      <c r="BG104" s="37"/>
    </row>
    <row r="105" ht="15.75" customHeight="1">
      <c r="A105" s="37"/>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7"/>
      <c r="BB105" s="30"/>
      <c r="BC105" s="30"/>
      <c r="BD105" s="30"/>
      <c r="BE105" s="30"/>
      <c r="BF105" s="30"/>
      <c r="BG105" s="37"/>
    </row>
    <row r="106" ht="15.75" customHeight="1">
      <c r="A106" s="37"/>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7"/>
      <c r="BB106" s="30"/>
      <c r="BC106" s="30"/>
      <c r="BD106" s="30"/>
      <c r="BE106" s="30"/>
      <c r="BF106" s="30"/>
      <c r="BG106" s="37"/>
    </row>
    <row r="107" ht="15.75" customHeight="1">
      <c r="A107" s="37"/>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7"/>
      <c r="BB107" s="30"/>
      <c r="BC107" s="30"/>
      <c r="BD107" s="30"/>
      <c r="BE107" s="30"/>
      <c r="BF107" s="30"/>
      <c r="BG107" s="37"/>
    </row>
    <row r="108" ht="15.75" customHeight="1">
      <c r="A108" s="37"/>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7"/>
      <c r="BB108" s="30"/>
      <c r="BC108" s="30"/>
      <c r="BD108" s="30"/>
      <c r="BE108" s="30"/>
      <c r="BF108" s="30"/>
      <c r="BG108" s="37"/>
    </row>
    <row r="109" ht="15.75" customHeight="1">
      <c r="A109" s="37"/>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7"/>
      <c r="BB109" s="30"/>
      <c r="BC109" s="30"/>
      <c r="BD109" s="30"/>
      <c r="BE109" s="30"/>
      <c r="BF109" s="30"/>
      <c r="BG109" s="37"/>
    </row>
    <row r="110" ht="15.75" customHeight="1">
      <c r="A110" s="37"/>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7"/>
      <c r="BB110" s="30"/>
      <c r="BC110" s="30"/>
      <c r="BD110" s="30"/>
      <c r="BE110" s="30"/>
      <c r="BF110" s="30"/>
      <c r="BG110" s="37"/>
    </row>
    <row r="111" ht="15.75" customHeight="1">
      <c r="A111" s="37"/>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7"/>
      <c r="BB111" s="30"/>
      <c r="BC111" s="30"/>
      <c r="BD111" s="30"/>
      <c r="BE111" s="30"/>
      <c r="BF111" s="30"/>
      <c r="BG111" s="37"/>
    </row>
    <row r="112" ht="15.75" customHeight="1">
      <c r="A112" s="37"/>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7"/>
      <c r="BB112" s="30"/>
      <c r="BC112" s="30"/>
      <c r="BD112" s="30"/>
      <c r="BE112" s="30"/>
      <c r="BF112" s="30"/>
      <c r="BG112" s="37"/>
    </row>
    <row r="113" ht="15.75" customHeight="1">
      <c r="A113" s="37"/>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7"/>
      <c r="BB113" s="30"/>
      <c r="BC113" s="30"/>
      <c r="BD113" s="30"/>
      <c r="BE113" s="30"/>
      <c r="BF113" s="30"/>
      <c r="BG113" s="37"/>
    </row>
    <row r="114" ht="15.75" customHeight="1">
      <c r="A114" s="37"/>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7"/>
      <c r="BB114" s="30"/>
      <c r="BC114" s="30"/>
      <c r="BD114" s="30"/>
      <c r="BE114" s="30"/>
      <c r="BF114" s="30"/>
      <c r="BG114" s="37"/>
    </row>
    <row r="115" ht="15.75" customHeight="1">
      <c r="A115" s="37"/>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7"/>
      <c r="BB115" s="30"/>
      <c r="BC115" s="30"/>
      <c r="BD115" s="30"/>
      <c r="BE115" s="30"/>
      <c r="BF115" s="30"/>
      <c r="BG115" s="37"/>
    </row>
    <row r="116" ht="15.75" customHeight="1">
      <c r="A116" s="37"/>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7"/>
      <c r="BB116" s="30"/>
      <c r="BC116" s="30"/>
      <c r="BD116" s="30"/>
      <c r="BE116" s="30"/>
      <c r="BF116" s="30"/>
      <c r="BG116" s="37"/>
    </row>
    <row r="117" ht="15.75" customHeight="1">
      <c r="A117" s="37"/>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7"/>
      <c r="BB117" s="30"/>
      <c r="BC117" s="30"/>
      <c r="BD117" s="30"/>
      <c r="BE117" s="30"/>
      <c r="BF117" s="30"/>
      <c r="BG117" s="37"/>
    </row>
    <row r="118" ht="15.75" customHeight="1">
      <c r="A118" s="37"/>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7"/>
      <c r="BB118" s="30"/>
      <c r="BC118" s="30"/>
      <c r="BD118" s="30"/>
      <c r="BE118" s="30"/>
      <c r="BF118" s="30"/>
      <c r="BG118" s="37"/>
    </row>
    <row r="119" ht="15.75" customHeight="1">
      <c r="A119" s="37"/>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7"/>
      <c r="BB119" s="30"/>
      <c r="BC119" s="30"/>
      <c r="BD119" s="30"/>
      <c r="BE119" s="30"/>
      <c r="BF119" s="30"/>
      <c r="BG119" s="37"/>
    </row>
    <row r="120" ht="15.75" customHeight="1">
      <c r="A120" s="37"/>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7"/>
      <c r="BB120" s="30"/>
      <c r="BC120" s="30"/>
      <c r="BD120" s="30"/>
      <c r="BE120" s="30"/>
      <c r="BF120" s="30"/>
      <c r="BG120" s="37"/>
    </row>
    <row r="121" ht="15.75" customHeight="1">
      <c r="A121" s="37"/>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7"/>
      <c r="BB121" s="30"/>
      <c r="BC121" s="30"/>
      <c r="BD121" s="30"/>
      <c r="BE121" s="30"/>
      <c r="BF121" s="30"/>
      <c r="BG121" s="37"/>
    </row>
    <row r="122" ht="15.75" customHeight="1">
      <c r="A122" s="37"/>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7"/>
      <c r="BB122" s="30"/>
      <c r="BC122" s="30"/>
      <c r="BD122" s="30"/>
      <c r="BE122" s="30"/>
      <c r="BF122" s="30"/>
      <c r="BG122" s="37"/>
    </row>
    <row r="123" ht="15.75" customHeight="1">
      <c r="A123" s="37"/>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7"/>
      <c r="BB123" s="30"/>
      <c r="BC123" s="30"/>
      <c r="BD123" s="30"/>
      <c r="BE123" s="30"/>
      <c r="BF123" s="30"/>
      <c r="BG123" s="37"/>
    </row>
    <row r="124" ht="15.75" customHeight="1">
      <c r="A124" s="37"/>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7"/>
      <c r="BB124" s="30"/>
      <c r="BC124" s="30"/>
      <c r="BD124" s="30"/>
      <c r="BE124" s="30"/>
      <c r="BF124" s="30"/>
      <c r="BG124" s="37"/>
    </row>
    <row r="125" ht="15.75" customHeight="1">
      <c r="A125" s="37"/>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7"/>
      <c r="BB125" s="30"/>
      <c r="BC125" s="30"/>
      <c r="BD125" s="30"/>
      <c r="BE125" s="30"/>
      <c r="BF125" s="30"/>
      <c r="BG125" s="37"/>
    </row>
    <row r="126" ht="15.75" customHeight="1">
      <c r="A126" s="37"/>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7"/>
      <c r="BB126" s="30"/>
      <c r="BC126" s="30"/>
      <c r="BD126" s="30"/>
      <c r="BE126" s="30"/>
      <c r="BF126" s="30"/>
      <c r="BG126" s="37"/>
    </row>
    <row r="127" ht="15.75" customHeight="1">
      <c r="A127" s="37"/>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7"/>
      <c r="BB127" s="30"/>
      <c r="BC127" s="30"/>
      <c r="BD127" s="30"/>
      <c r="BE127" s="30"/>
      <c r="BF127" s="30"/>
      <c r="BG127" s="37"/>
    </row>
    <row r="128" ht="15.75" customHeight="1">
      <c r="A128" s="37"/>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7"/>
      <c r="BB128" s="30"/>
      <c r="BC128" s="30"/>
      <c r="BD128" s="30"/>
      <c r="BE128" s="30"/>
      <c r="BF128" s="30"/>
      <c r="BG128" s="37"/>
    </row>
    <row r="129" ht="15.75" customHeight="1">
      <c r="A129" s="37"/>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7"/>
      <c r="BB129" s="30"/>
      <c r="BC129" s="30"/>
      <c r="BD129" s="30"/>
      <c r="BE129" s="30"/>
      <c r="BF129" s="30"/>
      <c r="BG129" s="37"/>
    </row>
    <row r="130" ht="15.75" customHeight="1">
      <c r="A130" s="37"/>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7"/>
      <c r="BB130" s="30"/>
      <c r="BC130" s="30"/>
      <c r="BD130" s="30"/>
      <c r="BE130" s="30"/>
      <c r="BF130" s="30"/>
      <c r="BG130" s="37"/>
    </row>
    <row r="131" ht="15.75" customHeight="1">
      <c r="A131" s="37"/>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7"/>
      <c r="BB131" s="30"/>
      <c r="BC131" s="30"/>
      <c r="BD131" s="30"/>
      <c r="BE131" s="30"/>
      <c r="BF131" s="30"/>
      <c r="BG131" s="37"/>
    </row>
    <row r="132" ht="15.75" customHeight="1">
      <c r="A132" s="37"/>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7"/>
      <c r="BB132" s="30"/>
      <c r="BC132" s="30"/>
      <c r="BD132" s="30"/>
      <c r="BE132" s="30"/>
      <c r="BF132" s="30"/>
      <c r="BG132" s="37"/>
    </row>
    <row r="133" ht="15.75" customHeight="1">
      <c r="A133" s="37"/>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7"/>
      <c r="BB133" s="30"/>
      <c r="BC133" s="30"/>
      <c r="BD133" s="30"/>
      <c r="BE133" s="30"/>
      <c r="BF133" s="30"/>
      <c r="BG133" s="37"/>
    </row>
    <row r="134" ht="15.75" customHeight="1">
      <c r="A134" s="37"/>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7"/>
      <c r="BB134" s="30"/>
      <c r="BC134" s="30"/>
      <c r="BD134" s="30"/>
      <c r="BE134" s="30"/>
      <c r="BF134" s="30"/>
      <c r="BG134" s="37"/>
    </row>
    <row r="135" ht="15.75" customHeight="1">
      <c r="A135" s="37"/>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7"/>
      <c r="BB135" s="30"/>
      <c r="BC135" s="30"/>
      <c r="BD135" s="30"/>
      <c r="BE135" s="30"/>
      <c r="BF135" s="30"/>
      <c r="BG135" s="37"/>
    </row>
    <row r="136" ht="15.75" customHeight="1">
      <c r="A136" s="37"/>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7"/>
      <c r="BB136" s="30"/>
      <c r="BC136" s="30"/>
      <c r="BD136" s="30"/>
      <c r="BE136" s="30"/>
      <c r="BF136" s="30"/>
      <c r="BG136" s="37"/>
    </row>
    <row r="137" ht="15.75" customHeight="1">
      <c r="A137" s="37"/>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7"/>
      <c r="BB137" s="30"/>
      <c r="BC137" s="30"/>
      <c r="BD137" s="30"/>
      <c r="BE137" s="30"/>
      <c r="BF137" s="30"/>
      <c r="BG137" s="37"/>
    </row>
    <row r="138" ht="15.75" customHeight="1">
      <c r="A138" s="37"/>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7"/>
      <c r="BB138" s="30"/>
      <c r="BC138" s="30"/>
      <c r="BD138" s="30"/>
      <c r="BE138" s="30"/>
      <c r="BF138" s="30"/>
      <c r="BG138" s="37"/>
    </row>
    <row r="139" ht="15.75" customHeight="1">
      <c r="A139" s="37"/>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7"/>
      <c r="BB139" s="30"/>
      <c r="BC139" s="30"/>
      <c r="BD139" s="30"/>
      <c r="BE139" s="30"/>
      <c r="BF139" s="30"/>
      <c r="BG139" s="37"/>
    </row>
    <row r="140" ht="15.75" customHeight="1">
      <c r="A140" s="37"/>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7"/>
      <c r="BB140" s="30"/>
      <c r="BC140" s="30"/>
      <c r="BD140" s="30"/>
      <c r="BE140" s="30"/>
      <c r="BF140" s="30"/>
      <c r="BG140" s="37"/>
    </row>
    <row r="141" ht="15.75" customHeight="1">
      <c r="A141" s="37"/>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7"/>
      <c r="BB141" s="30"/>
      <c r="BC141" s="30"/>
      <c r="BD141" s="30"/>
      <c r="BE141" s="30"/>
      <c r="BF141" s="30"/>
      <c r="BG141" s="37"/>
    </row>
    <row r="142" ht="15.75" customHeight="1">
      <c r="A142" s="37"/>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7"/>
      <c r="BB142" s="30"/>
      <c r="BC142" s="30"/>
      <c r="BD142" s="30"/>
      <c r="BE142" s="30"/>
      <c r="BF142" s="30"/>
      <c r="BG142" s="37"/>
    </row>
    <row r="143" ht="15.75" customHeight="1">
      <c r="A143" s="37"/>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7"/>
      <c r="BB143" s="30"/>
      <c r="BC143" s="30"/>
      <c r="BD143" s="30"/>
      <c r="BE143" s="30"/>
      <c r="BF143" s="30"/>
      <c r="BG143" s="37"/>
    </row>
    <row r="144" ht="15.75" customHeight="1">
      <c r="A144" s="37"/>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7"/>
      <c r="BB144" s="30"/>
      <c r="BC144" s="30"/>
      <c r="BD144" s="30"/>
      <c r="BE144" s="30"/>
      <c r="BF144" s="30"/>
      <c r="BG144" s="37"/>
    </row>
    <row r="145" ht="15.75" customHeight="1">
      <c r="A145" s="37"/>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7"/>
      <c r="BB145" s="30"/>
      <c r="BC145" s="30"/>
      <c r="BD145" s="30"/>
      <c r="BE145" s="30"/>
      <c r="BF145" s="30"/>
      <c r="BG145" s="37"/>
    </row>
    <row r="146" ht="15.75" customHeight="1">
      <c r="A146" s="37"/>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7"/>
      <c r="BB146" s="30"/>
      <c r="BC146" s="30"/>
      <c r="BD146" s="30"/>
      <c r="BE146" s="30"/>
      <c r="BF146" s="30"/>
      <c r="BG146" s="37"/>
    </row>
    <row r="147" ht="15.75" customHeight="1">
      <c r="A147" s="37"/>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7"/>
      <c r="BB147" s="30"/>
      <c r="BC147" s="30"/>
      <c r="BD147" s="30"/>
      <c r="BE147" s="30"/>
      <c r="BF147" s="30"/>
      <c r="BG147" s="37"/>
    </row>
    <row r="148" ht="15.75" customHeight="1">
      <c r="A148" s="37"/>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7"/>
      <c r="BB148" s="30"/>
      <c r="BC148" s="30"/>
      <c r="BD148" s="30"/>
      <c r="BE148" s="30"/>
      <c r="BF148" s="30"/>
      <c r="BG148" s="37"/>
    </row>
    <row r="149" ht="15.75" customHeight="1">
      <c r="A149" s="37"/>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7"/>
      <c r="BB149" s="30"/>
      <c r="BC149" s="30"/>
      <c r="BD149" s="30"/>
      <c r="BE149" s="30"/>
      <c r="BF149" s="30"/>
      <c r="BG149" s="37"/>
    </row>
    <row r="150" ht="15.75" customHeight="1">
      <c r="A150" s="37"/>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7"/>
      <c r="BB150" s="30"/>
      <c r="BC150" s="30"/>
      <c r="BD150" s="30"/>
      <c r="BE150" s="30"/>
      <c r="BF150" s="30"/>
      <c r="BG150" s="37"/>
    </row>
    <row r="151" ht="15.75" customHeight="1">
      <c r="A151" s="37"/>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7"/>
      <c r="BB151" s="30"/>
      <c r="BC151" s="30"/>
      <c r="BD151" s="30"/>
      <c r="BE151" s="30"/>
      <c r="BF151" s="30"/>
      <c r="BG151" s="37"/>
    </row>
    <row r="152" ht="15.75" customHeight="1">
      <c r="A152" s="37"/>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7"/>
      <c r="BB152" s="30"/>
      <c r="BC152" s="30"/>
      <c r="BD152" s="30"/>
      <c r="BE152" s="30"/>
      <c r="BF152" s="30"/>
      <c r="BG152" s="37"/>
    </row>
    <row r="153" ht="15.75" customHeight="1">
      <c r="A153" s="37"/>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7"/>
      <c r="BB153" s="30"/>
      <c r="BC153" s="30"/>
      <c r="BD153" s="30"/>
      <c r="BE153" s="30"/>
      <c r="BF153" s="30"/>
      <c r="BG153" s="37"/>
    </row>
    <row r="154" ht="15.75" customHeight="1">
      <c r="A154" s="37"/>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7"/>
      <c r="BB154" s="30"/>
      <c r="BC154" s="30"/>
      <c r="BD154" s="30"/>
      <c r="BE154" s="30"/>
      <c r="BF154" s="30"/>
      <c r="BG154" s="37"/>
    </row>
    <row r="155" ht="15.75" customHeight="1">
      <c r="A155" s="37"/>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7"/>
      <c r="BB155" s="30"/>
      <c r="BC155" s="30"/>
      <c r="BD155" s="30"/>
      <c r="BE155" s="30"/>
      <c r="BF155" s="30"/>
      <c r="BG155" s="37"/>
    </row>
    <row r="156" ht="15.75" customHeight="1">
      <c r="A156" s="37"/>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7"/>
      <c r="BB156" s="30"/>
      <c r="BC156" s="30"/>
      <c r="BD156" s="30"/>
      <c r="BE156" s="30"/>
      <c r="BF156" s="30"/>
      <c r="BG156" s="37"/>
    </row>
    <row r="157" ht="15.75" customHeight="1">
      <c r="A157" s="37"/>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7"/>
      <c r="BB157" s="30"/>
      <c r="BC157" s="30"/>
      <c r="BD157" s="30"/>
      <c r="BE157" s="30"/>
      <c r="BF157" s="30"/>
      <c r="BG157" s="37"/>
    </row>
    <row r="158" ht="15.75" customHeight="1">
      <c r="A158" s="37"/>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7"/>
      <c r="BB158" s="30"/>
      <c r="BC158" s="30"/>
      <c r="BD158" s="30"/>
      <c r="BE158" s="30"/>
      <c r="BF158" s="30"/>
      <c r="BG158" s="37"/>
    </row>
    <row r="159" ht="15.75" customHeight="1">
      <c r="A159" s="37"/>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7"/>
      <c r="BB159" s="30"/>
      <c r="BC159" s="30"/>
      <c r="BD159" s="30"/>
      <c r="BE159" s="30"/>
      <c r="BF159" s="30"/>
      <c r="BG159" s="37"/>
    </row>
    <row r="160" ht="15.75" customHeight="1">
      <c r="A160" s="37"/>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7"/>
      <c r="BB160" s="30"/>
      <c r="BC160" s="30"/>
      <c r="BD160" s="30"/>
      <c r="BE160" s="30"/>
      <c r="BF160" s="30"/>
      <c r="BG160" s="37"/>
    </row>
    <row r="161" ht="15.75" customHeight="1">
      <c r="A161" s="37"/>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7"/>
      <c r="BB161" s="30"/>
      <c r="BC161" s="30"/>
      <c r="BD161" s="30"/>
      <c r="BE161" s="30"/>
      <c r="BF161" s="30"/>
      <c r="BG161" s="37"/>
    </row>
    <row r="162" ht="15.75" customHeight="1">
      <c r="A162" s="37"/>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7"/>
      <c r="BB162" s="30"/>
      <c r="BC162" s="30"/>
      <c r="BD162" s="30"/>
      <c r="BE162" s="30"/>
      <c r="BF162" s="30"/>
      <c r="BG162" s="37"/>
    </row>
    <row r="163" ht="15.75" customHeight="1">
      <c r="A163" s="37"/>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7"/>
      <c r="BB163" s="30"/>
      <c r="BC163" s="30"/>
      <c r="BD163" s="30"/>
      <c r="BE163" s="30"/>
      <c r="BF163" s="30"/>
      <c r="BG163" s="37"/>
    </row>
    <row r="164" ht="15.75" customHeight="1">
      <c r="A164" s="37"/>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7"/>
      <c r="BB164" s="30"/>
      <c r="BC164" s="30"/>
      <c r="BD164" s="30"/>
      <c r="BE164" s="30"/>
      <c r="BF164" s="30"/>
      <c r="BG164" s="37"/>
    </row>
    <row r="165" ht="15.75" customHeight="1">
      <c r="A165" s="37"/>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7"/>
      <c r="BB165" s="30"/>
      <c r="BC165" s="30"/>
      <c r="BD165" s="30"/>
      <c r="BE165" s="30"/>
      <c r="BF165" s="30"/>
      <c r="BG165" s="37"/>
    </row>
    <row r="166" ht="15.75" customHeight="1">
      <c r="A166" s="37"/>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7"/>
      <c r="BB166" s="30"/>
      <c r="BC166" s="30"/>
      <c r="BD166" s="30"/>
      <c r="BE166" s="30"/>
      <c r="BF166" s="30"/>
      <c r="BG166" s="37"/>
    </row>
    <row r="167" ht="15.75" customHeight="1">
      <c r="A167" s="37"/>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7"/>
      <c r="BB167" s="30"/>
      <c r="BC167" s="30"/>
      <c r="BD167" s="30"/>
      <c r="BE167" s="30"/>
      <c r="BF167" s="30"/>
      <c r="BG167" s="37"/>
    </row>
    <row r="168" ht="15.75" customHeight="1">
      <c r="A168" s="37"/>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7"/>
      <c r="BB168" s="30"/>
      <c r="BC168" s="30"/>
      <c r="BD168" s="30"/>
      <c r="BE168" s="30"/>
      <c r="BF168" s="30"/>
      <c r="BG168" s="37"/>
    </row>
    <row r="169" ht="15.75" customHeight="1">
      <c r="A169" s="37"/>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7"/>
      <c r="BB169" s="30"/>
      <c r="BC169" s="30"/>
      <c r="BD169" s="30"/>
      <c r="BE169" s="30"/>
      <c r="BF169" s="30"/>
      <c r="BG169" s="37"/>
    </row>
    <row r="170" ht="15.75" customHeight="1">
      <c r="A170" s="37"/>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7"/>
      <c r="BB170" s="30"/>
      <c r="BC170" s="30"/>
      <c r="BD170" s="30"/>
      <c r="BE170" s="30"/>
      <c r="BF170" s="30"/>
      <c r="BG170" s="37"/>
    </row>
    <row r="171" ht="15.75" customHeight="1">
      <c r="A171" s="37"/>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7"/>
      <c r="BB171" s="30"/>
      <c r="BC171" s="30"/>
      <c r="BD171" s="30"/>
      <c r="BE171" s="30"/>
      <c r="BF171" s="30"/>
      <c r="BG171" s="37"/>
    </row>
    <row r="172" ht="15.75" customHeight="1">
      <c r="A172" s="37"/>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7"/>
      <c r="BB172" s="30"/>
      <c r="BC172" s="30"/>
      <c r="BD172" s="30"/>
      <c r="BE172" s="30"/>
      <c r="BF172" s="30"/>
      <c r="BG172" s="37"/>
    </row>
    <row r="173" ht="15.75" customHeight="1">
      <c r="A173" s="37"/>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7"/>
      <c r="BB173" s="30"/>
      <c r="BC173" s="30"/>
      <c r="BD173" s="30"/>
      <c r="BE173" s="30"/>
      <c r="BF173" s="30"/>
      <c r="BG173" s="37"/>
    </row>
    <row r="174" ht="15.75" customHeight="1">
      <c r="A174" s="37"/>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7"/>
      <c r="BB174" s="30"/>
      <c r="BC174" s="30"/>
      <c r="BD174" s="30"/>
      <c r="BE174" s="30"/>
      <c r="BF174" s="30"/>
      <c r="BG174" s="37"/>
    </row>
    <row r="175" ht="15.75" customHeight="1">
      <c r="A175" s="37"/>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7"/>
      <c r="BB175" s="30"/>
      <c r="BC175" s="30"/>
      <c r="BD175" s="30"/>
      <c r="BE175" s="30"/>
      <c r="BF175" s="30"/>
      <c r="BG175" s="37"/>
    </row>
    <row r="176" ht="15.75" customHeight="1">
      <c r="A176" s="37"/>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7"/>
      <c r="BB176" s="30"/>
      <c r="BC176" s="30"/>
      <c r="BD176" s="30"/>
      <c r="BE176" s="30"/>
      <c r="BF176" s="30"/>
      <c r="BG176" s="37"/>
    </row>
    <row r="177" ht="15.75" customHeight="1">
      <c r="A177" s="37"/>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7"/>
      <c r="BB177" s="30"/>
      <c r="BC177" s="30"/>
      <c r="BD177" s="30"/>
      <c r="BE177" s="30"/>
      <c r="BF177" s="30"/>
      <c r="BG177" s="37"/>
    </row>
    <row r="178" ht="15.75" customHeight="1">
      <c r="A178" s="37"/>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7"/>
      <c r="BB178" s="30"/>
      <c r="BC178" s="30"/>
      <c r="BD178" s="30"/>
      <c r="BE178" s="30"/>
      <c r="BF178" s="30"/>
      <c r="BG178" s="37"/>
    </row>
    <row r="179" ht="15.75" customHeight="1">
      <c r="A179" s="37"/>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7"/>
      <c r="BB179" s="30"/>
      <c r="BC179" s="30"/>
      <c r="BD179" s="30"/>
      <c r="BE179" s="30"/>
      <c r="BF179" s="30"/>
      <c r="BG179" s="37"/>
    </row>
    <row r="180" ht="15.75" customHeight="1">
      <c r="A180" s="37"/>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7"/>
      <c r="BB180" s="30"/>
      <c r="BC180" s="30"/>
      <c r="BD180" s="30"/>
      <c r="BE180" s="30"/>
      <c r="BF180" s="30"/>
      <c r="BG180" s="37"/>
    </row>
    <row r="181" ht="15.75" customHeight="1">
      <c r="A181" s="37"/>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7"/>
      <c r="BB181" s="30"/>
      <c r="BC181" s="30"/>
      <c r="BD181" s="30"/>
      <c r="BE181" s="30"/>
      <c r="BF181" s="30"/>
      <c r="BG181" s="37"/>
    </row>
    <row r="182" ht="15.75" customHeight="1">
      <c r="A182" s="37"/>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7"/>
      <c r="BB182" s="30"/>
      <c r="BC182" s="30"/>
      <c r="BD182" s="30"/>
      <c r="BE182" s="30"/>
      <c r="BF182" s="30"/>
      <c r="BG182" s="37"/>
    </row>
    <row r="183" ht="15.75" customHeight="1">
      <c r="A183" s="37"/>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7"/>
      <c r="BB183" s="30"/>
      <c r="BC183" s="30"/>
      <c r="BD183" s="30"/>
      <c r="BE183" s="30"/>
      <c r="BF183" s="30"/>
      <c r="BG183" s="37"/>
    </row>
    <row r="184" ht="15.75" customHeight="1">
      <c r="A184" s="37"/>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7"/>
      <c r="BB184" s="30"/>
      <c r="BC184" s="30"/>
      <c r="BD184" s="30"/>
      <c r="BE184" s="30"/>
      <c r="BF184" s="30"/>
      <c r="BG184" s="37"/>
    </row>
    <row r="185" ht="15.75" customHeight="1">
      <c r="A185" s="37"/>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7"/>
      <c r="BB185" s="30"/>
      <c r="BC185" s="30"/>
      <c r="BD185" s="30"/>
      <c r="BE185" s="30"/>
      <c r="BF185" s="30"/>
      <c r="BG185" s="37"/>
    </row>
    <row r="186" ht="15.75" customHeight="1">
      <c r="A186" s="37"/>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7"/>
      <c r="BB186" s="30"/>
      <c r="BC186" s="30"/>
      <c r="BD186" s="30"/>
      <c r="BE186" s="30"/>
      <c r="BF186" s="30"/>
      <c r="BG186" s="37"/>
    </row>
    <row r="187" ht="15.75" customHeight="1">
      <c r="A187" s="37"/>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7"/>
      <c r="BB187" s="30"/>
      <c r="BC187" s="30"/>
      <c r="BD187" s="30"/>
      <c r="BE187" s="30"/>
      <c r="BF187" s="30"/>
      <c r="BG187" s="37"/>
    </row>
    <row r="188" ht="15.75" customHeight="1">
      <c r="A188" s="37"/>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7"/>
      <c r="BB188" s="30"/>
      <c r="BC188" s="30"/>
      <c r="BD188" s="30"/>
      <c r="BE188" s="30"/>
      <c r="BF188" s="30"/>
      <c r="BG188" s="37"/>
    </row>
    <row r="189" ht="15.75" customHeight="1">
      <c r="A189" s="37"/>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7"/>
      <c r="BB189" s="30"/>
      <c r="BC189" s="30"/>
      <c r="BD189" s="30"/>
      <c r="BE189" s="30"/>
      <c r="BF189" s="30"/>
      <c r="BG189" s="37"/>
    </row>
    <row r="190" ht="15.75" customHeight="1">
      <c r="A190" s="37"/>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7"/>
      <c r="BB190" s="30"/>
      <c r="BC190" s="30"/>
      <c r="BD190" s="30"/>
      <c r="BE190" s="30"/>
      <c r="BF190" s="30"/>
      <c r="BG190" s="37"/>
    </row>
    <row r="191" ht="15.75" customHeight="1">
      <c r="A191" s="37"/>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7"/>
      <c r="BB191" s="30"/>
      <c r="BC191" s="30"/>
      <c r="BD191" s="30"/>
      <c r="BE191" s="30"/>
      <c r="BF191" s="30"/>
      <c r="BG191" s="37"/>
    </row>
    <row r="192" ht="15.75" customHeight="1">
      <c r="A192" s="37"/>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7"/>
      <c r="BB192" s="30"/>
      <c r="BC192" s="30"/>
      <c r="BD192" s="30"/>
      <c r="BE192" s="30"/>
      <c r="BF192" s="30"/>
      <c r="BG192" s="37"/>
    </row>
    <row r="193" ht="15.75" customHeight="1">
      <c r="A193" s="37"/>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7"/>
      <c r="BB193" s="30"/>
      <c r="BC193" s="30"/>
      <c r="BD193" s="30"/>
      <c r="BE193" s="30"/>
      <c r="BF193" s="30"/>
      <c r="BG193" s="37"/>
    </row>
    <row r="194" ht="15.75" customHeight="1">
      <c r="A194" s="37"/>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7"/>
      <c r="BB194" s="30"/>
      <c r="BC194" s="30"/>
      <c r="BD194" s="30"/>
      <c r="BE194" s="30"/>
      <c r="BF194" s="30"/>
      <c r="BG194" s="37"/>
    </row>
    <row r="195" ht="15.75" customHeight="1">
      <c r="A195" s="37"/>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7"/>
      <c r="BB195" s="30"/>
      <c r="BC195" s="30"/>
      <c r="BD195" s="30"/>
      <c r="BE195" s="30"/>
      <c r="BF195" s="30"/>
      <c r="BG195" s="37"/>
    </row>
    <row r="196" ht="15.75" customHeight="1">
      <c r="A196" s="37"/>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7"/>
      <c r="BB196" s="30"/>
      <c r="BC196" s="30"/>
      <c r="BD196" s="30"/>
      <c r="BE196" s="30"/>
      <c r="BF196" s="30"/>
      <c r="BG196" s="37"/>
    </row>
    <row r="197" ht="15.75" customHeight="1">
      <c r="A197" s="37"/>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7"/>
      <c r="BB197" s="30"/>
      <c r="BC197" s="30"/>
      <c r="BD197" s="30"/>
      <c r="BE197" s="30"/>
      <c r="BF197" s="30"/>
      <c r="BG197" s="37"/>
    </row>
    <row r="198" ht="15.75" customHeight="1">
      <c r="A198" s="37"/>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7"/>
      <c r="BB198" s="30"/>
      <c r="BC198" s="30"/>
      <c r="BD198" s="30"/>
      <c r="BE198" s="30"/>
      <c r="BF198" s="30"/>
      <c r="BG198" s="37"/>
    </row>
    <row r="199" ht="15.75" customHeight="1">
      <c r="A199" s="37"/>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7"/>
      <c r="BB199" s="30"/>
      <c r="BC199" s="30"/>
      <c r="BD199" s="30"/>
      <c r="BE199" s="30"/>
      <c r="BF199" s="30"/>
      <c r="BG199" s="37"/>
    </row>
    <row r="200" ht="15.75" customHeight="1">
      <c r="A200" s="37"/>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7"/>
      <c r="BB200" s="30"/>
      <c r="BC200" s="30"/>
      <c r="BD200" s="30"/>
      <c r="BE200" s="30"/>
      <c r="BF200" s="30"/>
      <c r="BG200" s="37"/>
    </row>
    <row r="201" ht="15.75" customHeight="1">
      <c r="A201" s="37"/>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7"/>
      <c r="BB201" s="30"/>
      <c r="BC201" s="30"/>
      <c r="BD201" s="30"/>
      <c r="BE201" s="30"/>
      <c r="BF201" s="30"/>
      <c r="BG201" s="37"/>
    </row>
    <row r="202" ht="15.75" customHeight="1">
      <c r="A202" s="37"/>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7"/>
      <c r="BB202" s="30"/>
      <c r="BC202" s="30"/>
      <c r="BD202" s="30"/>
      <c r="BE202" s="30"/>
      <c r="BF202" s="30"/>
      <c r="BG202" s="37"/>
    </row>
    <row r="203" ht="15.75" customHeight="1">
      <c r="A203" s="37"/>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7"/>
      <c r="BB203" s="30"/>
      <c r="BC203" s="30"/>
      <c r="BD203" s="30"/>
      <c r="BE203" s="30"/>
      <c r="BF203" s="30"/>
      <c r="BG203" s="37"/>
    </row>
    <row r="204" ht="15.75" customHeight="1">
      <c r="A204" s="37"/>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7"/>
      <c r="BB204" s="30"/>
      <c r="BC204" s="30"/>
      <c r="BD204" s="30"/>
      <c r="BE204" s="30"/>
      <c r="BF204" s="30"/>
      <c r="BG204" s="37"/>
    </row>
    <row r="205" ht="15.75" customHeight="1">
      <c r="A205" s="37"/>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7"/>
      <c r="BB205" s="30"/>
      <c r="BC205" s="30"/>
      <c r="BD205" s="30"/>
      <c r="BE205" s="30"/>
      <c r="BF205" s="30"/>
      <c r="BG205" s="37"/>
    </row>
    <row r="206" ht="15.75" customHeight="1">
      <c r="A206" s="37"/>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7"/>
      <c r="BB206" s="30"/>
      <c r="BC206" s="30"/>
      <c r="BD206" s="30"/>
      <c r="BE206" s="30"/>
      <c r="BF206" s="30"/>
      <c r="BG206" s="37"/>
    </row>
    <row r="207" ht="15.75" customHeight="1">
      <c r="A207" s="37"/>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7"/>
      <c r="BB207" s="30"/>
      <c r="BC207" s="30"/>
      <c r="BD207" s="30"/>
      <c r="BE207" s="30"/>
      <c r="BF207" s="30"/>
      <c r="BG207" s="37"/>
    </row>
    <row r="208" ht="15.75" customHeight="1">
      <c r="A208" s="37"/>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7"/>
      <c r="BB208" s="30"/>
      <c r="BC208" s="30"/>
      <c r="BD208" s="30"/>
      <c r="BE208" s="30"/>
      <c r="BF208" s="30"/>
      <c r="BG208" s="37"/>
    </row>
    <row r="209" ht="15.75" customHeight="1">
      <c r="A209" s="37"/>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7"/>
      <c r="BB209" s="30"/>
      <c r="BC209" s="30"/>
      <c r="BD209" s="30"/>
      <c r="BE209" s="30"/>
      <c r="BF209" s="30"/>
      <c r="BG209" s="37"/>
    </row>
    <row r="210" ht="15.75" customHeight="1">
      <c r="A210" s="37"/>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7"/>
      <c r="BB210" s="30"/>
      <c r="BC210" s="30"/>
      <c r="BD210" s="30"/>
      <c r="BE210" s="30"/>
      <c r="BF210" s="30"/>
      <c r="BG210" s="37"/>
    </row>
    <row r="211" ht="15.75" customHeight="1">
      <c r="A211" s="37"/>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7"/>
      <c r="BB211" s="30"/>
      <c r="BC211" s="30"/>
      <c r="BD211" s="30"/>
      <c r="BE211" s="30"/>
      <c r="BF211" s="30"/>
      <c r="BG211" s="37"/>
    </row>
    <row r="212" ht="15.75" customHeight="1">
      <c r="A212" s="37"/>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7"/>
      <c r="BB212" s="30"/>
      <c r="BC212" s="30"/>
      <c r="BD212" s="30"/>
      <c r="BE212" s="30"/>
      <c r="BF212" s="30"/>
      <c r="BG212" s="37"/>
    </row>
    <row r="213" ht="15.75" customHeight="1">
      <c r="A213" s="37"/>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7"/>
      <c r="BB213" s="30"/>
      <c r="BC213" s="30"/>
      <c r="BD213" s="30"/>
      <c r="BE213" s="30"/>
      <c r="BF213" s="30"/>
      <c r="BG213" s="37"/>
    </row>
    <row r="214" ht="15.75" customHeight="1">
      <c r="A214" s="37"/>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7"/>
      <c r="BB214" s="30"/>
      <c r="BC214" s="30"/>
      <c r="BD214" s="30"/>
      <c r="BE214" s="30"/>
      <c r="BF214" s="30"/>
      <c r="BG214" s="37"/>
    </row>
    <row r="215" ht="15.75" customHeight="1">
      <c r="A215" s="37"/>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7"/>
      <c r="BB215" s="30"/>
      <c r="BC215" s="30"/>
      <c r="BD215" s="30"/>
      <c r="BE215" s="30"/>
      <c r="BF215" s="30"/>
      <c r="BG215" s="37"/>
    </row>
    <row r="216" ht="15.75" customHeight="1">
      <c r="A216" s="37"/>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7"/>
      <c r="BB216" s="30"/>
      <c r="BC216" s="30"/>
      <c r="BD216" s="30"/>
      <c r="BE216" s="30"/>
      <c r="BF216" s="30"/>
      <c r="BG216" s="37"/>
    </row>
    <row r="217" ht="15.75" customHeight="1">
      <c r="A217" s="37"/>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7"/>
      <c r="BB217" s="30"/>
      <c r="BC217" s="30"/>
      <c r="BD217" s="30"/>
      <c r="BE217" s="30"/>
      <c r="BF217" s="30"/>
      <c r="BG217" s="37"/>
    </row>
    <row r="218" ht="15.75" customHeight="1">
      <c r="A218" s="37"/>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7"/>
      <c r="BB218" s="30"/>
      <c r="BC218" s="30"/>
      <c r="BD218" s="30"/>
      <c r="BE218" s="30"/>
      <c r="BF218" s="30"/>
      <c r="BG218" s="37"/>
    </row>
    <row r="219" ht="15.75" customHeight="1">
      <c r="A219" s="37"/>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7"/>
      <c r="BB219" s="30"/>
      <c r="BC219" s="30"/>
      <c r="BD219" s="30"/>
      <c r="BE219" s="30"/>
      <c r="BF219" s="30"/>
      <c r="BG219" s="37"/>
    </row>
    <row r="220" ht="15.75" customHeight="1">
      <c r="A220" s="37"/>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7"/>
      <c r="BB220" s="30"/>
      <c r="BC220" s="30"/>
      <c r="BD220" s="30"/>
      <c r="BE220" s="30"/>
      <c r="BF220" s="30"/>
      <c r="BG220" s="37"/>
    </row>
    <row r="221" ht="15.75" customHeight="1">
      <c r="A221" s="37"/>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7"/>
      <c r="BB221" s="30"/>
      <c r="BC221" s="30"/>
      <c r="BD221" s="30"/>
      <c r="BE221" s="30"/>
      <c r="BF221" s="30"/>
      <c r="BG221" s="37"/>
    </row>
    <row r="222" ht="15.75" customHeight="1">
      <c r="A222" s="37"/>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7"/>
      <c r="BB222" s="30"/>
      <c r="BC222" s="30"/>
      <c r="BD222" s="30"/>
      <c r="BE222" s="30"/>
      <c r="BF222" s="30"/>
      <c r="BG222" s="37"/>
    </row>
    <row r="223" ht="15.75" customHeight="1">
      <c r="A223" s="37"/>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7"/>
      <c r="BB223" s="30"/>
      <c r="BC223" s="30"/>
      <c r="BD223" s="30"/>
      <c r="BE223" s="30"/>
      <c r="BF223" s="30"/>
      <c r="BG223" s="37"/>
    </row>
    <row r="224" ht="15.75" customHeight="1">
      <c r="A224" s="37"/>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7"/>
      <c r="BB224" s="30"/>
      <c r="BC224" s="30"/>
      <c r="BD224" s="30"/>
      <c r="BE224" s="30"/>
      <c r="BF224" s="30"/>
      <c r="BG224" s="37"/>
    </row>
    <row r="225" ht="15.75" customHeight="1">
      <c r="A225" s="37"/>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7"/>
      <c r="BB225" s="30"/>
      <c r="BC225" s="30"/>
      <c r="BD225" s="30"/>
      <c r="BE225" s="30"/>
      <c r="BF225" s="30"/>
      <c r="BG225" s="37"/>
    </row>
    <row r="226" ht="15.75" customHeight="1">
      <c r="A226" s="37"/>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7"/>
      <c r="BB226" s="30"/>
      <c r="BC226" s="30"/>
      <c r="BD226" s="30"/>
      <c r="BE226" s="30"/>
      <c r="BF226" s="30"/>
      <c r="BG226" s="37"/>
    </row>
    <row r="227" ht="15.75" customHeight="1">
      <c r="A227" s="37"/>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7"/>
      <c r="BB227" s="30"/>
      <c r="BC227" s="30"/>
      <c r="BD227" s="30"/>
      <c r="BE227" s="30"/>
      <c r="BF227" s="30"/>
      <c r="BG227" s="37"/>
    </row>
    <row r="228" ht="15.75" customHeight="1">
      <c r="A228" s="37"/>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7"/>
      <c r="BB228" s="30"/>
      <c r="BC228" s="30"/>
      <c r="BD228" s="30"/>
      <c r="BE228" s="30"/>
      <c r="BF228" s="30"/>
      <c r="BG228" s="37"/>
    </row>
    <row r="229" ht="15.75" customHeight="1">
      <c r="A229" s="37"/>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7"/>
      <c r="BB229" s="30"/>
      <c r="BC229" s="30"/>
      <c r="BD229" s="30"/>
      <c r="BE229" s="30"/>
      <c r="BF229" s="30"/>
      <c r="BG229" s="37"/>
    </row>
    <row r="230" ht="15.75" customHeight="1">
      <c r="A230" s="37"/>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7"/>
      <c r="BB230" s="30"/>
      <c r="BC230" s="30"/>
      <c r="BD230" s="30"/>
      <c r="BE230" s="30"/>
      <c r="BF230" s="30"/>
      <c r="BG230" s="37"/>
    </row>
    <row r="231" ht="15.75" customHeight="1">
      <c r="A231" s="37"/>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7"/>
      <c r="BB231" s="30"/>
      <c r="BC231" s="30"/>
      <c r="BD231" s="30"/>
      <c r="BE231" s="30"/>
      <c r="BF231" s="30"/>
      <c r="BG231" s="37"/>
    </row>
    <row r="232" ht="15.75" customHeight="1">
      <c r="A232" s="37"/>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7"/>
      <c r="BB232" s="30"/>
      <c r="BC232" s="30"/>
      <c r="BD232" s="30"/>
      <c r="BE232" s="30"/>
      <c r="BF232" s="30"/>
      <c r="BG232" s="37"/>
    </row>
    <row r="233" ht="15.75" customHeight="1">
      <c r="A233" s="37"/>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7"/>
      <c r="BB233" s="30"/>
      <c r="BC233" s="30"/>
      <c r="BD233" s="30"/>
      <c r="BE233" s="30"/>
      <c r="BF233" s="30"/>
      <c r="BG233" s="37"/>
    </row>
    <row r="234" ht="15.75" customHeight="1">
      <c r="A234" s="37"/>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7"/>
      <c r="BB234" s="30"/>
      <c r="BC234" s="30"/>
      <c r="BD234" s="30"/>
      <c r="BE234" s="30"/>
      <c r="BF234" s="30"/>
      <c r="BG234" s="37"/>
    </row>
    <row r="235" ht="15.75" customHeight="1">
      <c r="A235" s="37"/>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7"/>
      <c r="BB235" s="30"/>
      <c r="BC235" s="30"/>
      <c r="BD235" s="30"/>
      <c r="BE235" s="30"/>
      <c r="BF235" s="30"/>
      <c r="BG235" s="37"/>
    </row>
    <row r="236" ht="15.75" customHeight="1">
      <c r="A236" s="37"/>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7"/>
      <c r="BB236" s="30"/>
      <c r="BC236" s="30"/>
      <c r="BD236" s="30"/>
      <c r="BE236" s="30"/>
      <c r="BF236" s="30"/>
      <c r="BG236" s="37"/>
    </row>
    <row r="237" ht="15.75" customHeight="1">
      <c r="A237" s="37"/>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7"/>
      <c r="BB237" s="30"/>
      <c r="BC237" s="30"/>
      <c r="BD237" s="30"/>
      <c r="BE237" s="30"/>
      <c r="BF237" s="30"/>
      <c r="BG237" s="37"/>
    </row>
    <row r="238" ht="15.75" customHeight="1">
      <c r="A238" s="37"/>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7"/>
      <c r="BB238" s="30"/>
      <c r="BC238" s="30"/>
      <c r="BD238" s="30"/>
      <c r="BE238" s="30"/>
      <c r="BF238" s="30"/>
      <c r="BG238" s="37"/>
    </row>
    <row r="239" ht="15.75" customHeight="1">
      <c r="A239" s="37"/>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7"/>
      <c r="BB239" s="30"/>
      <c r="BC239" s="30"/>
      <c r="BD239" s="30"/>
      <c r="BE239" s="30"/>
      <c r="BF239" s="30"/>
      <c r="BG239" s="37"/>
    </row>
    <row r="240" ht="15.75" customHeight="1">
      <c r="A240" s="37"/>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7"/>
      <c r="BB240" s="30"/>
      <c r="BC240" s="30"/>
      <c r="BD240" s="30"/>
      <c r="BE240" s="30"/>
      <c r="BF240" s="30"/>
      <c r="BG240" s="37"/>
    </row>
    <row r="241" ht="15.75" customHeight="1">
      <c r="A241" s="37"/>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7"/>
      <c r="BB241" s="30"/>
      <c r="BC241" s="30"/>
      <c r="BD241" s="30"/>
      <c r="BE241" s="30"/>
      <c r="BF241" s="30"/>
      <c r="BG241" s="37"/>
    </row>
    <row r="242" ht="15.75" customHeight="1">
      <c r="A242" s="37"/>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7"/>
      <c r="BB242" s="30"/>
      <c r="BC242" s="30"/>
      <c r="BD242" s="30"/>
      <c r="BE242" s="30"/>
      <c r="BF242" s="30"/>
      <c r="BG242" s="37"/>
    </row>
    <row r="243" ht="15.75" customHeight="1">
      <c r="A243" s="37"/>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7"/>
      <c r="BB243" s="30"/>
      <c r="BC243" s="30"/>
      <c r="BD243" s="30"/>
      <c r="BE243" s="30"/>
      <c r="BF243" s="30"/>
      <c r="BG243" s="37"/>
    </row>
    <row r="244" ht="15.75" customHeight="1">
      <c r="A244" s="37"/>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7"/>
      <c r="BB244" s="30"/>
      <c r="BC244" s="30"/>
      <c r="BD244" s="30"/>
      <c r="BE244" s="30"/>
      <c r="BF244" s="30"/>
      <c r="BG244" s="37"/>
    </row>
    <row r="245" ht="15.75" customHeight="1">
      <c r="A245" s="37"/>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7"/>
      <c r="BB245" s="30"/>
      <c r="BC245" s="30"/>
      <c r="BD245" s="30"/>
      <c r="BE245" s="30"/>
      <c r="BF245" s="30"/>
      <c r="BG245" s="37"/>
    </row>
    <row r="246" ht="15.75" customHeight="1">
      <c r="A246" s="37"/>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7"/>
      <c r="BB246" s="30"/>
      <c r="BC246" s="30"/>
      <c r="BD246" s="30"/>
      <c r="BE246" s="30"/>
      <c r="BF246" s="30"/>
      <c r="BG246" s="37"/>
    </row>
    <row r="247" ht="15.75" customHeight="1">
      <c r="A247" s="37"/>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7"/>
      <c r="BB247" s="30"/>
      <c r="BC247" s="30"/>
      <c r="BD247" s="30"/>
      <c r="BE247" s="30"/>
      <c r="BF247" s="30"/>
      <c r="BG247" s="37"/>
    </row>
    <row r="248" ht="15.75" customHeight="1">
      <c r="A248" s="37"/>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7"/>
      <c r="BB248" s="30"/>
      <c r="BC248" s="30"/>
      <c r="BD248" s="30"/>
      <c r="BE248" s="30"/>
      <c r="BF248" s="30"/>
      <c r="BG248" s="37"/>
    </row>
    <row r="249" ht="15.75" customHeight="1">
      <c r="A249" s="37"/>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7"/>
      <c r="BB249" s="30"/>
      <c r="BC249" s="30"/>
      <c r="BD249" s="30"/>
      <c r="BE249" s="30"/>
      <c r="BF249" s="30"/>
      <c r="BG249" s="37"/>
    </row>
    <row r="250" ht="15.75" customHeight="1">
      <c r="A250" s="37"/>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7"/>
      <c r="BB250" s="30"/>
      <c r="BC250" s="30"/>
      <c r="BD250" s="30"/>
      <c r="BE250" s="30"/>
      <c r="BF250" s="30"/>
      <c r="BG250" s="37"/>
    </row>
    <row r="251" ht="15.75" customHeight="1">
      <c r="A251" s="37"/>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7"/>
      <c r="BB251" s="30"/>
      <c r="BC251" s="30"/>
      <c r="BD251" s="30"/>
      <c r="BE251" s="30"/>
      <c r="BF251" s="30"/>
      <c r="BG251" s="37"/>
    </row>
    <row r="252" ht="15.75" customHeight="1">
      <c r="A252" s="37"/>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7"/>
      <c r="BB252" s="30"/>
      <c r="BC252" s="30"/>
      <c r="BD252" s="30"/>
      <c r="BE252" s="30"/>
      <c r="BF252" s="30"/>
      <c r="BG252" s="37"/>
    </row>
    <row r="253" ht="15.75" customHeight="1">
      <c r="A253" s="37"/>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7"/>
      <c r="BB253" s="30"/>
      <c r="BC253" s="30"/>
      <c r="BD253" s="30"/>
      <c r="BE253" s="30"/>
      <c r="BF253" s="30"/>
      <c r="BG253" s="37"/>
    </row>
    <row r="254" ht="15.75" customHeight="1">
      <c r="A254" s="37"/>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7"/>
      <c r="BB254" s="30"/>
      <c r="BC254" s="30"/>
      <c r="BD254" s="30"/>
      <c r="BE254" s="30"/>
      <c r="BF254" s="30"/>
      <c r="BG254" s="37"/>
    </row>
    <row r="255" ht="15.75" customHeight="1">
      <c r="A255" s="37"/>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7"/>
      <c r="BB255" s="30"/>
      <c r="BC255" s="30"/>
      <c r="BD255" s="30"/>
      <c r="BE255" s="30"/>
      <c r="BF255" s="30"/>
      <c r="BG255" s="37"/>
    </row>
    <row r="256" ht="15.75" customHeight="1">
      <c r="A256" s="37"/>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7"/>
      <c r="BB256" s="30"/>
      <c r="BC256" s="30"/>
      <c r="BD256" s="30"/>
      <c r="BE256" s="30"/>
      <c r="BF256" s="30"/>
      <c r="BG256" s="37"/>
    </row>
    <row r="257" ht="15.75" customHeight="1">
      <c r="A257" s="37"/>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7"/>
      <c r="BB257" s="30"/>
      <c r="BC257" s="30"/>
      <c r="BD257" s="30"/>
      <c r="BE257" s="30"/>
      <c r="BF257" s="30"/>
      <c r="BG257" s="37"/>
    </row>
    <row r="258" ht="15.75" customHeight="1">
      <c r="A258" s="37"/>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7"/>
      <c r="BB258" s="30"/>
      <c r="BC258" s="30"/>
      <c r="BD258" s="30"/>
      <c r="BE258" s="30"/>
      <c r="BF258" s="30"/>
      <c r="BG258" s="37"/>
    </row>
    <row r="259" ht="15.75" customHeight="1">
      <c r="A259" s="37"/>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7"/>
      <c r="BB259" s="30"/>
      <c r="BC259" s="30"/>
      <c r="BD259" s="30"/>
      <c r="BE259" s="30"/>
      <c r="BF259" s="30"/>
      <c r="BG259" s="37"/>
    </row>
    <row r="260" ht="15.75" customHeight="1">
      <c r="A260" s="37"/>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7"/>
      <c r="BB260" s="30"/>
      <c r="BC260" s="30"/>
      <c r="BD260" s="30"/>
      <c r="BE260" s="30"/>
      <c r="BF260" s="30"/>
      <c r="BG260" s="37"/>
    </row>
    <row r="261" ht="15.75" customHeight="1">
      <c r="A261" s="37"/>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7"/>
      <c r="BB261" s="30"/>
      <c r="BC261" s="30"/>
      <c r="BD261" s="30"/>
      <c r="BE261" s="30"/>
      <c r="BF261" s="30"/>
      <c r="BG261" s="37"/>
    </row>
    <row r="262" ht="15.75" customHeight="1">
      <c r="A262" s="37"/>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7"/>
      <c r="BB262" s="30"/>
      <c r="BC262" s="30"/>
      <c r="BD262" s="30"/>
      <c r="BE262" s="30"/>
      <c r="BF262" s="30"/>
      <c r="BG262" s="37"/>
    </row>
    <row r="263" ht="15.75" customHeight="1">
      <c r="A263" s="37"/>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7"/>
      <c r="BB263" s="30"/>
      <c r="BC263" s="30"/>
      <c r="BD263" s="30"/>
      <c r="BE263" s="30"/>
      <c r="BF263" s="30"/>
      <c r="BG263" s="37"/>
    </row>
    <row r="264" ht="15.75" customHeight="1">
      <c r="A264" s="37"/>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7"/>
      <c r="BB264" s="30"/>
      <c r="BC264" s="30"/>
      <c r="BD264" s="30"/>
      <c r="BE264" s="30"/>
      <c r="BF264" s="30"/>
      <c r="BG264" s="37"/>
    </row>
    <row r="265" ht="15.75" customHeight="1">
      <c r="A265" s="37"/>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7"/>
      <c r="BB265" s="30"/>
      <c r="BC265" s="30"/>
      <c r="BD265" s="30"/>
      <c r="BE265" s="30"/>
      <c r="BF265" s="30"/>
      <c r="BG265" s="37"/>
    </row>
    <row r="266" ht="15.75" customHeight="1">
      <c r="A266" s="37"/>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7"/>
      <c r="BB266" s="30"/>
      <c r="BC266" s="30"/>
      <c r="BD266" s="30"/>
      <c r="BE266" s="30"/>
      <c r="BF266" s="30"/>
      <c r="BG266" s="37"/>
    </row>
    <row r="267" ht="15.75" customHeight="1">
      <c r="A267" s="37"/>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7"/>
      <c r="BB267" s="30"/>
      <c r="BC267" s="30"/>
      <c r="BD267" s="30"/>
      <c r="BE267" s="30"/>
      <c r="BF267" s="30"/>
      <c r="BG267" s="37"/>
    </row>
    <row r="268" ht="15.75" customHeight="1">
      <c r="A268" s="37"/>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7"/>
      <c r="BB268" s="30"/>
      <c r="BC268" s="30"/>
      <c r="BD268" s="30"/>
      <c r="BE268" s="30"/>
      <c r="BF268" s="30"/>
      <c r="BG268" s="37"/>
    </row>
    <row r="269" ht="15.75" customHeight="1">
      <c r="A269" s="37"/>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7"/>
      <c r="BB269" s="30"/>
      <c r="BC269" s="30"/>
      <c r="BD269" s="30"/>
      <c r="BE269" s="30"/>
      <c r="BF269" s="30"/>
      <c r="BG269" s="37"/>
    </row>
    <row r="270" ht="15.75" customHeight="1">
      <c r="A270" s="37"/>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7"/>
      <c r="BB270" s="30"/>
      <c r="BC270" s="30"/>
      <c r="BD270" s="30"/>
      <c r="BE270" s="30"/>
      <c r="BF270" s="30"/>
      <c r="BG270" s="37"/>
    </row>
    <row r="271" ht="15.75" customHeight="1">
      <c r="A271" s="37"/>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7"/>
      <c r="BB271" s="30"/>
      <c r="BC271" s="30"/>
      <c r="BD271" s="30"/>
      <c r="BE271" s="30"/>
      <c r="BF271" s="30"/>
      <c r="BG271" s="37"/>
    </row>
    <row r="272" ht="15.75" customHeight="1">
      <c r="A272" s="37"/>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7"/>
      <c r="BB272" s="30"/>
      <c r="BC272" s="30"/>
      <c r="BD272" s="30"/>
      <c r="BE272" s="30"/>
      <c r="BF272" s="30"/>
      <c r="BG272" s="37"/>
    </row>
    <row r="273" ht="15.75" customHeight="1">
      <c r="A273" s="37"/>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7"/>
      <c r="BB273" s="30"/>
      <c r="BC273" s="30"/>
      <c r="BD273" s="30"/>
      <c r="BE273" s="30"/>
      <c r="BF273" s="30"/>
      <c r="BG273" s="37"/>
    </row>
    <row r="274" ht="15.75" customHeight="1">
      <c r="A274" s="37"/>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7"/>
      <c r="BB274" s="30"/>
      <c r="BC274" s="30"/>
      <c r="BD274" s="30"/>
      <c r="BE274" s="30"/>
      <c r="BF274" s="30"/>
      <c r="BG274" s="37"/>
    </row>
    <row r="275" ht="15.75" customHeight="1">
      <c r="A275" s="37"/>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7"/>
      <c r="BB275" s="30"/>
      <c r="BC275" s="30"/>
      <c r="BD275" s="30"/>
      <c r="BE275" s="30"/>
      <c r="BF275" s="30"/>
      <c r="BG275" s="37"/>
    </row>
    <row r="276" ht="15.75" customHeight="1">
      <c r="A276" s="37"/>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7"/>
      <c r="BB276" s="30"/>
      <c r="BC276" s="30"/>
      <c r="BD276" s="30"/>
      <c r="BE276" s="30"/>
      <c r="BF276" s="30"/>
      <c r="BG276" s="37"/>
    </row>
    <row r="277" ht="15.75" customHeight="1">
      <c r="A277" s="37"/>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7"/>
      <c r="BB277" s="30"/>
      <c r="BC277" s="30"/>
      <c r="BD277" s="30"/>
      <c r="BE277" s="30"/>
      <c r="BF277" s="30"/>
      <c r="BG277" s="37"/>
    </row>
    <row r="278" ht="15.75" customHeight="1">
      <c r="A278" s="37"/>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7"/>
      <c r="BB278" s="30"/>
      <c r="BC278" s="30"/>
      <c r="BD278" s="30"/>
      <c r="BE278" s="30"/>
      <c r="BF278" s="30"/>
      <c r="BG278" s="37"/>
    </row>
    <row r="279" ht="15.75" customHeight="1">
      <c r="A279" s="37"/>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7"/>
      <c r="BB279" s="30"/>
      <c r="BC279" s="30"/>
      <c r="BD279" s="30"/>
      <c r="BE279" s="30"/>
      <c r="BF279" s="30"/>
      <c r="BG279" s="37"/>
    </row>
    <row r="280" ht="15.75" customHeight="1">
      <c r="A280" s="37"/>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7"/>
      <c r="BB280" s="30"/>
      <c r="BC280" s="30"/>
      <c r="BD280" s="30"/>
      <c r="BE280" s="30"/>
      <c r="BF280" s="30"/>
      <c r="BG280" s="37"/>
    </row>
    <row r="281" ht="15.75" customHeight="1">
      <c r="A281" s="37"/>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7"/>
      <c r="BB281" s="30"/>
      <c r="BC281" s="30"/>
      <c r="BD281" s="30"/>
      <c r="BE281" s="30"/>
      <c r="BF281" s="30"/>
      <c r="BG281" s="37"/>
    </row>
    <row r="282" ht="15.75" customHeight="1">
      <c r="A282" s="37"/>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7"/>
      <c r="BB282" s="30"/>
      <c r="BC282" s="30"/>
      <c r="BD282" s="30"/>
      <c r="BE282" s="30"/>
      <c r="BF282" s="30"/>
      <c r="BG282" s="37"/>
    </row>
    <row r="283" ht="15.75" customHeight="1">
      <c r="A283" s="37"/>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7"/>
      <c r="BB283" s="30"/>
      <c r="BC283" s="30"/>
      <c r="BD283" s="30"/>
      <c r="BE283" s="30"/>
      <c r="BF283" s="30"/>
      <c r="BG283" s="37"/>
    </row>
    <row r="284" ht="15.75" customHeight="1">
      <c r="A284" s="37"/>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7"/>
      <c r="BB284" s="30"/>
      <c r="BC284" s="30"/>
      <c r="BD284" s="30"/>
      <c r="BE284" s="30"/>
      <c r="BF284" s="30"/>
      <c r="BG284" s="37"/>
    </row>
    <row r="285" ht="15.75" customHeight="1">
      <c r="A285" s="37"/>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7"/>
      <c r="BB285" s="30"/>
      <c r="BC285" s="30"/>
      <c r="BD285" s="30"/>
      <c r="BE285" s="30"/>
      <c r="BF285" s="30"/>
      <c r="BG285" s="37"/>
    </row>
    <row r="286" ht="15.75" customHeight="1">
      <c r="A286" s="37"/>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7"/>
      <c r="BB286" s="30"/>
      <c r="BC286" s="30"/>
      <c r="BD286" s="30"/>
      <c r="BE286" s="30"/>
      <c r="BF286" s="30"/>
      <c r="BG286" s="37"/>
    </row>
    <row r="287" ht="15.75" customHeight="1">
      <c r="A287" s="37"/>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7"/>
      <c r="BB287" s="30"/>
      <c r="BC287" s="30"/>
      <c r="BD287" s="30"/>
      <c r="BE287" s="30"/>
      <c r="BF287" s="30"/>
      <c r="BG287" s="37"/>
    </row>
    <row r="288" ht="15.75" customHeight="1">
      <c r="A288" s="37"/>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7"/>
      <c r="BB288" s="30"/>
      <c r="BC288" s="30"/>
      <c r="BD288" s="30"/>
      <c r="BE288" s="30"/>
      <c r="BF288" s="30"/>
      <c r="BG288" s="37"/>
    </row>
    <row r="289" ht="15.75" customHeight="1">
      <c r="A289" s="37"/>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7"/>
      <c r="BB289" s="30"/>
      <c r="BC289" s="30"/>
      <c r="BD289" s="30"/>
      <c r="BE289" s="30"/>
      <c r="BF289" s="30"/>
      <c r="BG289" s="37"/>
    </row>
    <row r="290" ht="15.75" customHeight="1">
      <c r="A290" s="37"/>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7"/>
      <c r="BB290" s="30"/>
      <c r="BC290" s="30"/>
      <c r="BD290" s="30"/>
      <c r="BE290" s="30"/>
      <c r="BF290" s="30"/>
      <c r="BG290" s="37"/>
    </row>
    <row r="291" ht="15.75" customHeight="1">
      <c r="A291" s="37"/>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7"/>
      <c r="BB291" s="30"/>
      <c r="BC291" s="30"/>
      <c r="BD291" s="30"/>
      <c r="BE291" s="30"/>
      <c r="BF291" s="30"/>
      <c r="BG291" s="37"/>
    </row>
    <row r="292" ht="15.75" customHeight="1">
      <c r="A292" s="37"/>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7"/>
      <c r="BB292" s="30"/>
      <c r="BC292" s="30"/>
      <c r="BD292" s="30"/>
      <c r="BE292" s="30"/>
      <c r="BF292" s="30"/>
      <c r="BG292" s="37"/>
    </row>
    <row r="293" ht="15.75" customHeight="1">
      <c r="A293" s="37"/>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7"/>
      <c r="BB293" s="30"/>
      <c r="BC293" s="30"/>
      <c r="BD293" s="30"/>
      <c r="BE293" s="30"/>
      <c r="BF293" s="30"/>
      <c r="BG293" s="37"/>
    </row>
    <row r="294" ht="15.75" customHeight="1">
      <c r="A294" s="37"/>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7"/>
      <c r="BB294" s="30"/>
      <c r="BC294" s="30"/>
      <c r="BD294" s="30"/>
      <c r="BE294" s="30"/>
      <c r="BF294" s="30"/>
      <c r="BG294" s="37"/>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rintOptions/>
  <pageMargins bottom="1.0" footer="0.0" header="0.0" left="0.75" right="0.75" top="1.0"/>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topLeftCell="E1" activePane="topRight" state="frozen"/>
      <selection activeCell="F2" sqref="F2" pane="topRight"/>
    </sheetView>
  </sheetViews>
  <sheetFormatPr customHeight="1" defaultColWidth="14.43" defaultRowHeight="15.0" outlineLevelCol="1" outlineLevelRow="1"/>
  <cols>
    <col customWidth="1" min="1" max="1" width="2.0"/>
    <col customWidth="1" min="2" max="2" width="32.0"/>
    <col customWidth="1" min="3" max="3" width="21.43"/>
    <col customWidth="1" min="4" max="4" width="5.0"/>
    <col customWidth="1" hidden="1" min="5" max="5" width="9.71" outlineLevel="1"/>
    <col customWidth="1" hidden="1" min="6" max="6" width="9.57" outlineLevel="1"/>
    <col customWidth="1" hidden="1" min="7" max="7" width="9.86" outlineLevel="1"/>
    <col customWidth="1" hidden="1" min="8" max="8" width="9.43" outlineLevel="1"/>
    <col customWidth="1" hidden="1" min="9" max="9" width="10.0" outlineLevel="1"/>
    <col customWidth="1" hidden="1" min="10" max="10" width="9.71" outlineLevel="1"/>
    <col customWidth="1" hidden="1" min="11" max="11" width="9.14" outlineLevel="1"/>
    <col customWidth="1" hidden="1" min="12" max="13" width="9.86" outlineLevel="1"/>
    <col customWidth="1" hidden="1" min="14" max="14" width="9.57" outlineLevel="1"/>
    <col customWidth="1" hidden="1" min="15" max="16" width="9.86" outlineLevel="1"/>
    <col customWidth="1" min="17" max="17" width="9.71"/>
    <col customWidth="1" min="18" max="18" width="9.57"/>
    <col customWidth="1" min="19" max="19" width="9.71"/>
    <col customWidth="1" min="20" max="20" width="9.43"/>
    <col customWidth="1" min="21" max="21" width="10.0"/>
    <col customWidth="1" min="22" max="22" width="9.71"/>
    <col customWidth="1" min="23" max="23" width="9.14"/>
    <col customWidth="1" min="24" max="25" width="9.86"/>
    <col customWidth="1" min="26" max="26" width="9.57"/>
    <col customWidth="1" min="27" max="28" width="9.86"/>
    <col customWidth="1" min="29" max="30" width="9.43"/>
    <col customWidth="1" min="31" max="31" width="9.57"/>
    <col customWidth="1" min="32" max="32" width="9.29"/>
    <col customWidth="1" min="33" max="33" width="9.86"/>
    <col customWidth="1" min="34" max="34" width="9.57"/>
    <col customWidth="1" min="35" max="35" width="10.57"/>
    <col customWidth="1" min="36" max="36" width="10.29"/>
    <col customWidth="1" min="37" max="37" width="10.57"/>
    <col customWidth="1" min="38" max="38" width="10.86"/>
    <col customWidth="1" min="39" max="39" width="10.43"/>
    <col customWidth="1" min="40" max="40" width="10.14"/>
    <col customWidth="1" min="41" max="41" width="10.43"/>
    <col customWidth="1" min="42" max="42" width="10.14"/>
    <col customWidth="1" min="43" max="43" width="10.86"/>
    <col customWidth="1" min="44" max="45" width="10.71"/>
    <col customWidth="1" min="46" max="46" width="10.86"/>
    <col customWidth="1" min="47" max="48" width="10.57"/>
    <col customWidth="1" min="49" max="52" width="10.86"/>
    <col customWidth="1" min="54" max="54" width="7.57"/>
    <col customWidth="1" min="55" max="55" width="8.43"/>
    <col customWidth="1" min="56" max="56" width="11.43"/>
    <col customWidth="1" min="57" max="57" width="12.14"/>
    <col customWidth="1" min="58" max="58" width="12.71"/>
  </cols>
  <sheetData>
    <row r="1" ht="15.75" customHeight="1">
      <c r="A1" s="143" t="s">
        <v>40</v>
      </c>
      <c r="B1" s="142" t="s">
        <v>257</v>
      </c>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5"/>
      <c r="AL1" s="145"/>
      <c r="AM1" s="145"/>
      <c r="AN1" s="145"/>
      <c r="AO1" s="147"/>
      <c r="AP1" s="147"/>
      <c r="AQ1" s="147"/>
      <c r="AR1" s="147"/>
      <c r="AS1" s="147"/>
      <c r="AT1" s="147"/>
      <c r="AU1" s="147"/>
      <c r="AV1" s="147"/>
      <c r="AW1" s="147"/>
      <c r="AX1" s="147"/>
      <c r="AY1" s="147"/>
      <c r="AZ1" s="147"/>
      <c r="BA1" s="30"/>
      <c r="BB1" s="143"/>
      <c r="BC1" s="44"/>
      <c r="BD1" s="44"/>
      <c r="BE1" s="44"/>
      <c r="BF1" s="44"/>
      <c r="BG1" s="37"/>
    </row>
    <row r="2" ht="13.5" customHeight="1">
      <c r="A2" s="151"/>
      <c r="B2" s="213"/>
      <c r="C2" s="213"/>
      <c r="D2" s="213"/>
      <c r="E2" s="152" t="s">
        <v>191</v>
      </c>
      <c r="F2" s="152"/>
      <c r="G2" s="152"/>
      <c r="H2" s="152"/>
      <c r="I2" s="152"/>
      <c r="J2" s="152"/>
      <c r="K2" s="152"/>
      <c r="L2" s="152"/>
      <c r="M2" s="152"/>
      <c r="N2" s="152"/>
      <c r="O2" s="152"/>
      <c r="P2" s="152"/>
      <c r="Q2" s="152" t="s">
        <v>192</v>
      </c>
      <c r="R2" s="152"/>
      <c r="S2" s="152"/>
      <c r="T2" s="152"/>
      <c r="U2" s="152"/>
      <c r="V2" s="152"/>
      <c r="W2" s="152"/>
      <c r="X2" s="152"/>
      <c r="Y2" s="152"/>
      <c r="Z2" s="152"/>
      <c r="AA2" s="152"/>
      <c r="AB2" s="152"/>
      <c r="AC2" s="152" t="s">
        <v>193</v>
      </c>
      <c r="AD2" s="152"/>
      <c r="AE2" s="152"/>
      <c r="AF2" s="152"/>
      <c r="AG2" s="152"/>
      <c r="AH2" s="152"/>
      <c r="AI2" s="152"/>
      <c r="AJ2" s="152"/>
      <c r="AK2" s="152"/>
      <c r="AL2" s="152"/>
      <c r="AM2" s="152"/>
      <c r="AN2" s="152"/>
      <c r="AO2" s="152" t="s">
        <v>194</v>
      </c>
      <c r="AP2" s="152"/>
      <c r="AQ2" s="152"/>
      <c r="AR2" s="152"/>
      <c r="AS2" s="152"/>
      <c r="AT2" s="152"/>
      <c r="AU2" s="152"/>
      <c r="AV2" s="152"/>
      <c r="AW2" s="152"/>
      <c r="AX2" s="152"/>
      <c r="AY2" s="152"/>
      <c r="AZ2" s="152"/>
      <c r="BA2" s="214"/>
      <c r="BB2" s="152"/>
      <c r="BC2" s="152"/>
      <c r="BD2" s="152"/>
      <c r="BE2" s="152"/>
      <c r="BF2" s="152"/>
      <c r="BG2" s="215"/>
    </row>
    <row r="3" ht="13.5" customHeight="1">
      <c r="A3" s="151"/>
      <c r="B3" s="213"/>
      <c r="C3" s="213"/>
      <c r="D3" s="213"/>
      <c r="E3" s="160">
        <v>45658.0</v>
      </c>
      <c r="F3" s="160">
        <v>45689.0</v>
      </c>
      <c r="G3" s="160">
        <v>45717.0</v>
      </c>
      <c r="H3" s="160">
        <v>45748.0</v>
      </c>
      <c r="I3" s="160">
        <v>45778.0</v>
      </c>
      <c r="J3" s="160">
        <v>45809.0</v>
      </c>
      <c r="K3" s="160">
        <v>45839.0</v>
      </c>
      <c r="L3" s="160">
        <v>45870.0</v>
      </c>
      <c r="M3" s="160">
        <v>45901.0</v>
      </c>
      <c r="N3" s="160">
        <v>45931.0</v>
      </c>
      <c r="O3" s="160">
        <v>45962.0</v>
      </c>
      <c r="P3" s="160">
        <v>45992.0</v>
      </c>
      <c r="Q3" s="160">
        <v>46023.0</v>
      </c>
      <c r="R3" s="160">
        <v>46054.0</v>
      </c>
      <c r="S3" s="160">
        <v>46082.0</v>
      </c>
      <c r="T3" s="160">
        <v>46113.0</v>
      </c>
      <c r="U3" s="160">
        <v>46143.0</v>
      </c>
      <c r="V3" s="160">
        <v>46174.0</v>
      </c>
      <c r="W3" s="160">
        <v>46204.0</v>
      </c>
      <c r="X3" s="160">
        <v>46235.0</v>
      </c>
      <c r="Y3" s="160">
        <v>46266.0</v>
      </c>
      <c r="Z3" s="160">
        <v>46296.0</v>
      </c>
      <c r="AA3" s="160">
        <v>46327.0</v>
      </c>
      <c r="AB3" s="160">
        <v>46357.0</v>
      </c>
      <c r="AC3" s="160">
        <v>46388.0</v>
      </c>
      <c r="AD3" s="160">
        <v>46419.0</v>
      </c>
      <c r="AE3" s="160">
        <v>46447.0</v>
      </c>
      <c r="AF3" s="160">
        <v>46478.0</v>
      </c>
      <c r="AG3" s="160">
        <v>46508.0</v>
      </c>
      <c r="AH3" s="160">
        <v>46539.0</v>
      </c>
      <c r="AI3" s="160">
        <v>46569.0</v>
      </c>
      <c r="AJ3" s="160">
        <v>46600.0</v>
      </c>
      <c r="AK3" s="160">
        <v>46631.0</v>
      </c>
      <c r="AL3" s="160">
        <v>46661.0</v>
      </c>
      <c r="AM3" s="160">
        <v>46692.0</v>
      </c>
      <c r="AN3" s="160">
        <v>46722.0</v>
      </c>
      <c r="AO3" s="160">
        <v>46753.0</v>
      </c>
      <c r="AP3" s="160">
        <v>46784.0</v>
      </c>
      <c r="AQ3" s="160">
        <v>46813.0</v>
      </c>
      <c r="AR3" s="160">
        <v>46844.0</v>
      </c>
      <c r="AS3" s="160">
        <v>46874.0</v>
      </c>
      <c r="AT3" s="160">
        <v>46905.0</v>
      </c>
      <c r="AU3" s="160">
        <v>46935.0</v>
      </c>
      <c r="AV3" s="160">
        <v>46966.0</v>
      </c>
      <c r="AW3" s="160">
        <v>46997.0</v>
      </c>
      <c r="AX3" s="160">
        <v>47027.0</v>
      </c>
      <c r="AY3" s="160">
        <v>47058.0</v>
      </c>
      <c r="AZ3" s="160">
        <v>47088.0</v>
      </c>
      <c r="BA3" s="214"/>
      <c r="BB3" s="152">
        <v>2025.0</v>
      </c>
      <c r="BC3" s="152">
        <v>2026.0</v>
      </c>
      <c r="BD3" s="152">
        <v>2027.0</v>
      </c>
      <c r="BE3" s="152">
        <v>2028.0</v>
      </c>
      <c r="BF3" s="152">
        <v>2029.0</v>
      </c>
      <c r="BG3" s="159"/>
    </row>
    <row r="4">
      <c r="A4" s="30"/>
      <c r="B4" s="30"/>
      <c r="C4" s="30"/>
      <c r="D4" s="30"/>
      <c r="E4" s="163"/>
      <c r="F4" s="163"/>
      <c r="G4" s="163"/>
      <c r="H4" s="163"/>
      <c r="I4" s="163"/>
      <c r="J4" s="163"/>
      <c r="K4" s="163"/>
      <c r="L4" s="163"/>
      <c r="M4" s="163"/>
      <c r="N4" s="163"/>
      <c r="O4" s="163"/>
      <c r="P4" s="163"/>
      <c r="Q4" s="163"/>
      <c r="R4" s="163"/>
      <c r="S4" s="163"/>
      <c r="T4" s="163"/>
      <c r="U4" s="163"/>
      <c r="V4" s="163"/>
      <c r="W4" s="163"/>
      <c r="X4" s="163"/>
      <c r="Y4" s="163"/>
      <c r="Z4" s="163"/>
      <c r="AA4" s="163"/>
      <c r="AB4" s="216">
        <v>2.0</v>
      </c>
      <c r="AC4" s="216">
        <v>3.0</v>
      </c>
      <c r="AD4" s="216">
        <v>4.0</v>
      </c>
      <c r="AE4" s="216">
        <v>5.0</v>
      </c>
      <c r="AF4" s="216">
        <v>6.0</v>
      </c>
      <c r="AG4" s="216">
        <v>7.0</v>
      </c>
      <c r="AH4" s="216">
        <v>8.0</v>
      </c>
      <c r="AI4" s="216">
        <v>9.0</v>
      </c>
      <c r="AJ4" s="216">
        <v>10.0</v>
      </c>
      <c r="AK4" s="216">
        <v>11.0</v>
      </c>
      <c r="AL4" s="216">
        <v>12.0</v>
      </c>
      <c r="AM4" s="216">
        <v>13.0</v>
      </c>
      <c r="AN4" s="216">
        <v>14.0</v>
      </c>
      <c r="AO4" s="216">
        <v>15.0</v>
      </c>
      <c r="AP4" s="216">
        <v>16.0</v>
      </c>
      <c r="AQ4" s="216">
        <v>17.0</v>
      </c>
      <c r="AR4" s="216">
        <v>18.0</v>
      </c>
      <c r="AS4" s="216">
        <v>19.0</v>
      </c>
      <c r="AT4" s="216">
        <v>20.0</v>
      </c>
      <c r="AU4" s="216">
        <v>21.0</v>
      </c>
      <c r="AV4" s="216">
        <v>22.0</v>
      </c>
      <c r="AW4" s="216">
        <v>23.0</v>
      </c>
      <c r="AX4" s="216">
        <v>24.0</v>
      </c>
      <c r="AY4" s="216">
        <v>25.0</v>
      </c>
      <c r="AZ4" s="216">
        <v>26.0</v>
      </c>
      <c r="BA4" s="163"/>
      <c r="BB4" s="163"/>
      <c r="BC4" s="163"/>
      <c r="BD4" s="163"/>
      <c r="BE4" s="163"/>
      <c r="BF4" s="163"/>
      <c r="BG4" s="112"/>
    </row>
    <row r="5" ht="13.5" customHeight="1">
      <c r="A5" s="217"/>
      <c r="B5" s="218" t="s">
        <v>258</v>
      </c>
      <c r="C5" s="217"/>
      <c r="D5" s="217"/>
      <c r="E5" s="168"/>
      <c r="F5" s="168"/>
      <c r="G5" s="168"/>
      <c r="H5" s="168"/>
      <c r="I5" s="168"/>
      <c r="J5" s="168"/>
      <c r="K5" s="168"/>
      <c r="L5" s="168"/>
      <c r="M5" s="168"/>
      <c r="N5" s="168"/>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3"/>
      <c r="BB5" s="168"/>
      <c r="BC5" s="170"/>
      <c r="BD5" s="170"/>
      <c r="BE5" s="170"/>
      <c r="BF5" s="170"/>
      <c r="BG5" s="112"/>
    </row>
    <row r="6" ht="15.0" customHeight="1">
      <c r="A6" s="219"/>
      <c r="B6" s="219" t="s">
        <v>259</v>
      </c>
      <c r="C6" s="219"/>
      <c r="D6" s="219" t="s">
        <v>66</v>
      </c>
      <c r="E6" s="219"/>
      <c r="F6" s="219"/>
      <c r="G6" s="219"/>
      <c r="H6" s="219"/>
      <c r="I6" s="219"/>
      <c r="J6" s="219"/>
      <c r="K6" s="219"/>
      <c r="L6" s="219"/>
      <c r="M6" s="219"/>
      <c r="N6" s="219"/>
      <c r="O6" s="219"/>
      <c r="P6" s="219"/>
      <c r="Q6" s="219">
        <f t="array" ref="Q6">IF(YEAR(Q$3)=2026,0,ROUND(EXP((LN(Assumptions!$E$23/Assumptions!$D$23)/12)*((YEAR(Q$3)-2027)*12+MONTH(Q$3)-1))/SUMPRODUCT(EXP((LN(Assumptions!$E$23/Assumptions!$D$23)/12)*(ROW(INDIRECT("1:24"))-1)))*SUM(Assumptions!$D$23:$E$23),0))</f>
        <v>0</v>
      </c>
      <c r="R6" s="219">
        <f t="array" ref="R6">IF(YEAR(R$3)=2026,0,ROUND(EXP((LN(Assumptions!$E$23/Assumptions!$D$23)/12)*((YEAR(R$3)-2027)*12+MONTH(R$3)-1))/SUMPRODUCT(EXP((LN(Assumptions!$E$23/Assumptions!$D$23)/12)*(ROW(INDIRECT("1:24"))-1)))*SUM(Assumptions!$D$23:$E$23),0))</f>
        <v>0</v>
      </c>
      <c r="S6" s="219">
        <f t="array" ref="S6">IF(YEAR(S$3)=2026,0,ROUND(EXP((LN(Assumptions!$E$23/Assumptions!$D$23)/12)*((YEAR(S$3)-2027)*12+MONTH(S$3)-1))/SUMPRODUCT(EXP((LN(Assumptions!$E$23/Assumptions!$D$23)/12)*(ROW(INDIRECT("1:24"))-1)))*SUM(Assumptions!$D$23:$E$23),0))</f>
        <v>0</v>
      </c>
      <c r="T6" s="219">
        <f t="array" ref="T6">IF(YEAR(T$3)=2026,0,ROUND(EXP((LN(Assumptions!$E$23/Assumptions!$D$23)/12)*((YEAR(T$3)-2027)*12+MONTH(T$3)-1))/SUMPRODUCT(EXP((LN(Assumptions!$E$23/Assumptions!$D$23)/12)*(ROW(INDIRECT("1:24"))-1)))*SUM(Assumptions!$D$23:$E$23),0))</f>
        <v>0</v>
      </c>
      <c r="U6" s="219">
        <f t="array" ref="U6">IF(YEAR(U$3)=2026,0,ROUND(EXP((LN(Assumptions!$E$23/Assumptions!$D$23)/12)*((YEAR(U$3)-2027)*12+MONTH(U$3)-1))/SUMPRODUCT(EXP((LN(Assumptions!$E$23/Assumptions!$D$23)/12)*(ROW(INDIRECT("1:24"))-1)))*SUM(Assumptions!$D$23:$E$23),0))</f>
        <v>0</v>
      </c>
      <c r="V6" s="219">
        <f t="array" ref="V6">IF(YEAR(V$3)=2026,0,ROUND(EXP((LN(Assumptions!$E$23/Assumptions!$D$23)/12)*((YEAR(V$3)-2027)*12+MONTH(V$3)-1))/SUMPRODUCT(EXP((LN(Assumptions!$E$23/Assumptions!$D$23)/12)*(ROW(INDIRECT("1:24"))-1)))*SUM(Assumptions!$D$23:$E$23),0))</f>
        <v>0</v>
      </c>
      <c r="W6" s="219">
        <f t="array" ref="W6">IF(YEAR(W$3)=2026,0,ROUND(EXP((LN(Assumptions!$E$23/Assumptions!$D$23)/12)*((YEAR(W$3)-2027)*12+MONTH(W$3)-1))/SUMPRODUCT(EXP((LN(Assumptions!$E$23/Assumptions!$D$23)/12)*(ROW(INDIRECT("1:24"))-1)))*SUM(Assumptions!$D$23:$E$23),0))</f>
        <v>0</v>
      </c>
      <c r="X6" s="219">
        <f t="array" ref="X6">IF(YEAR(X$3)=2026,0,ROUND(EXP((LN(Assumptions!$E$23/Assumptions!$D$23)/12)*((YEAR(X$3)-2027)*12+MONTH(X$3)-1))/SUMPRODUCT(EXP((LN(Assumptions!$E$23/Assumptions!$D$23)/12)*(ROW(INDIRECT("1:24"))-1)))*SUM(Assumptions!$D$23:$E$23),0))</f>
        <v>0</v>
      </c>
      <c r="Y6" s="219">
        <f t="array" ref="Y6">IF(YEAR(Y$3)=2026,0,ROUND(EXP((LN(Assumptions!$E$23/Assumptions!$D$23)/12)*((YEAR(Y$3)-2027)*12+MONTH(Y$3)-1))/SUMPRODUCT(EXP((LN(Assumptions!$E$23/Assumptions!$D$23)/12)*(ROW(INDIRECT("1:24"))-1)))*SUM(Assumptions!$D$23:$E$23),0))</f>
        <v>0</v>
      </c>
      <c r="Z6" s="219">
        <f t="array" ref="Z6">IF(YEAR(Z$3)=2026,0,ROUND(EXP((LN(Assumptions!$E$23/Assumptions!$D$23)/12)*((YEAR(Z$3)-2027)*12+MONTH(Z$3)-1))/SUMPRODUCT(EXP((LN(Assumptions!$E$23/Assumptions!$D$23)/12)*(ROW(INDIRECT("1:24"))-1)))*SUM(Assumptions!$D$23:$E$23),0))</f>
        <v>0</v>
      </c>
      <c r="AA6" s="219">
        <f t="array" ref="AA6">IF(YEAR(AA$3)=2026,0,ROUND(EXP((LN(Assumptions!$E$23/Assumptions!$D$23)/12)*((YEAR(AA$3)-2027)*12+MONTH(AA$3)-1))/SUMPRODUCT(EXP((LN(Assumptions!$E$23/Assumptions!$D$23)/12)*(ROW(INDIRECT("1:24"))-1)))*SUM(Assumptions!$D$23:$E$23),0))</f>
        <v>0</v>
      </c>
      <c r="AB6" s="219">
        <f t="array" ref="AB6">IF(YEAR(AB$3)=2026,0,ROUND(EXP((LN(Assumptions!$E$23/Assumptions!$D$23)/12)*((YEAR(AB$3)-2027)*12+MONTH(AB$3)-1))/SUMPRODUCT(EXP((LN(Assumptions!$E$23/Assumptions!$D$23)/12)*(ROW(INDIRECT("1:24"))-1)))*SUM(Assumptions!$D$23:$E$23),0))</f>
        <v>0</v>
      </c>
      <c r="AC6" s="219">
        <f t="array" ref="AC6">IF(YEAR(AC$3)=2026,0,ROUND(EXP((LN(Assumptions!$E$23/Assumptions!$D$23)/12)*((YEAR(AC$3)-2027)*12+MONTH(AC$3)-1))/SUMPRODUCT(EXP((LN(Assumptions!$E$23/Assumptions!$D$23)/12)*(ROW(INDIRECT("1:24"))-1)))*SUM(Assumptions!$D$23:$E$23),0))</f>
        <v>19</v>
      </c>
      <c r="AD6" s="219">
        <f t="array" ref="AD6">IF(YEAR(AD$3)=2026,0,ROUND(EXP((LN(Assumptions!$E$23/Assumptions!$D$23)/12)*((YEAR(AD$3)-2027)*12+MONTH(AD$3)-1))/SUMPRODUCT(EXP((LN(Assumptions!$E$23/Assumptions!$D$23)/12)*(ROW(INDIRECT("1:24"))-1)))*SUM(Assumptions!$D$23:$E$23),0))</f>
        <v>21</v>
      </c>
      <c r="AE6" s="219">
        <f t="array" ref="AE6">IF(YEAR(AE$3)=2026,0,ROUND(EXP((LN(Assumptions!$E$23/Assumptions!$D$23)/12)*((YEAR(AE$3)-2027)*12+MONTH(AE$3)-1))/SUMPRODUCT(EXP((LN(Assumptions!$E$23/Assumptions!$D$23)/12)*(ROW(INDIRECT("1:24"))-1)))*SUM(Assumptions!$D$23:$E$23),0))</f>
        <v>23</v>
      </c>
      <c r="AF6" s="219">
        <f t="array" ref="AF6">IF(YEAR(AF$3)=2026,0,ROUND(EXP((LN(Assumptions!$E$23/Assumptions!$D$23)/12)*((YEAR(AF$3)-2027)*12+MONTH(AF$3)-1))/SUMPRODUCT(EXP((LN(Assumptions!$E$23/Assumptions!$D$23)/12)*(ROW(INDIRECT("1:24"))-1)))*SUM(Assumptions!$D$23:$E$23),0))</f>
        <v>25</v>
      </c>
      <c r="AG6" s="219">
        <f t="array" ref="AG6">IF(YEAR(AG$3)=2026,0,ROUND(EXP((LN(Assumptions!$E$23/Assumptions!$D$23)/12)*((YEAR(AG$3)-2027)*12+MONTH(AG$3)-1))/SUMPRODUCT(EXP((LN(Assumptions!$E$23/Assumptions!$D$23)/12)*(ROW(INDIRECT("1:24"))-1)))*SUM(Assumptions!$D$23:$E$23),0))</f>
        <v>28</v>
      </c>
      <c r="AH6" s="219">
        <f t="array" ref="AH6">IF(YEAR(AH$3)=2026,0,ROUND(EXP((LN(Assumptions!$E$23/Assumptions!$D$23)/12)*((YEAR(AH$3)-2027)*12+MONTH(AH$3)-1))/SUMPRODUCT(EXP((LN(Assumptions!$E$23/Assumptions!$D$23)/12)*(ROW(INDIRECT("1:24"))-1)))*SUM(Assumptions!$D$23:$E$23),0))</f>
        <v>30</v>
      </c>
      <c r="AI6" s="219">
        <f t="array" ref="AI6">IF(YEAR(AI$3)=2026,0,ROUND(EXP((LN(Assumptions!$E$23/Assumptions!$D$23)/12)*((YEAR(AI$3)-2027)*12+MONTH(AI$3)-1))/SUMPRODUCT(EXP((LN(Assumptions!$E$23/Assumptions!$D$23)/12)*(ROW(INDIRECT("1:24"))-1)))*SUM(Assumptions!$D$23:$E$23),0))</f>
        <v>33</v>
      </c>
      <c r="AJ6" s="219">
        <f t="array" ref="AJ6">IF(YEAR(AJ$3)=2026,0,ROUND(EXP((LN(Assumptions!$E$23/Assumptions!$D$23)/12)*((YEAR(AJ$3)-2027)*12+MONTH(AJ$3)-1))/SUMPRODUCT(EXP((LN(Assumptions!$E$23/Assumptions!$D$23)/12)*(ROW(INDIRECT("1:24"))-1)))*SUM(Assumptions!$D$23:$E$23),0))</f>
        <v>36</v>
      </c>
      <c r="AK6" s="219">
        <f t="array" ref="AK6">IF(YEAR(AK$3)=2026,0,ROUND(EXP((LN(Assumptions!$E$23/Assumptions!$D$23)/12)*((YEAR(AK$3)-2027)*12+MONTH(AK$3)-1))/SUMPRODUCT(EXP((LN(Assumptions!$E$23/Assumptions!$D$23)/12)*(ROW(INDIRECT("1:24"))-1)))*SUM(Assumptions!$D$23:$E$23),0))</f>
        <v>40</v>
      </c>
      <c r="AL6" s="219">
        <f t="array" ref="AL6">IF(YEAR(AL$3)=2026,0,ROUND(EXP((LN(Assumptions!$E$23/Assumptions!$D$23)/12)*((YEAR(AL$3)-2027)*12+MONTH(AL$3)-1))/SUMPRODUCT(EXP((LN(Assumptions!$E$23/Assumptions!$D$23)/12)*(ROW(INDIRECT("1:24"))-1)))*SUM(Assumptions!$D$23:$E$23),0))</f>
        <v>44</v>
      </c>
      <c r="AM6" s="219">
        <f t="array" ref="AM6">IF(YEAR(AM$3)=2026,0,ROUND(EXP((LN(Assumptions!$E$23/Assumptions!$D$23)/12)*((YEAR(AM$3)-2027)*12+MONTH(AM$3)-1))/SUMPRODUCT(EXP((LN(Assumptions!$E$23/Assumptions!$D$23)/12)*(ROW(INDIRECT("1:24"))-1)))*SUM(Assumptions!$D$23:$E$23),0))</f>
        <v>48</v>
      </c>
      <c r="AN6" s="219">
        <f>Assumptions!$D$23-SUM(AC6:AM6)</f>
        <v>53</v>
      </c>
      <c r="AO6" s="219">
        <f t="array" ref="AO6">IF(YEAR(AO$3)=2026,0,ROUND(EXP((LN(Assumptions!$E$23/Assumptions!$D$23)/12)*((YEAR(AO$3)-2027)*12+MONTH(AO$3)-1))/SUMPRODUCT(EXP((LN(Assumptions!$E$23/Assumptions!$D$23)/12)*(ROW(INDIRECT("1:24"))-1)))*SUM(Assumptions!$D$23:$E$23),0))</f>
        <v>58</v>
      </c>
      <c r="AP6" s="219">
        <f t="array" ref="AP6">IF(YEAR(AP$3)=2026,0,ROUND(EXP((LN(Assumptions!$E$23/Assumptions!$D$23)/12)*((YEAR(AP$3)-2027)*12+MONTH(AP$3)-1))/SUMPRODUCT(EXP((LN(Assumptions!$E$23/Assumptions!$D$23)/12)*(ROW(INDIRECT("1:24"))-1)))*SUM(Assumptions!$D$23:$E$23),0))</f>
        <v>63</v>
      </c>
      <c r="AQ6" s="219">
        <f t="array" ref="AQ6">IF(YEAR(AQ$3)=2026,0,ROUND(EXP((LN(Assumptions!$E$23/Assumptions!$D$23)/12)*((YEAR(AQ$3)-2027)*12+MONTH(AQ$3)-1))/SUMPRODUCT(EXP((LN(Assumptions!$E$23/Assumptions!$D$23)/12)*(ROW(INDIRECT("1:24"))-1)))*SUM(Assumptions!$D$23:$E$23),0))</f>
        <v>69</v>
      </c>
      <c r="AR6" s="219">
        <f t="array" ref="AR6">IF(YEAR(AR$3)=2026,0,ROUND(EXP((LN(Assumptions!$E$23/Assumptions!$D$23)/12)*((YEAR(AR$3)-2027)*12+MONTH(AR$3)-1))/SUMPRODUCT(EXP((LN(Assumptions!$E$23/Assumptions!$D$23)/12)*(ROW(INDIRECT("1:24"))-1)))*SUM(Assumptions!$D$23:$E$23),0))</f>
        <v>76</v>
      </c>
      <c r="AS6" s="219">
        <f t="array" ref="AS6">IF(YEAR(AS$3)=2026,0,ROUND(EXP((LN(Assumptions!$E$23/Assumptions!$D$23)/12)*((YEAR(AS$3)-2027)*12+MONTH(AS$3)-1))/SUMPRODUCT(EXP((LN(Assumptions!$E$23/Assumptions!$D$23)/12)*(ROW(INDIRECT("1:24"))-1)))*SUM(Assumptions!$D$23:$E$23),0))</f>
        <v>83</v>
      </c>
      <c r="AT6" s="219">
        <f t="array" ref="AT6">IF(YEAR(AT$3)=2026,0,ROUND(EXP((LN(Assumptions!$E$23/Assumptions!$D$23)/12)*((YEAR(AT$3)-2027)*12+MONTH(AT$3)-1))/SUMPRODUCT(EXP((LN(Assumptions!$E$23/Assumptions!$D$23)/12)*(ROW(INDIRECT("1:24"))-1)))*SUM(Assumptions!$D$23:$E$23),0))</f>
        <v>91</v>
      </c>
      <c r="AU6" s="219">
        <f t="array" ref="AU6">IF(YEAR(AU$3)=2026,0,ROUND(EXP((LN(Assumptions!$E$23/Assumptions!$D$23)/12)*((YEAR(AU$3)-2027)*12+MONTH(AU$3)-1))/SUMPRODUCT(EXP((LN(Assumptions!$E$23/Assumptions!$D$23)/12)*(ROW(INDIRECT("1:24"))-1)))*SUM(Assumptions!$D$23:$E$23),0))</f>
        <v>100</v>
      </c>
      <c r="AV6" s="219">
        <f t="array" ref="AV6">IF(YEAR(AV$3)=2026,0,ROUND(EXP((LN(Assumptions!$E$23/Assumptions!$D$23)/12)*((YEAR(AV$3)-2027)*12+MONTH(AV$3)-1))/SUMPRODUCT(EXP((LN(Assumptions!$E$23/Assumptions!$D$23)/12)*(ROW(INDIRECT("1:24"))-1)))*SUM(Assumptions!$D$23:$E$23),0))</f>
        <v>109</v>
      </c>
      <c r="AW6" s="219">
        <f t="array" ref="AW6">IF(YEAR(AW$3)=2026,0,ROUND(EXP((LN(Assumptions!$E$23/Assumptions!$D$23)/12)*((YEAR(AW$3)-2027)*12+MONTH(AW$3)-1))/SUMPRODUCT(EXP((LN(Assumptions!$E$23/Assumptions!$D$23)/12)*(ROW(INDIRECT("1:24"))-1)))*SUM(Assumptions!$D$23:$E$23),0))</f>
        <v>120</v>
      </c>
      <c r="AX6" s="219">
        <f t="array" ref="AX6">IF(YEAR(AX$3)=2026,0,ROUND(EXP((LN(Assumptions!$E$23/Assumptions!$D$23)/12)*((YEAR(AX$3)-2027)*12+MONTH(AX$3)-1))/SUMPRODUCT(EXP((LN(Assumptions!$E$23/Assumptions!$D$23)/12)*(ROW(INDIRECT("1:24"))-1)))*SUM(Assumptions!$D$23:$E$23),0))</f>
        <v>131</v>
      </c>
      <c r="AY6" s="219">
        <f t="array" ref="AY6">IF(YEAR(AY$3)=2026,0,ROUND(EXP((LN(Assumptions!$E$23/Assumptions!$D$23)/12)*((YEAR(AY$3)-2027)*12+MONTH(AY$3)-1))/SUMPRODUCT(EXP((LN(Assumptions!$E$23/Assumptions!$D$23)/12)*(ROW(INDIRECT("1:24"))-1)))*SUM(Assumptions!$D$23:$E$23),0))</f>
        <v>144</v>
      </c>
      <c r="AZ6" s="219">
        <f>Assumptions!$E$23-SUM(AO6:AY6)</f>
        <v>156</v>
      </c>
      <c r="BA6" s="219"/>
      <c r="BB6" s="219">
        <f t="shared" ref="BB6:BB9" si="1">SUM(E6:P6)</f>
        <v>0</v>
      </c>
      <c r="BC6" s="219">
        <f t="shared" ref="BC6:BC9" si="2">SUM(Q6:AB6)</f>
        <v>0</v>
      </c>
      <c r="BD6" s="219">
        <f t="shared" ref="BD6:BD9" si="3">SUM(AC6:AN6)</f>
        <v>400</v>
      </c>
      <c r="BE6" s="219">
        <f t="shared" ref="BE6:BE9" si="4">SUM(AO6:AZ6)</f>
        <v>1200</v>
      </c>
      <c r="BF6" s="220">
        <f>Assumptions!$F$23</f>
        <v>2400</v>
      </c>
      <c r="BG6" s="219"/>
    </row>
    <row r="7" ht="15.0" customHeight="1">
      <c r="A7" s="164"/>
      <c r="B7" s="164" t="s">
        <v>260</v>
      </c>
      <c r="C7" s="164"/>
      <c r="D7" s="164" t="s">
        <v>198</v>
      </c>
      <c r="E7" s="164"/>
      <c r="F7" s="164"/>
      <c r="G7" s="164"/>
      <c r="H7" s="164"/>
      <c r="I7" s="164"/>
      <c r="J7" s="164"/>
      <c r="K7" s="164"/>
      <c r="L7" s="164"/>
      <c r="M7" s="164"/>
      <c r="N7" s="164"/>
      <c r="O7" s="164"/>
      <c r="P7" s="164"/>
      <c r="Q7" s="164">
        <f>Q6*Assumptions!$C$30</f>
        <v>0</v>
      </c>
      <c r="R7" s="164">
        <f>R6*Assumptions!$C$30</f>
        <v>0</v>
      </c>
      <c r="S7" s="164">
        <f>S6*Assumptions!$C$30</f>
        <v>0</v>
      </c>
      <c r="T7" s="164">
        <f>T6*Assumptions!$C$30</f>
        <v>0</v>
      </c>
      <c r="U7" s="164">
        <f>U6*Assumptions!$C$30</f>
        <v>0</v>
      </c>
      <c r="V7" s="164">
        <f>V6*Assumptions!$C$30</f>
        <v>0</v>
      </c>
      <c r="W7" s="164">
        <f>W6*Assumptions!$C$30</f>
        <v>0</v>
      </c>
      <c r="X7" s="164">
        <f>X6*Assumptions!$C$30</f>
        <v>0</v>
      </c>
      <c r="Y7" s="164">
        <f>Y6*Assumptions!$C$30</f>
        <v>0</v>
      </c>
      <c r="Z7" s="164">
        <f>Z6*Assumptions!$C$30</f>
        <v>0</v>
      </c>
      <c r="AA7" s="164">
        <f>AA6*Assumptions!$C$30</f>
        <v>0</v>
      </c>
      <c r="AB7" s="164">
        <f>AB6*Assumptions!$C$30</f>
        <v>0</v>
      </c>
      <c r="AC7" s="164">
        <f>AC6*Assumptions!$C$30</f>
        <v>161986.78</v>
      </c>
      <c r="AD7" s="164">
        <f>AD6*Assumptions!$C$30</f>
        <v>179038.02</v>
      </c>
      <c r="AE7" s="164">
        <f>AE6*Assumptions!$C$30</f>
        <v>196089.26</v>
      </c>
      <c r="AF7" s="164">
        <f>AF6*Assumptions!$C$30</f>
        <v>213140.5</v>
      </c>
      <c r="AG7" s="164">
        <f>AG6*Assumptions!$C$30</f>
        <v>238717.36</v>
      </c>
      <c r="AH7" s="164">
        <f>AH6*Assumptions!$C$30</f>
        <v>255768.6</v>
      </c>
      <c r="AI7" s="164">
        <f>AI6*Assumptions!$C$30</f>
        <v>281345.46</v>
      </c>
      <c r="AJ7" s="164">
        <f>AJ6*Assumptions!$C$30</f>
        <v>306922.32</v>
      </c>
      <c r="AK7" s="164">
        <f>AK6*Assumptions!$C$30</f>
        <v>341024.8</v>
      </c>
      <c r="AL7" s="164">
        <f>AL6*Assumptions!$C$30</f>
        <v>375127.28</v>
      </c>
      <c r="AM7" s="164">
        <f>AM6*Assumptions!$C$30</f>
        <v>409229.76</v>
      </c>
      <c r="AN7" s="164">
        <f>AN6*Assumptions!$C$30</f>
        <v>451857.86</v>
      </c>
      <c r="AO7" s="164">
        <f>AO6*Assumptions!$C$30</f>
        <v>494485.96</v>
      </c>
      <c r="AP7" s="164">
        <f>AP6*Assumptions!$C$30</f>
        <v>537114.06</v>
      </c>
      <c r="AQ7" s="164">
        <f>AQ6*Assumptions!$C$30</f>
        <v>588267.78</v>
      </c>
      <c r="AR7" s="164">
        <f>AR6*Assumptions!$C$30</f>
        <v>647947.12</v>
      </c>
      <c r="AS7" s="164">
        <f>AS6*Assumptions!$C$30</f>
        <v>707626.46</v>
      </c>
      <c r="AT7" s="164">
        <f>AT6*Assumptions!$C$30</f>
        <v>775831.42</v>
      </c>
      <c r="AU7" s="164">
        <f>AU6*Assumptions!$C$30</f>
        <v>852562</v>
      </c>
      <c r="AV7" s="164">
        <f>AV6*Assumptions!$C$30</f>
        <v>929292.58</v>
      </c>
      <c r="AW7" s="164">
        <f>AW6*Assumptions!$C$30</f>
        <v>1023074.4</v>
      </c>
      <c r="AX7" s="164">
        <f>AX6*Assumptions!$C$30</f>
        <v>1116856.22</v>
      </c>
      <c r="AY7" s="164">
        <f>AY6*Assumptions!$C$30</f>
        <v>1227689.28</v>
      </c>
      <c r="AZ7" s="164">
        <f>AZ6*Assumptions!$C$30</f>
        <v>1329996.72</v>
      </c>
      <c r="BA7" s="164"/>
      <c r="BB7" s="163">
        <f t="shared" si="1"/>
        <v>0</v>
      </c>
      <c r="BC7" s="163">
        <f t="shared" si="2"/>
        <v>0</v>
      </c>
      <c r="BD7" s="163">
        <f t="shared" si="3"/>
        <v>3410248</v>
      </c>
      <c r="BE7" s="163">
        <f t="shared" si="4"/>
        <v>10230744</v>
      </c>
      <c r="BF7" s="164">
        <f>BF6*Assumptions!$C$30</f>
        <v>20461488</v>
      </c>
      <c r="BG7" s="164"/>
    </row>
    <row r="8" ht="15.0" customHeight="1">
      <c r="A8" s="164"/>
      <c r="B8" s="164" t="s">
        <v>261</v>
      </c>
      <c r="C8" s="164"/>
      <c r="D8" s="164" t="s">
        <v>198</v>
      </c>
      <c r="E8" s="164"/>
      <c r="F8" s="164"/>
      <c r="G8" s="164"/>
      <c r="H8" s="164"/>
      <c r="I8" s="164"/>
      <c r="J8" s="164"/>
      <c r="K8" s="164"/>
      <c r="L8" s="164"/>
      <c r="M8" s="164"/>
      <c r="N8" s="164"/>
      <c r="O8" s="164"/>
      <c r="P8" s="164"/>
      <c r="Q8" s="164">
        <f>Q6*SUMPRODUCT(Assumptions!$E$117:$F$119)</f>
        <v>0</v>
      </c>
      <c r="R8" s="164">
        <f>R6*SUMPRODUCT(Assumptions!$E$117:$F$119)</f>
        <v>0</v>
      </c>
      <c r="S8" s="164">
        <f>S6*SUMPRODUCT(Assumptions!$E$117:$F$119)</f>
        <v>0</v>
      </c>
      <c r="T8" s="164">
        <f>T6*SUMPRODUCT(Assumptions!$E$117:$F$119)</f>
        <v>0</v>
      </c>
      <c r="U8" s="164">
        <f>U6*SUMPRODUCT(Assumptions!$E$117:$F$119)</f>
        <v>0</v>
      </c>
      <c r="V8" s="164">
        <f>V6*SUMPRODUCT(Assumptions!$E$117:$F$119)</f>
        <v>0</v>
      </c>
      <c r="W8" s="164">
        <f>W6*SUMPRODUCT(Assumptions!$E$117:$F$119)</f>
        <v>0</v>
      </c>
      <c r="X8" s="164">
        <f>X6*SUMPRODUCT(Assumptions!$E$117:$F$119)</f>
        <v>0</v>
      </c>
      <c r="Y8" s="164">
        <f>Y6*SUMPRODUCT(Assumptions!$E$117:$F$119)</f>
        <v>0</v>
      </c>
      <c r="Z8" s="164">
        <f>Z6*SUMPRODUCT(Assumptions!$E$117:$F$119)</f>
        <v>0</v>
      </c>
      <c r="AA8" s="164">
        <f>AA6*SUMPRODUCT(Assumptions!$E$117:$F$119)</f>
        <v>0</v>
      </c>
      <c r="AB8" s="164">
        <f>AB6*SUMPRODUCT(Assumptions!$E$117:$F$119)</f>
        <v>0</v>
      </c>
      <c r="AC8" s="164">
        <f>AC6*SUMPRODUCT(Assumptions!$E$117:$E$119,Assumptions!$F$117:$F$119)</f>
        <v>9555.0392</v>
      </c>
      <c r="AD8" s="164">
        <f>AD6*SUMPRODUCT(Assumptions!$E$117:$E$119,Assumptions!$F$117:$F$119)</f>
        <v>10560.8328</v>
      </c>
      <c r="AE8" s="164">
        <f>AE6*SUMPRODUCT(Assumptions!$E$117:$E$119,Assumptions!$F$117:$F$119)</f>
        <v>11566.6264</v>
      </c>
      <c r="AF8" s="164">
        <f>AF6*SUMPRODUCT(Assumptions!$E$117:$E$119,Assumptions!$F$117:$F$119)</f>
        <v>12572.42</v>
      </c>
      <c r="AG8" s="164">
        <f>AG6*SUMPRODUCT(Assumptions!$E$117:$E$119,Assumptions!$F$117:$F$119)</f>
        <v>14081.1104</v>
      </c>
      <c r="AH8" s="164">
        <f>AH6*SUMPRODUCT(Assumptions!$E$117:$E$119,Assumptions!$F$117:$F$119)</f>
        <v>15086.904</v>
      </c>
      <c r="AI8" s="164">
        <f>AI6*SUMPRODUCT(Assumptions!$E$117:$E$119,Assumptions!$F$117:$F$119)</f>
        <v>16595.5944</v>
      </c>
      <c r="AJ8" s="164">
        <f>AJ6*SUMPRODUCT(Assumptions!$E$117:$E$119,Assumptions!$F$117:$F$119)</f>
        <v>18104.2848</v>
      </c>
      <c r="AK8" s="164">
        <f>AK6*SUMPRODUCT(Assumptions!$E$117:$E$119,Assumptions!$F$117:$F$119)</f>
        <v>20115.872</v>
      </c>
      <c r="AL8" s="164">
        <f>AL6*SUMPRODUCT(Assumptions!$E$117:$E$119,Assumptions!$F$117:$F$119)</f>
        <v>22127.4592</v>
      </c>
      <c r="AM8" s="164">
        <f>AM6*SUMPRODUCT(Assumptions!$E$117:$E$119,Assumptions!$F$117:$F$119)</f>
        <v>24139.0464</v>
      </c>
      <c r="AN8" s="164">
        <f>AN6*SUMPRODUCT(Assumptions!$E$117:$E$119,Assumptions!$F$117:$F$119)</f>
        <v>26653.5304</v>
      </c>
      <c r="AO8" s="164">
        <f>AO6*SUMPRODUCT(Assumptions!$E$117:$E$119,Assumptions!$F$117:$F$119)</f>
        <v>29168.0144</v>
      </c>
      <c r="AP8" s="164">
        <f>AP6*SUMPRODUCT(Assumptions!$E$117:$E$119,Assumptions!$F$117:$F$119)</f>
        <v>31682.4984</v>
      </c>
      <c r="AQ8" s="164">
        <f>AQ6*SUMPRODUCT(Assumptions!$E$117:$E$119,Assumptions!$F$117:$F$119)</f>
        <v>34699.8792</v>
      </c>
      <c r="AR8" s="164">
        <f>AR6*SUMPRODUCT(Assumptions!$E$117:$E$119,Assumptions!$F$117:$F$119)</f>
        <v>38220.1568</v>
      </c>
      <c r="AS8" s="164">
        <f>AS6*SUMPRODUCT(Assumptions!$E$117:$E$119,Assumptions!$F$117:$F$119)</f>
        <v>41740.4344</v>
      </c>
      <c r="AT8" s="164">
        <f>AT6*SUMPRODUCT(Assumptions!$E$117:$E$119,Assumptions!$F$117:$F$119)</f>
        <v>45763.6088</v>
      </c>
      <c r="AU8" s="164">
        <f>AU6*SUMPRODUCT(Assumptions!$E$117:$E$119,Assumptions!$F$117:$F$119)</f>
        <v>50289.68</v>
      </c>
      <c r="AV8" s="164">
        <f>AV6*SUMPRODUCT(Assumptions!$E$117:$E$119,Assumptions!$F$117:$F$119)</f>
        <v>54815.7512</v>
      </c>
      <c r="AW8" s="164">
        <f>AW6*SUMPRODUCT(Assumptions!$E$117:$E$119,Assumptions!$F$117:$F$119)</f>
        <v>60347.616</v>
      </c>
      <c r="AX8" s="164">
        <f>AX6*SUMPRODUCT(Assumptions!$E$117:$E$119,Assumptions!$F$117:$F$119)</f>
        <v>65879.4808</v>
      </c>
      <c r="AY8" s="164">
        <f>AY6*SUMPRODUCT(Assumptions!$E$117:$E$119,Assumptions!$F$117:$F$119)</f>
        <v>72417.1392</v>
      </c>
      <c r="AZ8" s="164">
        <f>AZ6*SUMPRODUCT(Assumptions!$E$117:$E$119,Assumptions!$F$117:$F$119)</f>
        <v>78451.9008</v>
      </c>
      <c r="BA8" s="164"/>
      <c r="BB8" s="163">
        <f t="shared" si="1"/>
        <v>0</v>
      </c>
      <c r="BC8" s="163">
        <f t="shared" si="2"/>
        <v>0</v>
      </c>
      <c r="BD8" s="163">
        <f t="shared" si="3"/>
        <v>201158.72</v>
      </c>
      <c r="BE8" s="163">
        <f t="shared" si="4"/>
        <v>603476.16</v>
      </c>
      <c r="BF8" s="164">
        <f>BF6*SUMPRODUCT(Assumptions!$E$117:$E$119,Assumptions!$F$117:$F$119)</f>
        <v>1206952.32</v>
      </c>
      <c r="BG8" s="164"/>
    </row>
    <row r="9" ht="12.75" customHeight="1">
      <c r="A9" s="30"/>
      <c r="B9" s="221" t="s">
        <v>262</v>
      </c>
      <c r="C9" s="218"/>
      <c r="D9" s="221" t="s">
        <v>198</v>
      </c>
      <c r="E9" s="167"/>
      <c r="F9" s="167"/>
      <c r="G9" s="167"/>
      <c r="H9" s="167"/>
      <c r="I9" s="167"/>
      <c r="J9" s="167"/>
      <c r="K9" s="167"/>
      <c r="L9" s="167"/>
      <c r="M9" s="167"/>
      <c r="N9" s="167"/>
      <c r="O9" s="167"/>
      <c r="P9" s="167"/>
      <c r="Q9" s="167">
        <f t="shared" ref="Q9:AZ9" si="5">sum(Q7:Q8)</f>
        <v>0</v>
      </c>
      <c r="R9" s="167">
        <f t="shared" si="5"/>
        <v>0</v>
      </c>
      <c r="S9" s="167">
        <f t="shared" si="5"/>
        <v>0</v>
      </c>
      <c r="T9" s="167">
        <f t="shared" si="5"/>
        <v>0</v>
      </c>
      <c r="U9" s="167">
        <f t="shared" si="5"/>
        <v>0</v>
      </c>
      <c r="V9" s="167">
        <f t="shared" si="5"/>
        <v>0</v>
      </c>
      <c r="W9" s="167">
        <f t="shared" si="5"/>
        <v>0</v>
      </c>
      <c r="X9" s="167">
        <f t="shared" si="5"/>
        <v>0</v>
      </c>
      <c r="Y9" s="167">
        <f t="shared" si="5"/>
        <v>0</v>
      </c>
      <c r="Z9" s="167">
        <f t="shared" si="5"/>
        <v>0</v>
      </c>
      <c r="AA9" s="167">
        <f t="shared" si="5"/>
        <v>0</v>
      </c>
      <c r="AB9" s="167">
        <f t="shared" si="5"/>
        <v>0</v>
      </c>
      <c r="AC9" s="167">
        <f t="shared" si="5"/>
        <v>171541.8192</v>
      </c>
      <c r="AD9" s="167">
        <f t="shared" si="5"/>
        <v>189598.8528</v>
      </c>
      <c r="AE9" s="167">
        <f t="shared" si="5"/>
        <v>207655.8864</v>
      </c>
      <c r="AF9" s="167">
        <f t="shared" si="5"/>
        <v>225712.92</v>
      </c>
      <c r="AG9" s="167">
        <f t="shared" si="5"/>
        <v>252798.4704</v>
      </c>
      <c r="AH9" s="167">
        <f t="shared" si="5"/>
        <v>270855.504</v>
      </c>
      <c r="AI9" s="167">
        <f t="shared" si="5"/>
        <v>297941.0544</v>
      </c>
      <c r="AJ9" s="167">
        <f t="shared" si="5"/>
        <v>325026.6048</v>
      </c>
      <c r="AK9" s="167">
        <f t="shared" si="5"/>
        <v>361140.672</v>
      </c>
      <c r="AL9" s="167">
        <f t="shared" si="5"/>
        <v>397254.7392</v>
      </c>
      <c r="AM9" s="167">
        <f t="shared" si="5"/>
        <v>433368.8064</v>
      </c>
      <c r="AN9" s="167">
        <f t="shared" si="5"/>
        <v>478511.3904</v>
      </c>
      <c r="AO9" s="167">
        <f t="shared" si="5"/>
        <v>523653.9744</v>
      </c>
      <c r="AP9" s="167">
        <f t="shared" si="5"/>
        <v>568796.5584</v>
      </c>
      <c r="AQ9" s="167">
        <f t="shared" si="5"/>
        <v>622967.6592</v>
      </c>
      <c r="AR9" s="167">
        <f t="shared" si="5"/>
        <v>686167.2768</v>
      </c>
      <c r="AS9" s="167">
        <f t="shared" si="5"/>
        <v>749366.8944</v>
      </c>
      <c r="AT9" s="167">
        <f t="shared" si="5"/>
        <v>821595.0288</v>
      </c>
      <c r="AU9" s="167">
        <f t="shared" si="5"/>
        <v>902851.68</v>
      </c>
      <c r="AV9" s="167">
        <f t="shared" si="5"/>
        <v>984108.3312</v>
      </c>
      <c r="AW9" s="167">
        <f t="shared" si="5"/>
        <v>1083422.016</v>
      </c>
      <c r="AX9" s="167">
        <f t="shared" si="5"/>
        <v>1182735.701</v>
      </c>
      <c r="AY9" s="167">
        <f t="shared" si="5"/>
        <v>1300106.419</v>
      </c>
      <c r="AZ9" s="167">
        <f t="shared" si="5"/>
        <v>1408448.621</v>
      </c>
      <c r="BA9" s="222"/>
      <c r="BB9" s="223">
        <f t="shared" si="1"/>
        <v>0</v>
      </c>
      <c r="BC9" s="223">
        <f t="shared" si="2"/>
        <v>0</v>
      </c>
      <c r="BD9" s="223">
        <f t="shared" si="3"/>
        <v>3611406.72</v>
      </c>
      <c r="BE9" s="223">
        <f t="shared" si="4"/>
        <v>10834220.16</v>
      </c>
      <c r="BF9" s="223">
        <f>SUM(BF6:BF8)</f>
        <v>21670840.32</v>
      </c>
      <c r="BG9" s="224"/>
    </row>
    <row r="10">
      <c r="A10" s="30"/>
      <c r="B10" s="30"/>
      <c r="C10" s="30"/>
      <c r="D10" s="30"/>
      <c r="E10" s="163"/>
      <c r="F10" s="163"/>
      <c r="G10" s="163"/>
      <c r="H10" s="163"/>
      <c r="I10" s="163"/>
      <c r="J10" s="163"/>
      <c r="K10" s="163"/>
      <c r="L10" s="163"/>
      <c r="M10" s="163"/>
      <c r="N10" s="163"/>
      <c r="O10" s="163"/>
      <c r="P10" s="163"/>
      <c r="Q10" s="225"/>
      <c r="R10" s="225"/>
      <c r="S10" s="225"/>
      <c r="T10" s="225"/>
      <c r="U10" s="225"/>
      <c r="V10" s="225"/>
      <c r="W10" s="225"/>
      <c r="X10" s="225"/>
      <c r="Y10" s="225"/>
      <c r="Z10" s="225"/>
      <c r="AA10" s="225"/>
      <c r="AB10" s="225"/>
      <c r="AC10" s="225"/>
      <c r="AD10" s="225"/>
      <c r="AE10" s="225"/>
      <c r="AF10" s="225"/>
      <c r="AG10" s="225"/>
      <c r="AH10" s="225"/>
      <c r="AI10" s="225"/>
      <c r="AJ10" s="225"/>
      <c r="AK10" s="225"/>
      <c r="AL10" s="225"/>
      <c r="AM10" s="225"/>
      <c r="AN10" s="225"/>
      <c r="AO10" s="225"/>
      <c r="AP10" s="225"/>
      <c r="AQ10" s="225"/>
      <c r="AR10" s="225"/>
      <c r="AS10" s="225"/>
      <c r="AT10" s="225"/>
      <c r="AU10" s="225"/>
      <c r="AV10" s="225"/>
      <c r="AW10" s="225"/>
      <c r="AX10" s="225"/>
      <c r="AY10" s="225"/>
      <c r="AZ10" s="225"/>
      <c r="BA10" s="163"/>
      <c r="BB10" s="163"/>
      <c r="BC10" s="163"/>
      <c r="BD10" s="163"/>
      <c r="BE10" s="163"/>
      <c r="BF10" s="163"/>
      <c r="BG10" s="112"/>
    </row>
    <row r="11" ht="13.5" customHeight="1">
      <c r="A11" s="217"/>
      <c r="B11" s="218" t="s">
        <v>263</v>
      </c>
      <c r="C11" s="217"/>
      <c r="D11" s="217"/>
      <c r="E11" s="168"/>
      <c r="F11" s="168"/>
      <c r="G11" s="168"/>
      <c r="H11" s="168"/>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3"/>
      <c r="BB11" s="170"/>
      <c r="BC11" s="170"/>
      <c r="BD11" s="170"/>
      <c r="BE11" s="170"/>
      <c r="BF11" s="170"/>
      <c r="BG11" s="112"/>
    </row>
    <row r="12" ht="15.0" customHeight="1">
      <c r="A12" s="219"/>
      <c r="B12" s="219" t="s">
        <v>264</v>
      </c>
      <c r="C12" s="219"/>
      <c r="D12" s="219" t="s">
        <v>66</v>
      </c>
      <c r="E12" s="219"/>
      <c r="F12" s="219"/>
      <c r="G12" s="219"/>
      <c r="H12" s="219"/>
      <c r="I12" s="219"/>
      <c r="J12" s="219"/>
      <c r="K12" s="219"/>
      <c r="L12" s="219"/>
      <c r="M12" s="219"/>
      <c r="N12" s="219"/>
      <c r="O12" s="219"/>
      <c r="P12" s="219"/>
      <c r="Q12" s="219">
        <f t="array" ref="Q12">IF(YEAR(Q$3)=2026,0,ROUND(EXP((LN(Assumptions!$E$24/Assumptions!$D$24)/12)*((YEAR(Q$3)-2027)*12+MONTH(Q$3)-1))/SUMPRODUCT(EXP((LN(Assumptions!$E$24/Assumptions!$D$24)/12)*(ROW(INDIRECT("1:24"))-1)))*SUM(Assumptions!$D$24:$E$24),0))</f>
        <v>0</v>
      </c>
      <c r="R12" s="219">
        <f t="array" ref="R12">IF(YEAR(R$3)=2026,0,ROUND(EXP((LN(Assumptions!$E$24/Assumptions!$D$24)/12)*((YEAR(R$3)-2027)*12+MONTH(R$3)-1))/SUMPRODUCT(EXP((LN(Assumptions!$E$24/Assumptions!$D$24)/12)*(ROW(INDIRECT("1:24"))-1)))*SUM(Assumptions!$D$24:$E$24),0))</f>
        <v>0</v>
      </c>
      <c r="S12" s="219">
        <f t="array" ref="S12">IF(YEAR(S$3)=2026,0,ROUND(EXP((LN(Assumptions!$E$24/Assumptions!$D$24)/12)*((YEAR(S$3)-2027)*12+MONTH(S$3)-1))/SUMPRODUCT(EXP((LN(Assumptions!$E$24/Assumptions!$D$24)/12)*(ROW(INDIRECT("1:24"))-1)))*SUM(Assumptions!$D$24:$E$24),0))</f>
        <v>0</v>
      </c>
      <c r="T12" s="219">
        <f t="array" ref="T12">IF(YEAR(T$3)=2026,0,ROUND(EXP((LN(Assumptions!$E$24/Assumptions!$D$24)/12)*((YEAR(T$3)-2027)*12+MONTH(T$3)-1))/SUMPRODUCT(EXP((LN(Assumptions!$E$24/Assumptions!$D$24)/12)*(ROW(INDIRECT("1:24"))-1)))*SUM(Assumptions!$D$24:$E$24),0))</f>
        <v>0</v>
      </c>
      <c r="U12" s="219">
        <f t="array" ref="U12">IF(YEAR(U$3)=2026,0,ROUND(EXP((LN(Assumptions!$E$24/Assumptions!$D$24)/12)*((YEAR(U$3)-2027)*12+MONTH(U$3)-1))/SUMPRODUCT(EXP((LN(Assumptions!$E$24/Assumptions!$D$24)/12)*(ROW(INDIRECT("1:24"))-1)))*SUM(Assumptions!$D$24:$E$24),0))</f>
        <v>0</v>
      </c>
      <c r="V12" s="219">
        <f t="array" ref="V12">IF(YEAR(V$3)=2026,0,ROUND(EXP((LN(Assumptions!$E$24/Assumptions!$D$24)/12)*((YEAR(V$3)-2027)*12+MONTH(V$3)-1))/SUMPRODUCT(EXP((LN(Assumptions!$E$24/Assumptions!$D$24)/12)*(ROW(INDIRECT("1:24"))-1)))*SUM(Assumptions!$D$24:$E$24),0))</f>
        <v>0</v>
      </c>
      <c r="W12" s="219">
        <f t="array" ref="W12">IF(YEAR(W$3)=2026,0,ROUND(EXP((LN(Assumptions!$E$24/Assumptions!$D$24)/12)*((YEAR(W$3)-2027)*12+MONTH(W$3)-1))/SUMPRODUCT(EXP((LN(Assumptions!$E$24/Assumptions!$D$24)/12)*(ROW(INDIRECT("1:24"))-1)))*SUM(Assumptions!$D$24:$E$24),0))</f>
        <v>0</v>
      </c>
      <c r="X12" s="219">
        <f t="array" ref="X12">IF(YEAR(X$3)=2026,0,ROUND(EXP((LN(Assumptions!$E$24/Assumptions!$D$24)/12)*((YEAR(X$3)-2027)*12+MONTH(X$3)-1))/SUMPRODUCT(EXP((LN(Assumptions!$E$24/Assumptions!$D$24)/12)*(ROW(INDIRECT("1:24"))-1)))*SUM(Assumptions!$D$24:$E$24),0))</f>
        <v>0</v>
      </c>
      <c r="Y12" s="219">
        <f t="array" ref="Y12">IF(YEAR(Y$3)=2026,0,ROUND(EXP((LN(Assumptions!$E$24/Assumptions!$D$24)/12)*((YEAR(Y$3)-2027)*12+MONTH(Y$3)-1))/SUMPRODUCT(EXP((LN(Assumptions!$E$24/Assumptions!$D$24)/12)*(ROW(INDIRECT("1:24"))-1)))*SUM(Assumptions!$D$24:$E$24),0))</f>
        <v>0</v>
      </c>
      <c r="Z12" s="219">
        <f t="array" ref="Z12">IF(YEAR(Z$3)=2026,0,ROUND(EXP((LN(Assumptions!$E$24/Assumptions!$D$24)/12)*((YEAR(Z$3)-2027)*12+MONTH(Z$3)-1))/SUMPRODUCT(EXP((LN(Assumptions!$E$24/Assumptions!$D$24)/12)*(ROW(INDIRECT("1:24"))-1)))*SUM(Assumptions!$D$24:$E$24),0))</f>
        <v>0</v>
      </c>
      <c r="AA12" s="219">
        <f t="array" ref="AA12">IF(YEAR(AA$3)=2026,0,ROUND(EXP((LN(Assumptions!$E$24/Assumptions!$D$24)/12)*((YEAR(AA$3)-2027)*12+MONTH(AA$3)-1))/SUMPRODUCT(EXP((LN(Assumptions!$E$24/Assumptions!$D$24)/12)*(ROW(INDIRECT("1:24"))-1)))*SUM(Assumptions!$D$24:$E$24),0))</f>
        <v>0</v>
      </c>
      <c r="AB12" s="219">
        <f t="array" ref="AB12">IF(YEAR(AB$3)=2026,0,ROUND(EXP((LN(Assumptions!$E$24/Assumptions!$D$24)/12)*((YEAR(AB$3)-2027)*12+MONTH(AB$3)-1))/SUMPRODUCT(EXP((LN(Assumptions!$E$24/Assumptions!$D$24)/12)*(ROW(INDIRECT("1:24"))-1)))*SUM(Assumptions!$D$24:$E$24),0))</f>
        <v>0</v>
      </c>
      <c r="AC12" s="219">
        <f t="array" ref="AC12">IF(YEAR(AC$3)=2026,0,ROUND(EXP((LN(Assumptions!$E$24/Assumptions!$D$24)/12)*((YEAR(AC$3)-2027)*12+MONTH(AC$3)-1))/SUMPRODUCT(EXP((LN(Assumptions!$E$24/Assumptions!$D$24)/12)*(ROW(INDIRECT("1:24"))-1)))*SUM(Assumptions!$D$24:$E$24),0))</f>
        <v>14</v>
      </c>
      <c r="AD12" s="219">
        <f t="array" ref="AD12">IF(YEAR(AD$3)=2026,0,ROUND(EXP((LN(Assumptions!$E$24/Assumptions!$D$24)/12)*((YEAR(AD$3)-2027)*12+MONTH(AD$3)-1))/SUMPRODUCT(EXP((LN(Assumptions!$E$24/Assumptions!$D$24)/12)*(ROW(INDIRECT("1:24"))-1)))*SUM(Assumptions!$D$24:$E$24),0))</f>
        <v>16</v>
      </c>
      <c r="AE12" s="219">
        <f t="array" ref="AE12">IF(YEAR(AE$3)=2026,0,ROUND(EXP((LN(Assumptions!$E$24/Assumptions!$D$24)/12)*((YEAR(AE$3)-2027)*12+MONTH(AE$3)-1))/SUMPRODUCT(EXP((LN(Assumptions!$E$24/Assumptions!$D$24)/12)*(ROW(INDIRECT("1:24"))-1)))*SUM(Assumptions!$D$24:$E$24),0))</f>
        <v>17</v>
      </c>
      <c r="AF12" s="219">
        <f t="array" ref="AF12">IF(YEAR(AF$3)=2026,0,ROUND(EXP((LN(Assumptions!$E$24/Assumptions!$D$24)/12)*((YEAR(AF$3)-2027)*12+MONTH(AF$3)-1))/SUMPRODUCT(EXP((LN(Assumptions!$E$24/Assumptions!$D$24)/12)*(ROW(INDIRECT("1:24"))-1)))*SUM(Assumptions!$D$24:$E$24),0))</f>
        <v>19</v>
      </c>
      <c r="AG12" s="219">
        <f t="array" ref="AG12">IF(YEAR(AG$3)=2026,0,ROUND(EXP((LN(Assumptions!$E$24/Assumptions!$D$24)/12)*((YEAR(AG$3)-2027)*12+MONTH(AG$3)-1))/SUMPRODUCT(EXP((LN(Assumptions!$E$24/Assumptions!$D$24)/12)*(ROW(INDIRECT("1:24"))-1)))*SUM(Assumptions!$D$24:$E$24),0))</f>
        <v>21</v>
      </c>
      <c r="AH12" s="219">
        <f t="array" ref="AH12">IF(YEAR(AH$3)=2026,0,ROUND(EXP((LN(Assumptions!$E$24/Assumptions!$D$24)/12)*((YEAR(AH$3)-2027)*12+MONTH(AH$3)-1))/SUMPRODUCT(EXP((LN(Assumptions!$E$24/Assumptions!$D$24)/12)*(ROW(INDIRECT("1:24"))-1)))*SUM(Assumptions!$D$24:$E$24),0))</f>
        <v>23</v>
      </c>
      <c r="AI12" s="219">
        <f t="array" ref="AI12">IF(YEAR(AI$3)=2026,0,ROUND(EXP((LN(Assumptions!$E$24/Assumptions!$D$24)/12)*((YEAR(AI$3)-2027)*12+MONTH(AI$3)-1))/SUMPRODUCT(EXP((LN(Assumptions!$E$24/Assumptions!$D$24)/12)*(ROW(INDIRECT("1:24"))-1)))*SUM(Assumptions!$D$24:$E$24),0))</f>
        <v>25</v>
      </c>
      <c r="AJ12" s="219">
        <f t="array" ref="AJ12">IF(YEAR(AJ$3)=2026,0,ROUND(EXP((LN(Assumptions!$E$24/Assumptions!$D$24)/12)*((YEAR(AJ$3)-2027)*12+MONTH(AJ$3)-1))/SUMPRODUCT(EXP((LN(Assumptions!$E$24/Assumptions!$D$24)/12)*(ROW(INDIRECT("1:24"))-1)))*SUM(Assumptions!$D$24:$E$24),0))</f>
        <v>27</v>
      </c>
      <c r="AK12" s="219">
        <f t="array" ref="AK12">IF(YEAR(AK$3)=2026,0,ROUND(EXP((LN(Assumptions!$E$24/Assumptions!$D$24)/12)*((YEAR(AK$3)-2027)*12+MONTH(AK$3)-1))/SUMPRODUCT(EXP((LN(Assumptions!$E$24/Assumptions!$D$24)/12)*(ROW(INDIRECT("1:24"))-1)))*SUM(Assumptions!$D$24:$E$24),0))</f>
        <v>30</v>
      </c>
      <c r="AL12" s="219">
        <f t="array" ref="AL12">IF(YEAR(AL$3)=2026,0,ROUND(EXP((LN(Assumptions!$E$24/Assumptions!$D$24)/12)*((YEAR(AL$3)-2027)*12+MONTH(AL$3)-1))/SUMPRODUCT(EXP((LN(Assumptions!$E$24/Assumptions!$D$24)/12)*(ROW(INDIRECT("1:24"))-1)))*SUM(Assumptions!$D$24:$E$24),0))</f>
        <v>33</v>
      </c>
      <c r="AM12" s="219">
        <f t="array" ref="AM12">IF(YEAR(AM$3)=2026,0,ROUND(EXP((LN(Assumptions!$E$24/Assumptions!$D$24)/12)*((YEAR(AM$3)-2027)*12+MONTH(AM$3)-1))/SUMPRODUCT(EXP((LN(Assumptions!$E$24/Assumptions!$D$24)/12)*(ROW(INDIRECT("1:24"))-1)))*SUM(Assumptions!$D$24:$E$24),0))</f>
        <v>36</v>
      </c>
      <c r="AN12" s="219">
        <f>Assumptions!$D$24-SUM(AC12:AM12)</f>
        <v>39</v>
      </c>
      <c r="AO12" s="219">
        <f t="array" ref="AO12">IF(YEAR(AO$3)=2026,0,ROUND(EXP((LN(Assumptions!$E$24/Assumptions!$D$24)/12)*((YEAR(AO$3)-2027)*12+MONTH(AO$3)-1))/SUMPRODUCT(EXP((LN(Assumptions!$E$24/Assumptions!$D$24)/12)*(ROW(INDIRECT("1:24"))-1)))*SUM(Assumptions!$D$24:$E$24),0))</f>
        <v>43</v>
      </c>
      <c r="AP12" s="219">
        <f t="array" ref="AP12">IF(YEAR(AP$3)=2026,0,ROUND(EXP((LN(Assumptions!$E$24/Assumptions!$D$24)/12)*((YEAR(AP$3)-2027)*12+MONTH(AP$3)-1))/SUMPRODUCT(EXP((LN(Assumptions!$E$24/Assumptions!$D$24)/12)*(ROW(INDIRECT("1:24"))-1)))*SUM(Assumptions!$D$24:$E$24),0))</f>
        <v>47</v>
      </c>
      <c r="AQ12" s="219">
        <f t="array" ref="AQ12">IF(YEAR(AQ$3)=2026,0,ROUND(EXP((LN(Assumptions!$E$24/Assumptions!$D$24)/12)*((YEAR(AQ$3)-2027)*12+MONTH(AQ$3)-1))/SUMPRODUCT(EXP((LN(Assumptions!$E$24/Assumptions!$D$24)/12)*(ROW(INDIRECT("1:24"))-1)))*SUM(Assumptions!$D$24:$E$24),0))</f>
        <v>52</v>
      </c>
      <c r="AR12" s="219">
        <f t="array" ref="AR12">IF(YEAR(AR$3)=2026,0,ROUND(EXP((LN(Assumptions!$E$24/Assumptions!$D$24)/12)*((YEAR(AR$3)-2027)*12+MONTH(AR$3)-1))/SUMPRODUCT(EXP((LN(Assumptions!$E$24/Assumptions!$D$24)/12)*(ROW(INDIRECT("1:24"))-1)))*SUM(Assumptions!$D$24:$E$24),0))</f>
        <v>57</v>
      </c>
      <c r="AS12" s="219">
        <f t="array" ref="AS12">IF(YEAR(AS$3)=2026,0,ROUND(EXP((LN(Assumptions!$E$24/Assumptions!$D$24)/12)*((YEAR(AS$3)-2027)*12+MONTH(AS$3)-1))/SUMPRODUCT(EXP((LN(Assumptions!$E$24/Assumptions!$D$24)/12)*(ROW(INDIRECT("1:24"))-1)))*SUM(Assumptions!$D$24:$E$24),0))</f>
        <v>62</v>
      </c>
      <c r="AT12" s="219">
        <f t="array" ref="AT12">IF(YEAR(AT$3)=2026,0,ROUND(EXP((LN(Assumptions!$E$24/Assumptions!$D$24)/12)*((YEAR(AT$3)-2027)*12+MONTH(AT$3)-1))/SUMPRODUCT(EXP((LN(Assumptions!$E$24/Assumptions!$D$24)/12)*(ROW(INDIRECT("1:24"))-1)))*SUM(Assumptions!$D$24:$E$24),0))</f>
        <v>68</v>
      </c>
      <c r="AU12" s="219">
        <f t="array" ref="AU12">IF(YEAR(AU$3)=2026,0,ROUND(EXP((LN(Assumptions!$E$24/Assumptions!$D$24)/12)*((YEAR(AU$3)-2027)*12+MONTH(AU$3)-1))/SUMPRODUCT(EXP((LN(Assumptions!$E$24/Assumptions!$D$24)/12)*(ROW(INDIRECT("1:24"))-1)))*SUM(Assumptions!$D$24:$E$24),0))</f>
        <v>75</v>
      </c>
      <c r="AV12" s="219">
        <f t="array" ref="AV12">IF(YEAR(AV$3)=2026,0,ROUND(EXP((LN(Assumptions!$E$24/Assumptions!$D$24)/12)*((YEAR(AV$3)-2027)*12+MONTH(AV$3)-1))/SUMPRODUCT(EXP((LN(Assumptions!$E$24/Assumptions!$D$24)/12)*(ROW(INDIRECT("1:24"))-1)))*SUM(Assumptions!$D$24:$E$24),0))</f>
        <v>82</v>
      </c>
      <c r="AW12" s="219">
        <f t="array" ref="AW12">IF(YEAR(AW$3)=2026,0,ROUND(EXP((LN(Assumptions!$E$24/Assumptions!$D$24)/12)*((YEAR(AW$3)-2027)*12+MONTH(AW$3)-1))/SUMPRODUCT(EXP((LN(Assumptions!$E$24/Assumptions!$D$24)/12)*(ROW(INDIRECT("1:24"))-1)))*SUM(Assumptions!$D$24:$E$24),0))</f>
        <v>90</v>
      </c>
      <c r="AX12" s="219">
        <f t="array" ref="AX12">IF(YEAR(AX$3)=2026,0,ROUND(EXP((LN(Assumptions!$E$24/Assumptions!$D$24)/12)*((YEAR(AX$3)-2027)*12+MONTH(AX$3)-1))/SUMPRODUCT(EXP((LN(Assumptions!$E$24/Assumptions!$D$24)/12)*(ROW(INDIRECT("1:24"))-1)))*SUM(Assumptions!$D$24:$E$24),0))</f>
        <v>98</v>
      </c>
      <c r="AY12" s="219">
        <f t="array" ref="AY12">IF(YEAR(AY$3)=2026,0,ROUND(EXP((LN(Assumptions!$E$24/Assumptions!$D$24)/12)*((YEAR(AY$3)-2027)*12+MONTH(AY$3)-1))/SUMPRODUCT(EXP((LN(Assumptions!$E$24/Assumptions!$D$24)/12)*(ROW(INDIRECT("1:24"))-1)))*SUM(Assumptions!$D$24:$E$24),0))</f>
        <v>108</v>
      </c>
      <c r="AZ12" s="219">
        <f>Assumptions!$E$24-SUM(AO12:AY12)</f>
        <v>118</v>
      </c>
      <c r="BA12" s="219"/>
      <c r="BB12" s="219">
        <f t="shared" ref="BB12:BB15" si="6">SUM(E12:P12)</f>
        <v>0</v>
      </c>
      <c r="BC12" s="219">
        <f t="shared" ref="BC12:BC15" si="7">SUM(Q12:AB12)</f>
        <v>0</v>
      </c>
      <c r="BD12" s="219">
        <f t="shared" ref="BD12:BD15" si="8">SUM(AC12:AN12)</f>
        <v>300</v>
      </c>
      <c r="BE12" s="219">
        <f t="shared" ref="BE12:BE15" si="9">SUM(AO12:AZ12)</f>
        <v>900</v>
      </c>
      <c r="BF12" s="219">
        <f>Assumptions!$F$24</f>
        <v>1800</v>
      </c>
      <c r="BG12" s="219"/>
    </row>
    <row r="13" ht="15.0" customHeight="1">
      <c r="A13" s="164"/>
      <c r="B13" s="164" t="s">
        <v>265</v>
      </c>
      <c r="C13" s="164"/>
      <c r="D13" s="164" t="s">
        <v>198</v>
      </c>
      <c r="E13" s="164"/>
      <c r="F13" s="164"/>
      <c r="G13" s="164"/>
      <c r="H13" s="164"/>
      <c r="I13" s="164"/>
      <c r="J13" s="164"/>
      <c r="K13" s="164"/>
      <c r="L13" s="164"/>
      <c r="M13" s="164"/>
      <c r="N13" s="164"/>
      <c r="O13" s="164"/>
      <c r="P13" s="164"/>
      <c r="Q13" s="164">
        <f>Q12*Assumptions!$C$33</f>
        <v>0</v>
      </c>
      <c r="R13" s="164">
        <f>R12*Assumptions!$C$33</f>
        <v>0</v>
      </c>
      <c r="S13" s="164">
        <f>S12*Assumptions!$C$33</f>
        <v>0</v>
      </c>
      <c r="T13" s="164">
        <f>T12*Assumptions!$C$33</f>
        <v>0</v>
      </c>
      <c r="U13" s="164">
        <f>U12*Assumptions!$C$33</f>
        <v>0</v>
      </c>
      <c r="V13" s="164">
        <f>V12*Assumptions!$C$33</f>
        <v>0</v>
      </c>
      <c r="W13" s="164">
        <f>W12*Assumptions!$C$33</f>
        <v>0</v>
      </c>
      <c r="X13" s="164">
        <f>X12*Assumptions!$C$33</f>
        <v>0</v>
      </c>
      <c r="Y13" s="164">
        <f>Y12*Assumptions!$C$33</f>
        <v>0</v>
      </c>
      <c r="Z13" s="164">
        <f>Z12*Assumptions!$C$33</f>
        <v>0</v>
      </c>
      <c r="AA13" s="164">
        <f>AA12*Assumptions!$C$33</f>
        <v>0</v>
      </c>
      <c r="AB13" s="164">
        <f>AB12*Assumptions!$C$33</f>
        <v>0</v>
      </c>
      <c r="AC13" s="164">
        <f>AC12*Assumptions!$C$33</f>
        <v>150887.66</v>
      </c>
      <c r="AD13" s="164">
        <f>AD12*Assumptions!$C$33</f>
        <v>172443.04</v>
      </c>
      <c r="AE13" s="164">
        <f>AE12*Assumptions!$C$33</f>
        <v>183220.73</v>
      </c>
      <c r="AF13" s="164">
        <f>AF12*Assumptions!$C$33</f>
        <v>204776.11</v>
      </c>
      <c r="AG13" s="164">
        <f>AG12*Assumptions!$C$33</f>
        <v>226331.49</v>
      </c>
      <c r="AH13" s="164">
        <f>AH12*Assumptions!$C$33</f>
        <v>247886.87</v>
      </c>
      <c r="AI13" s="164">
        <f>AI12*Assumptions!$C$33</f>
        <v>269442.25</v>
      </c>
      <c r="AJ13" s="164">
        <f>AJ12*Assumptions!$C$33</f>
        <v>290997.63</v>
      </c>
      <c r="AK13" s="164">
        <f>AK12*Assumptions!$C$33</f>
        <v>323330.7</v>
      </c>
      <c r="AL13" s="164">
        <f>AL12*Assumptions!$C$33</f>
        <v>355663.77</v>
      </c>
      <c r="AM13" s="164">
        <f>AM12*Assumptions!$C$33</f>
        <v>387996.84</v>
      </c>
      <c r="AN13" s="164">
        <f>AN12*Assumptions!$C$33</f>
        <v>420329.91</v>
      </c>
      <c r="AO13" s="164">
        <f>AO12*Assumptions!$C$33</f>
        <v>463440.67</v>
      </c>
      <c r="AP13" s="164">
        <f>AP12*Assumptions!$C$33</f>
        <v>506551.43</v>
      </c>
      <c r="AQ13" s="164">
        <f>AQ12*Assumptions!$C$33</f>
        <v>560439.88</v>
      </c>
      <c r="AR13" s="164">
        <f>AR12*Assumptions!$C$33</f>
        <v>614328.33</v>
      </c>
      <c r="AS13" s="164">
        <f>AS12*Assumptions!$C$33</f>
        <v>668216.78</v>
      </c>
      <c r="AT13" s="164">
        <f>AT12*Assumptions!$C$33</f>
        <v>732882.92</v>
      </c>
      <c r="AU13" s="164">
        <f>AU12*Assumptions!$C$33</f>
        <v>808326.75</v>
      </c>
      <c r="AV13" s="164">
        <f>AV12*Assumptions!$C$33</f>
        <v>883770.58</v>
      </c>
      <c r="AW13" s="164">
        <f>AW12*Assumptions!$C$33</f>
        <v>969992.1</v>
      </c>
      <c r="AX13" s="164">
        <f>AX12*Assumptions!$C$33</f>
        <v>1056213.62</v>
      </c>
      <c r="AY13" s="164">
        <f>AY12*Assumptions!$C$33</f>
        <v>1163990.52</v>
      </c>
      <c r="AZ13" s="164">
        <f>AZ12*Assumptions!$C$33</f>
        <v>1271767.42</v>
      </c>
      <c r="BA13" s="164"/>
      <c r="BB13" s="163">
        <f t="shared" si="6"/>
        <v>0</v>
      </c>
      <c r="BC13" s="163">
        <f t="shared" si="7"/>
        <v>0</v>
      </c>
      <c r="BD13" s="163">
        <f t="shared" si="8"/>
        <v>3233307</v>
      </c>
      <c r="BE13" s="163">
        <f t="shared" si="9"/>
        <v>9699921</v>
      </c>
      <c r="BF13" s="164">
        <f>BF12*Assumptions!$C$33</f>
        <v>19399842</v>
      </c>
      <c r="BG13" s="164"/>
    </row>
    <row r="14" ht="15.0" customHeight="1">
      <c r="A14" s="164"/>
      <c r="B14" s="164" t="s">
        <v>266</v>
      </c>
      <c r="C14" s="164"/>
      <c r="D14" s="164" t="s">
        <v>198</v>
      </c>
      <c r="E14" s="164"/>
      <c r="F14" s="164"/>
      <c r="G14" s="164"/>
      <c r="H14" s="164"/>
      <c r="I14" s="164"/>
      <c r="J14" s="164"/>
      <c r="K14" s="164"/>
      <c r="L14" s="164"/>
      <c r="M14" s="164"/>
      <c r="N14" s="164"/>
      <c r="O14" s="164"/>
      <c r="P14" s="164"/>
      <c r="Q14" s="164">
        <f>Q12*SUMPRODUCT(Assumptions!$E$117:$E$119,Assumptions!$F$117:$F$119)</f>
        <v>0</v>
      </c>
      <c r="R14" s="164">
        <f>R12*SUMPRODUCT(Assumptions!$E$117:$E$119,Assumptions!$F$117:$F$119)</f>
        <v>0</v>
      </c>
      <c r="S14" s="164">
        <f>S12*SUMPRODUCT(Assumptions!$E$117:$E$119,Assumptions!$F$117:$F$119)</f>
        <v>0</v>
      </c>
      <c r="T14" s="164">
        <f>T12*SUMPRODUCT(Assumptions!$E$117:$E$119,Assumptions!$F$117:$F$119)</f>
        <v>0</v>
      </c>
      <c r="U14" s="164">
        <f>U12*SUMPRODUCT(Assumptions!$E$117:$E$119,Assumptions!$F$117:$F$119)</f>
        <v>0</v>
      </c>
      <c r="V14" s="164">
        <f>V12*SUMPRODUCT(Assumptions!$E$117:$E$119,Assumptions!$F$117:$F$119)</f>
        <v>0</v>
      </c>
      <c r="W14" s="164">
        <f>W12*SUMPRODUCT(Assumptions!$E$117:$E$119,Assumptions!$F$117:$F$119)</f>
        <v>0</v>
      </c>
      <c r="X14" s="164">
        <f>X12*SUMPRODUCT(Assumptions!$E$117:$E$119,Assumptions!$F$117:$F$119)</f>
        <v>0</v>
      </c>
      <c r="Y14" s="164">
        <f>Y12*SUMPRODUCT(Assumptions!$E$117:$E$119,Assumptions!$F$117:$F$119)</f>
        <v>0</v>
      </c>
      <c r="Z14" s="164">
        <f>Z12*SUMPRODUCT(Assumptions!$E$117:$E$119,Assumptions!$F$117:$F$119)</f>
        <v>0</v>
      </c>
      <c r="AA14" s="164">
        <f>AA12*SUMPRODUCT(Assumptions!$E$117:$E$119,Assumptions!$F$117:$F$119)</f>
        <v>0</v>
      </c>
      <c r="AB14" s="164">
        <f>AB12*SUMPRODUCT(Assumptions!$E$117:$E$119,Assumptions!$F$117:$F$119)</f>
        <v>0</v>
      </c>
      <c r="AC14" s="164">
        <f>AC12*SUMPRODUCT(Assumptions!$E$117:$E$119,Assumptions!$F$117:$F$119)</f>
        <v>7040.5552</v>
      </c>
      <c r="AD14" s="164">
        <f>AD12*SUMPRODUCT(Assumptions!$E$117:$E$119,Assumptions!$F$117:$F$119)</f>
        <v>8046.3488</v>
      </c>
      <c r="AE14" s="164">
        <f>AE12*SUMPRODUCT(Assumptions!$E$117:$E$119,Assumptions!$F$117:$F$119)</f>
        <v>8549.2456</v>
      </c>
      <c r="AF14" s="164">
        <f>AF12*SUMPRODUCT(Assumptions!$E$117:$E$119,Assumptions!$F$117:$F$119)</f>
        <v>9555.0392</v>
      </c>
      <c r="AG14" s="164">
        <f>AG12*SUMPRODUCT(Assumptions!$E$117:$E$119,Assumptions!$F$117:$F$119)</f>
        <v>10560.8328</v>
      </c>
      <c r="AH14" s="164">
        <f>AH12*SUMPRODUCT(Assumptions!$E$117:$E$119,Assumptions!$F$117:$F$119)</f>
        <v>11566.6264</v>
      </c>
      <c r="AI14" s="164">
        <f>AI12*SUMPRODUCT(Assumptions!$E$117:$E$119,Assumptions!$F$117:$F$119)</f>
        <v>12572.42</v>
      </c>
      <c r="AJ14" s="164">
        <f>AJ12*SUMPRODUCT(Assumptions!$E$117:$E$119,Assumptions!$F$117:$F$119)</f>
        <v>13578.2136</v>
      </c>
      <c r="AK14" s="164">
        <f>AK12*SUMPRODUCT(Assumptions!$E$117:$E$119,Assumptions!$F$117:$F$119)</f>
        <v>15086.904</v>
      </c>
      <c r="AL14" s="164">
        <f>AL12*SUMPRODUCT(Assumptions!$E$117:$E$119,Assumptions!$F$117:$F$119)</f>
        <v>16595.5944</v>
      </c>
      <c r="AM14" s="164">
        <f>AM12*SUMPRODUCT(Assumptions!$E$117:$E$119,Assumptions!$F$117:$F$119)</f>
        <v>18104.2848</v>
      </c>
      <c r="AN14" s="164">
        <f>AN12*SUMPRODUCT(Assumptions!$E$117:$E$119,Assumptions!$F$117:$F$119)</f>
        <v>19612.9752</v>
      </c>
      <c r="AO14" s="164">
        <f>AO12*SUMPRODUCT(Assumptions!$E$117:$E$119,Assumptions!$F$117:$F$119)</f>
        <v>21624.5624</v>
      </c>
      <c r="AP14" s="164">
        <f>AP12*SUMPRODUCT(Assumptions!$E$117:$E$119,Assumptions!$F$117:$F$119)</f>
        <v>23636.1496</v>
      </c>
      <c r="AQ14" s="164">
        <f>AQ12*SUMPRODUCT(Assumptions!$E$117:$E$119,Assumptions!$F$117:$F$119)</f>
        <v>26150.6336</v>
      </c>
      <c r="AR14" s="164">
        <f>AR12*SUMPRODUCT(Assumptions!$E$117:$E$119,Assumptions!$F$117:$F$119)</f>
        <v>28665.1176</v>
      </c>
      <c r="AS14" s="164">
        <f>AS12*SUMPRODUCT(Assumptions!$E$117:$E$119,Assumptions!$F$117:$F$119)</f>
        <v>31179.6016</v>
      </c>
      <c r="AT14" s="164">
        <f>AT12*SUMPRODUCT(Assumptions!$E$117:$E$119,Assumptions!$F$117:$F$119)</f>
        <v>34196.9824</v>
      </c>
      <c r="AU14" s="164">
        <f>AU12*SUMPRODUCT(Assumptions!$E$117:$E$119,Assumptions!$F$117:$F$119)</f>
        <v>37717.26</v>
      </c>
      <c r="AV14" s="164">
        <f>AV12*SUMPRODUCT(Assumptions!$E$117:$E$119,Assumptions!$F$117:$F$119)</f>
        <v>41237.5376</v>
      </c>
      <c r="AW14" s="164">
        <f>AW12*SUMPRODUCT(Assumptions!$E$117:$E$119,Assumptions!$F$117:$F$119)</f>
        <v>45260.712</v>
      </c>
      <c r="AX14" s="164">
        <f>AX12*SUMPRODUCT(Assumptions!$E$117:$E$119,Assumptions!$F$117:$F$119)</f>
        <v>49283.8864</v>
      </c>
      <c r="AY14" s="164">
        <f>AY12*SUMPRODUCT(Assumptions!$E$117:$E$119,Assumptions!$F$117:$F$119)</f>
        <v>54312.8544</v>
      </c>
      <c r="AZ14" s="164">
        <f>AZ12*SUMPRODUCT(Assumptions!$E$117:$E$119,Assumptions!$F$117:$F$119)</f>
        <v>59341.8224</v>
      </c>
      <c r="BA14" s="164"/>
      <c r="BB14" s="163">
        <f t="shared" si="6"/>
        <v>0</v>
      </c>
      <c r="BC14" s="163">
        <f t="shared" si="7"/>
        <v>0</v>
      </c>
      <c r="BD14" s="163">
        <f t="shared" si="8"/>
        <v>150869.04</v>
      </c>
      <c r="BE14" s="163">
        <f t="shared" si="9"/>
        <v>452607.12</v>
      </c>
      <c r="BF14" s="164">
        <f>BF12*SUMPRODUCT(Assumptions!$E$117:$E$119,Assumptions!$F$117:$F$119)</f>
        <v>905214.24</v>
      </c>
      <c r="BG14" s="164"/>
    </row>
    <row r="15" ht="12.75" customHeight="1">
      <c r="A15" s="61"/>
      <c r="B15" s="221" t="s">
        <v>267</v>
      </c>
      <c r="C15" s="218"/>
      <c r="D15" s="221" t="s">
        <v>198</v>
      </c>
      <c r="E15" s="167"/>
      <c r="F15" s="167"/>
      <c r="G15" s="167"/>
      <c r="H15" s="167"/>
      <c r="I15" s="167"/>
      <c r="J15" s="167"/>
      <c r="K15" s="167"/>
      <c r="L15" s="167"/>
      <c r="M15" s="167"/>
      <c r="N15" s="167"/>
      <c r="O15" s="167"/>
      <c r="P15" s="167"/>
      <c r="Q15" s="167">
        <f t="shared" ref="Q15:AZ15" si="10">sum(Q13:Q14)</f>
        <v>0</v>
      </c>
      <c r="R15" s="167">
        <f t="shared" si="10"/>
        <v>0</v>
      </c>
      <c r="S15" s="167">
        <f t="shared" si="10"/>
        <v>0</v>
      </c>
      <c r="T15" s="167">
        <f t="shared" si="10"/>
        <v>0</v>
      </c>
      <c r="U15" s="167">
        <f t="shared" si="10"/>
        <v>0</v>
      </c>
      <c r="V15" s="167">
        <f t="shared" si="10"/>
        <v>0</v>
      </c>
      <c r="W15" s="167">
        <f t="shared" si="10"/>
        <v>0</v>
      </c>
      <c r="X15" s="167">
        <f t="shared" si="10"/>
        <v>0</v>
      </c>
      <c r="Y15" s="167">
        <f t="shared" si="10"/>
        <v>0</v>
      </c>
      <c r="Z15" s="167">
        <f t="shared" si="10"/>
        <v>0</v>
      </c>
      <c r="AA15" s="167">
        <f t="shared" si="10"/>
        <v>0</v>
      </c>
      <c r="AB15" s="167">
        <f t="shared" si="10"/>
        <v>0</v>
      </c>
      <c r="AC15" s="167">
        <f t="shared" si="10"/>
        <v>157928.2152</v>
      </c>
      <c r="AD15" s="167">
        <f t="shared" si="10"/>
        <v>180489.3888</v>
      </c>
      <c r="AE15" s="167">
        <f t="shared" si="10"/>
        <v>191769.9756</v>
      </c>
      <c r="AF15" s="167">
        <f t="shared" si="10"/>
        <v>214331.1492</v>
      </c>
      <c r="AG15" s="167">
        <f t="shared" si="10"/>
        <v>236892.3228</v>
      </c>
      <c r="AH15" s="167">
        <f t="shared" si="10"/>
        <v>259453.4964</v>
      </c>
      <c r="AI15" s="167">
        <f t="shared" si="10"/>
        <v>282014.67</v>
      </c>
      <c r="AJ15" s="167">
        <f t="shared" si="10"/>
        <v>304575.8436</v>
      </c>
      <c r="AK15" s="167">
        <f t="shared" si="10"/>
        <v>338417.604</v>
      </c>
      <c r="AL15" s="167">
        <f t="shared" si="10"/>
        <v>372259.3644</v>
      </c>
      <c r="AM15" s="167">
        <f t="shared" si="10"/>
        <v>406101.1248</v>
      </c>
      <c r="AN15" s="167">
        <f t="shared" si="10"/>
        <v>439942.8852</v>
      </c>
      <c r="AO15" s="167">
        <f t="shared" si="10"/>
        <v>485065.2324</v>
      </c>
      <c r="AP15" s="167">
        <f t="shared" si="10"/>
        <v>530187.5796</v>
      </c>
      <c r="AQ15" s="167">
        <f t="shared" si="10"/>
        <v>586590.5136</v>
      </c>
      <c r="AR15" s="167">
        <f t="shared" si="10"/>
        <v>642993.4476</v>
      </c>
      <c r="AS15" s="167">
        <f t="shared" si="10"/>
        <v>699396.3816</v>
      </c>
      <c r="AT15" s="167">
        <f t="shared" si="10"/>
        <v>767079.9024</v>
      </c>
      <c r="AU15" s="167">
        <f t="shared" si="10"/>
        <v>846044.01</v>
      </c>
      <c r="AV15" s="167">
        <f t="shared" si="10"/>
        <v>925008.1176</v>
      </c>
      <c r="AW15" s="167">
        <f t="shared" si="10"/>
        <v>1015252.812</v>
      </c>
      <c r="AX15" s="167">
        <f t="shared" si="10"/>
        <v>1105497.506</v>
      </c>
      <c r="AY15" s="167">
        <f t="shared" si="10"/>
        <v>1218303.374</v>
      </c>
      <c r="AZ15" s="167">
        <f t="shared" si="10"/>
        <v>1331109.242</v>
      </c>
      <c r="BA15" s="222"/>
      <c r="BB15" s="223">
        <f t="shared" si="6"/>
        <v>0</v>
      </c>
      <c r="BC15" s="223">
        <f t="shared" si="7"/>
        <v>0</v>
      </c>
      <c r="BD15" s="223">
        <f t="shared" si="8"/>
        <v>3384176.04</v>
      </c>
      <c r="BE15" s="223">
        <f t="shared" si="9"/>
        <v>10152528.12</v>
      </c>
      <c r="BF15" s="223">
        <f>sum(BF13:BF14)</f>
        <v>20305056.24</v>
      </c>
      <c r="BG15" s="224"/>
    </row>
    <row r="16">
      <c r="A16" s="30"/>
      <c r="B16" s="30"/>
      <c r="C16" s="30"/>
      <c r="D16" s="30"/>
      <c r="E16" s="163"/>
      <c r="F16" s="163"/>
      <c r="G16" s="163"/>
      <c r="H16" s="163"/>
      <c r="I16" s="163"/>
      <c r="J16" s="163"/>
      <c r="K16" s="163"/>
      <c r="L16" s="163"/>
      <c r="M16" s="163"/>
      <c r="N16" s="163"/>
      <c r="O16" s="163"/>
      <c r="P16" s="163"/>
      <c r="Q16" s="225"/>
      <c r="R16" s="225"/>
      <c r="S16" s="225"/>
      <c r="T16" s="225"/>
      <c r="U16" s="225"/>
      <c r="V16" s="225"/>
      <c r="W16" s="225"/>
      <c r="X16" s="225"/>
      <c r="Y16" s="225"/>
      <c r="Z16" s="225"/>
      <c r="AA16" s="225"/>
      <c r="AB16" s="225"/>
      <c r="AC16" s="225"/>
      <c r="AD16" s="225"/>
      <c r="AE16" s="225"/>
      <c r="AF16" s="225"/>
      <c r="AG16" s="225"/>
      <c r="AH16" s="225"/>
      <c r="AI16" s="225"/>
      <c r="AJ16" s="225"/>
      <c r="AK16" s="225"/>
      <c r="AL16" s="225"/>
      <c r="AM16" s="225"/>
      <c r="AN16" s="225"/>
      <c r="AO16" s="225"/>
      <c r="AP16" s="225"/>
      <c r="AQ16" s="225"/>
      <c r="AR16" s="225"/>
      <c r="AS16" s="225"/>
      <c r="AT16" s="225"/>
      <c r="AU16" s="225"/>
      <c r="AV16" s="225"/>
      <c r="AW16" s="225"/>
      <c r="AX16" s="225"/>
      <c r="AY16" s="225"/>
      <c r="AZ16" s="225"/>
      <c r="BA16" s="163"/>
      <c r="BB16" s="163"/>
      <c r="BC16" s="163"/>
      <c r="BD16" s="163"/>
      <c r="BE16" s="163"/>
      <c r="BF16" s="163"/>
      <c r="BG16" s="112"/>
    </row>
    <row r="17" ht="12.75" customHeight="1">
      <c r="A17" s="217"/>
      <c r="B17" s="218" t="s">
        <v>268</v>
      </c>
      <c r="C17" s="217"/>
      <c r="D17" s="217"/>
      <c r="E17" s="168"/>
      <c r="F17" s="168"/>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c r="AG17" s="168"/>
      <c r="AH17" s="168"/>
      <c r="AI17" s="168"/>
      <c r="AJ17" s="168"/>
      <c r="AK17" s="168"/>
      <c r="AL17" s="168"/>
      <c r="AM17" s="168"/>
      <c r="AN17" s="168"/>
      <c r="AO17" s="168"/>
      <c r="AP17" s="168"/>
      <c r="AQ17" s="168"/>
      <c r="AR17" s="168"/>
      <c r="AS17" s="168"/>
      <c r="AT17" s="168"/>
      <c r="AU17" s="168"/>
      <c r="AV17" s="168"/>
      <c r="AW17" s="168"/>
      <c r="AX17" s="168"/>
      <c r="AY17" s="168"/>
      <c r="AZ17" s="168"/>
      <c r="BA17" s="163"/>
      <c r="BB17" s="170"/>
      <c r="BC17" s="170"/>
      <c r="BD17" s="170"/>
      <c r="BE17" s="170"/>
      <c r="BF17" s="170"/>
      <c r="BG17" s="112"/>
    </row>
    <row r="18" ht="12.75" customHeight="1">
      <c r="A18" s="219"/>
      <c r="B18" s="219" t="s">
        <v>269</v>
      </c>
      <c r="C18" s="219"/>
      <c r="D18" s="219" t="s">
        <v>66</v>
      </c>
      <c r="E18" s="219"/>
      <c r="F18" s="219"/>
      <c r="G18" s="219"/>
      <c r="H18" s="219"/>
      <c r="I18" s="219"/>
      <c r="J18" s="219"/>
      <c r="K18" s="219"/>
      <c r="L18" s="219"/>
      <c r="M18" s="219"/>
      <c r="N18" s="219"/>
      <c r="O18" s="219"/>
      <c r="P18" s="219"/>
      <c r="Q18" s="219">
        <f t="array" ref="Q18">IF(YEAR(Q$3)=2026,0,ROUND(EXP((LN(Assumptions!$E$25/Assumptions!$D$25)/12)*((YEAR(Q$3)-2027)*12+MONTH(Q$3)-1))/SUMPRODUCT(EXP((LN(Assumptions!$E$25/Assumptions!$D$25)/12)*(ROW(INDIRECT("1:24"))-1)))*SUM(Assumptions!$D$25:$E$25),0))</f>
        <v>0</v>
      </c>
      <c r="R18" s="219">
        <f t="array" ref="R18">IF(YEAR(R$3)=2026,0,ROUND(EXP((LN(Assumptions!$E$25/Assumptions!$D$25)/12)*((YEAR(R$3)-2027)*12+MONTH(R$3)-1))/SUMPRODUCT(EXP((LN(Assumptions!$E$25/Assumptions!$D$25)/12)*(ROW(INDIRECT("1:24"))-1)))*SUM(Assumptions!$D$25:$E$25),0))</f>
        <v>0</v>
      </c>
      <c r="S18" s="219">
        <f t="array" ref="S18">IF(YEAR(S$3)=2026,0,ROUND(EXP((LN(Assumptions!$E$25/Assumptions!$D$25)/12)*((YEAR(S$3)-2027)*12+MONTH(S$3)-1))/SUMPRODUCT(EXP((LN(Assumptions!$E$25/Assumptions!$D$25)/12)*(ROW(INDIRECT("1:24"))-1)))*SUM(Assumptions!$D$25:$E$25),0))</f>
        <v>0</v>
      </c>
      <c r="T18" s="219">
        <f t="array" ref="T18">IF(YEAR(T$3)=2026,0,ROUND(EXP((LN(Assumptions!$E$25/Assumptions!$D$25)/12)*((YEAR(T$3)-2027)*12+MONTH(T$3)-1))/SUMPRODUCT(EXP((LN(Assumptions!$E$25/Assumptions!$D$25)/12)*(ROW(INDIRECT("1:24"))-1)))*SUM(Assumptions!$D$25:$E$25),0))</f>
        <v>0</v>
      </c>
      <c r="U18" s="219">
        <f t="array" ref="U18">IF(YEAR(U$3)=2026,0,ROUND(EXP((LN(Assumptions!$E$25/Assumptions!$D$25)/12)*((YEAR(U$3)-2027)*12+MONTH(U$3)-1))/SUMPRODUCT(EXP((LN(Assumptions!$E$25/Assumptions!$D$25)/12)*(ROW(INDIRECT("1:24"))-1)))*SUM(Assumptions!$D$25:$E$25),0))</f>
        <v>0</v>
      </c>
      <c r="V18" s="219">
        <f t="array" ref="V18">IF(YEAR(V$3)=2026,0,ROUND(EXP((LN(Assumptions!$E$25/Assumptions!$D$25)/12)*((YEAR(V$3)-2027)*12+MONTH(V$3)-1))/SUMPRODUCT(EXP((LN(Assumptions!$E$25/Assumptions!$D$25)/12)*(ROW(INDIRECT("1:24"))-1)))*SUM(Assumptions!$D$25:$E$25),0))</f>
        <v>0</v>
      </c>
      <c r="W18" s="219">
        <f t="array" ref="W18">IF(YEAR(W$3)=2026,0,ROUND(EXP((LN(Assumptions!$E$25/Assumptions!$D$25)/12)*((YEAR(W$3)-2027)*12+MONTH(W$3)-1))/SUMPRODUCT(EXP((LN(Assumptions!$E$25/Assumptions!$D$25)/12)*(ROW(INDIRECT("1:24"))-1)))*SUM(Assumptions!$D$25:$E$25),0))</f>
        <v>0</v>
      </c>
      <c r="X18" s="219">
        <f t="array" ref="X18">IF(YEAR(X$3)=2026,0,ROUND(EXP((LN(Assumptions!$E$25/Assumptions!$D$25)/12)*((YEAR(X$3)-2027)*12+MONTH(X$3)-1))/SUMPRODUCT(EXP((LN(Assumptions!$E$25/Assumptions!$D$25)/12)*(ROW(INDIRECT("1:24"))-1)))*SUM(Assumptions!$D$25:$E$25),0))</f>
        <v>0</v>
      </c>
      <c r="Y18" s="219">
        <f t="array" ref="Y18">IF(YEAR(Y$3)=2026,0,ROUND(EXP((LN(Assumptions!$E$25/Assumptions!$D$25)/12)*((YEAR(Y$3)-2027)*12+MONTH(Y$3)-1))/SUMPRODUCT(EXP((LN(Assumptions!$E$25/Assumptions!$D$25)/12)*(ROW(INDIRECT("1:24"))-1)))*SUM(Assumptions!$D$25:$E$25),0))</f>
        <v>0</v>
      </c>
      <c r="Z18" s="219">
        <f t="array" ref="Z18">IF(YEAR(Z$3)=2026,0,ROUND(EXP((LN(Assumptions!$E$25/Assumptions!$D$25)/12)*((YEAR(Z$3)-2027)*12+MONTH(Z$3)-1))/SUMPRODUCT(EXP((LN(Assumptions!$E$25/Assumptions!$D$25)/12)*(ROW(INDIRECT("1:24"))-1)))*SUM(Assumptions!$D$25:$E$25),0))</f>
        <v>0</v>
      </c>
      <c r="AA18" s="219">
        <f t="array" ref="AA18">IF(YEAR(AA$3)=2026,0,ROUND(EXP((LN(Assumptions!$E$25/Assumptions!$D$25)/12)*((YEAR(AA$3)-2027)*12+MONTH(AA$3)-1))/SUMPRODUCT(EXP((LN(Assumptions!$E$25/Assumptions!$D$25)/12)*(ROW(INDIRECT("1:24"))-1)))*SUM(Assumptions!$D$25:$E$25),0))</f>
        <v>0</v>
      </c>
      <c r="AB18" s="219">
        <f t="array" ref="AB18">IF(YEAR(AB$3)=2026,0,ROUND(EXP((LN(Assumptions!$E$25/Assumptions!$D$25)/12)*((YEAR(AB$3)-2027)*12+MONTH(AB$3)-1))/SUMPRODUCT(EXP((LN(Assumptions!$E$25/Assumptions!$D$25)/12)*(ROW(INDIRECT("1:24"))-1)))*SUM(Assumptions!$D$25:$E$25),0))</f>
        <v>0</v>
      </c>
      <c r="AC18" s="219">
        <f t="array" ref="AC18">IF(YEAR(AC$3)=2026,0,ROUND(EXP((LN(Assumptions!$E$25/Assumptions!$D$25)/12)*((YEAR(AC$3)-2027)*12+MONTH(AC$3)-1))/SUMPRODUCT(EXP((LN(Assumptions!$E$25/Assumptions!$D$25)/12)*(ROW(INDIRECT("1:24"))-1)))*SUM(Assumptions!$D$25:$E$25),0))</f>
        <v>14</v>
      </c>
      <c r="AD18" s="219">
        <f t="array" ref="AD18">IF(YEAR(AD$3)=2026,0,ROUND(EXP((LN(Assumptions!$E$25/Assumptions!$D$25)/12)*((YEAR(AD$3)-2027)*12+MONTH(AD$3)-1))/SUMPRODUCT(EXP((LN(Assumptions!$E$25/Assumptions!$D$25)/12)*(ROW(INDIRECT("1:24"))-1)))*SUM(Assumptions!$D$25:$E$25),0))</f>
        <v>16</v>
      </c>
      <c r="AE18" s="219">
        <f t="array" ref="AE18">IF(YEAR(AE$3)=2026,0,ROUND(EXP((LN(Assumptions!$E$25/Assumptions!$D$25)/12)*((YEAR(AE$3)-2027)*12+MONTH(AE$3)-1))/SUMPRODUCT(EXP((LN(Assumptions!$E$25/Assumptions!$D$25)/12)*(ROW(INDIRECT("1:24"))-1)))*SUM(Assumptions!$D$25:$E$25),0))</f>
        <v>17</v>
      </c>
      <c r="AF18" s="219">
        <f t="array" ref="AF18">IF(YEAR(AF$3)=2026,0,ROUND(EXP((LN(Assumptions!$E$25/Assumptions!$D$25)/12)*((YEAR(AF$3)-2027)*12+MONTH(AF$3)-1))/SUMPRODUCT(EXP((LN(Assumptions!$E$25/Assumptions!$D$25)/12)*(ROW(INDIRECT("1:24"))-1)))*SUM(Assumptions!$D$25:$E$25),0))</f>
        <v>19</v>
      </c>
      <c r="AG18" s="219">
        <f t="array" ref="AG18">IF(YEAR(AG$3)=2026,0,ROUND(EXP((LN(Assumptions!$E$25/Assumptions!$D$25)/12)*((YEAR(AG$3)-2027)*12+MONTH(AG$3)-1))/SUMPRODUCT(EXP((LN(Assumptions!$E$25/Assumptions!$D$25)/12)*(ROW(INDIRECT("1:24"))-1)))*SUM(Assumptions!$D$25:$E$25),0))</f>
        <v>21</v>
      </c>
      <c r="AH18" s="219">
        <f t="array" ref="AH18">IF(YEAR(AH$3)=2026,0,ROUND(EXP((LN(Assumptions!$E$25/Assumptions!$D$25)/12)*((YEAR(AH$3)-2027)*12+MONTH(AH$3)-1))/SUMPRODUCT(EXP((LN(Assumptions!$E$25/Assumptions!$D$25)/12)*(ROW(INDIRECT("1:24"))-1)))*SUM(Assumptions!$D$25:$E$25),0))</f>
        <v>23</v>
      </c>
      <c r="AI18" s="219">
        <f t="array" ref="AI18">IF(YEAR(AI$3)=2026,0,ROUND(EXP((LN(Assumptions!$E$25/Assumptions!$D$25)/12)*((YEAR(AI$3)-2027)*12+MONTH(AI$3)-1))/SUMPRODUCT(EXP((LN(Assumptions!$E$25/Assumptions!$D$25)/12)*(ROW(INDIRECT("1:24"))-1)))*SUM(Assumptions!$D$25:$E$25),0))</f>
        <v>25</v>
      </c>
      <c r="AJ18" s="219">
        <f t="array" ref="AJ18">IF(YEAR(AJ$3)=2026,0,ROUND(EXP((LN(Assumptions!$E$25/Assumptions!$D$25)/12)*((YEAR(AJ$3)-2027)*12+MONTH(AJ$3)-1))/SUMPRODUCT(EXP((LN(Assumptions!$E$25/Assumptions!$D$25)/12)*(ROW(INDIRECT("1:24"))-1)))*SUM(Assumptions!$D$25:$E$25),0))</f>
        <v>27</v>
      </c>
      <c r="AK18" s="219">
        <f t="array" ref="AK18">IF(YEAR(AK$3)=2026,0,ROUND(EXP((LN(Assumptions!$E$25/Assumptions!$D$25)/12)*((YEAR(AK$3)-2027)*12+MONTH(AK$3)-1))/SUMPRODUCT(EXP((LN(Assumptions!$E$25/Assumptions!$D$25)/12)*(ROW(INDIRECT("1:24"))-1)))*SUM(Assumptions!$D$25:$E$25),0))</f>
        <v>30</v>
      </c>
      <c r="AL18" s="219">
        <f t="array" ref="AL18">IF(YEAR(AL$3)=2026,0,ROUND(EXP((LN(Assumptions!$E$25/Assumptions!$D$25)/12)*((YEAR(AL$3)-2027)*12+MONTH(AL$3)-1))/SUMPRODUCT(EXP((LN(Assumptions!$E$25/Assumptions!$D$25)/12)*(ROW(INDIRECT("1:24"))-1)))*SUM(Assumptions!$D$25:$E$25),0))</f>
        <v>33</v>
      </c>
      <c r="AM18" s="219">
        <f t="array" ref="AM18">IF(YEAR(AM$3)=2026,0,ROUND(EXP((LN(Assumptions!$E$25/Assumptions!$D$25)/12)*((YEAR(AM$3)-2027)*12+MONTH(AM$3)-1))/SUMPRODUCT(EXP((LN(Assumptions!$E$25/Assumptions!$D$25)/12)*(ROW(INDIRECT("1:24"))-1)))*SUM(Assumptions!$D$25:$E$25),0))</f>
        <v>36</v>
      </c>
      <c r="AN18" s="219">
        <f>Assumptions!$D$25-SUM(AC18:AM18)</f>
        <v>39</v>
      </c>
      <c r="AO18" s="219">
        <f t="array" ref="AO18">IF(YEAR(AO$3)=2026,0,ROUND(EXP((LN(Assumptions!$E$25/Assumptions!$D$25)/12)*((YEAR(AO$3)-2027)*12+MONTH(AO$3)-1))/SUMPRODUCT(EXP((LN(Assumptions!$E$25/Assumptions!$D$25)/12)*(ROW(INDIRECT("1:24"))-1)))*SUM(Assumptions!$D$25:$E$25),0))</f>
        <v>43</v>
      </c>
      <c r="AP18" s="219">
        <f t="array" ref="AP18">IF(YEAR(AP$3)=2026,0,ROUND(EXP((LN(Assumptions!$E$25/Assumptions!$D$25)/12)*((YEAR(AP$3)-2027)*12+MONTH(AP$3)-1))/SUMPRODUCT(EXP((LN(Assumptions!$E$25/Assumptions!$D$25)/12)*(ROW(INDIRECT("1:24"))-1)))*SUM(Assumptions!$D$25:$E$25),0))</f>
        <v>47</v>
      </c>
      <c r="AQ18" s="219">
        <f t="array" ref="AQ18">IF(YEAR(AQ$3)=2026,0,ROUND(EXP((LN(Assumptions!$E$25/Assumptions!$D$25)/12)*((YEAR(AQ$3)-2027)*12+MONTH(AQ$3)-1))/SUMPRODUCT(EXP((LN(Assumptions!$E$25/Assumptions!$D$25)/12)*(ROW(INDIRECT("1:24"))-1)))*SUM(Assumptions!$D$25:$E$25),0))</f>
        <v>52</v>
      </c>
      <c r="AR18" s="219">
        <f t="array" ref="AR18">IF(YEAR(AR$3)=2026,0,ROUND(EXP((LN(Assumptions!$E$25/Assumptions!$D$25)/12)*((YEAR(AR$3)-2027)*12+MONTH(AR$3)-1))/SUMPRODUCT(EXP((LN(Assumptions!$E$25/Assumptions!$D$25)/12)*(ROW(INDIRECT("1:24"))-1)))*SUM(Assumptions!$D$25:$E$25),0))</f>
        <v>57</v>
      </c>
      <c r="AS18" s="219">
        <f t="array" ref="AS18">IF(YEAR(AS$3)=2026,0,ROUND(EXP((LN(Assumptions!$E$25/Assumptions!$D$25)/12)*((YEAR(AS$3)-2027)*12+MONTH(AS$3)-1))/SUMPRODUCT(EXP((LN(Assumptions!$E$25/Assumptions!$D$25)/12)*(ROW(INDIRECT("1:24"))-1)))*SUM(Assumptions!$D$25:$E$25),0))</f>
        <v>62</v>
      </c>
      <c r="AT18" s="219">
        <f t="array" ref="AT18">IF(YEAR(AT$3)=2026,0,ROUND(EXP((LN(Assumptions!$E$25/Assumptions!$D$25)/12)*((YEAR(AT$3)-2027)*12+MONTH(AT$3)-1))/SUMPRODUCT(EXP((LN(Assumptions!$E$25/Assumptions!$D$25)/12)*(ROW(INDIRECT("1:24"))-1)))*SUM(Assumptions!$D$25:$E$25),0))</f>
        <v>68</v>
      </c>
      <c r="AU18" s="219">
        <f t="array" ref="AU18">IF(YEAR(AU$3)=2026,0,ROUND(EXP((LN(Assumptions!$E$25/Assumptions!$D$25)/12)*((YEAR(AU$3)-2027)*12+MONTH(AU$3)-1))/SUMPRODUCT(EXP((LN(Assumptions!$E$25/Assumptions!$D$25)/12)*(ROW(INDIRECT("1:24"))-1)))*SUM(Assumptions!$D$25:$E$25),0))</f>
        <v>75</v>
      </c>
      <c r="AV18" s="219">
        <f t="array" ref="AV18">IF(YEAR(AV$3)=2026,0,ROUND(EXP((LN(Assumptions!$E$25/Assumptions!$D$25)/12)*((YEAR(AV$3)-2027)*12+MONTH(AV$3)-1))/SUMPRODUCT(EXP((LN(Assumptions!$E$25/Assumptions!$D$25)/12)*(ROW(INDIRECT("1:24"))-1)))*SUM(Assumptions!$D$25:$E$25),0))</f>
        <v>82</v>
      </c>
      <c r="AW18" s="219">
        <f t="array" ref="AW18">IF(YEAR(AW$3)=2026,0,ROUND(EXP((LN(Assumptions!$E$25/Assumptions!$D$25)/12)*((YEAR(AW$3)-2027)*12+MONTH(AW$3)-1))/SUMPRODUCT(EXP((LN(Assumptions!$E$25/Assumptions!$D$25)/12)*(ROW(INDIRECT("1:24"))-1)))*SUM(Assumptions!$D$25:$E$25),0))</f>
        <v>90</v>
      </c>
      <c r="AX18" s="219">
        <f t="array" ref="AX18">IF(YEAR(AX$3)=2026,0,ROUND(EXP((LN(Assumptions!$E$25/Assumptions!$D$25)/12)*((YEAR(AX$3)-2027)*12+MONTH(AX$3)-1))/SUMPRODUCT(EXP((LN(Assumptions!$E$25/Assumptions!$D$25)/12)*(ROW(INDIRECT("1:24"))-1)))*SUM(Assumptions!$D$25:$E$25),0))</f>
        <v>98</v>
      </c>
      <c r="AY18" s="219">
        <f t="array" ref="AY18">IF(YEAR(AY$3)=2026,0,ROUND(EXP((LN(Assumptions!$E$25/Assumptions!$D$25)/12)*((YEAR(AY$3)-2027)*12+MONTH(AY$3)-1))/SUMPRODUCT(EXP((LN(Assumptions!$E$25/Assumptions!$D$25)/12)*(ROW(INDIRECT("1:24"))-1)))*SUM(Assumptions!$D$25:$E$25),0))</f>
        <v>108</v>
      </c>
      <c r="AZ18" s="219">
        <f>Assumptions!$E$25-SUM(AO18:AY18)</f>
        <v>118</v>
      </c>
      <c r="BA18" s="219"/>
      <c r="BB18" s="219">
        <f t="shared" ref="BB18:BB21" si="11">SUM(E18:P18)</f>
        <v>0</v>
      </c>
      <c r="BC18" s="219">
        <f t="shared" ref="BC18:BC21" si="12">SUM(Q18:AB18)</f>
        <v>0</v>
      </c>
      <c r="BD18" s="219">
        <f t="shared" ref="BD18:BD21" si="13">SUM(AC18:AN18)</f>
        <v>300</v>
      </c>
      <c r="BE18" s="219">
        <f t="shared" ref="BE18:BE21" si="14">SUM(AO18:AZ18)</f>
        <v>900</v>
      </c>
      <c r="BF18" s="219">
        <f>Assumptions!$F$25</f>
        <v>1800</v>
      </c>
      <c r="BG18" s="219"/>
    </row>
    <row r="19" ht="12.75" customHeight="1">
      <c r="A19" s="164"/>
      <c r="B19" s="164" t="s">
        <v>270</v>
      </c>
      <c r="C19" s="164"/>
      <c r="D19" s="164" t="s">
        <v>198</v>
      </c>
      <c r="E19" s="164"/>
      <c r="F19" s="164"/>
      <c r="G19" s="164"/>
      <c r="H19" s="164"/>
      <c r="I19" s="164"/>
      <c r="J19" s="164"/>
      <c r="K19" s="164"/>
      <c r="L19" s="164"/>
      <c r="M19" s="164"/>
      <c r="N19" s="164"/>
      <c r="O19" s="164"/>
      <c r="P19" s="164"/>
      <c r="Q19" s="164">
        <f>Q18*Assumptions!$C$34</f>
        <v>0</v>
      </c>
      <c r="R19" s="164">
        <f>R18*Assumptions!$C$34</f>
        <v>0</v>
      </c>
      <c r="S19" s="164">
        <f>S18*Assumptions!$C$34</f>
        <v>0</v>
      </c>
      <c r="T19" s="164">
        <f>T18*Assumptions!$C$34</f>
        <v>0</v>
      </c>
      <c r="U19" s="164">
        <f>U18*Assumptions!$C$34</f>
        <v>0</v>
      </c>
      <c r="V19" s="164">
        <f>V18*Assumptions!$C$34</f>
        <v>0</v>
      </c>
      <c r="W19" s="164">
        <f>W18*Assumptions!$C$34</f>
        <v>0</v>
      </c>
      <c r="X19" s="164">
        <f>X18*Assumptions!$C$34</f>
        <v>0</v>
      </c>
      <c r="Y19" s="164">
        <f>Y18*Assumptions!$C$34</f>
        <v>0</v>
      </c>
      <c r="Z19" s="164">
        <f>Z18*Assumptions!$C$34</f>
        <v>0</v>
      </c>
      <c r="AA19" s="164">
        <f>AA18*Assumptions!$C$34</f>
        <v>0</v>
      </c>
      <c r="AB19" s="164">
        <f>AB18*Assumptions!$C$34</f>
        <v>0</v>
      </c>
      <c r="AC19" s="164">
        <f>AC18*Assumptions!$C$34</f>
        <v>193697.56</v>
      </c>
      <c r="AD19" s="164">
        <f>AD18*Assumptions!$C$34</f>
        <v>221368.64</v>
      </c>
      <c r="AE19" s="164">
        <f>AE18*Assumptions!$C$34</f>
        <v>235204.18</v>
      </c>
      <c r="AF19" s="164">
        <f>AF18*Assumptions!$C$34</f>
        <v>262875.26</v>
      </c>
      <c r="AG19" s="164">
        <f>AG18*Assumptions!$C$34</f>
        <v>290546.34</v>
      </c>
      <c r="AH19" s="164">
        <f>AH18*Assumptions!$C$34</f>
        <v>318217.42</v>
      </c>
      <c r="AI19" s="164">
        <f>AI18*Assumptions!$C$34</f>
        <v>345888.5</v>
      </c>
      <c r="AJ19" s="164">
        <f>AJ18*Assumptions!$C$34</f>
        <v>373559.58</v>
      </c>
      <c r="AK19" s="164">
        <f>AK18*Assumptions!$C$34</f>
        <v>415066.2</v>
      </c>
      <c r="AL19" s="164">
        <f>AL18*Assumptions!$C$34</f>
        <v>456572.82</v>
      </c>
      <c r="AM19" s="164">
        <f>AM18*Assumptions!$C$34</f>
        <v>498079.44</v>
      </c>
      <c r="AN19" s="164">
        <f>AN18*Assumptions!$C$34</f>
        <v>539586.06</v>
      </c>
      <c r="AO19" s="164">
        <f>AO18*Assumptions!$C$34</f>
        <v>594928.22</v>
      </c>
      <c r="AP19" s="164">
        <f>AP18*Assumptions!$C$34</f>
        <v>650270.38</v>
      </c>
      <c r="AQ19" s="164">
        <f>AQ18*Assumptions!$C$34</f>
        <v>719448.08</v>
      </c>
      <c r="AR19" s="164">
        <f>AR18*Assumptions!$C$34</f>
        <v>788625.78</v>
      </c>
      <c r="AS19" s="164">
        <f>AS18*Assumptions!$C$34</f>
        <v>857803.48</v>
      </c>
      <c r="AT19" s="164">
        <f>AT18*Assumptions!$C$34</f>
        <v>940816.72</v>
      </c>
      <c r="AU19" s="164">
        <f>AU18*Assumptions!$C$34</f>
        <v>1037665.5</v>
      </c>
      <c r="AV19" s="164">
        <f>AV18*Assumptions!$C$34</f>
        <v>1134514.28</v>
      </c>
      <c r="AW19" s="164">
        <f>AW18*Assumptions!$C$34</f>
        <v>1245198.6</v>
      </c>
      <c r="AX19" s="164">
        <f>AX18*Assumptions!$C$34</f>
        <v>1355882.92</v>
      </c>
      <c r="AY19" s="164">
        <f>AY18*Assumptions!$C$34</f>
        <v>1494238.32</v>
      </c>
      <c r="AZ19" s="164">
        <f>AZ18*Assumptions!$C$34</f>
        <v>1632593.72</v>
      </c>
      <c r="BA19" s="164"/>
      <c r="BB19" s="163">
        <f t="shared" si="11"/>
        <v>0</v>
      </c>
      <c r="BC19" s="163">
        <f t="shared" si="12"/>
        <v>0</v>
      </c>
      <c r="BD19" s="163">
        <f t="shared" si="13"/>
        <v>4150662</v>
      </c>
      <c r="BE19" s="163">
        <f t="shared" si="14"/>
        <v>12451986</v>
      </c>
      <c r="BF19" s="164">
        <f>BF18*Assumptions!$C$34</f>
        <v>24903972</v>
      </c>
      <c r="BG19" s="164"/>
    </row>
    <row r="20" ht="12.75" customHeight="1">
      <c r="A20" s="164"/>
      <c r="B20" s="164" t="s">
        <v>271</v>
      </c>
      <c r="C20" s="164"/>
      <c r="D20" s="164" t="s">
        <v>198</v>
      </c>
      <c r="E20" s="164"/>
      <c r="F20" s="164"/>
      <c r="G20" s="164"/>
      <c r="H20" s="164"/>
      <c r="I20" s="164"/>
      <c r="J20" s="164"/>
      <c r="K20" s="164"/>
      <c r="L20" s="164"/>
      <c r="M20" s="164"/>
      <c r="N20" s="164"/>
      <c r="O20" s="164"/>
      <c r="P20" s="164"/>
      <c r="Q20" s="164">
        <f>Q18*SUMPRODUCT(Assumptions!$E$117:$E$119,Assumptions!$F$117:$F$119)</f>
        <v>0</v>
      </c>
      <c r="R20" s="164">
        <f>R18*SUMPRODUCT(Assumptions!$E$117:$E$119,Assumptions!$F$117:$F$119)</f>
        <v>0</v>
      </c>
      <c r="S20" s="164">
        <f>S18*SUMPRODUCT(Assumptions!$E$117:$E$119,Assumptions!$F$117:$F$119)</f>
        <v>0</v>
      </c>
      <c r="T20" s="164">
        <f>T18*SUMPRODUCT(Assumptions!$E$117:$E$119,Assumptions!$F$117:$F$119)</f>
        <v>0</v>
      </c>
      <c r="U20" s="164">
        <f>U18*SUMPRODUCT(Assumptions!$E$117:$E$119,Assumptions!$F$117:$F$119)</f>
        <v>0</v>
      </c>
      <c r="V20" s="164">
        <f>V18*SUMPRODUCT(Assumptions!$E$117:$E$119,Assumptions!$F$117:$F$119)</f>
        <v>0</v>
      </c>
      <c r="W20" s="164">
        <f>W18*SUMPRODUCT(Assumptions!$E$117:$E$119,Assumptions!$F$117:$F$119)</f>
        <v>0</v>
      </c>
      <c r="X20" s="164">
        <f>X18*SUMPRODUCT(Assumptions!$E$117:$E$119,Assumptions!$F$117:$F$119)</f>
        <v>0</v>
      </c>
      <c r="Y20" s="164">
        <f>Y18*SUMPRODUCT(Assumptions!$E$117:$E$119,Assumptions!$F$117:$F$119)</f>
        <v>0</v>
      </c>
      <c r="Z20" s="164">
        <f>Z18*SUMPRODUCT(Assumptions!$E$117:$E$119,Assumptions!$F$117:$F$119)</f>
        <v>0</v>
      </c>
      <c r="AA20" s="164">
        <f>AA18*SUMPRODUCT(Assumptions!$E$117:$E$119,Assumptions!$F$117:$F$119)</f>
        <v>0</v>
      </c>
      <c r="AB20" s="164">
        <f>AB18*SUMPRODUCT(Assumptions!$E$117:$E$119,Assumptions!$F$117:$F$119)</f>
        <v>0</v>
      </c>
      <c r="AC20" s="164">
        <f>AC18*SUMPRODUCT(Assumptions!$E$117:$E$119,Assumptions!$F$117:$F$119)</f>
        <v>7040.5552</v>
      </c>
      <c r="AD20" s="164">
        <f>AD18*SUMPRODUCT(Assumptions!$E$117:$E$119,Assumptions!$F$117:$F$119)</f>
        <v>8046.3488</v>
      </c>
      <c r="AE20" s="164">
        <f>AE18*SUMPRODUCT(Assumptions!$E$117:$E$119,Assumptions!$F$117:$F$119)</f>
        <v>8549.2456</v>
      </c>
      <c r="AF20" s="164">
        <f>AF18*SUMPRODUCT(Assumptions!$E$117:$E$119,Assumptions!$F$117:$F$119)</f>
        <v>9555.0392</v>
      </c>
      <c r="AG20" s="164">
        <f>AG18*SUMPRODUCT(Assumptions!$E$117:$E$119,Assumptions!$F$117:$F$119)</f>
        <v>10560.8328</v>
      </c>
      <c r="AH20" s="164">
        <f>AH18*SUMPRODUCT(Assumptions!$E$117:$E$119,Assumptions!$F$117:$F$119)</f>
        <v>11566.6264</v>
      </c>
      <c r="AI20" s="164">
        <f>AI18*SUMPRODUCT(Assumptions!$E$117:$E$119,Assumptions!$F$117:$F$119)</f>
        <v>12572.42</v>
      </c>
      <c r="AJ20" s="164">
        <f>AJ18*SUMPRODUCT(Assumptions!$E$117:$E$119,Assumptions!$F$117:$F$119)</f>
        <v>13578.2136</v>
      </c>
      <c r="AK20" s="164">
        <f>AK18*SUMPRODUCT(Assumptions!$E$117:$E$119,Assumptions!$F$117:$F$119)</f>
        <v>15086.904</v>
      </c>
      <c r="AL20" s="164">
        <f>AL18*SUMPRODUCT(Assumptions!$E$117:$E$119,Assumptions!$F$117:$F$119)</f>
        <v>16595.5944</v>
      </c>
      <c r="AM20" s="164">
        <f>AM18*SUMPRODUCT(Assumptions!$E$117:$E$119,Assumptions!$F$117:$F$119)</f>
        <v>18104.2848</v>
      </c>
      <c r="AN20" s="164">
        <f>AN18*SUMPRODUCT(Assumptions!$E$117:$E$119,Assumptions!$F$117:$F$119)</f>
        <v>19612.9752</v>
      </c>
      <c r="AO20" s="164">
        <f>AO18*SUMPRODUCT(Assumptions!$E$117:$E$119,Assumptions!$F$117:$F$119)</f>
        <v>21624.5624</v>
      </c>
      <c r="AP20" s="164">
        <f>AP18*SUMPRODUCT(Assumptions!$E$117:$E$119,Assumptions!$F$117:$F$119)</f>
        <v>23636.1496</v>
      </c>
      <c r="AQ20" s="164">
        <f>AQ18*SUMPRODUCT(Assumptions!$E$117:$E$119,Assumptions!$F$117:$F$119)</f>
        <v>26150.6336</v>
      </c>
      <c r="AR20" s="164">
        <f>AR18*SUMPRODUCT(Assumptions!$E$117:$E$119,Assumptions!$F$117:$F$119)</f>
        <v>28665.1176</v>
      </c>
      <c r="AS20" s="164">
        <f>AS18*SUMPRODUCT(Assumptions!$E$117:$E$119,Assumptions!$F$117:$F$119)</f>
        <v>31179.6016</v>
      </c>
      <c r="AT20" s="164">
        <f>AT18*SUMPRODUCT(Assumptions!$E$117:$E$119,Assumptions!$F$117:$F$119)</f>
        <v>34196.9824</v>
      </c>
      <c r="AU20" s="164">
        <f>AU18*SUMPRODUCT(Assumptions!$E$117:$E$119,Assumptions!$F$117:$F$119)</f>
        <v>37717.26</v>
      </c>
      <c r="AV20" s="164">
        <f>AV18*SUMPRODUCT(Assumptions!$E$117:$E$119,Assumptions!$F$117:$F$119)</f>
        <v>41237.5376</v>
      </c>
      <c r="AW20" s="164">
        <f>AW18*SUMPRODUCT(Assumptions!$E$117:$E$119,Assumptions!$F$117:$F$119)</f>
        <v>45260.712</v>
      </c>
      <c r="AX20" s="164">
        <f>AX18*SUMPRODUCT(Assumptions!$E$117:$E$119,Assumptions!$F$117:$F$119)</f>
        <v>49283.8864</v>
      </c>
      <c r="AY20" s="164">
        <f>AY18*SUMPRODUCT(Assumptions!$E$117:$E$119,Assumptions!$F$117:$F$119)</f>
        <v>54312.8544</v>
      </c>
      <c r="AZ20" s="164">
        <f>AZ18*SUMPRODUCT(Assumptions!$E$117:$E$119,Assumptions!$F$117:$F$119)</f>
        <v>59341.8224</v>
      </c>
      <c r="BA20" s="164"/>
      <c r="BB20" s="163">
        <f t="shared" si="11"/>
        <v>0</v>
      </c>
      <c r="BC20" s="163">
        <f t="shared" si="12"/>
        <v>0</v>
      </c>
      <c r="BD20" s="163">
        <f t="shared" si="13"/>
        <v>150869.04</v>
      </c>
      <c r="BE20" s="163">
        <f t="shared" si="14"/>
        <v>452607.12</v>
      </c>
      <c r="BF20" s="164">
        <f>BF18*SUMPRODUCT(Assumptions!$E$117:$E$119,Assumptions!$F$117:$F$119)</f>
        <v>905214.24</v>
      </c>
      <c r="BG20" s="164"/>
    </row>
    <row r="21" ht="12.75" customHeight="1">
      <c r="A21" s="61"/>
      <c r="B21" s="221" t="s">
        <v>272</v>
      </c>
      <c r="C21" s="218"/>
      <c r="D21" s="221" t="s">
        <v>198</v>
      </c>
      <c r="E21" s="167"/>
      <c r="F21" s="167"/>
      <c r="G21" s="167"/>
      <c r="H21" s="167"/>
      <c r="I21" s="167"/>
      <c r="J21" s="167"/>
      <c r="K21" s="167"/>
      <c r="L21" s="167"/>
      <c r="M21" s="167"/>
      <c r="N21" s="167"/>
      <c r="O21" s="167"/>
      <c r="P21" s="167"/>
      <c r="Q21" s="167">
        <f t="shared" ref="Q21:AZ21" si="15">sum(Q19:Q20)</f>
        <v>0</v>
      </c>
      <c r="R21" s="167">
        <f t="shared" si="15"/>
        <v>0</v>
      </c>
      <c r="S21" s="167">
        <f t="shared" si="15"/>
        <v>0</v>
      </c>
      <c r="T21" s="167">
        <f t="shared" si="15"/>
        <v>0</v>
      </c>
      <c r="U21" s="167">
        <f t="shared" si="15"/>
        <v>0</v>
      </c>
      <c r="V21" s="167">
        <f t="shared" si="15"/>
        <v>0</v>
      </c>
      <c r="W21" s="167">
        <f t="shared" si="15"/>
        <v>0</v>
      </c>
      <c r="X21" s="167">
        <f t="shared" si="15"/>
        <v>0</v>
      </c>
      <c r="Y21" s="167">
        <f t="shared" si="15"/>
        <v>0</v>
      </c>
      <c r="Z21" s="167">
        <f t="shared" si="15"/>
        <v>0</v>
      </c>
      <c r="AA21" s="167">
        <f t="shared" si="15"/>
        <v>0</v>
      </c>
      <c r="AB21" s="167">
        <f t="shared" si="15"/>
        <v>0</v>
      </c>
      <c r="AC21" s="167">
        <f t="shared" si="15"/>
        <v>200738.1152</v>
      </c>
      <c r="AD21" s="167">
        <f t="shared" si="15"/>
        <v>229414.9888</v>
      </c>
      <c r="AE21" s="167">
        <f t="shared" si="15"/>
        <v>243753.4256</v>
      </c>
      <c r="AF21" s="167">
        <f t="shared" si="15"/>
        <v>272430.2992</v>
      </c>
      <c r="AG21" s="167">
        <f t="shared" si="15"/>
        <v>301107.1728</v>
      </c>
      <c r="AH21" s="167">
        <f t="shared" si="15"/>
        <v>329784.0464</v>
      </c>
      <c r="AI21" s="167">
        <f t="shared" si="15"/>
        <v>358460.92</v>
      </c>
      <c r="AJ21" s="167">
        <f t="shared" si="15"/>
        <v>387137.7936</v>
      </c>
      <c r="AK21" s="167">
        <f t="shared" si="15"/>
        <v>430153.104</v>
      </c>
      <c r="AL21" s="167">
        <f t="shared" si="15"/>
        <v>473168.4144</v>
      </c>
      <c r="AM21" s="167">
        <f t="shared" si="15"/>
        <v>516183.7248</v>
      </c>
      <c r="AN21" s="167">
        <f t="shared" si="15"/>
        <v>559199.0352</v>
      </c>
      <c r="AO21" s="167">
        <f t="shared" si="15"/>
        <v>616552.7824</v>
      </c>
      <c r="AP21" s="167">
        <f t="shared" si="15"/>
        <v>673906.5296</v>
      </c>
      <c r="AQ21" s="167">
        <f t="shared" si="15"/>
        <v>745598.7136</v>
      </c>
      <c r="AR21" s="167">
        <f t="shared" si="15"/>
        <v>817290.8976</v>
      </c>
      <c r="AS21" s="167">
        <f t="shared" si="15"/>
        <v>888983.0816</v>
      </c>
      <c r="AT21" s="167">
        <f t="shared" si="15"/>
        <v>975013.7024</v>
      </c>
      <c r="AU21" s="167">
        <f t="shared" si="15"/>
        <v>1075382.76</v>
      </c>
      <c r="AV21" s="167">
        <f t="shared" si="15"/>
        <v>1175751.818</v>
      </c>
      <c r="AW21" s="167">
        <f t="shared" si="15"/>
        <v>1290459.312</v>
      </c>
      <c r="AX21" s="167">
        <f t="shared" si="15"/>
        <v>1405166.806</v>
      </c>
      <c r="AY21" s="167">
        <f t="shared" si="15"/>
        <v>1548551.174</v>
      </c>
      <c r="AZ21" s="167">
        <f t="shared" si="15"/>
        <v>1691935.542</v>
      </c>
      <c r="BA21" s="222"/>
      <c r="BB21" s="223">
        <f t="shared" si="11"/>
        <v>0</v>
      </c>
      <c r="BC21" s="223">
        <f t="shared" si="12"/>
        <v>0</v>
      </c>
      <c r="BD21" s="223">
        <f t="shared" si="13"/>
        <v>4301531.04</v>
      </c>
      <c r="BE21" s="223">
        <f t="shared" si="14"/>
        <v>12904593.12</v>
      </c>
      <c r="BF21" s="223">
        <f>sum(BF19:BF20)</f>
        <v>25809186.24</v>
      </c>
      <c r="BG21" s="224"/>
    </row>
    <row r="22" ht="15.75" customHeight="1">
      <c r="A22" s="30"/>
      <c r="B22" s="30"/>
      <c r="C22" s="30"/>
      <c r="D22" s="30"/>
      <c r="E22" s="163"/>
      <c r="F22" s="163"/>
      <c r="G22" s="163"/>
      <c r="H22" s="163"/>
      <c r="I22" s="163"/>
      <c r="J22" s="163"/>
      <c r="K22" s="163"/>
      <c r="L22" s="163"/>
      <c r="M22" s="163"/>
      <c r="N22" s="163"/>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12"/>
    </row>
    <row r="23" ht="13.5" customHeight="1">
      <c r="A23" s="217"/>
      <c r="B23" s="218" t="s">
        <v>273</v>
      </c>
      <c r="C23" s="217"/>
      <c r="D23" s="221" t="s">
        <v>198</v>
      </c>
      <c r="E23" s="168"/>
      <c r="F23" s="168"/>
      <c r="G23" s="16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168"/>
      <c r="AH23" s="168"/>
      <c r="AI23" s="168"/>
      <c r="AJ23" s="168"/>
      <c r="AK23" s="168"/>
      <c r="AL23" s="168"/>
      <c r="AM23" s="168"/>
      <c r="AN23" s="168"/>
      <c r="AO23" s="168"/>
      <c r="AP23" s="168"/>
      <c r="AQ23" s="168"/>
      <c r="AR23" s="168"/>
      <c r="AS23" s="168"/>
      <c r="AT23" s="168"/>
      <c r="AU23" s="168"/>
      <c r="AV23" s="168"/>
      <c r="AW23" s="168"/>
      <c r="AX23" s="168"/>
      <c r="AY23" s="168"/>
      <c r="AZ23" s="168"/>
      <c r="BA23" s="163"/>
      <c r="BB23" s="170"/>
      <c r="BC23" s="170"/>
      <c r="BD23" s="170"/>
      <c r="BE23" s="170"/>
      <c r="BF23" s="170"/>
      <c r="BG23" s="112"/>
    </row>
    <row r="24" ht="15.0" customHeight="1">
      <c r="A24" s="226"/>
      <c r="B24" s="227" t="s">
        <v>274</v>
      </c>
      <c r="C24" s="226"/>
      <c r="D24" s="219" t="s">
        <v>66</v>
      </c>
      <c r="E24" s="228">
        <f t="shared" ref="E24:AZ24" si="16">E6+E12+E18</f>
        <v>0</v>
      </c>
      <c r="F24" s="228">
        <f t="shared" si="16"/>
        <v>0</v>
      </c>
      <c r="G24" s="228">
        <f t="shared" si="16"/>
        <v>0</v>
      </c>
      <c r="H24" s="228">
        <f t="shared" si="16"/>
        <v>0</v>
      </c>
      <c r="I24" s="228">
        <f t="shared" si="16"/>
        <v>0</v>
      </c>
      <c r="J24" s="228">
        <f t="shared" si="16"/>
        <v>0</v>
      </c>
      <c r="K24" s="228">
        <f t="shared" si="16"/>
        <v>0</v>
      </c>
      <c r="L24" s="228">
        <f t="shared" si="16"/>
        <v>0</v>
      </c>
      <c r="M24" s="228">
        <f t="shared" si="16"/>
        <v>0</v>
      </c>
      <c r="N24" s="228">
        <f t="shared" si="16"/>
        <v>0</v>
      </c>
      <c r="O24" s="228">
        <f t="shared" si="16"/>
        <v>0</v>
      </c>
      <c r="P24" s="228">
        <f t="shared" si="16"/>
        <v>0</v>
      </c>
      <c r="Q24" s="219">
        <f t="shared" si="16"/>
        <v>0</v>
      </c>
      <c r="R24" s="219">
        <f t="shared" si="16"/>
        <v>0</v>
      </c>
      <c r="S24" s="219">
        <f t="shared" si="16"/>
        <v>0</v>
      </c>
      <c r="T24" s="219">
        <f t="shared" si="16"/>
        <v>0</v>
      </c>
      <c r="U24" s="219">
        <f t="shared" si="16"/>
        <v>0</v>
      </c>
      <c r="V24" s="219">
        <f t="shared" si="16"/>
        <v>0</v>
      </c>
      <c r="W24" s="219">
        <f t="shared" si="16"/>
        <v>0</v>
      </c>
      <c r="X24" s="219">
        <f t="shared" si="16"/>
        <v>0</v>
      </c>
      <c r="Y24" s="219">
        <f t="shared" si="16"/>
        <v>0</v>
      </c>
      <c r="Z24" s="219">
        <f t="shared" si="16"/>
        <v>0</v>
      </c>
      <c r="AA24" s="219">
        <f t="shared" si="16"/>
        <v>0</v>
      </c>
      <c r="AB24" s="219">
        <f t="shared" si="16"/>
        <v>0</v>
      </c>
      <c r="AC24" s="219">
        <f t="shared" si="16"/>
        <v>47</v>
      </c>
      <c r="AD24" s="219">
        <f t="shared" si="16"/>
        <v>53</v>
      </c>
      <c r="AE24" s="219">
        <f t="shared" si="16"/>
        <v>57</v>
      </c>
      <c r="AF24" s="219">
        <f t="shared" si="16"/>
        <v>63</v>
      </c>
      <c r="AG24" s="219">
        <f t="shared" si="16"/>
        <v>70</v>
      </c>
      <c r="AH24" s="219">
        <f t="shared" si="16"/>
        <v>76</v>
      </c>
      <c r="AI24" s="219">
        <f t="shared" si="16"/>
        <v>83</v>
      </c>
      <c r="AJ24" s="219">
        <f t="shared" si="16"/>
        <v>90</v>
      </c>
      <c r="AK24" s="219">
        <f t="shared" si="16"/>
        <v>100</v>
      </c>
      <c r="AL24" s="219">
        <f t="shared" si="16"/>
        <v>110</v>
      </c>
      <c r="AM24" s="219">
        <f t="shared" si="16"/>
        <v>120</v>
      </c>
      <c r="AN24" s="219">
        <f t="shared" si="16"/>
        <v>131</v>
      </c>
      <c r="AO24" s="219">
        <f t="shared" si="16"/>
        <v>144</v>
      </c>
      <c r="AP24" s="219">
        <f t="shared" si="16"/>
        <v>157</v>
      </c>
      <c r="AQ24" s="219">
        <f t="shared" si="16"/>
        <v>173</v>
      </c>
      <c r="AR24" s="219">
        <f t="shared" si="16"/>
        <v>190</v>
      </c>
      <c r="AS24" s="219">
        <f t="shared" si="16"/>
        <v>207</v>
      </c>
      <c r="AT24" s="219">
        <f t="shared" si="16"/>
        <v>227</v>
      </c>
      <c r="AU24" s="219">
        <f t="shared" si="16"/>
        <v>250</v>
      </c>
      <c r="AV24" s="219">
        <f t="shared" si="16"/>
        <v>273</v>
      </c>
      <c r="AW24" s="219">
        <f t="shared" si="16"/>
        <v>300</v>
      </c>
      <c r="AX24" s="219">
        <f t="shared" si="16"/>
        <v>327</v>
      </c>
      <c r="AY24" s="219">
        <f t="shared" si="16"/>
        <v>360</v>
      </c>
      <c r="AZ24" s="219">
        <f t="shared" si="16"/>
        <v>392</v>
      </c>
      <c r="BA24" s="229"/>
      <c r="BB24" s="229">
        <f t="shared" ref="BB24:BB25" si="17">SUM(E24:P24)</f>
        <v>0</v>
      </c>
      <c r="BC24" s="229">
        <f t="shared" ref="BC24:BC25" si="18">SUM(Q24:AB24)</f>
        <v>0</v>
      </c>
      <c r="BD24" s="229">
        <f t="shared" ref="BD24:BD25" si="19">SUM(AC24:AN24)</f>
        <v>1000</v>
      </c>
      <c r="BE24" s="229">
        <f t="shared" ref="BE24:BE25" si="20">SUM(AO24:AZ24)</f>
        <v>3000</v>
      </c>
      <c r="BF24" s="229">
        <f>BF6+BF12+BF18</f>
        <v>6000</v>
      </c>
      <c r="BG24" s="230"/>
    </row>
    <row r="25" ht="12.75" customHeight="1">
      <c r="A25" s="61"/>
      <c r="B25" s="221" t="s">
        <v>275</v>
      </c>
      <c r="C25" s="218"/>
      <c r="D25" s="221" t="s">
        <v>198</v>
      </c>
      <c r="E25" s="167">
        <f>E6*Assumptions!$C$36+E12*Assumptions!$C$37+E18*Assumptions!$C$38</f>
        <v>0</v>
      </c>
      <c r="F25" s="167">
        <f>F6*Assumptions!$C$36+F12*Assumptions!$C$37+F18*Assumptions!$C$38</f>
        <v>0</v>
      </c>
      <c r="G25" s="167">
        <f>G6*Assumptions!$C$36+G12*Assumptions!$C$37+G18*Assumptions!$C$38</f>
        <v>0</v>
      </c>
      <c r="H25" s="167">
        <f>H6*Assumptions!$C$36+H12*Assumptions!$C$37+H18*Assumptions!$C$38</f>
        <v>0</v>
      </c>
      <c r="I25" s="167">
        <f>I6*Assumptions!$C$36+I12*Assumptions!$C$37+I18*Assumptions!$C$38</f>
        <v>0</v>
      </c>
      <c r="J25" s="167">
        <f>J6*Assumptions!$C$36+J12*Assumptions!$C$37+J18*Assumptions!$C$38</f>
        <v>0</v>
      </c>
      <c r="K25" s="167">
        <f>K6*Assumptions!$C$36+K12*Assumptions!$C$37+K18*Assumptions!$C$38</f>
        <v>0</v>
      </c>
      <c r="L25" s="167">
        <f>L6*Assumptions!$C$36+L12*Assumptions!$C$37+L18*Assumptions!$C$38</f>
        <v>0</v>
      </c>
      <c r="M25" s="167">
        <f>M6*Assumptions!$C$36+M12*Assumptions!$C$37+M18*Assumptions!$C$38</f>
        <v>0</v>
      </c>
      <c r="N25" s="167">
        <f>N6*Assumptions!$C$36+N12*Assumptions!$C$37+N18*Assumptions!$C$38</f>
        <v>0</v>
      </c>
      <c r="O25" s="167">
        <f>O6*Assumptions!$C$36+O12*Assumptions!$C$37+O18*Assumptions!$C$38</f>
        <v>0</v>
      </c>
      <c r="P25" s="167">
        <f>P6*Assumptions!$C$36+P12*Assumptions!$C$37+P18*Assumptions!$C$38</f>
        <v>0</v>
      </c>
      <c r="Q25" s="167">
        <f>Q6*Assumptions!$C$36+Q12*Assumptions!$C$37+Q18*Assumptions!$C$38</f>
        <v>0</v>
      </c>
      <c r="R25" s="167">
        <f>R6*Assumptions!$C$36+R12*Assumptions!$C$37+R18*Assumptions!$C$38</f>
        <v>0</v>
      </c>
      <c r="S25" s="167">
        <f>S6*Assumptions!$C$36+S12*Assumptions!$C$37+S18*Assumptions!$C$38</f>
        <v>0</v>
      </c>
      <c r="T25" s="167">
        <f>T6*Assumptions!$C$36+T12*Assumptions!$C$37+T18*Assumptions!$C$38</f>
        <v>0</v>
      </c>
      <c r="U25" s="167">
        <f>U6*Assumptions!$C$36+U12*Assumptions!$C$37+U18*Assumptions!$C$38</f>
        <v>0</v>
      </c>
      <c r="V25" s="167">
        <f>V6*Assumptions!$C$36+V12*Assumptions!$C$37+V18*Assumptions!$C$38</f>
        <v>0</v>
      </c>
      <c r="W25" s="167">
        <f>W6*Assumptions!$C$36+W12*Assumptions!$C$37+W18*Assumptions!$C$38</f>
        <v>0</v>
      </c>
      <c r="X25" s="167">
        <f>X6*Assumptions!$C$36+X12*Assumptions!$C$37+X18*Assumptions!$C$38</f>
        <v>0</v>
      </c>
      <c r="Y25" s="167">
        <f>Y6*Assumptions!$C$36+Y12*Assumptions!$C$37+Y18*Assumptions!$C$38</f>
        <v>0</v>
      </c>
      <c r="Z25" s="167">
        <f>Z6*Assumptions!$C$36+Z12*Assumptions!$C$37+Z18*Assumptions!$C$38</f>
        <v>0</v>
      </c>
      <c r="AA25" s="167">
        <f>AA6*Assumptions!$C$36+AA12*Assumptions!$C$37+AA18*Assumptions!$C$38</f>
        <v>0</v>
      </c>
      <c r="AB25" s="167">
        <f>AB6*Assumptions!$C$36+AB12*Assumptions!$C$37+AB18*Assumptions!$C$38</f>
        <v>0</v>
      </c>
      <c r="AC25" s="167">
        <f>AC6*Assumptions!$C$36+AC12*Assumptions!$C$37+AC18*Assumptions!$C$38</f>
        <v>159600</v>
      </c>
      <c r="AD25" s="167">
        <f>AD6*Assumptions!$C$36+AD12*Assumptions!$C$37+AD18*Assumptions!$C$38</f>
        <v>180400</v>
      </c>
      <c r="AE25" s="167">
        <f>AE6*Assumptions!$C$36+AE12*Assumptions!$C$37+AE18*Assumptions!$C$38</f>
        <v>193600</v>
      </c>
      <c r="AF25" s="167">
        <f>AF6*Assumptions!$C$36+AF12*Assumptions!$C$37+AF18*Assumptions!$C$38</f>
        <v>214400</v>
      </c>
      <c r="AG25" s="167">
        <f>AG6*Assumptions!$C$36+AG12*Assumptions!$C$37+AG18*Assumptions!$C$38</f>
        <v>238000</v>
      </c>
      <c r="AH25" s="167">
        <f>AH6*Assumptions!$C$36+AH12*Assumptions!$C$37+AH18*Assumptions!$C$38</f>
        <v>258800</v>
      </c>
      <c r="AI25" s="167">
        <f>AI6*Assumptions!$C$36+AI12*Assumptions!$C$37+AI18*Assumptions!$C$38</f>
        <v>282400</v>
      </c>
      <c r="AJ25" s="167">
        <f>AJ6*Assumptions!$C$36+AJ12*Assumptions!$C$37+AJ18*Assumptions!$C$38</f>
        <v>306000</v>
      </c>
      <c r="AK25" s="167">
        <f>AK6*Assumptions!$C$36+AK12*Assumptions!$C$37+AK18*Assumptions!$C$38</f>
        <v>340000</v>
      </c>
      <c r="AL25" s="167">
        <f>AL6*Assumptions!$C$36+AL12*Assumptions!$C$37+AL18*Assumptions!$C$38</f>
        <v>374000</v>
      </c>
      <c r="AM25" s="167">
        <f>AM6*Assumptions!$C$36+AM12*Assumptions!$C$37+AM18*Assumptions!$C$38</f>
        <v>408000</v>
      </c>
      <c r="AN25" s="167">
        <f>AN6*Assumptions!$C$36+AN12*Assumptions!$C$37+AN18*Assumptions!$C$38</f>
        <v>444800</v>
      </c>
      <c r="AO25" s="167">
        <f>AO6*Assumptions!$C$36+AO12*Assumptions!$C$37+AO18*Assumptions!$C$38</f>
        <v>489200</v>
      </c>
      <c r="AP25" s="167">
        <f>AP6*Assumptions!$C$36+AP12*Assumptions!$C$37+AP18*Assumptions!$C$38</f>
        <v>533600</v>
      </c>
      <c r="AQ25" s="167">
        <f>AQ6*Assumptions!$C$36+AQ12*Assumptions!$C$37+AQ18*Assumptions!$C$38</f>
        <v>588400</v>
      </c>
      <c r="AR25" s="167">
        <f>AR6*Assumptions!$C$36+AR12*Assumptions!$C$37+AR18*Assumptions!$C$38</f>
        <v>646000</v>
      </c>
      <c r="AS25" s="167">
        <f>AS6*Assumptions!$C$36+AS12*Assumptions!$C$37+AS18*Assumptions!$C$38</f>
        <v>703600</v>
      </c>
      <c r="AT25" s="167">
        <f>AT6*Assumptions!$C$36+AT12*Assumptions!$C$37+AT18*Assumptions!$C$38</f>
        <v>771600</v>
      </c>
      <c r="AU25" s="167">
        <f>AU6*Assumptions!$C$36+AU12*Assumptions!$C$37+AU18*Assumptions!$C$38</f>
        <v>850000</v>
      </c>
      <c r="AV25" s="167">
        <f>AV6*Assumptions!$C$36+AV12*Assumptions!$C$37+AV18*Assumptions!$C$38</f>
        <v>928400</v>
      </c>
      <c r="AW25" s="167">
        <f>AW6*Assumptions!$C$36+AW12*Assumptions!$C$37+AW18*Assumptions!$C$38</f>
        <v>1020000</v>
      </c>
      <c r="AX25" s="167">
        <f>AX6*Assumptions!$C$36+AX12*Assumptions!$C$37+AX18*Assumptions!$C$38</f>
        <v>1111600</v>
      </c>
      <c r="AY25" s="167">
        <f>AY6*Assumptions!$C$36+AY12*Assumptions!$C$37+AY18*Assumptions!$C$38</f>
        <v>1224000</v>
      </c>
      <c r="AZ25" s="167">
        <f>AZ6*Assumptions!$C$36+AZ12*Assumptions!$C$37+AZ18*Assumptions!$C$38</f>
        <v>1333600</v>
      </c>
      <c r="BA25" s="222"/>
      <c r="BB25" s="223">
        <f t="shared" si="17"/>
        <v>0</v>
      </c>
      <c r="BC25" s="223">
        <f t="shared" si="18"/>
        <v>0</v>
      </c>
      <c r="BD25" s="223">
        <f t="shared" si="19"/>
        <v>3400000</v>
      </c>
      <c r="BE25" s="223">
        <f t="shared" si="20"/>
        <v>10200000</v>
      </c>
      <c r="BF25" s="167">
        <f>BF6*Assumptions!$C$36+BF12*Assumptions!$C$37+BF18*Assumptions!$C$38</f>
        <v>20400000</v>
      </c>
      <c r="BG25" s="224"/>
    </row>
    <row r="26" ht="15.75" customHeight="1">
      <c r="A26" s="30"/>
      <c r="B26" s="30"/>
      <c r="C26" s="30"/>
      <c r="D26" s="30"/>
      <c r="E26" s="163"/>
      <c r="F26" s="163"/>
      <c r="G26" s="163"/>
      <c r="H26" s="163"/>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12"/>
    </row>
    <row r="27" ht="13.5" customHeight="1">
      <c r="A27" s="217"/>
      <c r="B27" s="218" t="s">
        <v>276</v>
      </c>
      <c r="C27" s="217"/>
      <c r="D27" s="217"/>
      <c r="E27" s="168"/>
      <c r="F27" s="168"/>
      <c r="G27" s="168"/>
      <c r="H27" s="168"/>
      <c r="I27" s="168"/>
      <c r="J27" s="168"/>
      <c r="K27" s="168"/>
      <c r="L27" s="168"/>
      <c r="M27" s="168"/>
      <c r="N27" s="168"/>
      <c r="O27" s="168"/>
      <c r="P27" s="168"/>
      <c r="Q27" s="168"/>
      <c r="R27" s="168"/>
      <c r="S27" s="168"/>
      <c r="T27" s="168"/>
      <c r="U27" s="168"/>
      <c r="V27" s="168"/>
      <c r="W27" s="168"/>
      <c r="X27" s="168"/>
      <c r="Y27" s="168"/>
      <c r="Z27" s="168"/>
      <c r="AA27" s="168"/>
      <c r="AB27" s="168"/>
      <c r="AC27" s="168"/>
      <c r="AD27" s="168"/>
      <c r="AE27" s="168"/>
      <c r="AF27" s="168"/>
      <c r="AG27" s="168"/>
      <c r="AH27" s="168"/>
      <c r="AI27" s="168"/>
      <c r="AJ27" s="168"/>
      <c r="AK27" s="168"/>
      <c r="AL27" s="168"/>
      <c r="AM27" s="168"/>
      <c r="AN27" s="168"/>
      <c r="AO27" s="168"/>
      <c r="AP27" s="168"/>
      <c r="AQ27" s="168"/>
      <c r="AR27" s="168"/>
      <c r="AS27" s="168"/>
      <c r="AT27" s="168"/>
      <c r="AU27" s="168"/>
      <c r="AV27" s="168"/>
      <c r="AW27" s="168"/>
      <c r="AX27" s="168"/>
      <c r="AY27" s="168"/>
      <c r="AZ27" s="168"/>
      <c r="BA27" s="163"/>
      <c r="BB27" s="170"/>
      <c r="BC27" s="170"/>
      <c r="BD27" s="170"/>
      <c r="BE27" s="170"/>
      <c r="BF27" s="170"/>
      <c r="BG27" s="231"/>
    </row>
    <row r="28" ht="15.0" customHeight="1">
      <c r="A28" s="226"/>
      <c r="B28" s="227" t="s">
        <v>277</v>
      </c>
      <c r="C28" s="226"/>
      <c r="D28" s="219" t="s">
        <v>66</v>
      </c>
      <c r="E28" s="228"/>
      <c r="F28" s="228"/>
      <c r="G28" s="228"/>
      <c r="H28" s="228"/>
      <c r="I28" s="228"/>
      <c r="J28" s="228"/>
      <c r="K28" s="228"/>
      <c r="L28" s="228"/>
      <c r="M28" s="228"/>
      <c r="N28" s="228"/>
      <c r="O28" s="228"/>
      <c r="P28" s="228"/>
      <c r="Q28" s="219">
        <f t="shared" ref="Q28:AC28" si="21">Q6</f>
        <v>0</v>
      </c>
      <c r="R28" s="219">
        <f t="shared" si="21"/>
        <v>0</v>
      </c>
      <c r="S28" s="219">
        <f t="shared" si="21"/>
        <v>0</v>
      </c>
      <c r="T28" s="219">
        <f t="shared" si="21"/>
        <v>0</v>
      </c>
      <c r="U28" s="219">
        <f t="shared" si="21"/>
        <v>0</v>
      </c>
      <c r="V28" s="219">
        <f t="shared" si="21"/>
        <v>0</v>
      </c>
      <c r="W28" s="219">
        <f t="shared" si="21"/>
        <v>0</v>
      </c>
      <c r="X28" s="219">
        <f t="shared" si="21"/>
        <v>0</v>
      </c>
      <c r="Y28" s="219">
        <f t="shared" si="21"/>
        <v>0</v>
      </c>
      <c r="Z28" s="219">
        <f t="shared" si="21"/>
        <v>0</v>
      </c>
      <c r="AA28" s="219">
        <f t="shared" si="21"/>
        <v>0</v>
      </c>
      <c r="AB28" s="219">
        <f t="shared" si="21"/>
        <v>0</v>
      </c>
      <c r="AC28" s="219">
        <f t="shared" si="21"/>
        <v>19</v>
      </c>
      <c r="AD28" s="219">
        <f t="shared" ref="AD28:AZ28" si="22">AC28+AD6</f>
        <v>40</v>
      </c>
      <c r="AE28" s="219">
        <f t="shared" si="22"/>
        <v>63</v>
      </c>
      <c r="AF28" s="219">
        <f t="shared" si="22"/>
        <v>88</v>
      </c>
      <c r="AG28" s="219">
        <f t="shared" si="22"/>
        <v>116</v>
      </c>
      <c r="AH28" s="219">
        <f t="shared" si="22"/>
        <v>146</v>
      </c>
      <c r="AI28" s="219">
        <f t="shared" si="22"/>
        <v>179</v>
      </c>
      <c r="AJ28" s="219">
        <f t="shared" si="22"/>
        <v>215</v>
      </c>
      <c r="AK28" s="219">
        <f t="shared" si="22"/>
        <v>255</v>
      </c>
      <c r="AL28" s="219">
        <f t="shared" si="22"/>
        <v>299</v>
      </c>
      <c r="AM28" s="219">
        <f t="shared" si="22"/>
        <v>347</v>
      </c>
      <c r="AN28" s="219">
        <f t="shared" si="22"/>
        <v>400</v>
      </c>
      <c r="AO28" s="219">
        <f t="shared" si="22"/>
        <v>458</v>
      </c>
      <c r="AP28" s="219">
        <f t="shared" si="22"/>
        <v>521</v>
      </c>
      <c r="AQ28" s="219">
        <f t="shared" si="22"/>
        <v>590</v>
      </c>
      <c r="AR28" s="219">
        <f t="shared" si="22"/>
        <v>666</v>
      </c>
      <c r="AS28" s="219">
        <f t="shared" si="22"/>
        <v>749</v>
      </c>
      <c r="AT28" s="219">
        <f t="shared" si="22"/>
        <v>840</v>
      </c>
      <c r="AU28" s="219">
        <f t="shared" si="22"/>
        <v>940</v>
      </c>
      <c r="AV28" s="219">
        <f t="shared" si="22"/>
        <v>1049</v>
      </c>
      <c r="AW28" s="219">
        <f t="shared" si="22"/>
        <v>1169</v>
      </c>
      <c r="AX28" s="219">
        <f t="shared" si="22"/>
        <v>1300</v>
      </c>
      <c r="AY28" s="219">
        <f t="shared" si="22"/>
        <v>1444</v>
      </c>
      <c r="AZ28" s="219">
        <f t="shared" si="22"/>
        <v>1600</v>
      </c>
      <c r="BA28" s="229"/>
      <c r="BB28" s="229">
        <f t="shared" ref="BB28:BB31" si="25">SUM(E28:P28)</f>
        <v>0</v>
      </c>
      <c r="BC28" s="229">
        <f t="shared" ref="BC28:BC31" si="26">SUM(Q28:AB28)</f>
        <v>0</v>
      </c>
      <c r="BD28" s="229">
        <f t="shared" ref="BD28:BD30" si="27">AN28</f>
        <v>400</v>
      </c>
      <c r="BE28" s="232">
        <f t="shared" ref="BE28:BE30" si="28">AZ28</f>
        <v>1600</v>
      </c>
      <c r="BF28" s="232">
        <f>BF24*0.5</f>
        <v>3000</v>
      </c>
      <c r="BG28" s="230"/>
    </row>
    <row r="29" ht="15.0" customHeight="1">
      <c r="A29" s="226"/>
      <c r="B29" s="227" t="s">
        <v>278</v>
      </c>
      <c r="C29" s="226"/>
      <c r="D29" s="219" t="s">
        <v>66</v>
      </c>
      <c r="E29" s="228"/>
      <c r="F29" s="228"/>
      <c r="G29" s="228"/>
      <c r="H29" s="228"/>
      <c r="I29" s="228"/>
      <c r="J29" s="228"/>
      <c r="K29" s="228"/>
      <c r="L29" s="228"/>
      <c r="M29" s="228"/>
      <c r="N29" s="228"/>
      <c r="O29" s="228"/>
      <c r="P29" s="228"/>
      <c r="Q29" s="219">
        <f t="shared" ref="Q29:AC29" si="23">Q12</f>
        <v>0</v>
      </c>
      <c r="R29" s="219">
        <f t="shared" si="23"/>
        <v>0</v>
      </c>
      <c r="S29" s="219">
        <f t="shared" si="23"/>
        <v>0</v>
      </c>
      <c r="T29" s="219">
        <f t="shared" si="23"/>
        <v>0</v>
      </c>
      <c r="U29" s="219">
        <f t="shared" si="23"/>
        <v>0</v>
      </c>
      <c r="V29" s="219">
        <f t="shared" si="23"/>
        <v>0</v>
      </c>
      <c r="W29" s="219">
        <f t="shared" si="23"/>
        <v>0</v>
      </c>
      <c r="X29" s="219">
        <f t="shared" si="23"/>
        <v>0</v>
      </c>
      <c r="Y29" s="219">
        <f t="shared" si="23"/>
        <v>0</v>
      </c>
      <c r="Z29" s="219">
        <f t="shared" si="23"/>
        <v>0</v>
      </c>
      <c r="AA29" s="219">
        <f t="shared" si="23"/>
        <v>0</v>
      </c>
      <c r="AB29" s="219">
        <f t="shared" si="23"/>
        <v>0</v>
      </c>
      <c r="AC29" s="219">
        <f t="shared" si="23"/>
        <v>14</v>
      </c>
      <c r="AD29" s="219">
        <f t="shared" ref="AD29:AZ29" si="24">AC29+AD12</f>
        <v>30</v>
      </c>
      <c r="AE29" s="219">
        <f t="shared" si="24"/>
        <v>47</v>
      </c>
      <c r="AF29" s="219">
        <f t="shared" si="24"/>
        <v>66</v>
      </c>
      <c r="AG29" s="219">
        <f t="shared" si="24"/>
        <v>87</v>
      </c>
      <c r="AH29" s="219">
        <f t="shared" si="24"/>
        <v>110</v>
      </c>
      <c r="AI29" s="219">
        <f t="shared" si="24"/>
        <v>135</v>
      </c>
      <c r="AJ29" s="219">
        <f t="shared" si="24"/>
        <v>162</v>
      </c>
      <c r="AK29" s="219">
        <f t="shared" si="24"/>
        <v>192</v>
      </c>
      <c r="AL29" s="219">
        <f t="shared" si="24"/>
        <v>225</v>
      </c>
      <c r="AM29" s="219">
        <f t="shared" si="24"/>
        <v>261</v>
      </c>
      <c r="AN29" s="219">
        <f t="shared" si="24"/>
        <v>300</v>
      </c>
      <c r="AO29" s="219">
        <f t="shared" si="24"/>
        <v>343</v>
      </c>
      <c r="AP29" s="219">
        <f t="shared" si="24"/>
        <v>390</v>
      </c>
      <c r="AQ29" s="219">
        <f t="shared" si="24"/>
        <v>442</v>
      </c>
      <c r="AR29" s="219">
        <f t="shared" si="24"/>
        <v>499</v>
      </c>
      <c r="AS29" s="219">
        <f t="shared" si="24"/>
        <v>561</v>
      </c>
      <c r="AT29" s="219">
        <f t="shared" si="24"/>
        <v>629</v>
      </c>
      <c r="AU29" s="219">
        <f t="shared" si="24"/>
        <v>704</v>
      </c>
      <c r="AV29" s="219">
        <f t="shared" si="24"/>
        <v>786</v>
      </c>
      <c r="AW29" s="219">
        <f t="shared" si="24"/>
        <v>876</v>
      </c>
      <c r="AX29" s="219">
        <f t="shared" si="24"/>
        <v>974</v>
      </c>
      <c r="AY29" s="219">
        <f t="shared" si="24"/>
        <v>1082</v>
      </c>
      <c r="AZ29" s="219">
        <f t="shared" si="24"/>
        <v>1200</v>
      </c>
      <c r="BA29" s="229"/>
      <c r="BB29" s="229">
        <f t="shared" si="25"/>
        <v>0</v>
      </c>
      <c r="BC29" s="229">
        <f t="shared" si="26"/>
        <v>0</v>
      </c>
      <c r="BD29" s="229">
        <f t="shared" si="27"/>
        <v>300</v>
      </c>
      <c r="BE29" s="229">
        <f t="shared" si="28"/>
        <v>1200</v>
      </c>
      <c r="BF29" s="232">
        <f>BF24*0.25</f>
        <v>1500</v>
      </c>
      <c r="BG29" s="230"/>
    </row>
    <row r="30" ht="15.0" customHeight="1">
      <c r="A30" s="226"/>
      <c r="B30" s="227" t="s">
        <v>279</v>
      </c>
      <c r="C30" s="226"/>
      <c r="D30" s="219"/>
      <c r="E30" s="228"/>
      <c r="F30" s="228"/>
      <c r="G30" s="228"/>
      <c r="H30" s="228"/>
      <c r="I30" s="228"/>
      <c r="J30" s="228"/>
      <c r="K30" s="228"/>
      <c r="L30" s="228"/>
      <c r="M30" s="228"/>
      <c r="N30" s="228"/>
      <c r="O30" s="228"/>
      <c r="P30" s="228"/>
      <c r="Q30" s="219">
        <f t="shared" ref="Q30:AC30" si="29">Q18</f>
        <v>0</v>
      </c>
      <c r="R30" s="219">
        <f t="shared" si="29"/>
        <v>0</v>
      </c>
      <c r="S30" s="219">
        <f t="shared" si="29"/>
        <v>0</v>
      </c>
      <c r="T30" s="219">
        <f t="shared" si="29"/>
        <v>0</v>
      </c>
      <c r="U30" s="219">
        <f t="shared" si="29"/>
        <v>0</v>
      </c>
      <c r="V30" s="219">
        <f t="shared" si="29"/>
        <v>0</v>
      </c>
      <c r="W30" s="219">
        <f t="shared" si="29"/>
        <v>0</v>
      </c>
      <c r="X30" s="219">
        <f t="shared" si="29"/>
        <v>0</v>
      </c>
      <c r="Y30" s="219">
        <f t="shared" si="29"/>
        <v>0</v>
      </c>
      <c r="Z30" s="219">
        <f t="shared" si="29"/>
        <v>0</v>
      </c>
      <c r="AA30" s="219">
        <f t="shared" si="29"/>
        <v>0</v>
      </c>
      <c r="AB30" s="219">
        <f t="shared" si="29"/>
        <v>0</v>
      </c>
      <c r="AC30" s="219">
        <f t="shared" si="29"/>
        <v>14</v>
      </c>
      <c r="AD30" s="219">
        <f t="shared" ref="AD30:AZ30" si="30">AC30+AD18</f>
        <v>30</v>
      </c>
      <c r="AE30" s="219">
        <f t="shared" si="30"/>
        <v>47</v>
      </c>
      <c r="AF30" s="219">
        <f t="shared" si="30"/>
        <v>66</v>
      </c>
      <c r="AG30" s="219">
        <f t="shared" si="30"/>
        <v>87</v>
      </c>
      <c r="AH30" s="219">
        <f t="shared" si="30"/>
        <v>110</v>
      </c>
      <c r="AI30" s="219">
        <f t="shared" si="30"/>
        <v>135</v>
      </c>
      <c r="AJ30" s="219">
        <f t="shared" si="30"/>
        <v>162</v>
      </c>
      <c r="AK30" s="219">
        <f t="shared" si="30"/>
        <v>192</v>
      </c>
      <c r="AL30" s="219">
        <f t="shared" si="30"/>
        <v>225</v>
      </c>
      <c r="AM30" s="219">
        <f t="shared" si="30"/>
        <v>261</v>
      </c>
      <c r="AN30" s="219">
        <f t="shared" si="30"/>
        <v>300</v>
      </c>
      <c r="AO30" s="219">
        <f t="shared" si="30"/>
        <v>343</v>
      </c>
      <c r="AP30" s="219">
        <f t="shared" si="30"/>
        <v>390</v>
      </c>
      <c r="AQ30" s="219">
        <f t="shared" si="30"/>
        <v>442</v>
      </c>
      <c r="AR30" s="219">
        <f t="shared" si="30"/>
        <v>499</v>
      </c>
      <c r="AS30" s="219">
        <f t="shared" si="30"/>
        <v>561</v>
      </c>
      <c r="AT30" s="219">
        <f t="shared" si="30"/>
        <v>629</v>
      </c>
      <c r="AU30" s="219">
        <f t="shared" si="30"/>
        <v>704</v>
      </c>
      <c r="AV30" s="219">
        <f t="shared" si="30"/>
        <v>786</v>
      </c>
      <c r="AW30" s="219">
        <f t="shared" si="30"/>
        <v>876</v>
      </c>
      <c r="AX30" s="219">
        <f t="shared" si="30"/>
        <v>974</v>
      </c>
      <c r="AY30" s="219">
        <f t="shared" si="30"/>
        <v>1082</v>
      </c>
      <c r="AZ30" s="219">
        <f t="shared" si="30"/>
        <v>1200</v>
      </c>
      <c r="BA30" s="229"/>
      <c r="BB30" s="229">
        <f t="shared" si="25"/>
        <v>0</v>
      </c>
      <c r="BC30" s="229">
        <f t="shared" si="26"/>
        <v>0</v>
      </c>
      <c r="BD30" s="229">
        <f t="shared" si="27"/>
        <v>300</v>
      </c>
      <c r="BE30" s="229">
        <f t="shared" si="28"/>
        <v>1200</v>
      </c>
      <c r="BF30" s="232">
        <f>BF24*0.25</f>
        <v>1500</v>
      </c>
      <c r="BG30" s="230"/>
    </row>
    <row r="31" ht="12.75" customHeight="1">
      <c r="A31" s="61"/>
      <c r="B31" s="221" t="s">
        <v>280</v>
      </c>
      <c r="C31" s="218"/>
      <c r="D31" s="221" t="s">
        <v>198</v>
      </c>
      <c r="E31" s="167"/>
      <c r="F31" s="167"/>
      <c r="G31" s="167"/>
      <c r="H31" s="167"/>
      <c r="I31" s="167"/>
      <c r="J31" s="167"/>
      <c r="K31" s="167"/>
      <c r="L31" s="167"/>
      <c r="M31" s="167"/>
      <c r="N31" s="167"/>
      <c r="O31" s="167"/>
      <c r="P31" s="167"/>
      <c r="Q31" s="167">
        <f>Q41*SUMPRODUCT(Assumptions!$E$129:$E$130,Assumptions!$F$129:$F$130)</f>
        <v>0</v>
      </c>
      <c r="R31" s="167">
        <f>R41*SUMPRODUCT(Assumptions!$E$129:$E$130,Assumptions!$F$129:$F$130)</f>
        <v>0</v>
      </c>
      <c r="S31" s="167">
        <f>S41*SUMPRODUCT(Assumptions!$E$129:$E$130,Assumptions!$F$129:$F$130)</f>
        <v>0</v>
      </c>
      <c r="T31" s="167">
        <f>T41*SUMPRODUCT(Assumptions!$E$129:$E$130,Assumptions!$F$129:$F$130)</f>
        <v>0</v>
      </c>
      <c r="U31" s="167">
        <f>U41*SUMPRODUCT(Assumptions!$E$129:$E$130,Assumptions!$F$129:$F$130)</f>
        <v>0</v>
      </c>
      <c r="V31" s="167">
        <f>V41*SUMPRODUCT(Assumptions!$E$129:$E$130,Assumptions!$F$129:$F$130)</f>
        <v>0</v>
      </c>
      <c r="W31" s="167">
        <f>W41*SUMPRODUCT(Assumptions!$E$129:$E$130,Assumptions!$F$129:$F$130)</f>
        <v>0</v>
      </c>
      <c r="X31" s="167">
        <f>X41*SUMPRODUCT(Assumptions!$E$129:$E$130,Assumptions!$F$129:$F$130)</f>
        <v>0</v>
      </c>
      <c r="Y31" s="167">
        <f>Y41*SUMPRODUCT(Assumptions!$E$129:$E$130,Assumptions!$F$129:$F$130)</f>
        <v>0</v>
      </c>
      <c r="Z31" s="167">
        <f>Z41*SUMPRODUCT(Assumptions!$E$129:$E$130,Assumptions!$F$129:$F$130)</f>
        <v>0</v>
      </c>
      <c r="AA31" s="167">
        <f>AA41*SUMPRODUCT(Assumptions!$E$129:$E$130,Assumptions!$F$129:$F$130)</f>
        <v>0</v>
      </c>
      <c r="AB31" s="167">
        <f>AB41*SUMPRODUCT(Assumptions!$E$129:$E$130,Assumptions!$F$129:$F$130)</f>
        <v>0</v>
      </c>
      <c r="AC31" s="167">
        <f>AC41*SUMPRODUCT(Assumptions!$E$129:$E$130,Assumptions!$F$129:$F$130)+Q31</f>
        <v>7473</v>
      </c>
      <c r="AD31" s="167">
        <f>AD41*SUMPRODUCT(Assumptions!$E$129:$E$130,Assumptions!$F$129:$F$130)+R31</f>
        <v>8427</v>
      </c>
      <c r="AE31" s="167">
        <f>AE41*SUMPRODUCT(Assumptions!$E$129:$E$130,Assumptions!$F$129:$F$130)+S31</f>
        <v>9063</v>
      </c>
      <c r="AF31" s="167">
        <f>AF41*SUMPRODUCT(Assumptions!$E$129:$E$130,Assumptions!$F$129:$F$130)+T31</f>
        <v>10017</v>
      </c>
      <c r="AG31" s="167">
        <f>AG41*SUMPRODUCT(Assumptions!$E$129:$E$130,Assumptions!$F$129:$F$130)+U31</f>
        <v>11130</v>
      </c>
      <c r="AH31" s="167">
        <f>AH41*SUMPRODUCT(Assumptions!$E$129:$E$130,Assumptions!$F$129:$F$130)+V31</f>
        <v>12084</v>
      </c>
      <c r="AI31" s="167">
        <f>AI41*SUMPRODUCT(Assumptions!$E$129:$E$130,Assumptions!$F$129:$F$130)+W31</f>
        <v>13197</v>
      </c>
      <c r="AJ31" s="167">
        <f>AJ41*SUMPRODUCT(Assumptions!$E$129:$E$130,Assumptions!$F$129:$F$130)+X31</f>
        <v>14310</v>
      </c>
      <c r="AK31" s="167">
        <f>AK41*SUMPRODUCT(Assumptions!$E$129:$E$130,Assumptions!$F$129:$F$130)+Y31</f>
        <v>15900</v>
      </c>
      <c r="AL31" s="167">
        <f>AL41*SUMPRODUCT(Assumptions!$E$129:$E$130,Assumptions!$F$129:$F$130)+Z31</f>
        <v>17490</v>
      </c>
      <c r="AM31" s="167">
        <f>AM41*SUMPRODUCT(Assumptions!$E$129:$E$130,Assumptions!$F$129:$F$130)+AA31</f>
        <v>19080</v>
      </c>
      <c r="AN31" s="167">
        <f>AN41*SUMPRODUCT(Assumptions!$E$129:$E$130,Assumptions!$F$129:$F$130)+AB31</f>
        <v>20829</v>
      </c>
      <c r="AO31" s="167">
        <f>AO41*SUMPRODUCT(Assumptions!$E$129:$E$130,Assumptions!$F$129:$F$130)+AC31</f>
        <v>30369</v>
      </c>
      <c r="AP31" s="167">
        <f>AP41*SUMPRODUCT(Assumptions!$E$129:$E$130,Assumptions!$F$129:$F$130)+AD31</f>
        <v>33390</v>
      </c>
      <c r="AQ31" s="167">
        <f>AQ41*SUMPRODUCT(Assumptions!$E$129:$E$130,Assumptions!$F$129:$F$130)+AE31</f>
        <v>36570</v>
      </c>
      <c r="AR31" s="167">
        <f>AR41*SUMPRODUCT(Assumptions!$E$129:$E$130,Assumptions!$F$129:$F$130)+AF31</f>
        <v>40227</v>
      </c>
      <c r="AS31" s="167">
        <f>AS41*SUMPRODUCT(Assumptions!$E$129:$E$130,Assumptions!$F$129:$F$130)+AG31</f>
        <v>44043</v>
      </c>
      <c r="AT31" s="167">
        <f>AT41*SUMPRODUCT(Assumptions!$E$129:$E$130,Assumptions!$F$129:$F$130)+AH31</f>
        <v>48177</v>
      </c>
      <c r="AU31" s="167">
        <f>AU41*SUMPRODUCT(Assumptions!$E$129:$E$130,Assumptions!$F$129:$F$130)+AI31</f>
        <v>52947</v>
      </c>
      <c r="AV31" s="167">
        <f>AV41*SUMPRODUCT(Assumptions!$E$129:$E$130,Assumptions!$F$129:$F$130)+AJ31</f>
        <v>57717</v>
      </c>
      <c r="AW31" s="167">
        <f>AW41*SUMPRODUCT(Assumptions!$E$129:$E$130,Assumptions!$F$129:$F$130)+AK31</f>
        <v>63600</v>
      </c>
      <c r="AX31" s="167">
        <f>AX41*SUMPRODUCT(Assumptions!$E$129:$E$130,Assumptions!$F$129:$F$130)+AL31</f>
        <v>69483</v>
      </c>
      <c r="AY31" s="167">
        <f>AY41*SUMPRODUCT(Assumptions!$E$129:$E$130,Assumptions!$F$129:$F$130)+AM31</f>
        <v>76320</v>
      </c>
      <c r="AZ31" s="167">
        <f>AZ41*SUMPRODUCT(Assumptions!$E$129:$E$130,Assumptions!$F$129:$F$130)+AN31</f>
        <v>83157</v>
      </c>
      <c r="BA31" s="222"/>
      <c r="BB31" s="223">
        <f t="shared" si="25"/>
        <v>0</v>
      </c>
      <c r="BC31" s="223">
        <f t="shared" si="26"/>
        <v>0</v>
      </c>
      <c r="BD31" s="223">
        <f>SUM(AC31:AN31)</f>
        <v>159000</v>
      </c>
      <c r="BE31" s="223">
        <f>SUM(AO31:AZ31)</f>
        <v>636000</v>
      </c>
      <c r="BF31" s="167">
        <f>BF41*SUMPRODUCT(Assumptions!$E$129:$E$130,Assumptions!$F$129:$F$130)+AT31</f>
        <v>1002177</v>
      </c>
      <c r="BG31" s="112"/>
    </row>
    <row r="32" ht="13.5" customHeight="1">
      <c r="A32" s="88"/>
      <c r="C32" s="30"/>
      <c r="D32" s="30"/>
      <c r="E32" s="163"/>
      <c r="F32" s="163"/>
      <c r="G32" s="163"/>
      <c r="H32" s="163"/>
      <c r="I32" s="163"/>
      <c r="J32" s="163"/>
      <c r="K32" s="163"/>
      <c r="L32" s="163"/>
      <c r="M32" s="163"/>
      <c r="N32" s="163"/>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12"/>
    </row>
    <row r="33" ht="13.5" customHeight="1">
      <c r="A33" s="167"/>
      <c r="B33" s="167" t="s">
        <v>281</v>
      </c>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c r="AA33" s="167"/>
      <c r="AB33" s="167"/>
      <c r="AC33" s="167"/>
      <c r="AD33" s="167"/>
      <c r="AE33" s="167"/>
      <c r="AF33" s="167"/>
      <c r="AG33" s="167"/>
      <c r="AH33" s="167"/>
      <c r="AI33" s="167"/>
      <c r="AJ33" s="167"/>
      <c r="AK33" s="167"/>
      <c r="AL33" s="167"/>
      <c r="AM33" s="167"/>
      <c r="AN33" s="167"/>
      <c r="AO33" s="167"/>
      <c r="AP33" s="167"/>
      <c r="AQ33" s="167"/>
      <c r="AR33" s="167"/>
      <c r="AS33" s="167"/>
      <c r="AT33" s="167"/>
      <c r="AU33" s="167"/>
      <c r="AV33" s="167"/>
      <c r="AW33" s="167"/>
      <c r="AX33" s="167"/>
      <c r="AY33" s="167"/>
      <c r="AZ33" s="167"/>
      <c r="BA33" s="167"/>
      <c r="BB33" s="167"/>
      <c r="BC33" s="167"/>
      <c r="BD33" s="167"/>
      <c r="BE33" s="167"/>
      <c r="BF33" s="167"/>
      <c r="BG33" s="112"/>
    </row>
    <row r="34" ht="15.0" customHeight="1">
      <c r="A34" s="30"/>
      <c r="B34" s="49" t="s">
        <v>282</v>
      </c>
      <c r="C34" s="30"/>
      <c r="D34" s="164" t="s">
        <v>198</v>
      </c>
      <c r="E34" s="164">
        <v>0.0</v>
      </c>
      <c r="F34" s="164">
        <v>0.0</v>
      </c>
      <c r="G34" s="164">
        <v>0.0</v>
      </c>
      <c r="H34" s="164">
        <v>0.0</v>
      </c>
      <c r="I34" s="164">
        <v>0.0</v>
      </c>
      <c r="J34" s="164">
        <v>0.0</v>
      </c>
      <c r="K34" s="164">
        <v>0.0</v>
      </c>
      <c r="L34" s="164">
        <v>0.0</v>
      </c>
      <c r="M34" s="164">
        <v>0.0</v>
      </c>
      <c r="N34" s="164">
        <v>19480.0</v>
      </c>
      <c r="O34" s="164">
        <v>78000.0</v>
      </c>
      <c r="P34" s="164">
        <v>0.0</v>
      </c>
      <c r="Q34" s="164">
        <v>0.0</v>
      </c>
      <c r="R34" s="164">
        <v>0.0</v>
      </c>
      <c r="S34" s="164">
        <v>0.0</v>
      </c>
      <c r="T34" s="164">
        <v>0.0</v>
      </c>
      <c r="U34" s="164">
        <v>0.0</v>
      </c>
      <c r="V34" s="233">
        <v>0.0</v>
      </c>
      <c r="W34" s="164">
        <v>0.0</v>
      </c>
      <c r="X34" s="164">
        <v>106782.0</v>
      </c>
      <c r="Y34" s="164">
        <v>0.0</v>
      </c>
      <c r="Z34" s="164">
        <v>0.0</v>
      </c>
      <c r="AA34" s="164">
        <v>0.0</v>
      </c>
      <c r="AB34" s="164">
        <v>0.0</v>
      </c>
      <c r="AC34" s="164">
        <v>0.0</v>
      </c>
      <c r="AD34" s="164">
        <v>0.0</v>
      </c>
      <c r="AE34" s="164">
        <v>0.0</v>
      </c>
      <c r="AF34" s="164">
        <v>0.0</v>
      </c>
      <c r="AG34" s="164">
        <v>0.0</v>
      </c>
      <c r="AH34" s="164">
        <v>0.0</v>
      </c>
      <c r="AI34" s="164">
        <v>0.0</v>
      </c>
      <c r="AJ34" s="164">
        <v>0.0</v>
      </c>
      <c r="AK34" s="164">
        <v>0.0</v>
      </c>
      <c r="AL34" s="164">
        <v>0.0</v>
      </c>
      <c r="AM34" s="164">
        <v>0.0</v>
      </c>
      <c r="AN34" s="164">
        <v>0.0</v>
      </c>
      <c r="AO34" s="164">
        <v>0.0</v>
      </c>
      <c r="AP34" s="164">
        <v>0.0</v>
      </c>
      <c r="AQ34" s="164">
        <v>0.0</v>
      </c>
      <c r="AR34" s="164">
        <v>0.0</v>
      </c>
      <c r="AS34" s="164">
        <v>0.0</v>
      </c>
      <c r="AT34" s="164">
        <v>0.0</v>
      </c>
      <c r="AU34" s="164">
        <v>0.0</v>
      </c>
      <c r="AV34" s="164">
        <v>0.0</v>
      </c>
      <c r="AW34" s="164">
        <v>0.0</v>
      </c>
      <c r="AX34" s="164">
        <v>0.0</v>
      </c>
      <c r="AY34" s="164">
        <v>0.0</v>
      </c>
      <c r="AZ34" s="164">
        <v>0.0</v>
      </c>
      <c r="BA34" s="163"/>
      <c r="BB34" s="163">
        <f t="shared" ref="BB34:BB35" si="32">SUM(E34:P34)</f>
        <v>97480</v>
      </c>
      <c r="BC34" s="163">
        <f t="shared" ref="BC34:BC35" si="33">SUM(Q34:AB34)</f>
        <v>106782</v>
      </c>
      <c r="BD34" s="163">
        <f>SUM(AC34:AN34)</f>
        <v>0</v>
      </c>
      <c r="BE34" s="163">
        <f>SUM(AO34:AZ34)</f>
        <v>0</v>
      </c>
      <c r="BF34" s="163">
        <v>0.0</v>
      </c>
      <c r="BG34" s="112"/>
    </row>
    <row r="35" ht="12.75" customHeight="1">
      <c r="A35" s="61"/>
      <c r="B35" s="234" t="s">
        <v>283</v>
      </c>
      <c r="C35" s="235"/>
      <c r="D35" s="221" t="s">
        <v>198</v>
      </c>
      <c r="E35" s="193">
        <f t="shared" ref="E35:AZ35" si="31">sum(E34)</f>
        <v>0</v>
      </c>
      <c r="F35" s="193">
        <f t="shared" si="31"/>
        <v>0</v>
      </c>
      <c r="G35" s="193">
        <f t="shared" si="31"/>
        <v>0</v>
      </c>
      <c r="H35" s="193">
        <f t="shared" si="31"/>
        <v>0</v>
      </c>
      <c r="I35" s="193">
        <f t="shared" si="31"/>
        <v>0</v>
      </c>
      <c r="J35" s="193">
        <f t="shared" si="31"/>
        <v>0</v>
      </c>
      <c r="K35" s="193">
        <f t="shared" si="31"/>
        <v>0</v>
      </c>
      <c r="L35" s="193">
        <f t="shared" si="31"/>
        <v>0</v>
      </c>
      <c r="M35" s="193">
        <f t="shared" si="31"/>
        <v>0</v>
      </c>
      <c r="N35" s="193">
        <f t="shared" si="31"/>
        <v>19480</v>
      </c>
      <c r="O35" s="193">
        <f t="shared" si="31"/>
        <v>78000</v>
      </c>
      <c r="P35" s="193">
        <f t="shared" si="31"/>
        <v>0</v>
      </c>
      <c r="Q35" s="193">
        <f t="shared" si="31"/>
        <v>0</v>
      </c>
      <c r="R35" s="193">
        <f t="shared" si="31"/>
        <v>0</v>
      </c>
      <c r="S35" s="193">
        <f t="shared" si="31"/>
        <v>0</v>
      </c>
      <c r="T35" s="193">
        <f t="shared" si="31"/>
        <v>0</v>
      </c>
      <c r="U35" s="193">
        <f t="shared" si="31"/>
        <v>0</v>
      </c>
      <c r="V35" s="193">
        <f t="shared" si="31"/>
        <v>0</v>
      </c>
      <c r="W35" s="193">
        <f t="shared" si="31"/>
        <v>0</v>
      </c>
      <c r="X35" s="193">
        <f t="shared" si="31"/>
        <v>106782</v>
      </c>
      <c r="Y35" s="193">
        <f t="shared" si="31"/>
        <v>0</v>
      </c>
      <c r="Z35" s="193">
        <f t="shared" si="31"/>
        <v>0</v>
      </c>
      <c r="AA35" s="193">
        <f t="shared" si="31"/>
        <v>0</v>
      </c>
      <c r="AB35" s="193">
        <f t="shared" si="31"/>
        <v>0</v>
      </c>
      <c r="AC35" s="193">
        <f t="shared" si="31"/>
        <v>0</v>
      </c>
      <c r="AD35" s="193">
        <f t="shared" si="31"/>
        <v>0</v>
      </c>
      <c r="AE35" s="193">
        <f t="shared" si="31"/>
        <v>0</v>
      </c>
      <c r="AF35" s="193">
        <f t="shared" si="31"/>
        <v>0</v>
      </c>
      <c r="AG35" s="193">
        <f t="shared" si="31"/>
        <v>0</v>
      </c>
      <c r="AH35" s="193">
        <f t="shared" si="31"/>
        <v>0</v>
      </c>
      <c r="AI35" s="193">
        <f t="shared" si="31"/>
        <v>0</v>
      </c>
      <c r="AJ35" s="193">
        <f t="shared" si="31"/>
        <v>0</v>
      </c>
      <c r="AK35" s="193">
        <f t="shared" si="31"/>
        <v>0</v>
      </c>
      <c r="AL35" s="193">
        <f t="shared" si="31"/>
        <v>0</v>
      </c>
      <c r="AM35" s="193">
        <f t="shared" si="31"/>
        <v>0</v>
      </c>
      <c r="AN35" s="193">
        <f t="shared" si="31"/>
        <v>0</v>
      </c>
      <c r="AO35" s="193">
        <f t="shared" si="31"/>
        <v>0</v>
      </c>
      <c r="AP35" s="193">
        <f t="shared" si="31"/>
        <v>0</v>
      </c>
      <c r="AQ35" s="193">
        <f t="shared" si="31"/>
        <v>0</v>
      </c>
      <c r="AR35" s="193">
        <f t="shared" si="31"/>
        <v>0</v>
      </c>
      <c r="AS35" s="193">
        <f t="shared" si="31"/>
        <v>0</v>
      </c>
      <c r="AT35" s="193">
        <f t="shared" si="31"/>
        <v>0</v>
      </c>
      <c r="AU35" s="193">
        <f t="shared" si="31"/>
        <v>0</v>
      </c>
      <c r="AV35" s="193">
        <f t="shared" si="31"/>
        <v>0</v>
      </c>
      <c r="AW35" s="193">
        <f t="shared" si="31"/>
        <v>0</v>
      </c>
      <c r="AX35" s="193">
        <f t="shared" si="31"/>
        <v>0</v>
      </c>
      <c r="AY35" s="193">
        <f t="shared" si="31"/>
        <v>0</v>
      </c>
      <c r="AZ35" s="193">
        <f t="shared" si="31"/>
        <v>0</v>
      </c>
      <c r="BA35" s="222"/>
      <c r="BB35" s="195">
        <f t="shared" si="32"/>
        <v>97480</v>
      </c>
      <c r="BC35" s="236">
        <f t="shared" si="33"/>
        <v>106782</v>
      </c>
      <c r="BD35" s="236">
        <f t="shared" ref="BD35:BF35" si="34">BD34</f>
        <v>0</v>
      </c>
      <c r="BE35" s="236">
        <f t="shared" si="34"/>
        <v>0</v>
      </c>
      <c r="BF35" s="236">
        <f t="shared" si="34"/>
        <v>0</v>
      </c>
      <c r="BG35" s="112"/>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7"/>
    </row>
    <row r="37" ht="15.75" customHeight="1">
      <c r="A37" s="237"/>
      <c r="B37" s="238" t="s">
        <v>284</v>
      </c>
      <c r="C37" s="237"/>
      <c r="D37" s="237"/>
      <c r="E37" s="239">
        <f t="shared" ref="E37:AZ37" si="35">E9+E15+E21+E25+E31+E35</f>
        <v>0</v>
      </c>
      <c r="F37" s="239">
        <f t="shared" si="35"/>
        <v>0</v>
      </c>
      <c r="G37" s="239">
        <f t="shared" si="35"/>
        <v>0</v>
      </c>
      <c r="H37" s="239">
        <f t="shared" si="35"/>
        <v>0</v>
      </c>
      <c r="I37" s="239">
        <f t="shared" si="35"/>
        <v>0</v>
      </c>
      <c r="J37" s="239">
        <f t="shared" si="35"/>
        <v>0</v>
      </c>
      <c r="K37" s="239">
        <f t="shared" si="35"/>
        <v>0</v>
      </c>
      <c r="L37" s="239">
        <f t="shared" si="35"/>
        <v>0</v>
      </c>
      <c r="M37" s="239">
        <f t="shared" si="35"/>
        <v>0</v>
      </c>
      <c r="N37" s="239">
        <f t="shared" si="35"/>
        <v>19480</v>
      </c>
      <c r="O37" s="239">
        <f t="shared" si="35"/>
        <v>78000</v>
      </c>
      <c r="P37" s="239">
        <f t="shared" si="35"/>
        <v>0</v>
      </c>
      <c r="Q37" s="239">
        <f t="shared" si="35"/>
        <v>0</v>
      </c>
      <c r="R37" s="239">
        <f t="shared" si="35"/>
        <v>0</v>
      </c>
      <c r="S37" s="239">
        <f t="shared" si="35"/>
        <v>0</v>
      </c>
      <c r="T37" s="239">
        <f t="shared" si="35"/>
        <v>0</v>
      </c>
      <c r="U37" s="239">
        <f t="shared" si="35"/>
        <v>0</v>
      </c>
      <c r="V37" s="239">
        <f t="shared" si="35"/>
        <v>0</v>
      </c>
      <c r="W37" s="239">
        <f t="shared" si="35"/>
        <v>0</v>
      </c>
      <c r="X37" s="239">
        <f t="shared" si="35"/>
        <v>106782</v>
      </c>
      <c r="Y37" s="239">
        <f t="shared" si="35"/>
        <v>0</v>
      </c>
      <c r="Z37" s="239">
        <f t="shared" si="35"/>
        <v>0</v>
      </c>
      <c r="AA37" s="239">
        <f t="shared" si="35"/>
        <v>0</v>
      </c>
      <c r="AB37" s="239">
        <f t="shared" si="35"/>
        <v>0</v>
      </c>
      <c r="AC37" s="239">
        <f t="shared" si="35"/>
        <v>697281.1496</v>
      </c>
      <c r="AD37" s="239">
        <f t="shared" si="35"/>
        <v>788330.2304</v>
      </c>
      <c r="AE37" s="239">
        <f t="shared" si="35"/>
        <v>845842.2876</v>
      </c>
      <c r="AF37" s="239">
        <f t="shared" si="35"/>
        <v>936891.3684</v>
      </c>
      <c r="AG37" s="239">
        <f t="shared" si="35"/>
        <v>1039927.966</v>
      </c>
      <c r="AH37" s="239">
        <f t="shared" si="35"/>
        <v>1130977.047</v>
      </c>
      <c r="AI37" s="239">
        <f t="shared" si="35"/>
        <v>1234013.644</v>
      </c>
      <c r="AJ37" s="239">
        <f t="shared" si="35"/>
        <v>1337050.242</v>
      </c>
      <c r="AK37" s="239">
        <f t="shared" si="35"/>
        <v>1485611.38</v>
      </c>
      <c r="AL37" s="239">
        <f t="shared" si="35"/>
        <v>1634172.518</v>
      </c>
      <c r="AM37" s="239">
        <f t="shared" si="35"/>
        <v>1782733.656</v>
      </c>
      <c r="AN37" s="239">
        <f t="shared" si="35"/>
        <v>1943282.311</v>
      </c>
      <c r="AO37" s="239">
        <f t="shared" si="35"/>
        <v>2144840.989</v>
      </c>
      <c r="AP37" s="239">
        <f t="shared" si="35"/>
        <v>2339880.668</v>
      </c>
      <c r="AQ37" s="239">
        <f t="shared" si="35"/>
        <v>2580126.886</v>
      </c>
      <c r="AR37" s="239">
        <f t="shared" si="35"/>
        <v>2832678.622</v>
      </c>
      <c r="AS37" s="239">
        <f t="shared" si="35"/>
        <v>3085389.358</v>
      </c>
      <c r="AT37" s="239">
        <f t="shared" si="35"/>
        <v>3383465.634</v>
      </c>
      <c r="AU37" s="239">
        <f t="shared" si="35"/>
        <v>3727225.45</v>
      </c>
      <c r="AV37" s="239">
        <f t="shared" si="35"/>
        <v>4070985.266</v>
      </c>
      <c r="AW37" s="239">
        <f t="shared" si="35"/>
        <v>4472734.14</v>
      </c>
      <c r="AX37" s="239">
        <f t="shared" si="35"/>
        <v>4874483.014</v>
      </c>
      <c r="AY37" s="239">
        <f t="shared" si="35"/>
        <v>5367280.968</v>
      </c>
      <c r="AZ37" s="239">
        <f t="shared" si="35"/>
        <v>5848250.406</v>
      </c>
      <c r="BA37" s="95"/>
      <c r="BB37" s="239">
        <f t="shared" ref="BB37:BC37" si="36">BB9+BB15+BB21+BB25+BB31+BB35</f>
        <v>97480</v>
      </c>
      <c r="BC37" s="239">
        <f t="shared" si="36"/>
        <v>106782</v>
      </c>
      <c r="BD37" s="239">
        <f>SUM(AC37:AN37)</f>
        <v>14856113.8</v>
      </c>
      <c r="BE37" s="239">
        <f>SUM(AO37:AZ37)</f>
        <v>44727341.4</v>
      </c>
      <c r="BF37" s="239">
        <f>BF9+BF15+BF21+BF25+BF31+BF35</f>
        <v>89187259.8</v>
      </c>
      <c r="BG37" s="178"/>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7"/>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7"/>
    </row>
    <row r="40" ht="15.75" customHeight="1" outlineLevel="1">
      <c r="A40" s="61"/>
      <c r="B40" s="61" t="s">
        <v>285</v>
      </c>
      <c r="C40" s="61"/>
      <c r="D40" s="61"/>
      <c r="E40" s="222">
        <f t="shared" ref="E40:AZ40" si="37">sum(E28:E30)</f>
        <v>0</v>
      </c>
      <c r="F40" s="222">
        <f t="shared" si="37"/>
        <v>0</v>
      </c>
      <c r="G40" s="222">
        <f t="shared" si="37"/>
        <v>0</v>
      </c>
      <c r="H40" s="222">
        <f t="shared" si="37"/>
        <v>0</v>
      </c>
      <c r="I40" s="222">
        <f t="shared" si="37"/>
        <v>0</v>
      </c>
      <c r="J40" s="222">
        <f t="shared" si="37"/>
        <v>0</v>
      </c>
      <c r="K40" s="222">
        <f t="shared" si="37"/>
        <v>0</v>
      </c>
      <c r="L40" s="222">
        <f t="shared" si="37"/>
        <v>0</v>
      </c>
      <c r="M40" s="222">
        <f t="shared" si="37"/>
        <v>0</v>
      </c>
      <c r="N40" s="222">
        <f t="shared" si="37"/>
        <v>0</v>
      </c>
      <c r="O40" s="222">
        <f t="shared" si="37"/>
        <v>0</v>
      </c>
      <c r="P40" s="222">
        <f t="shared" si="37"/>
        <v>0</v>
      </c>
      <c r="Q40" s="222">
        <f t="shared" si="37"/>
        <v>0</v>
      </c>
      <c r="R40" s="222">
        <f t="shared" si="37"/>
        <v>0</v>
      </c>
      <c r="S40" s="222">
        <f t="shared" si="37"/>
        <v>0</v>
      </c>
      <c r="T40" s="222">
        <f t="shared" si="37"/>
        <v>0</v>
      </c>
      <c r="U40" s="222">
        <f t="shared" si="37"/>
        <v>0</v>
      </c>
      <c r="V40" s="222">
        <f t="shared" si="37"/>
        <v>0</v>
      </c>
      <c r="W40" s="222">
        <f t="shared" si="37"/>
        <v>0</v>
      </c>
      <c r="X40" s="222">
        <f t="shared" si="37"/>
        <v>0</v>
      </c>
      <c r="Y40" s="222">
        <f t="shared" si="37"/>
        <v>0</v>
      </c>
      <c r="Z40" s="222">
        <f t="shared" si="37"/>
        <v>0</v>
      </c>
      <c r="AA40" s="222">
        <f t="shared" si="37"/>
        <v>0</v>
      </c>
      <c r="AB40" s="222">
        <f t="shared" si="37"/>
        <v>0</v>
      </c>
      <c r="AC40" s="222">
        <f t="shared" si="37"/>
        <v>47</v>
      </c>
      <c r="AD40" s="222">
        <f t="shared" si="37"/>
        <v>100</v>
      </c>
      <c r="AE40" s="222">
        <f t="shared" si="37"/>
        <v>157</v>
      </c>
      <c r="AF40" s="222">
        <f t="shared" si="37"/>
        <v>220</v>
      </c>
      <c r="AG40" s="222">
        <f t="shared" si="37"/>
        <v>290</v>
      </c>
      <c r="AH40" s="222">
        <f t="shared" si="37"/>
        <v>366</v>
      </c>
      <c r="AI40" s="222">
        <f t="shared" si="37"/>
        <v>449</v>
      </c>
      <c r="AJ40" s="222">
        <f t="shared" si="37"/>
        <v>539</v>
      </c>
      <c r="AK40" s="222">
        <f t="shared" si="37"/>
        <v>639</v>
      </c>
      <c r="AL40" s="222">
        <f t="shared" si="37"/>
        <v>749</v>
      </c>
      <c r="AM40" s="222">
        <f t="shared" si="37"/>
        <v>869</v>
      </c>
      <c r="AN40" s="222">
        <f t="shared" si="37"/>
        <v>1000</v>
      </c>
      <c r="AO40" s="222">
        <f t="shared" si="37"/>
        <v>1144</v>
      </c>
      <c r="AP40" s="222">
        <f t="shared" si="37"/>
        <v>1301</v>
      </c>
      <c r="AQ40" s="222">
        <f t="shared" si="37"/>
        <v>1474</v>
      </c>
      <c r="AR40" s="222">
        <f t="shared" si="37"/>
        <v>1664</v>
      </c>
      <c r="AS40" s="222">
        <f t="shared" si="37"/>
        <v>1871</v>
      </c>
      <c r="AT40" s="222">
        <f t="shared" si="37"/>
        <v>2098</v>
      </c>
      <c r="AU40" s="222">
        <f t="shared" si="37"/>
        <v>2348</v>
      </c>
      <c r="AV40" s="222">
        <f t="shared" si="37"/>
        <v>2621</v>
      </c>
      <c r="AW40" s="222">
        <f t="shared" si="37"/>
        <v>2921</v>
      </c>
      <c r="AX40" s="222">
        <f t="shared" si="37"/>
        <v>3248</v>
      </c>
      <c r="AY40" s="222">
        <f t="shared" si="37"/>
        <v>3608</v>
      </c>
      <c r="AZ40" s="222">
        <f t="shared" si="37"/>
        <v>4000</v>
      </c>
      <c r="BA40" s="61"/>
      <c r="BB40" s="222">
        <f t="shared" ref="BB40:BF40" si="38">sum(BB28:BB30)</f>
        <v>0</v>
      </c>
      <c r="BC40" s="222">
        <f t="shared" si="38"/>
        <v>0</v>
      </c>
      <c r="BD40" s="222">
        <f t="shared" si="38"/>
        <v>1000</v>
      </c>
      <c r="BE40" s="222">
        <f t="shared" si="38"/>
        <v>4000</v>
      </c>
      <c r="BF40" s="222">
        <f t="shared" si="38"/>
        <v>6000</v>
      </c>
      <c r="BG40" s="92"/>
    </row>
    <row r="41" ht="15.75" customHeight="1" outlineLevel="1">
      <c r="A41" s="61"/>
      <c r="B41" s="61" t="s">
        <v>153</v>
      </c>
      <c r="C41" s="61"/>
      <c r="D41" s="61" t="s">
        <v>66</v>
      </c>
      <c r="E41" s="222">
        <f t="shared" ref="E41:AZ41" si="39">E6+E12+E18</f>
        <v>0</v>
      </c>
      <c r="F41" s="222">
        <f t="shared" si="39"/>
        <v>0</v>
      </c>
      <c r="G41" s="222">
        <f t="shared" si="39"/>
        <v>0</v>
      </c>
      <c r="H41" s="222">
        <f t="shared" si="39"/>
        <v>0</v>
      </c>
      <c r="I41" s="222">
        <f t="shared" si="39"/>
        <v>0</v>
      </c>
      <c r="J41" s="222">
        <f t="shared" si="39"/>
        <v>0</v>
      </c>
      <c r="K41" s="222">
        <f t="shared" si="39"/>
        <v>0</v>
      </c>
      <c r="L41" s="222">
        <f t="shared" si="39"/>
        <v>0</v>
      </c>
      <c r="M41" s="222">
        <f t="shared" si="39"/>
        <v>0</v>
      </c>
      <c r="N41" s="222">
        <f t="shared" si="39"/>
        <v>0</v>
      </c>
      <c r="O41" s="222">
        <f t="shared" si="39"/>
        <v>0</v>
      </c>
      <c r="P41" s="222">
        <f t="shared" si="39"/>
        <v>0</v>
      </c>
      <c r="Q41" s="222">
        <f t="shared" si="39"/>
        <v>0</v>
      </c>
      <c r="R41" s="222">
        <f t="shared" si="39"/>
        <v>0</v>
      </c>
      <c r="S41" s="222">
        <f t="shared" si="39"/>
        <v>0</v>
      </c>
      <c r="T41" s="222">
        <f t="shared" si="39"/>
        <v>0</v>
      </c>
      <c r="U41" s="222">
        <f t="shared" si="39"/>
        <v>0</v>
      </c>
      <c r="V41" s="222">
        <f t="shared" si="39"/>
        <v>0</v>
      </c>
      <c r="W41" s="222">
        <f t="shared" si="39"/>
        <v>0</v>
      </c>
      <c r="X41" s="222">
        <f t="shared" si="39"/>
        <v>0</v>
      </c>
      <c r="Y41" s="222">
        <f t="shared" si="39"/>
        <v>0</v>
      </c>
      <c r="Z41" s="222">
        <f t="shared" si="39"/>
        <v>0</v>
      </c>
      <c r="AA41" s="222">
        <f t="shared" si="39"/>
        <v>0</v>
      </c>
      <c r="AB41" s="222">
        <f t="shared" si="39"/>
        <v>0</v>
      </c>
      <c r="AC41" s="222">
        <f t="shared" si="39"/>
        <v>47</v>
      </c>
      <c r="AD41" s="222">
        <f t="shared" si="39"/>
        <v>53</v>
      </c>
      <c r="AE41" s="222">
        <f t="shared" si="39"/>
        <v>57</v>
      </c>
      <c r="AF41" s="222">
        <f t="shared" si="39"/>
        <v>63</v>
      </c>
      <c r="AG41" s="222">
        <f t="shared" si="39"/>
        <v>70</v>
      </c>
      <c r="AH41" s="222">
        <f t="shared" si="39"/>
        <v>76</v>
      </c>
      <c r="AI41" s="222">
        <f t="shared" si="39"/>
        <v>83</v>
      </c>
      <c r="AJ41" s="222">
        <f t="shared" si="39"/>
        <v>90</v>
      </c>
      <c r="AK41" s="222">
        <f t="shared" si="39"/>
        <v>100</v>
      </c>
      <c r="AL41" s="222">
        <f t="shared" si="39"/>
        <v>110</v>
      </c>
      <c r="AM41" s="222">
        <f t="shared" si="39"/>
        <v>120</v>
      </c>
      <c r="AN41" s="222">
        <f t="shared" si="39"/>
        <v>131</v>
      </c>
      <c r="AO41" s="222">
        <f t="shared" si="39"/>
        <v>144</v>
      </c>
      <c r="AP41" s="222">
        <f t="shared" si="39"/>
        <v>157</v>
      </c>
      <c r="AQ41" s="222">
        <f t="shared" si="39"/>
        <v>173</v>
      </c>
      <c r="AR41" s="222">
        <f t="shared" si="39"/>
        <v>190</v>
      </c>
      <c r="AS41" s="222">
        <f t="shared" si="39"/>
        <v>207</v>
      </c>
      <c r="AT41" s="222">
        <f t="shared" si="39"/>
        <v>227</v>
      </c>
      <c r="AU41" s="222">
        <f t="shared" si="39"/>
        <v>250</v>
      </c>
      <c r="AV41" s="222">
        <f t="shared" si="39"/>
        <v>273</v>
      </c>
      <c r="AW41" s="222">
        <f t="shared" si="39"/>
        <v>300</v>
      </c>
      <c r="AX41" s="222">
        <f t="shared" si="39"/>
        <v>327</v>
      </c>
      <c r="AY41" s="222">
        <f t="shared" si="39"/>
        <v>360</v>
      </c>
      <c r="AZ41" s="222">
        <f t="shared" si="39"/>
        <v>392</v>
      </c>
      <c r="BA41" s="222"/>
      <c r="BB41" s="222">
        <v>0.0</v>
      </c>
      <c r="BC41" s="222">
        <v>0.0</v>
      </c>
      <c r="BD41" s="222">
        <f>SUM(AC41:AN41)</f>
        <v>1000</v>
      </c>
      <c r="BE41" s="222">
        <f>SUM(AO41:AZ41)</f>
        <v>3000</v>
      </c>
      <c r="BF41" s="222">
        <f>BF24</f>
        <v>6000</v>
      </c>
      <c r="BG41" s="224"/>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7"/>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191"/>
      <c r="BF43" s="30"/>
      <c r="BG43" s="37"/>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191"/>
      <c r="BF44" s="30"/>
      <c r="BG44" s="37"/>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Y45" s="30"/>
      <c r="AZ45" s="30"/>
      <c r="BA45" s="30"/>
      <c r="BB45" s="30"/>
      <c r="BC45" s="30"/>
      <c r="BD45" s="191"/>
      <c r="BE45" s="191"/>
      <c r="BF45" s="30"/>
      <c r="BG45" s="37"/>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191"/>
      <c r="BE46" s="191"/>
      <c r="BF46" s="30"/>
      <c r="BG46" s="37"/>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7"/>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7"/>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7"/>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7"/>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7"/>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7"/>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7"/>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7"/>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7"/>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7"/>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7"/>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7"/>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7"/>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7"/>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7"/>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7"/>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7"/>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7"/>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7"/>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7"/>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7"/>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7"/>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7"/>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7"/>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7"/>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7"/>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7"/>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7"/>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7"/>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7"/>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7"/>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7"/>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7"/>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7"/>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7"/>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7"/>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7"/>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7"/>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7"/>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7"/>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7"/>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7"/>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7"/>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7"/>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7"/>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7"/>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7"/>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7"/>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7"/>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7"/>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7"/>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7"/>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7"/>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7"/>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7"/>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7"/>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7"/>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7"/>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7"/>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7"/>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7"/>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7"/>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7"/>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7"/>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7"/>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7"/>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7"/>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7"/>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7"/>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7"/>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7"/>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7"/>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7"/>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7"/>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7"/>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7"/>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7"/>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7"/>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7"/>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7"/>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7"/>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7"/>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7"/>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7"/>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7"/>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7"/>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7"/>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7"/>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7"/>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7"/>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7"/>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7"/>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7"/>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7"/>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7"/>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7"/>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7"/>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7"/>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7"/>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7"/>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7"/>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7"/>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7"/>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7"/>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7"/>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7"/>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7"/>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7"/>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7"/>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7"/>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7"/>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7"/>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7"/>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7"/>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7"/>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7"/>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7"/>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7"/>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7"/>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7"/>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7"/>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7"/>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7"/>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7"/>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7"/>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7"/>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7"/>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7"/>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7"/>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7"/>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7"/>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7"/>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7"/>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7"/>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7"/>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7"/>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7"/>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7"/>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7"/>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7"/>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7"/>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7"/>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7"/>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7"/>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7"/>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7"/>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7"/>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7"/>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7"/>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7"/>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7"/>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7"/>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7"/>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7"/>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7"/>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7"/>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7"/>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7"/>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7"/>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7"/>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7"/>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7"/>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7"/>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7"/>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7"/>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7"/>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7"/>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7"/>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7"/>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7"/>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7"/>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7"/>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7"/>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7"/>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7"/>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7"/>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7"/>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7"/>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7"/>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7"/>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7"/>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7"/>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7"/>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7"/>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7"/>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7"/>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7"/>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7"/>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7"/>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7"/>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7"/>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7"/>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7"/>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7"/>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7"/>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topLeftCell="D1" activePane="topRight" state="frozen"/>
      <selection activeCell="E2" sqref="E2" pane="topRight"/>
    </sheetView>
  </sheetViews>
  <sheetFormatPr customHeight="1" defaultColWidth="14.43" defaultRowHeight="15.0" outlineLevelCol="1"/>
  <cols>
    <col customWidth="1" min="1" max="1" width="2.0"/>
    <col customWidth="1" min="2" max="2" width="37.57"/>
    <col customWidth="1" min="3" max="3" width="12.0"/>
    <col customWidth="1" min="4" max="4" width="2.57"/>
    <col customWidth="1" hidden="1" min="5" max="5" width="9.71" outlineLevel="1"/>
    <col customWidth="1" hidden="1" min="6" max="6" width="9.57" outlineLevel="1"/>
    <col customWidth="1" hidden="1" min="7" max="7" width="9.86" outlineLevel="1"/>
    <col customWidth="1" hidden="1" min="8" max="8" width="9.43" outlineLevel="1"/>
    <col customWidth="1" hidden="1" min="9" max="9" width="10.0" outlineLevel="1"/>
    <col customWidth="1" hidden="1" min="10" max="10" width="9.71" outlineLevel="1"/>
    <col customWidth="1" hidden="1" min="11" max="11" width="9.14" outlineLevel="1"/>
    <col customWidth="1" hidden="1" min="12" max="13" width="9.86" outlineLevel="1"/>
    <col customWidth="1" hidden="1" min="14" max="14" width="9.57" outlineLevel="1"/>
    <col customWidth="1" hidden="1" min="15" max="16" width="9.86" outlineLevel="1"/>
    <col customWidth="1" min="17" max="17" width="9.71"/>
    <col customWidth="1" min="18" max="18" width="9.57"/>
    <col customWidth="1" min="19" max="19" width="9.71"/>
    <col customWidth="1" min="20" max="20" width="9.43"/>
    <col customWidth="1" min="21" max="21" width="10.0"/>
    <col customWidth="1" min="22" max="22" width="9.71"/>
    <col customWidth="1" min="23" max="23" width="9.14"/>
    <col customWidth="1" min="24" max="25" width="9.86"/>
    <col customWidth="1" min="26" max="26" width="9.57"/>
    <col customWidth="1" min="27" max="28" width="9.86"/>
    <col customWidth="1" min="29" max="30" width="9.43"/>
    <col customWidth="1" min="31" max="31" width="9.57"/>
    <col customWidth="1" min="32" max="32" width="10.14"/>
    <col customWidth="1" min="33" max="33" width="9.86"/>
    <col customWidth="1" min="34" max="34" width="10.0"/>
    <col customWidth="1" min="35" max="35" width="10.14"/>
    <col customWidth="1" min="36" max="36" width="10.43"/>
    <col customWidth="1" min="37" max="37" width="10.29"/>
    <col customWidth="1" min="38" max="38" width="10.43"/>
    <col customWidth="1" min="39" max="40" width="10.57"/>
    <col customWidth="1" min="41" max="42" width="10.43"/>
    <col customWidth="1" min="43" max="44" width="10.86"/>
    <col customWidth="1" min="45" max="45" width="11.0"/>
    <col customWidth="1" min="46" max="46" width="10.0"/>
    <col customWidth="1" min="47" max="48" width="10.86"/>
    <col customWidth="1" min="49" max="49" width="10.57"/>
    <col customWidth="1" min="50" max="50" width="10.71"/>
    <col customWidth="1" min="51" max="51" width="10.43"/>
    <col customWidth="1" min="52" max="52" width="10.57"/>
    <col customWidth="1" min="53" max="53" width="17.43"/>
    <col customWidth="1" hidden="1" min="54" max="54" width="14.43"/>
    <col customWidth="1" min="55" max="55" width="6.14"/>
    <col customWidth="1" min="56" max="56" width="10.86"/>
    <col customWidth="1" min="57" max="57" width="11.29"/>
    <col customWidth="1" min="58" max="58" width="11.71" outlineLevel="1"/>
  </cols>
  <sheetData>
    <row r="1" ht="15.75" customHeight="1">
      <c r="A1" s="145"/>
      <c r="B1" s="142" t="s">
        <v>286</v>
      </c>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5"/>
      <c r="AL1" s="145"/>
      <c r="AM1" s="145"/>
      <c r="AN1" s="145"/>
      <c r="AO1" s="147"/>
      <c r="AP1" s="147"/>
      <c r="AQ1" s="147"/>
      <c r="AR1" s="147"/>
      <c r="AS1" s="147"/>
      <c r="AT1" s="147"/>
      <c r="AU1" s="147"/>
      <c r="AV1" s="147"/>
      <c r="AW1" s="147"/>
      <c r="AX1" s="147"/>
      <c r="AY1" s="147"/>
      <c r="AZ1" s="147"/>
      <c r="BA1" s="163"/>
      <c r="BB1" s="145"/>
      <c r="BC1" s="147"/>
      <c r="BD1" s="147"/>
      <c r="BE1" s="147"/>
      <c r="BF1" s="147"/>
      <c r="BG1" s="149"/>
    </row>
    <row r="2" ht="13.5" customHeight="1">
      <c r="A2" s="145"/>
      <c r="B2" s="145"/>
      <c r="C2" s="145"/>
      <c r="D2" s="145"/>
      <c r="E2" s="240">
        <v>2025.0</v>
      </c>
      <c r="F2" s="240"/>
      <c r="G2" s="240"/>
      <c r="H2" s="240"/>
      <c r="I2" s="240"/>
      <c r="J2" s="240"/>
      <c r="K2" s="240"/>
      <c r="L2" s="240"/>
      <c r="M2" s="240"/>
      <c r="N2" s="240"/>
      <c r="O2" s="240"/>
      <c r="P2" s="240"/>
      <c r="Q2" s="152" t="s">
        <v>192</v>
      </c>
      <c r="R2" s="240"/>
      <c r="S2" s="240"/>
      <c r="T2" s="240"/>
      <c r="U2" s="240"/>
      <c r="V2" s="240"/>
      <c r="W2" s="240"/>
      <c r="X2" s="240"/>
      <c r="Y2" s="240"/>
      <c r="Z2" s="240"/>
      <c r="AA2" s="240"/>
      <c r="AB2" s="240"/>
      <c r="AC2" s="152" t="s">
        <v>193</v>
      </c>
      <c r="AD2" s="240"/>
      <c r="AE2" s="240"/>
      <c r="AF2" s="240"/>
      <c r="AG2" s="240"/>
      <c r="AH2" s="240"/>
      <c r="AI2" s="240"/>
      <c r="AJ2" s="240"/>
      <c r="AK2" s="240"/>
      <c r="AL2" s="240"/>
      <c r="AM2" s="240"/>
      <c r="AN2" s="240"/>
      <c r="AO2" s="152" t="s">
        <v>194</v>
      </c>
      <c r="AP2" s="240"/>
      <c r="AQ2" s="240"/>
      <c r="AR2" s="240"/>
      <c r="AS2" s="240"/>
      <c r="AT2" s="240"/>
      <c r="AU2" s="240"/>
      <c r="AV2" s="240"/>
      <c r="AW2" s="240"/>
      <c r="AX2" s="240"/>
      <c r="AY2" s="240"/>
      <c r="AZ2" s="240"/>
      <c r="BA2" s="163"/>
      <c r="BB2" s="145"/>
      <c r="BC2" s="241"/>
      <c r="BD2" s="241"/>
      <c r="BE2" s="241"/>
      <c r="BF2" s="145"/>
      <c r="BG2" s="149"/>
    </row>
    <row r="3" ht="13.5" customHeight="1">
      <c r="A3" s="145"/>
      <c r="B3" s="145"/>
      <c r="C3" s="145"/>
      <c r="D3" s="145"/>
      <c r="E3" s="160">
        <v>45658.0</v>
      </c>
      <c r="F3" s="160">
        <v>45689.0</v>
      </c>
      <c r="G3" s="160">
        <v>45717.0</v>
      </c>
      <c r="H3" s="160">
        <v>45748.0</v>
      </c>
      <c r="I3" s="160">
        <v>45778.0</v>
      </c>
      <c r="J3" s="160">
        <v>45809.0</v>
      </c>
      <c r="K3" s="160">
        <v>45839.0</v>
      </c>
      <c r="L3" s="160">
        <v>45870.0</v>
      </c>
      <c r="M3" s="160">
        <v>45901.0</v>
      </c>
      <c r="N3" s="160">
        <v>45931.0</v>
      </c>
      <c r="O3" s="160">
        <v>45962.0</v>
      </c>
      <c r="P3" s="160">
        <v>45992.0</v>
      </c>
      <c r="Q3" s="160">
        <v>46023.0</v>
      </c>
      <c r="R3" s="160">
        <v>46054.0</v>
      </c>
      <c r="S3" s="160">
        <v>46082.0</v>
      </c>
      <c r="T3" s="160">
        <v>46113.0</v>
      </c>
      <c r="U3" s="160">
        <v>46143.0</v>
      </c>
      <c r="V3" s="160">
        <v>46174.0</v>
      </c>
      <c r="W3" s="160">
        <v>46204.0</v>
      </c>
      <c r="X3" s="160">
        <v>46235.0</v>
      </c>
      <c r="Y3" s="160">
        <v>46266.0</v>
      </c>
      <c r="Z3" s="160">
        <v>46296.0</v>
      </c>
      <c r="AA3" s="160">
        <v>46327.0</v>
      </c>
      <c r="AB3" s="160">
        <v>46357.0</v>
      </c>
      <c r="AC3" s="160">
        <v>46388.0</v>
      </c>
      <c r="AD3" s="160">
        <v>46419.0</v>
      </c>
      <c r="AE3" s="160">
        <v>46447.0</v>
      </c>
      <c r="AF3" s="160">
        <v>46478.0</v>
      </c>
      <c r="AG3" s="160">
        <v>46508.0</v>
      </c>
      <c r="AH3" s="160">
        <v>46539.0</v>
      </c>
      <c r="AI3" s="160">
        <v>46569.0</v>
      </c>
      <c r="AJ3" s="160">
        <v>46600.0</v>
      </c>
      <c r="AK3" s="160">
        <v>46631.0</v>
      </c>
      <c r="AL3" s="160">
        <v>46661.0</v>
      </c>
      <c r="AM3" s="160">
        <v>46692.0</v>
      </c>
      <c r="AN3" s="160">
        <v>46722.0</v>
      </c>
      <c r="AO3" s="160">
        <v>46753.0</v>
      </c>
      <c r="AP3" s="160">
        <v>46784.0</v>
      </c>
      <c r="AQ3" s="160">
        <v>46813.0</v>
      </c>
      <c r="AR3" s="160">
        <v>46844.0</v>
      </c>
      <c r="AS3" s="160">
        <v>46874.0</v>
      </c>
      <c r="AT3" s="160">
        <v>46905.0</v>
      </c>
      <c r="AU3" s="160">
        <v>46935.0</v>
      </c>
      <c r="AV3" s="160">
        <v>46966.0</v>
      </c>
      <c r="AW3" s="160">
        <v>46997.0</v>
      </c>
      <c r="AX3" s="160">
        <v>47027.0</v>
      </c>
      <c r="AY3" s="160">
        <v>47058.0</v>
      </c>
      <c r="AZ3" s="160">
        <v>47088.0</v>
      </c>
      <c r="BA3" s="163"/>
      <c r="BB3" s="241">
        <v>2025.0</v>
      </c>
      <c r="BC3" s="241">
        <v>2026.0</v>
      </c>
      <c r="BD3" s="241">
        <v>2027.0</v>
      </c>
      <c r="BE3" s="241">
        <v>2028.0</v>
      </c>
      <c r="BF3" s="241">
        <v>2029.0</v>
      </c>
      <c r="BG3" s="149"/>
    </row>
    <row r="4">
      <c r="A4" s="30"/>
      <c r="B4" s="30"/>
      <c r="C4" s="30"/>
      <c r="D4" s="30"/>
      <c r="E4" s="30"/>
      <c r="F4" s="30"/>
      <c r="G4" s="30"/>
      <c r="H4" s="30"/>
      <c r="I4" s="30"/>
      <c r="J4" s="30"/>
      <c r="K4" s="30"/>
      <c r="L4" s="30"/>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63"/>
      <c r="BB4" s="163"/>
      <c r="BC4" s="163"/>
      <c r="BD4" s="163"/>
      <c r="BE4" s="163"/>
      <c r="BF4" s="163"/>
      <c r="BG4" s="112"/>
    </row>
    <row r="5" ht="13.5" customHeight="1">
      <c r="A5" s="37"/>
      <c r="B5" s="62"/>
      <c r="C5" s="37"/>
      <c r="D5" s="37"/>
      <c r="E5" s="37"/>
      <c r="F5" s="37"/>
      <c r="G5" s="37"/>
      <c r="H5" s="37"/>
      <c r="I5" s="37"/>
      <c r="J5" s="37"/>
      <c r="K5" s="37"/>
      <c r="L5" s="37"/>
      <c r="M5" s="112"/>
      <c r="N5" s="112"/>
      <c r="O5" s="112"/>
      <c r="P5" s="112"/>
      <c r="Q5" s="112"/>
      <c r="R5" s="112"/>
      <c r="S5" s="112"/>
      <c r="T5" s="112"/>
      <c r="U5" s="112"/>
      <c r="V5" s="112"/>
      <c r="W5" s="112"/>
      <c r="X5" s="112"/>
      <c r="Y5" s="112"/>
      <c r="Z5" s="112"/>
      <c r="AA5" s="112"/>
      <c r="AB5" s="112"/>
      <c r="AC5" s="112"/>
      <c r="AD5" s="112"/>
      <c r="AE5" s="112"/>
      <c r="AF5" s="112"/>
      <c r="AG5" s="112"/>
      <c r="AH5" s="112"/>
      <c r="AI5" s="112"/>
      <c r="AJ5" s="112"/>
      <c r="AK5" s="112"/>
      <c r="AL5" s="112"/>
      <c r="AM5" s="112"/>
      <c r="AN5" s="112"/>
      <c r="AO5" s="112"/>
      <c r="AP5" s="112"/>
      <c r="AQ5" s="112"/>
      <c r="AR5" s="112"/>
      <c r="AS5" s="112"/>
      <c r="AT5" s="112"/>
      <c r="AU5" s="112"/>
      <c r="AV5" s="112"/>
      <c r="AW5" s="112"/>
      <c r="AX5" s="112"/>
      <c r="AY5" s="112"/>
      <c r="AZ5" s="112"/>
      <c r="BA5" s="163"/>
      <c r="BB5" s="163"/>
      <c r="BC5" s="163"/>
      <c r="BD5" s="163"/>
      <c r="BE5" s="163"/>
      <c r="BF5" s="163"/>
      <c r="BG5" s="112"/>
    </row>
    <row r="6" ht="13.5" customHeight="1">
      <c r="A6" s="217"/>
      <c r="B6" s="221" t="s">
        <v>49</v>
      </c>
      <c r="C6" s="217"/>
      <c r="D6" s="217"/>
      <c r="E6" s="217"/>
      <c r="F6" s="217"/>
      <c r="G6" s="217"/>
      <c r="H6" s="217"/>
      <c r="I6" s="217"/>
      <c r="J6" s="217"/>
      <c r="K6" s="217"/>
      <c r="L6" s="217"/>
      <c r="M6" s="168"/>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3"/>
      <c r="BB6" s="168"/>
      <c r="BC6" s="170"/>
      <c r="BD6" s="170"/>
      <c r="BE6" s="170"/>
      <c r="BF6" s="170"/>
      <c r="BG6" s="112"/>
    </row>
    <row r="7" ht="15.0" customHeight="1">
      <c r="A7" s="30"/>
      <c r="B7" s="49" t="s">
        <v>49</v>
      </c>
      <c r="C7" s="30"/>
      <c r="D7" s="203" t="s">
        <v>198</v>
      </c>
      <c r="E7" s="242"/>
      <c r="F7" s="242"/>
      <c r="G7" s="242"/>
      <c r="H7" s="242"/>
      <c r="I7" s="242"/>
      <c r="J7" s="242"/>
      <c r="K7" s="242"/>
      <c r="L7" s="242"/>
      <c r="M7" s="164"/>
      <c r="N7" s="164"/>
      <c r="O7" s="164"/>
      <c r="P7" s="164"/>
      <c r="Q7" s="164">
        <f>IFNA('Revenue Forecast'!Q6*VLOOKUP('Revenue Forecast'!$BC$41,Assumptions!$B$71:$C$73,2,TRUE),0)</f>
        <v>0</v>
      </c>
      <c r="R7" s="164">
        <f>IFNA('Revenue Forecast'!R6*VLOOKUP('Revenue Forecast'!$BC$41,Assumptions!$B$71:$C$73,2,TRUE),0)</f>
        <v>0</v>
      </c>
      <c r="S7" s="164">
        <f>IFNA('Revenue Forecast'!S6*VLOOKUP('Revenue Forecast'!$BC$41,Assumptions!$B$71:$C$73,2,TRUE),0)</f>
        <v>0</v>
      </c>
      <c r="T7" s="164">
        <f>IFNA('Revenue Forecast'!T6*VLOOKUP('Revenue Forecast'!$BC$41,Assumptions!$B$71:$C$73,2,TRUE),0)</f>
        <v>0</v>
      </c>
      <c r="U7" s="164">
        <f>IFNA('Revenue Forecast'!U6*VLOOKUP('Revenue Forecast'!$BC$41,Assumptions!$B$71:$C$73,2,TRUE),0)</f>
        <v>0</v>
      </c>
      <c r="V7" s="164">
        <f>IFNA('Revenue Forecast'!V6*VLOOKUP('Revenue Forecast'!$BC$41,Assumptions!$B$71:$C$73,2,TRUE),0)</f>
        <v>0</v>
      </c>
      <c r="W7" s="164">
        <f>IFNA('Revenue Forecast'!W6*VLOOKUP('Revenue Forecast'!$BC$41,Assumptions!$B$71:$C$73,2,TRUE),0)</f>
        <v>0</v>
      </c>
      <c r="X7" s="164">
        <f>IFNA('Revenue Forecast'!X6*VLOOKUP('Revenue Forecast'!$BC$41,Assumptions!$B$71:$C$73,2,TRUE),0)</f>
        <v>0</v>
      </c>
      <c r="Y7" s="164">
        <f>IFNA('Revenue Forecast'!Y6*VLOOKUP('Revenue Forecast'!$BC$41,Assumptions!$B$71:$C$73,2,TRUE),0)</f>
        <v>0</v>
      </c>
      <c r="Z7" s="164">
        <f>IFNA('Revenue Forecast'!Z6*VLOOKUP('Revenue Forecast'!$BC$41,Assumptions!$B$71:$C$73,2,TRUE),0)</f>
        <v>0</v>
      </c>
      <c r="AA7" s="164">
        <f>IFNA('Revenue Forecast'!AA6*VLOOKUP('Revenue Forecast'!$BC$41,Assumptions!$B$71:$C$73,2,TRUE),0)</f>
        <v>0</v>
      </c>
      <c r="AB7" s="164">
        <f>IFNA('Revenue Forecast'!AB6*VLOOKUP('Revenue Forecast'!$BC$41,Assumptions!$B$71:$C$73,2,TRUE),0)</f>
        <v>0</v>
      </c>
      <c r="AC7" s="164">
        <f>IFNA('Revenue Forecast'!AC6*VLOOKUP('Revenue Forecast'!$BD$41,Assumptions!$B$71:$C$73,2,TRUE),0)</f>
        <v>189694.48</v>
      </c>
      <c r="AD7" s="164">
        <f>IFNA('Revenue Forecast'!AD6*VLOOKUP('Revenue Forecast'!$BD$41,Assumptions!$B$71:$C$73,2,TRUE),0)</f>
        <v>209662.32</v>
      </c>
      <c r="AE7" s="164">
        <f>IFNA('Revenue Forecast'!AE6*VLOOKUP('Revenue Forecast'!$BD$41,Assumptions!$B$71:$C$73,2,TRUE),0)</f>
        <v>229630.16</v>
      </c>
      <c r="AF7" s="164">
        <f>IFNA('Revenue Forecast'!AF6*VLOOKUP('Revenue Forecast'!$BD$41,Assumptions!$B$71:$C$73,2,TRUE),0)</f>
        <v>249598</v>
      </c>
      <c r="AG7" s="164">
        <f>IFNA('Revenue Forecast'!AG6*VLOOKUP('Revenue Forecast'!$BD$41,Assumptions!$B$71:$C$73,2,TRUE),0)</f>
        <v>279549.76</v>
      </c>
      <c r="AH7" s="164">
        <f>IFNA('Revenue Forecast'!AH6*VLOOKUP('Revenue Forecast'!$BD$41,Assumptions!$B$71:$C$73,2,TRUE),0)</f>
        <v>299517.6</v>
      </c>
      <c r="AI7" s="164">
        <f>IFNA('Revenue Forecast'!AI6*VLOOKUP('Revenue Forecast'!$BD$41,Assumptions!$B$71:$C$73,2,TRUE),0)</f>
        <v>329469.36</v>
      </c>
      <c r="AJ7" s="164">
        <f>IFNA('Revenue Forecast'!AJ6*VLOOKUP('Revenue Forecast'!$BD$41,Assumptions!$B$71:$C$73,2,TRUE),0)</f>
        <v>359421.12</v>
      </c>
      <c r="AK7" s="164">
        <f>IFNA('Revenue Forecast'!AK6*VLOOKUP('Revenue Forecast'!$BD$41,Assumptions!$B$71:$C$73,2,TRUE),0)</f>
        <v>399356.8</v>
      </c>
      <c r="AL7" s="164">
        <f>IFNA('Revenue Forecast'!AL6*VLOOKUP('Revenue Forecast'!$BD$41,Assumptions!$B$71:$C$73,2,TRUE),0)</f>
        <v>439292.48</v>
      </c>
      <c r="AM7" s="164">
        <f>IFNA('Revenue Forecast'!AM6*VLOOKUP('Revenue Forecast'!$BD$41,Assumptions!$B$71:$C$73,2,TRUE),0)</f>
        <v>479228.16</v>
      </c>
      <c r="AN7" s="164">
        <f>IFNA('Revenue Forecast'!AN6*VLOOKUP('Revenue Forecast'!$BD$41,Assumptions!$B$71:$C$73,2,TRUE),0)</f>
        <v>529147.76</v>
      </c>
      <c r="AO7" s="164">
        <f>IFNA('Revenue Forecast'!AO6*VLOOKUP('Revenue Forecast'!$BE$41+'Revenue Forecast'!$BF$41,Assumptions!$B$71:$C$73,2,TRUE),0)</f>
        <v>409998.752</v>
      </c>
      <c r="AP7" s="164">
        <f>IFNA('Revenue Forecast'!AP6*VLOOKUP('Revenue Forecast'!$BE$41+'Revenue Forecast'!$BF$41,Assumptions!$B$71:$C$73,2,TRUE),0)</f>
        <v>445343.472</v>
      </c>
      <c r="AQ7" s="164">
        <f>IFNA('Revenue Forecast'!AQ6*VLOOKUP('Revenue Forecast'!$BE$41+'Revenue Forecast'!$BF$41,Assumptions!$B$71:$C$73,2,TRUE),0)</f>
        <v>487757.136</v>
      </c>
      <c r="AR7" s="164">
        <f>IFNA('Revenue Forecast'!AR6*VLOOKUP('Revenue Forecast'!$BE$41+'Revenue Forecast'!$BF$41,Assumptions!$B$71:$C$73,2,TRUE),0)</f>
        <v>537239.744</v>
      </c>
      <c r="AS7" s="164">
        <f>IFNA('Revenue Forecast'!AS6*VLOOKUP('Revenue Forecast'!$BE$41+'Revenue Forecast'!$BF$41,Assumptions!$B$71:$C$73,2,TRUE),0)</f>
        <v>586722.352</v>
      </c>
      <c r="AT7" s="164">
        <f>IFNA('Revenue Forecast'!AT6*VLOOKUP('Revenue Forecast'!$BE$41+'Revenue Forecast'!$BF$41,Assumptions!$B$71:$C$73,2,TRUE),0)</f>
        <v>643273.904</v>
      </c>
      <c r="AU7" s="164">
        <f>IFNA('Revenue Forecast'!AU6*VLOOKUP('Revenue Forecast'!$BE$41+'Revenue Forecast'!$BF$41,Assumptions!$B$71:$C$73,2,TRUE),0)</f>
        <v>706894.4</v>
      </c>
      <c r="AV7" s="164">
        <f>IFNA('Revenue Forecast'!AV6*VLOOKUP('Revenue Forecast'!$BE$41+'Revenue Forecast'!$BF$41,Assumptions!$B$71:$C$73,2,TRUE),0)</f>
        <v>770514.896</v>
      </c>
      <c r="AW7" s="164">
        <f>IFNA('Revenue Forecast'!AW6*VLOOKUP('Revenue Forecast'!$BE$41+'Revenue Forecast'!$BF$41,Assumptions!$B$71:$C$73,2,TRUE),0)</f>
        <v>848273.28</v>
      </c>
      <c r="AX7" s="164">
        <f>IFNA('Revenue Forecast'!AX6*VLOOKUP('Revenue Forecast'!$BE$41+'Revenue Forecast'!$BF$41,Assumptions!$B$71:$C$73,2,TRUE),0)</f>
        <v>926031.664</v>
      </c>
      <c r="AY7" s="164">
        <f>IFNA('Revenue Forecast'!AY6*VLOOKUP('Revenue Forecast'!$BE$41+'Revenue Forecast'!$BF$41,Assumptions!$B$71:$C$73,2,TRUE),0)</f>
        <v>1017927.936</v>
      </c>
      <c r="AZ7" s="164">
        <f>IFNA('Revenue Forecast'!AZ6*VLOOKUP('Revenue Forecast'!$BE$41+'Revenue Forecast'!$BF$41,Assumptions!$B$71:$C$73,2,TRUE),0)</f>
        <v>1102755.264</v>
      </c>
      <c r="BA7" s="163"/>
      <c r="BB7" s="163"/>
      <c r="BC7" s="163">
        <f t="shared" ref="BC7:BC9" si="1">SUM(Q7:AB7)</f>
        <v>0</v>
      </c>
      <c r="BD7" s="163">
        <f t="shared" ref="BD7:BD9" si="2">SUM(AC7:AN7)</f>
        <v>3993568</v>
      </c>
      <c r="BE7" s="163">
        <f t="shared" ref="BE7:BE9" si="3">SUM(AO7:AZ7)</f>
        <v>8482732.8</v>
      </c>
      <c r="BF7" s="163">
        <f>'Revenue Forecast'!BF6*VLOOKUP('Revenue Forecast'!$BF$41+Assumptions!$G$21,Assumptions!$B$71:$C$73,2,TRUE)</f>
        <v>11995200</v>
      </c>
      <c r="BG7" s="112"/>
    </row>
    <row r="8">
      <c r="A8" s="30"/>
      <c r="B8" s="30" t="s">
        <v>287</v>
      </c>
      <c r="C8" s="30"/>
      <c r="D8" s="203" t="s">
        <v>198</v>
      </c>
      <c r="E8" s="30"/>
      <c r="F8" s="30"/>
      <c r="G8" s="30"/>
      <c r="H8" s="30"/>
      <c r="I8" s="30"/>
      <c r="J8" s="30"/>
      <c r="K8" s="30"/>
      <c r="L8" s="30"/>
      <c r="M8" s="163"/>
      <c r="N8" s="163"/>
      <c r="O8" s="163"/>
      <c r="P8" s="163"/>
      <c r="Q8" s="163">
        <f>'Revenue Forecast'!Q6*SUMPRODUCT(Assumptions!$E$117:$E$119,Assumptions!$G$117:$G$119)</f>
        <v>0</v>
      </c>
      <c r="R8" s="163">
        <f>'Revenue Forecast'!R6*SUMPRODUCT(Assumptions!$E$117:$E$119,Assumptions!$G$117:$G$119)</f>
        <v>0</v>
      </c>
      <c r="S8" s="163">
        <f>'Revenue Forecast'!S6*SUMPRODUCT(Assumptions!$E$117:$E$119,Assumptions!$G$117:$G$119)</f>
        <v>0</v>
      </c>
      <c r="T8" s="163">
        <f>'Revenue Forecast'!T6*SUMPRODUCT(Assumptions!$E$117:$E$119,Assumptions!$G$117:$G$119)</f>
        <v>0</v>
      </c>
      <c r="U8" s="163">
        <f>'Revenue Forecast'!U6*SUMPRODUCT(Assumptions!$E$117:$E$119,Assumptions!$G$117:$G$119)</f>
        <v>0</v>
      </c>
      <c r="V8" s="163">
        <f>'Revenue Forecast'!V6*SUMPRODUCT(Assumptions!$E$117:$E$119,Assumptions!$G$117:$G$119)</f>
        <v>0</v>
      </c>
      <c r="W8" s="163">
        <f>'Revenue Forecast'!W6*SUMPRODUCT(Assumptions!$E$117:$E$119,Assumptions!$G$117:$G$119)</f>
        <v>0</v>
      </c>
      <c r="X8" s="163">
        <f>'Revenue Forecast'!X6*SUMPRODUCT(Assumptions!$E$117:$E$119,Assumptions!$G$117:$G$119)</f>
        <v>0</v>
      </c>
      <c r="Y8" s="163">
        <f>'Revenue Forecast'!Y6*SUMPRODUCT(Assumptions!$E$117:$E$119,Assumptions!$G$117:$G$119)</f>
        <v>0</v>
      </c>
      <c r="Z8" s="163">
        <f>'Revenue Forecast'!Z6*SUMPRODUCT(Assumptions!$E$117:$E$119,Assumptions!$G$117:$G$119)</f>
        <v>0</v>
      </c>
      <c r="AA8" s="163">
        <f>'Revenue Forecast'!AA6*SUMPRODUCT(Assumptions!$E$117:$E$119,Assumptions!$G$117:$G$119)</f>
        <v>0</v>
      </c>
      <c r="AB8" s="163">
        <f>'Revenue Forecast'!AB6*SUMPRODUCT(Assumptions!$E$117:$E$119,Assumptions!$G$117:$G$119)</f>
        <v>0</v>
      </c>
      <c r="AC8" s="163">
        <f>'Revenue Forecast'!AC6*SUMPRODUCT(Assumptions!$E$117:$E$119,Assumptions!$G$117:$G$119)</f>
        <v>4138.2</v>
      </c>
      <c r="AD8" s="163">
        <f>'Revenue Forecast'!AD6*SUMPRODUCT(Assumptions!$E$117:$E$119,Assumptions!$G$117:$G$119)</f>
        <v>4573.8</v>
      </c>
      <c r="AE8" s="163">
        <f>'Revenue Forecast'!AE6*SUMPRODUCT(Assumptions!$E$117:$E$119,Assumptions!$G$117:$G$119)</f>
        <v>5009.4</v>
      </c>
      <c r="AF8" s="163">
        <f>'Revenue Forecast'!AF6*SUMPRODUCT(Assumptions!$E$117:$E$119,Assumptions!$G$117:$G$119)</f>
        <v>5445</v>
      </c>
      <c r="AG8" s="163">
        <f>'Revenue Forecast'!AG6*SUMPRODUCT(Assumptions!$E$117:$E$119,Assumptions!$G$117:$G$119)</f>
        <v>6098.4</v>
      </c>
      <c r="AH8" s="163">
        <f>'Revenue Forecast'!AH6*SUMPRODUCT(Assumptions!$E$117:$E$119,Assumptions!$G$117:$G$119)</f>
        <v>6534</v>
      </c>
      <c r="AI8" s="163">
        <f>'Revenue Forecast'!AI6*SUMPRODUCT(Assumptions!$E$117:$E$119,Assumptions!$G$117:$G$119)</f>
        <v>7187.4</v>
      </c>
      <c r="AJ8" s="163">
        <f>'Revenue Forecast'!AJ6*SUMPRODUCT(Assumptions!$E$117:$E$119,Assumptions!$G$117:$G$119)</f>
        <v>7840.8</v>
      </c>
      <c r="AK8" s="163">
        <f>'Revenue Forecast'!AK6*SUMPRODUCT(Assumptions!$E$117:$E$119,Assumptions!$G$117:$G$119)</f>
        <v>8712</v>
      </c>
      <c r="AL8" s="163">
        <f>'Revenue Forecast'!AL6*SUMPRODUCT(Assumptions!$E$117:$E$119,Assumptions!$G$117:$G$119)</f>
        <v>9583.2</v>
      </c>
      <c r="AM8" s="163">
        <f>'Revenue Forecast'!AM6*SUMPRODUCT(Assumptions!$E$117:$E$119,Assumptions!$G$117:$G$119)</f>
        <v>10454.4</v>
      </c>
      <c r="AN8" s="163">
        <f>'Revenue Forecast'!AN6*SUMPRODUCT(Assumptions!$E$117:$E$119,Assumptions!$G$117:$G$119)</f>
        <v>11543.4</v>
      </c>
      <c r="AO8" s="163">
        <f>'Revenue Forecast'!AO6*SUMPRODUCT(Assumptions!$E$117:$E$119,Assumptions!$G$117:$G$119)</f>
        <v>12632.4</v>
      </c>
      <c r="AP8" s="163">
        <f>'Revenue Forecast'!AP6*SUMPRODUCT(Assumptions!$E$117:$E$119,Assumptions!$G$117:$G$119)</f>
        <v>13721.4</v>
      </c>
      <c r="AQ8" s="163">
        <f>'Revenue Forecast'!AQ6*SUMPRODUCT(Assumptions!$E$117:$E$119,Assumptions!$G$117:$G$119)</f>
        <v>15028.2</v>
      </c>
      <c r="AR8" s="163">
        <f>'Revenue Forecast'!AR6*SUMPRODUCT(Assumptions!$E$117:$E$119,Assumptions!$G$117:$G$119)</f>
        <v>16552.8</v>
      </c>
      <c r="AS8" s="163">
        <f>'Revenue Forecast'!AS6*SUMPRODUCT(Assumptions!$E$117:$E$119,Assumptions!$G$117:$G$119)</f>
        <v>18077.4</v>
      </c>
      <c r="AT8" s="163">
        <f>'Revenue Forecast'!AT6*SUMPRODUCT(Assumptions!$E$117:$E$119,Assumptions!$G$117:$G$119)</f>
        <v>19819.8</v>
      </c>
      <c r="AU8" s="163">
        <f>'Revenue Forecast'!AU6*SUMPRODUCT(Assumptions!$E$117:$E$119,Assumptions!$G$117:$G$119)</f>
        <v>21780</v>
      </c>
      <c r="AV8" s="163">
        <f>'Revenue Forecast'!AV6*SUMPRODUCT(Assumptions!$E$117:$E$119,Assumptions!$G$117:$G$119)</f>
        <v>23740.2</v>
      </c>
      <c r="AW8" s="163">
        <f>'Revenue Forecast'!AW6*SUMPRODUCT(Assumptions!$E$117:$E$119,Assumptions!$G$117:$G$119)</f>
        <v>26136</v>
      </c>
      <c r="AX8" s="163">
        <f>'Revenue Forecast'!AX6*SUMPRODUCT(Assumptions!$E$117:$E$119,Assumptions!$G$117:$G$119)</f>
        <v>28531.8</v>
      </c>
      <c r="AY8" s="163">
        <f>'Revenue Forecast'!AY6*SUMPRODUCT(Assumptions!$E$117:$E$119,Assumptions!$G$117:$G$119)</f>
        <v>31363.2</v>
      </c>
      <c r="AZ8" s="163">
        <f>'Revenue Forecast'!AZ6*SUMPRODUCT(Assumptions!$E$117:$E$119,Assumptions!$G$117:$G$119)</f>
        <v>33976.8</v>
      </c>
      <c r="BA8" s="163"/>
      <c r="BB8" s="163"/>
      <c r="BC8" s="163">
        <f t="shared" si="1"/>
        <v>0</v>
      </c>
      <c r="BD8" s="163">
        <f t="shared" si="2"/>
        <v>87120</v>
      </c>
      <c r="BE8" s="163">
        <f t="shared" si="3"/>
        <v>261360</v>
      </c>
      <c r="BF8" s="163">
        <f>'Revenue Forecast'!BF6*SUMPRODUCT(Assumptions!$E$117:$E$119,Assumptions!$G$117:$G$119)</f>
        <v>522720</v>
      </c>
      <c r="BG8" s="112"/>
    </row>
    <row r="9" ht="12.75" customHeight="1">
      <c r="A9" s="30"/>
      <c r="B9" s="221" t="s">
        <v>288</v>
      </c>
      <c r="C9" s="218"/>
      <c r="D9" s="221" t="s">
        <v>198</v>
      </c>
      <c r="E9" s="167"/>
      <c r="F9" s="167"/>
      <c r="G9" s="167"/>
      <c r="H9" s="167"/>
      <c r="I9" s="167"/>
      <c r="J9" s="167"/>
      <c r="K9" s="167"/>
      <c r="L9" s="167"/>
      <c r="M9" s="167"/>
      <c r="N9" s="167"/>
      <c r="O9" s="167"/>
      <c r="P9" s="167"/>
      <c r="Q9" s="167">
        <f t="shared" ref="Q9:AZ9" si="4">sum(Q7:Q8)</f>
        <v>0</v>
      </c>
      <c r="R9" s="167">
        <f t="shared" si="4"/>
        <v>0</v>
      </c>
      <c r="S9" s="167">
        <f t="shared" si="4"/>
        <v>0</v>
      </c>
      <c r="T9" s="167">
        <f t="shared" si="4"/>
        <v>0</v>
      </c>
      <c r="U9" s="167">
        <f t="shared" si="4"/>
        <v>0</v>
      </c>
      <c r="V9" s="167">
        <f t="shared" si="4"/>
        <v>0</v>
      </c>
      <c r="W9" s="167">
        <f t="shared" si="4"/>
        <v>0</v>
      </c>
      <c r="X9" s="167">
        <f t="shared" si="4"/>
        <v>0</v>
      </c>
      <c r="Y9" s="167">
        <f t="shared" si="4"/>
        <v>0</v>
      </c>
      <c r="Z9" s="167">
        <f t="shared" si="4"/>
        <v>0</v>
      </c>
      <c r="AA9" s="167">
        <f t="shared" si="4"/>
        <v>0</v>
      </c>
      <c r="AB9" s="167">
        <f t="shared" si="4"/>
        <v>0</v>
      </c>
      <c r="AC9" s="167">
        <f t="shared" si="4"/>
        <v>193832.68</v>
      </c>
      <c r="AD9" s="167">
        <f t="shared" si="4"/>
        <v>214236.12</v>
      </c>
      <c r="AE9" s="167">
        <f t="shared" si="4"/>
        <v>234639.56</v>
      </c>
      <c r="AF9" s="167">
        <f t="shared" si="4"/>
        <v>255043</v>
      </c>
      <c r="AG9" s="167">
        <f t="shared" si="4"/>
        <v>285648.16</v>
      </c>
      <c r="AH9" s="167">
        <f t="shared" si="4"/>
        <v>306051.6</v>
      </c>
      <c r="AI9" s="167">
        <f t="shared" si="4"/>
        <v>336656.76</v>
      </c>
      <c r="AJ9" s="167">
        <f t="shared" si="4"/>
        <v>367261.92</v>
      </c>
      <c r="AK9" s="167">
        <f t="shared" si="4"/>
        <v>408068.8</v>
      </c>
      <c r="AL9" s="167">
        <f t="shared" si="4"/>
        <v>448875.68</v>
      </c>
      <c r="AM9" s="167">
        <f t="shared" si="4"/>
        <v>489682.56</v>
      </c>
      <c r="AN9" s="167">
        <f t="shared" si="4"/>
        <v>540691.16</v>
      </c>
      <c r="AO9" s="167">
        <f t="shared" si="4"/>
        <v>422631.152</v>
      </c>
      <c r="AP9" s="167">
        <f t="shared" si="4"/>
        <v>459064.872</v>
      </c>
      <c r="AQ9" s="167">
        <f t="shared" si="4"/>
        <v>502785.336</v>
      </c>
      <c r="AR9" s="167">
        <f t="shared" si="4"/>
        <v>553792.544</v>
      </c>
      <c r="AS9" s="167">
        <f t="shared" si="4"/>
        <v>604799.752</v>
      </c>
      <c r="AT9" s="167">
        <f t="shared" si="4"/>
        <v>663093.704</v>
      </c>
      <c r="AU9" s="167">
        <f t="shared" si="4"/>
        <v>728674.4</v>
      </c>
      <c r="AV9" s="167">
        <f t="shared" si="4"/>
        <v>794255.096</v>
      </c>
      <c r="AW9" s="167">
        <f t="shared" si="4"/>
        <v>874409.28</v>
      </c>
      <c r="AX9" s="167">
        <f t="shared" si="4"/>
        <v>954563.464</v>
      </c>
      <c r="AY9" s="167">
        <f t="shared" si="4"/>
        <v>1049291.136</v>
      </c>
      <c r="AZ9" s="167">
        <f t="shared" si="4"/>
        <v>1136732.064</v>
      </c>
      <c r="BA9" s="163"/>
      <c r="BB9" s="223">
        <f>SUM(E9:P9)</f>
        <v>0</v>
      </c>
      <c r="BC9" s="223">
        <f t="shared" si="1"/>
        <v>0</v>
      </c>
      <c r="BD9" s="223">
        <f t="shared" si="2"/>
        <v>4080688</v>
      </c>
      <c r="BE9" s="223">
        <f t="shared" si="3"/>
        <v>8744092.8</v>
      </c>
      <c r="BF9" s="223">
        <f>sum(BF7:BF8)</f>
        <v>12517920</v>
      </c>
      <c r="BG9" s="224"/>
    </row>
    <row r="10">
      <c r="A10" s="30"/>
      <c r="B10" s="30"/>
      <c r="C10" s="30"/>
      <c r="D10" s="30"/>
      <c r="E10" s="30"/>
      <c r="F10" s="30"/>
      <c r="G10" s="30"/>
      <c r="H10" s="30"/>
      <c r="I10" s="30"/>
      <c r="J10" s="30"/>
      <c r="K10" s="30"/>
      <c r="L10" s="30"/>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210"/>
      <c r="AO10" s="210"/>
      <c r="AP10" s="210"/>
      <c r="AQ10" s="210"/>
      <c r="AR10" s="210"/>
      <c r="AS10" s="210"/>
      <c r="AT10" s="210"/>
      <c r="AU10" s="210"/>
      <c r="AV10" s="210"/>
      <c r="AW10" s="210"/>
      <c r="AX10" s="210"/>
      <c r="AY10" s="210"/>
      <c r="AZ10" s="210"/>
      <c r="BA10" s="163"/>
      <c r="BB10" s="163"/>
      <c r="BC10" s="163"/>
      <c r="BD10" s="210"/>
      <c r="BE10" s="210"/>
      <c r="BF10" s="210"/>
      <c r="BG10" s="112"/>
    </row>
    <row r="11" ht="13.5" customHeight="1">
      <c r="A11" s="217"/>
      <c r="B11" s="221" t="s">
        <v>263</v>
      </c>
      <c r="C11" s="217"/>
      <c r="D11" s="217"/>
      <c r="E11" s="217"/>
      <c r="F11" s="217"/>
      <c r="G11" s="217"/>
      <c r="H11" s="217"/>
      <c r="I11" s="217"/>
      <c r="J11" s="217"/>
      <c r="K11" s="217"/>
      <c r="L11" s="217"/>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3"/>
      <c r="BB11" s="168"/>
      <c r="BC11" s="170"/>
      <c r="BD11" s="170"/>
      <c r="BE11" s="170"/>
      <c r="BF11" s="170"/>
      <c r="BG11" s="112"/>
    </row>
    <row r="12" ht="15.0" customHeight="1">
      <c r="A12" s="30"/>
      <c r="B12" s="243" t="s">
        <v>50</v>
      </c>
      <c r="C12" s="30"/>
      <c r="D12" s="203" t="s">
        <v>198</v>
      </c>
      <c r="E12" s="242"/>
      <c r="F12" s="242"/>
      <c r="G12" s="242"/>
      <c r="H12" s="242"/>
      <c r="I12" s="242"/>
      <c r="J12" s="242"/>
      <c r="K12" s="242"/>
      <c r="L12" s="242"/>
      <c r="M12" s="164"/>
      <c r="N12" s="164"/>
      <c r="O12" s="164"/>
      <c r="P12" s="164"/>
      <c r="Q12" s="164">
        <f>IFNA('Revenue Forecast'!Q12*(VLOOKUP('Revenue Forecast'!$BC$41,Assumptions!$B$71:$C$73,2,TRUE)+VLOOKUP('Revenue Forecast'!$BC$12,Assumptions!$B$83:$C$85,2,TRUE)+Assumptions!$E$79),0)</f>
        <v>0</v>
      </c>
      <c r="R12" s="164">
        <f>IFNA('Revenue Forecast'!R12*(VLOOKUP('Revenue Forecast'!$BC$41,Assumptions!$B$71:$C$73,2,TRUE)+VLOOKUP('Revenue Forecast'!$BC$12,Assumptions!$B$83:$C$85,2,TRUE)+Assumptions!$E$79),0)</f>
        <v>0</v>
      </c>
      <c r="S12" s="164">
        <f>IFNA('Revenue Forecast'!S12*(VLOOKUP('Revenue Forecast'!$BC$41,Assumptions!$B$71:$C$73,2,TRUE)+VLOOKUP('Revenue Forecast'!$BC$12,Assumptions!$B$83:$C$85,2,TRUE)+Assumptions!$E$79),0)</f>
        <v>0</v>
      </c>
      <c r="T12" s="164">
        <f>IFNA('Revenue Forecast'!T12*(VLOOKUP('Revenue Forecast'!$BC$41,Assumptions!$B$71:$C$73,2,TRUE)+VLOOKUP('Revenue Forecast'!$BC$12,Assumptions!$B$83:$C$85,2,TRUE)+Assumptions!$E$79),0)</f>
        <v>0</v>
      </c>
      <c r="U12" s="164">
        <f>IFNA('Revenue Forecast'!U12*(VLOOKUP('Revenue Forecast'!$BC$41,Assumptions!$B$71:$C$73,2,TRUE)+VLOOKUP('Revenue Forecast'!$BC$12,Assumptions!$B$83:$C$85,2,TRUE)+Assumptions!$E$79),0)</f>
        <v>0</v>
      </c>
      <c r="V12" s="164">
        <f>IFNA('Revenue Forecast'!V12*(VLOOKUP('Revenue Forecast'!$BC$41,Assumptions!$B$71:$C$73,2,TRUE)+VLOOKUP('Revenue Forecast'!$BC$12,Assumptions!$B$83:$C$85,2,TRUE)+Assumptions!$E$79),0)</f>
        <v>0</v>
      </c>
      <c r="W12" s="164">
        <f>IFNA('Revenue Forecast'!W12*(VLOOKUP('Revenue Forecast'!$BC$41,Assumptions!$B$71:$C$73,2,TRUE)+VLOOKUP('Revenue Forecast'!$BC$12,Assumptions!$B$83:$C$85,2,TRUE)+Assumptions!$E$79),0)</f>
        <v>0</v>
      </c>
      <c r="X12" s="164">
        <f>IFNA('Revenue Forecast'!X12*(VLOOKUP('Revenue Forecast'!$BC$41,Assumptions!$B$71:$C$73,2,TRUE)+VLOOKUP('Revenue Forecast'!$BC$12,Assumptions!$B$83:$C$85,2,TRUE)+Assumptions!$E$79),0)</f>
        <v>0</v>
      </c>
      <c r="Y12" s="164">
        <f>IFNA('Revenue Forecast'!Y12*(VLOOKUP('Revenue Forecast'!$BC$41,Assumptions!$B$71:$C$73,2,TRUE)+VLOOKUP('Revenue Forecast'!$BC$12,Assumptions!$B$83:$C$85,2,TRUE)+Assumptions!$E$79),0)</f>
        <v>0</v>
      </c>
      <c r="Z12" s="164">
        <f>IFNA('Revenue Forecast'!Z12*(VLOOKUP('Revenue Forecast'!$BC$41,Assumptions!$B$71:$C$73,2,TRUE)+VLOOKUP('Revenue Forecast'!$BC$12,Assumptions!$B$83:$C$85,2,TRUE)+Assumptions!$E$79),0)</f>
        <v>0</v>
      </c>
      <c r="AA12" s="164">
        <f>IFNA('Revenue Forecast'!AA12*(VLOOKUP('Revenue Forecast'!$BC$41,Assumptions!$B$71:$C$73,2,TRUE)+VLOOKUP('Revenue Forecast'!$BC$12,Assumptions!$B$83:$C$85,2,TRUE)+Assumptions!$E$79),0)</f>
        <v>0</v>
      </c>
      <c r="AB12" s="164">
        <f>IFNA('Revenue Forecast'!AB12*(VLOOKUP('Revenue Forecast'!$BC$41,Assumptions!$B$71:$C$73,2,TRUE)+VLOOKUP('Revenue Forecast'!$BC$12,Assumptions!$B$83:$C$85,2,TRUE)+Assumptions!$E$79),0)</f>
        <v>0</v>
      </c>
      <c r="AC12" s="164">
        <f>IFNA('Revenue Forecast'!AC12*(VLOOKUP('Revenue Forecast'!$BD$41,Assumptions!$B$71:$C$73,2,TRUE)+VLOOKUP('Revenue Forecast'!$BD$12,Assumptions!$B$83:$C$85,2,TRUE)+Assumptions!$E$79),0)</f>
        <v>157671.92</v>
      </c>
      <c r="AD12" s="164">
        <f>IFNA('Revenue Forecast'!AD12*(VLOOKUP('Revenue Forecast'!$BD$41,Assumptions!$B$71:$C$73,2,TRUE)+VLOOKUP('Revenue Forecast'!$BD$12,Assumptions!$B$83:$C$85,2,TRUE)+Assumptions!$E$79),0)</f>
        <v>180196.48</v>
      </c>
      <c r="AE12" s="164">
        <f>IFNA('Revenue Forecast'!AE12*(VLOOKUP('Revenue Forecast'!$BD$41,Assumptions!$B$71:$C$73,2,TRUE)+VLOOKUP('Revenue Forecast'!$BD$12,Assumptions!$B$83:$C$85,2,TRUE)+Assumptions!$E$79),0)</f>
        <v>191458.76</v>
      </c>
      <c r="AF12" s="164">
        <f>IFNA('Revenue Forecast'!AF12*(VLOOKUP('Revenue Forecast'!$BD$41,Assumptions!$B$71:$C$73,2,TRUE)+VLOOKUP('Revenue Forecast'!$BD$12,Assumptions!$B$83:$C$85,2,TRUE)+Assumptions!$E$79),0)</f>
        <v>213983.32</v>
      </c>
      <c r="AG12" s="164">
        <f>IFNA('Revenue Forecast'!AG12*(VLOOKUP('Revenue Forecast'!$BD$41,Assumptions!$B$71:$C$73,2,TRUE)+VLOOKUP('Revenue Forecast'!$BD$12,Assumptions!$B$83:$C$85,2,TRUE)+Assumptions!$E$79),0)</f>
        <v>236507.88</v>
      </c>
      <c r="AH12" s="164">
        <f>IFNA('Revenue Forecast'!AH12*(VLOOKUP('Revenue Forecast'!$BD$41,Assumptions!$B$71:$C$73,2,TRUE)+VLOOKUP('Revenue Forecast'!$BD$12,Assumptions!$B$83:$C$85,2,TRUE)+Assumptions!$E$79),0)</f>
        <v>259032.44</v>
      </c>
      <c r="AI12" s="164">
        <f>IFNA('Revenue Forecast'!AI12*(VLOOKUP('Revenue Forecast'!$BD$41,Assumptions!$B$71:$C$73,2,TRUE)+VLOOKUP('Revenue Forecast'!$BD$12,Assumptions!$B$83:$C$85,2,TRUE)+Assumptions!$E$79),0)</f>
        <v>281557</v>
      </c>
      <c r="AJ12" s="164">
        <f>IFNA('Revenue Forecast'!AJ12*(VLOOKUP('Revenue Forecast'!$BD$41,Assumptions!$B$71:$C$73,2,TRUE)+VLOOKUP('Revenue Forecast'!$BD$12,Assumptions!$B$83:$C$85,2,TRUE)+Assumptions!$E$79),0)</f>
        <v>304081.56</v>
      </c>
      <c r="AK12" s="164">
        <f>IFNA('Revenue Forecast'!AK12*(VLOOKUP('Revenue Forecast'!$BD$41,Assumptions!$B$71:$C$73,2,TRUE)+VLOOKUP('Revenue Forecast'!$BD$12,Assumptions!$B$83:$C$85,2,TRUE)+Assumptions!$E$79),0)</f>
        <v>337868.4</v>
      </c>
      <c r="AL12" s="164">
        <f>IFNA('Revenue Forecast'!AL12*(VLOOKUP('Revenue Forecast'!$BD$41,Assumptions!$B$71:$C$73,2,TRUE)+VLOOKUP('Revenue Forecast'!$BD$12,Assumptions!$B$83:$C$85,2,TRUE)+Assumptions!$E$79),0)</f>
        <v>371655.24</v>
      </c>
      <c r="AM12" s="164">
        <f>IFNA('Revenue Forecast'!AM12*(VLOOKUP('Revenue Forecast'!$BD$41,Assumptions!$B$71:$C$73,2,TRUE)+VLOOKUP('Revenue Forecast'!$BD$12,Assumptions!$B$83:$C$85,2,TRUE)+Assumptions!$E$79),0)</f>
        <v>405442.08</v>
      </c>
      <c r="AN12" s="164">
        <f>IFNA('Revenue Forecast'!AN12*(VLOOKUP('Revenue Forecast'!$BD$41,Assumptions!$B$71:$C$73,2,TRUE)+VLOOKUP('Revenue Forecast'!$BD$12,Assumptions!$B$83:$C$85,2,TRUE)+Assumptions!$E$79),0)</f>
        <v>439228.92</v>
      </c>
      <c r="AO12" s="164">
        <f>IFNA('Revenue Forecast'!AO12*(VLOOKUP('Revenue Forecast'!$BE$41+'Revenue Forecast'!$BF$41,Assumptions!$B$71:$C$73,2,TRUE)+VLOOKUP('Revenue Forecast'!$BE$12+'Revenue Forecast'!$BF$12,Assumptions!$B$83:$C$85,2,TRUE)+Assumptions!$E$79),0)</f>
        <v>358934.072</v>
      </c>
      <c r="AP12" s="164">
        <f>IFNA('Revenue Forecast'!AP12*(VLOOKUP('Revenue Forecast'!$BE$41+'Revenue Forecast'!$BF$41,Assumptions!$B$71:$C$73,2,TRUE)+VLOOKUP('Revenue Forecast'!$BE$12+'Revenue Forecast'!$BF$12,Assumptions!$B$83:$C$85,2,TRUE)+Assumptions!$E$79),0)</f>
        <v>392323.288</v>
      </c>
      <c r="AQ12" s="164">
        <f>IFNA('Revenue Forecast'!AQ12*(VLOOKUP('Revenue Forecast'!$BE$41+'Revenue Forecast'!$BF$41,Assumptions!$B$71:$C$73,2,TRUE)+VLOOKUP('Revenue Forecast'!$BE$12+'Revenue Forecast'!$BF$12,Assumptions!$B$83:$C$85,2,TRUE)+Assumptions!$E$79),0)</f>
        <v>434059.808</v>
      </c>
      <c r="AR12" s="164">
        <f>IFNA('Revenue Forecast'!AR12*(VLOOKUP('Revenue Forecast'!$BE$41+'Revenue Forecast'!$BF$41,Assumptions!$B$71:$C$73,2,TRUE)+VLOOKUP('Revenue Forecast'!$BE$12+'Revenue Forecast'!$BF$12,Assumptions!$B$83:$C$85,2,TRUE)+Assumptions!$E$79),0)</f>
        <v>475796.328</v>
      </c>
      <c r="AS12" s="164">
        <f>IFNA('Revenue Forecast'!AS12*(VLOOKUP('Revenue Forecast'!$BE$41+'Revenue Forecast'!$BF$41,Assumptions!$B$71:$C$73,2,TRUE)+VLOOKUP('Revenue Forecast'!$BE$12+'Revenue Forecast'!$BF$12,Assumptions!$B$83:$C$85,2,TRUE)+Assumptions!$E$79),0)</f>
        <v>517532.848</v>
      </c>
      <c r="AT12" s="164">
        <f>IFNA('Revenue Forecast'!AT12*(VLOOKUP('Revenue Forecast'!$BE$41+'Revenue Forecast'!$BF$41,Assumptions!$B$71:$C$73,2,TRUE)+VLOOKUP('Revenue Forecast'!$BE$12+'Revenue Forecast'!$BF$12,Assumptions!$B$83:$C$85,2,TRUE)+Assumptions!$E$79),0)</f>
        <v>567616.672</v>
      </c>
      <c r="AU12" s="164">
        <f>IFNA('Revenue Forecast'!AU12*(VLOOKUP('Revenue Forecast'!$BE$41+'Revenue Forecast'!$BF$41,Assumptions!$B$71:$C$73,2,TRUE)+VLOOKUP('Revenue Forecast'!$BE$12+'Revenue Forecast'!$BF$12,Assumptions!$B$83:$C$85,2,TRUE)+Assumptions!$E$79),0)</f>
        <v>626047.8</v>
      </c>
      <c r="AV12" s="164">
        <f>IFNA('Revenue Forecast'!AV12*(VLOOKUP('Revenue Forecast'!$BE$41+'Revenue Forecast'!$BF$41,Assumptions!$B$71:$C$73,2,TRUE)+VLOOKUP('Revenue Forecast'!$BE$12+'Revenue Forecast'!$BF$12,Assumptions!$B$83:$C$85,2,TRUE)+Assumptions!$E$79),0)</f>
        <v>684478.928</v>
      </c>
      <c r="AW12" s="164">
        <f>IFNA('Revenue Forecast'!AW12*(VLOOKUP('Revenue Forecast'!$BE$41+'Revenue Forecast'!$BF$41,Assumptions!$B$71:$C$73,2,TRUE)+VLOOKUP('Revenue Forecast'!$BE$12+'Revenue Forecast'!$BF$12,Assumptions!$B$83:$C$85,2,TRUE)+Assumptions!$E$79),0)</f>
        <v>751257.36</v>
      </c>
      <c r="AX12" s="164">
        <f>IFNA('Revenue Forecast'!AX12*(VLOOKUP('Revenue Forecast'!$BE$41+'Revenue Forecast'!$BF$41,Assumptions!$B$71:$C$73,2,TRUE)+VLOOKUP('Revenue Forecast'!$BE$12+'Revenue Forecast'!$BF$12,Assumptions!$B$83:$C$85,2,TRUE)+Assumptions!$E$79),0)</f>
        <v>818035.792</v>
      </c>
      <c r="AY12" s="164">
        <f>IFNA('Revenue Forecast'!AY12*(VLOOKUP('Revenue Forecast'!$BE$41+'Revenue Forecast'!$BF$41,Assumptions!$B$71:$C$73,2,TRUE)+VLOOKUP('Revenue Forecast'!$BE$12+'Revenue Forecast'!$BF$12,Assumptions!$B$83:$C$85,2,TRUE)+Assumptions!$E$79),0)</f>
        <v>901508.832</v>
      </c>
      <c r="AZ12" s="164">
        <f>IFNA('Revenue Forecast'!AZ12*(VLOOKUP('Revenue Forecast'!$BE$41+'Revenue Forecast'!$BF$41,Assumptions!$B$71:$C$73,2,TRUE)+VLOOKUP('Revenue Forecast'!$BE$12+'Revenue Forecast'!$BF$12,Assumptions!$B$83:$C$85,2,TRUE)+Assumptions!$E$79),0)</f>
        <v>984981.872</v>
      </c>
      <c r="BA12" s="163"/>
      <c r="BB12" s="163"/>
      <c r="BC12" s="163">
        <f t="shared" ref="BC12:BC14" si="5">SUM(Q12:AB12)</f>
        <v>0</v>
      </c>
      <c r="BD12" s="163">
        <f t="shared" ref="BD12:BD14" si="6">SUM(AC12:AN12)</f>
        <v>3378684</v>
      </c>
      <c r="BE12" s="163">
        <f t="shared" ref="BE12:BE14" si="7">SUM(AO12:AZ12)</f>
        <v>7512573.6</v>
      </c>
      <c r="BF12" s="163">
        <f>'Revenue Forecast'!BF12*(VLOOKUP('Revenue Forecast'!$BF$41+Assumptions!$G$21,Assumptions!$B$71:$C$73,2,TRUE)+VLOOKUP('Revenue Forecast'!$BF$12+Assumptions!$G$24,Assumptions!$B$83:$C$85,2,TRUE)+Assumptions!$E$79)</f>
        <v>11085336</v>
      </c>
      <c r="BG12" s="112"/>
    </row>
    <row r="13">
      <c r="A13" s="30"/>
      <c r="B13" s="30" t="s">
        <v>287</v>
      </c>
      <c r="C13" s="30"/>
      <c r="D13" s="203" t="s">
        <v>198</v>
      </c>
      <c r="E13" s="30"/>
      <c r="F13" s="30"/>
      <c r="G13" s="30"/>
      <c r="H13" s="30"/>
      <c r="I13" s="30"/>
      <c r="J13" s="30"/>
      <c r="K13" s="30"/>
      <c r="L13" s="30"/>
      <c r="M13" s="163"/>
      <c r="N13" s="163"/>
      <c r="O13" s="163"/>
      <c r="P13" s="163"/>
      <c r="Q13" s="163">
        <f>'Revenue Forecast'!Q12*SUMPRODUCT(Assumptions!$E$117:$E$119,Assumptions!$G$117:$G$119)</f>
        <v>0</v>
      </c>
      <c r="R13" s="163">
        <f>'Revenue Forecast'!R12*SUMPRODUCT(Assumptions!$E$117:$E$119,Assumptions!$G$117:$G$119)</f>
        <v>0</v>
      </c>
      <c r="S13" s="163">
        <f>'Revenue Forecast'!S12*SUMPRODUCT(Assumptions!$E$117:$E$119,Assumptions!$G$117:$G$119)</f>
        <v>0</v>
      </c>
      <c r="T13" s="163">
        <f>'Revenue Forecast'!T12*SUMPRODUCT(Assumptions!$E$117:$E$119,Assumptions!$G$117:$G$119)</f>
        <v>0</v>
      </c>
      <c r="U13" s="163">
        <f>'Revenue Forecast'!U12*SUMPRODUCT(Assumptions!$E$117:$E$119,Assumptions!$G$117:$G$119)</f>
        <v>0</v>
      </c>
      <c r="V13" s="163">
        <f>'Revenue Forecast'!V12*SUMPRODUCT(Assumptions!$E$117:$E$119,Assumptions!$G$117:$G$119)</f>
        <v>0</v>
      </c>
      <c r="W13" s="163">
        <f>'Revenue Forecast'!W12*SUMPRODUCT(Assumptions!$E$117:$E$119,Assumptions!$G$117:$G$119)</f>
        <v>0</v>
      </c>
      <c r="X13" s="163">
        <f>'Revenue Forecast'!X12*SUMPRODUCT(Assumptions!$E$117:$E$119,Assumptions!$G$117:$G$119)</f>
        <v>0</v>
      </c>
      <c r="Y13" s="163">
        <f>'Revenue Forecast'!Y12*SUMPRODUCT(Assumptions!$E$117:$E$119,Assumptions!$G$117:$G$119)</f>
        <v>0</v>
      </c>
      <c r="Z13" s="163">
        <f>'Revenue Forecast'!Z12*SUMPRODUCT(Assumptions!$E$117:$E$119,Assumptions!$G$117:$G$119)</f>
        <v>0</v>
      </c>
      <c r="AA13" s="163">
        <f>'Revenue Forecast'!AA12*SUMPRODUCT(Assumptions!$E$117:$E$119,Assumptions!$G$117:$G$119)</f>
        <v>0</v>
      </c>
      <c r="AB13" s="163">
        <f>'Revenue Forecast'!AB12*SUMPRODUCT(Assumptions!$E$117:$E$119,Assumptions!$G$117:$G$119)</f>
        <v>0</v>
      </c>
      <c r="AC13" s="163">
        <f>'Revenue Forecast'!AC12*SUMPRODUCT(Assumptions!$E$117:$E$119,Assumptions!$G$117:$G$119)</f>
        <v>3049.2</v>
      </c>
      <c r="AD13" s="163">
        <f>'Revenue Forecast'!AD12*SUMPRODUCT(Assumptions!$E$117:$E$119,Assumptions!$G$117:$G$119)</f>
        <v>3484.8</v>
      </c>
      <c r="AE13" s="163">
        <f>'Revenue Forecast'!AE12*SUMPRODUCT(Assumptions!$E$117:$E$119,Assumptions!$G$117:$G$119)</f>
        <v>3702.6</v>
      </c>
      <c r="AF13" s="163">
        <f>'Revenue Forecast'!AF12*SUMPRODUCT(Assumptions!$E$117:$E$119,Assumptions!$G$117:$G$119)</f>
        <v>4138.2</v>
      </c>
      <c r="AG13" s="163">
        <f>'Revenue Forecast'!AG12*SUMPRODUCT(Assumptions!$E$117:$E$119,Assumptions!$G$117:$G$119)</f>
        <v>4573.8</v>
      </c>
      <c r="AH13" s="163">
        <f>'Revenue Forecast'!AH12*SUMPRODUCT(Assumptions!$E$117:$E$119,Assumptions!$G$117:$G$119)</f>
        <v>5009.4</v>
      </c>
      <c r="AI13" s="163">
        <f>'Revenue Forecast'!AI12*SUMPRODUCT(Assumptions!$E$117:$E$119,Assumptions!$G$117:$G$119)</f>
        <v>5445</v>
      </c>
      <c r="AJ13" s="163">
        <f>'Revenue Forecast'!AJ12*SUMPRODUCT(Assumptions!$E$117:$E$119,Assumptions!$G$117:$G$119)</f>
        <v>5880.6</v>
      </c>
      <c r="AK13" s="163">
        <f>'Revenue Forecast'!AK12*SUMPRODUCT(Assumptions!$E$117:$E$119,Assumptions!$G$117:$G$119)</f>
        <v>6534</v>
      </c>
      <c r="AL13" s="163">
        <f>'Revenue Forecast'!AL12*SUMPRODUCT(Assumptions!$E$117:$E$119,Assumptions!$G$117:$G$119)</f>
        <v>7187.4</v>
      </c>
      <c r="AM13" s="163">
        <f>'Revenue Forecast'!AM12*SUMPRODUCT(Assumptions!$E$117:$E$119,Assumptions!$G$117:$G$119)</f>
        <v>7840.8</v>
      </c>
      <c r="AN13" s="163">
        <f>'Revenue Forecast'!AN12*SUMPRODUCT(Assumptions!$E$117:$E$119,Assumptions!$G$117:$G$119)</f>
        <v>8494.2</v>
      </c>
      <c r="AO13" s="163">
        <f>'Revenue Forecast'!AO12*SUMPRODUCT(Assumptions!$E$117:$E$119,Assumptions!$G$117:$G$119)</f>
        <v>9365.4</v>
      </c>
      <c r="AP13" s="163">
        <f>'Revenue Forecast'!AP12*SUMPRODUCT(Assumptions!$E$117:$E$119,Assumptions!$G$117:$G$119)</f>
        <v>10236.6</v>
      </c>
      <c r="AQ13" s="163">
        <f>'Revenue Forecast'!AQ12*SUMPRODUCT(Assumptions!$E$117:$E$119,Assumptions!$G$117:$G$119)</f>
        <v>11325.6</v>
      </c>
      <c r="AR13" s="163">
        <f>'Revenue Forecast'!AR12*SUMPRODUCT(Assumptions!$E$117:$E$119,Assumptions!$G$117:$G$119)</f>
        <v>12414.6</v>
      </c>
      <c r="AS13" s="163">
        <f>'Revenue Forecast'!AS12*SUMPRODUCT(Assumptions!$E$117:$E$119,Assumptions!$G$117:$G$119)</f>
        <v>13503.6</v>
      </c>
      <c r="AT13" s="163">
        <f>'Revenue Forecast'!AT12*SUMPRODUCT(Assumptions!$E$117:$E$119,Assumptions!$G$117:$G$119)</f>
        <v>14810.4</v>
      </c>
      <c r="AU13" s="163">
        <f>'Revenue Forecast'!AU12*SUMPRODUCT(Assumptions!$E$117:$E$119,Assumptions!$G$117:$G$119)</f>
        <v>16335</v>
      </c>
      <c r="AV13" s="163">
        <f>'Revenue Forecast'!AV12*SUMPRODUCT(Assumptions!$E$117:$E$119,Assumptions!$G$117:$G$119)</f>
        <v>17859.6</v>
      </c>
      <c r="AW13" s="163">
        <f>'Revenue Forecast'!AW12*SUMPRODUCT(Assumptions!$E$117:$E$119,Assumptions!$G$117:$G$119)</f>
        <v>19602</v>
      </c>
      <c r="AX13" s="163">
        <f>'Revenue Forecast'!AX12*SUMPRODUCT(Assumptions!$E$117:$E$119,Assumptions!$G$117:$G$119)</f>
        <v>21344.4</v>
      </c>
      <c r="AY13" s="163">
        <f>'Revenue Forecast'!AY12*SUMPRODUCT(Assumptions!$E$117:$E$119,Assumptions!$G$117:$G$119)</f>
        <v>23522.4</v>
      </c>
      <c r="AZ13" s="163">
        <f>'Revenue Forecast'!AZ12*SUMPRODUCT(Assumptions!$E$117:$E$119,Assumptions!$G$117:$G$119)</f>
        <v>25700.4</v>
      </c>
      <c r="BA13" s="163"/>
      <c r="BB13" s="163"/>
      <c r="BC13" s="163">
        <f t="shared" si="5"/>
        <v>0</v>
      </c>
      <c r="BD13" s="163">
        <f t="shared" si="6"/>
        <v>65340</v>
      </c>
      <c r="BE13" s="163">
        <f t="shared" si="7"/>
        <v>196020</v>
      </c>
      <c r="BF13" s="163">
        <f>'Revenue Forecast'!BF12*SUMPRODUCT(Assumptions!$E$117:$E$119,Assumptions!$G$117:$G$119)</f>
        <v>392040</v>
      </c>
      <c r="BG13" s="112"/>
    </row>
    <row r="14" ht="12.75" customHeight="1">
      <c r="A14" s="30"/>
      <c r="B14" s="221" t="s">
        <v>289</v>
      </c>
      <c r="C14" s="218"/>
      <c r="D14" s="221" t="s">
        <v>198</v>
      </c>
      <c r="E14" s="167"/>
      <c r="F14" s="167"/>
      <c r="G14" s="167"/>
      <c r="H14" s="167"/>
      <c r="I14" s="167"/>
      <c r="J14" s="167"/>
      <c r="K14" s="167"/>
      <c r="L14" s="167"/>
      <c r="M14" s="167"/>
      <c r="N14" s="167"/>
      <c r="O14" s="167"/>
      <c r="P14" s="167"/>
      <c r="Q14" s="167">
        <f t="shared" ref="Q14:AZ14" si="8">sum(Q12:Q13)</f>
        <v>0</v>
      </c>
      <c r="R14" s="167">
        <f t="shared" si="8"/>
        <v>0</v>
      </c>
      <c r="S14" s="167">
        <f t="shared" si="8"/>
        <v>0</v>
      </c>
      <c r="T14" s="167">
        <f t="shared" si="8"/>
        <v>0</v>
      </c>
      <c r="U14" s="167">
        <f t="shared" si="8"/>
        <v>0</v>
      </c>
      <c r="V14" s="167">
        <f t="shared" si="8"/>
        <v>0</v>
      </c>
      <c r="W14" s="167">
        <f t="shared" si="8"/>
        <v>0</v>
      </c>
      <c r="X14" s="167">
        <f t="shared" si="8"/>
        <v>0</v>
      </c>
      <c r="Y14" s="167">
        <f t="shared" si="8"/>
        <v>0</v>
      </c>
      <c r="Z14" s="167">
        <f t="shared" si="8"/>
        <v>0</v>
      </c>
      <c r="AA14" s="167">
        <f t="shared" si="8"/>
        <v>0</v>
      </c>
      <c r="AB14" s="167">
        <f t="shared" si="8"/>
        <v>0</v>
      </c>
      <c r="AC14" s="167">
        <f t="shared" si="8"/>
        <v>160721.12</v>
      </c>
      <c r="AD14" s="167">
        <f t="shared" si="8"/>
        <v>183681.28</v>
      </c>
      <c r="AE14" s="167">
        <f t="shared" si="8"/>
        <v>195161.36</v>
      </c>
      <c r="AF14" s="167">
        <f t="shared" si="8"/>
        <v>218121.52</v>
      </c>
      <c r="AG14" s="167">
        <f t="shared" si="8"/>
        <v>241081.68</v>
      </c>
      <c r="AH14" s="167">
        <f t="shared" si="8"/>
        <v>264041.84</v>
      </c>
      <c r="AI14" s="167">
        <f t="shared" si="8"/>
        <v>287002</v>
      </c>
      <c r="AJ14" s="167">
        <f t="shared" si="8"/>
        <v>309962.16</v>
      </c>
      <c r="AK14" s="167">
        <f t="shared" si="8"/>
        <v>344402.4</v>
      </c>
      <c r="AL14" s="167">
        <f t="shared" si="8"/>
        <v>378842.64</v>
      </c>
      <c r="AM14" s="167">
        <f t="shared" si="8"/>
        <v>413282.88</v>
      </c>
      <c r="AN14" s="167">
        <f t="shared" si="8"/>
        <v>447723.12</v>
      </c>
      <c r="AO14" s="167">
        <f t="shared" si="8"/>
        <v>368299.472</v>
      </c>
      <c r="AP14" s="167">
        <f t="shared" si="8"/>
        <v>402559.888</v>
      </c>
      <c r="AQ14" s="167">
        <f t="shared" si="8"/>
        <v>445385.408</v>
      </c>
      <c r="AR14" s="167">
        <f t="shared" si="8"/>
        <v>488210.928</v>
      </c>
      <c r="AS14" s="167">
        <f t="shared" si="8"/>
        <v>531036.448</v>
      </c>
      <c r="AT14" s="167">
        <f t="shared" si="8"/>
        <v>582427.072</v>
      </c>
      <c r="AU14" s="167">
        <f t="shared" si="8"/>
        <v>642382.8</v>
      </c>
      <c r="AV14" s="167">
        <f t="shared" si="8"/>
        <v>702338.528</v>
      </c>
      <c r="AW14" s="167">
        <f t="shared" si="8"/>
        <v>770859.36</v>
      </c>
      <c r="AX14" s="167">
        <f t="shared" si="8"/>
        <v>839380.192</v>
      </c>
      <c r="AY14" s="167">
        <f t="shared" si="8"/>
        <v>925031.232</v>
      </c>
      <c r="AZ14" s="167">
        <f t="shared" si="8"/>
        <v>1010682.272</v>
      </c>
      <c r="BA14" s="163"/>
      <c r="BB14" s="223">
        <f>SUM(E14:P14)</f>
        <v>0</v>
      </c>
      <c r="BC14" s="223">
        <f t="shared" si="5"/>
        <v>0</v>
      </c>
      <c r="BD14" s="223">
        <f t="shared" si="6"/>
        <v>3444024</v>
      </c>
      <c r="BE14" s="223">
        <f t="shared" si="7"/>
        <v>7708593.6</v>
      </c>
      <c r="BF14" s="223">
        <f>sum(BF12:BF13)</f>
        <v>11477376</v>
      </c>
      <c r="BG14" s="224"/>
    </row>
    <row r="15">
      <c r="BA15" s="163"/>
      <c r="BF15" s="210"/>
    </row>
    <row r="16" ht="12.75" customHeight="1">
      <c r="A16" s="30"/>
      <c r="B16" s="244" t="s">
        <v>268</v>
      </c>
      <c r="C16" s="245"/>
      <c r="D16" s="244"/>
      <c r="E16" s="246"/>
      <c r="F16" s="246"/>
      <c r="G16" s="246"/>
      <c r="H16" s="246"/>
      <c r="I16" s="246"/>
      <c r="J16" s="246"/>
      <c r="K16" s="246"/>
      <c r="L16" s="246"/>
      <c r="M16" s="246"/>
      <c r="N16" s="246"/>
      <c r="O16" s="246"/>
      <c r="P16" s="246"/>
      <c r="Q16" s="246"/>
      <c r="R16" s="246"/>
      <c r="S16" s="246"/>
      <c r="T16" s="246"/>
      <c r="U16" s="246"/>
      <c r="V16" s="246"/>
      <c r="W16" s="246"/>
      <c r="X16" s="246"/>
      <c r="Y16" s="246"/>
      <c r="Z16" s="246"/>
      <c r="AA16" s="246"/>
      <c r="AB16" s="246"/>
      <c r="AC16" s="246"/>
      <c r="AD16" s="246"/>
      <c r="AE16" s="246"/>
      <c r="AF16" s="246"/>
      <c r="AG16" s="246"/>
      <c r="AH16" s="246"/>
      <c r="AI16" s="246"/>
      <c r="AJ16" s="246"/>
      <c r="AK16" s="246"/>
      <c r="AL16" s="246"/>
      <c r="AM16" s="246"/>
      <c r="AN16" s="246"/>
      <c r="AO16" s="246"/>
      <c r="AP16" s="246"/>
      <c r="AQ16" s="246"/>
      <c r="AR16" s="246"/>
      <c r="AS16" s="246"/>
      <c r="AT16" s="246"/>
      <c r="AU16" s="246"/>
      <c r="AV16" s="246"/>
      <c r="AW16" s="246"/>
      <c r="AX16" s="246"/>
      <c r="AY16" s="246"/>
      <c r="AZ16" s="246"/>
      <c r="BA16" s="163"/>
      <c r="BB16" s="223"/>
      <c r="BC16" s="223"/>
      <c r="BD16" s="223"/>
      <c r="BE16" s="223"/>
      <c r="BF16" s="223"/>
      <c r="BG16" s="224"/>
    </row>
    <row r="17" ht="15.0" customHeight="1">
      <c r="A17" s="30"/>
      <c r="B17" s="243" t="s">
        <v>51</v>
      </c>
      <c r="C17" s="30"/>
      <c r="D17" s="203"/>
      <c r="E17" s="242"/>
      <c r="F17" s="242"/>
      <c r="G17" s="242"/>
      <c r="H17" s="242"/>
      <c r="I17" s="242"/>
      <c r="J17" s="242"/>
      <c r="K17" s="242"/>
      <c r="L17" s="242"/>
      <c r="M17" s="164"/>
      <c r="N17" s="164"/>
      <c r="O17" s="164"/>
      <c r="P17" s="164"/>
      <c r="Q17" s="164">
        <f>IFNA('Revenue Forecast'!Q18*(VLOOKUP('Revenue Forecast'!$BC$41,Assumptions!$B$71:$C$73,2,TRUE)+VLOOKUP('Revenue Forecast'!$BC$18,Assumptions!$E$83:$F$85,2,TRUE)+Assumptions!$E$79),0)</f>
        <v>0</v>
      </c>
      <c r="R17" s="164">
        <f>IFNA('Revenue Forecast'!R18*(VLOOKUP('Revenue Forecast'!$BC$41,Assumptions!$B$71:$C$73,2,TRUE)+VLOOKUP('Revenue Forecast'!$BC$18,Assumptions!$E$83:$F$85,2,TRUE)+Assumptions!$E$79),0)</f>
        <v>0</v>
      </c>
      <c r="S17" s="164">
        <f>IFNA('Revenue Forecast'!S18*(VLOOKUP('Revenue Forecast'!$BC$41,Assumptions!$B$71:$C$73,2,TRUE)+VLOOKUP('Revenue Forecast'!$BC$18,Assumptions!$E$83:$F$85,2,TRUE)+Assumptions!$E$79),0)</f>
        <v>0</v>
      </c>
      <c r="T17" s="164">
        <f>IFNA('Revenue Forecast'!T18*(VLOOKUP('Revenue Forecast'!$BC$41,Assumptions!$B$71:$C$73,2,TRUE)+VLOOKUP('Revenue Forecast'!$BC$18,Assumptions!$E$83:$F$85,2,TRUE)+Assumptions!$E$79),0)</f>
        <v>0</v>
      </c>
      <c r="U17" s="164">
        <f>IFNA('Revenue Forecast'!U18*(VLOOKUP('Revenue Forecast'!$BC$41,Assumptions!$B$71:$C$73,2,TRUE)+VLOOKUP('Revenue Forecast'!$BC$18,Assumptions!$E$83:$F$85,2,TRUE)+Assumptions!$E$79),0)</f>
        <v>0</v>
      </c>
      <c r="V17" s="164">
        <f>IFNA('Revenue Forecast'!V18*(VLOOKUP('Revenue Forecast'!$BC$41,Assumptions!$B$71:$C$73,2,TRUE)+VLOOKUP('Revenue Forecast'!$BC$18,Assumptions!$E$83:$F$85,2,TRUE)+Assumptions!$E$79),0)</f>
        <v>0</v>
      </c>
      <c r="W17" s="164">
        <f>IFNA('Revenue Forecast'!W18*(VLOOKUP('Revenue Forecast'!$BC$41,Assumptions!$B$71:$C$73,2,TRUE)+VLOOKUP('Revenue Forecast'!$BC$18,Assumptions!$E$83:$F$85,2,TRUE)+Assumptions!$E$79),0)</f>
        <v>0</v>
      </c>
      <c r="X17" s="164">
        <f>IFNA('Revenue Forecast'!X18*(VLOOKUP('Revenue Forecast'!$BC$41,Assumptions!$B$71:$C$73,2,TRUE)+VLOOKUP('Revenue Forecast'!$BC$18,Assumptions!$E$83:$F$85,2,TRUE)+Assumptions!$E$79),0)</f>
        <v>0</v>
      </c>
      <c r="Y17" s="164">
        <f>IFNA('Revenue Forecast'!Y18*(VLOOKUP('Revenue Forecast'!$BC$41,Assumptions!$B$71:$C$73,2,TRUE)+VLOOKUP('Revenue Forecast'!$BC$18,Assumptions!$E$83:$F$85,2,TRUE)+Assumptions!$E$79),0)</f>
        <v>0</v>
      </c>
      <c r="Z17" s="164">
        <f>IFNA('Revenue Forecast'!Z18*(VLOOKUP('Revenue Forecast'!$BC$41,Assumptions!$B$71:$C$73,2,TRUE)+VLOOKUP('Revenue Forecast'!$BC$18,Assumptions!$E$83:$F$85,2,TRUE)+Assumptions!$E$79),0)</f>
        <v>0</v>
      </c>
      <c r="AA17" s="164">
        <f>IFNA('Revenue Forecast'!AA18*(VLOOKUP('Revenue Forecast'!$BC$41,Assumptions!$B$71:$C$73,2,TRUE)+VLOOKUP('Revenue Forecast'!$BC$18,Assumptions!$E$83:$F$85,2,TRUE)+Assumptions!$E$79),0)</f>
        <v>0</v>
      </c>
      <c r="AB17" s="164">
        <f>IFNA('Revenue Forecast'!AB18*(VLOOKUP('Revenue Forecast'!$BC$41,Assumptions!$B$71:$C$73,2,TRUE)+VLOOKUP('Revenue Forecast'!$BC$18,Assumptions!$E$83:$F$85,2,TRUE)+Assumptions!$E$79),0)</f>
        <v>0</v>
      </c>
      <c r="AC17" s="164">
        <f>IFNA('Revenue Forecast'!AC18*(VLOOKUP('Revenue Forecast'!$BD$41,Assumptions!$B$71:$C$73,2,TRUE)+VLOOKUP('Revenue Forecast'!$BD$18,Assumptions!$E$83:$F$85,2,TRUE)+Assumptions!$E$79),0)</f>
        <v>160811.28</v>
      </c>
      <c r="AD17" s="164">
        <f>IFNA('Revenue Forecast'!AD18*(VLOOKUP('Revenue Forecast'!$BD$41,Assumptions!$B$71:$C$73,2,TRUE)+VLOOKUP('Revenue Forecast'!$BD$18,Assumptions!$E$83:$F$85,2,TRUE)+Assumptions!$E$79),0)</f>
        <v>183784.32</v>
      </c>
      <c r="AE17" s="164">
        <f>IFNA('Revenue Forecast'!AE18*(VLOOKUP('Revenue Forecast'!$BD$41,Assumptions!$B$71:$C$73,2,TRUE)+VLOOKUP('Revenue Forecast'!$BD$18,Assumptions!$E$83:$F$85,2,TRUE)+Assumptions!$E$79),0)</f>
        <v>195270.84</v>
      </c>
      <c r="AF17" s="164">
        <f>IFNA('Revenue Forecast'!AF18*(VLOOKUP('Revenue Forecast'!$BD$41,Assumptions!$B$71:$C$73,2,TRUE)+VLOOKUP('Revenue Forecast'!$BD$18,Assumptions!$E$83:$F$85,2,TRUE)+Assumptions!$E$79),0)</f>
        <v>218243.88</v>
      </c>
      <c r="AG17" s="164">
        <f>IFNA('Revenue Forecast'!AG18*(VLOOKUP('Revenue Forecast'!$BD$41,Assumptions!$B$71:$C$73,2,TRUE)+VLOOKUP('Revenue Forecast'!$BD$18,Assumptions!$E$83:$F$85,2,TRUE)+Assumptions!$E$79),0)</f>
        <v>241216.92</v>
      </c>
      <c r="AH17" s="164">
        <f>IFNA('Revenue Forecast'!AH18*(VLOOKUP('Revenue Forecast'!$BD$41,Assumptions!$B$71:$C$73,2,TRUE)+VLOOKUP('Revenue Forecast'!$BD$18,Assumptions!$E$83:$F$85,2,TRUE)+Assumptions!$E$79),0)</f>
        <v>264189.96</v>
      </c>
      <c r="AI17" s="164">
        <f>IFNA('Revenue Forecast'!AI18*(VLOOKUP('Revenue Forecast'!$BD$41,Assumptions!$B$71:$C$73,2,TRUE)+VLOOKUP('Revenue Forecast'!$BD$18,Assumptions!$E$83:$F$85,2,TRUE)+Assumptions!$E$79),0)</f>
        <v>287163</v>
      </c>
      <c r="AJ17" s="164">
        <f>IFNA('Revenue Forecast'!AJ18*(VLOOKUP('Revenue Forecast'!$BD$41,Assumptions!$B$71:$C$73,2,TRUE)+VLOOKUP('Revenue Forecast'!$BD$18,Assumptions!$E$83:$F$85,2,TRUE)+Assumptions!$E$79),0)</f>
        <v>310136.04</v>
      </c>
      <c r="AK17" s="164">
        <f>IFNA('Revenue Forecast'!AK18*(VLOOKUP('Revenue Forecast'!$BD$41,Assumptions!$B$71:$C$73,2,TRUE)+VLOOKUP('Revenue Forecast'!$BD$18,Assumptions!$E$83:$F$85,2,TRUE)+Assumptions!$E$79),0)</f>
        <v>344595.6</v>
      </c>
      <c r="AL17" s="164">
        <f>IFNA('Revenue Forecast'!AL18*(VLOOKUP('Revenue Forecast'!$BD$41,Assumptions!$B$71:$C$73,2,TRUE)+VLOOKUP('Revenue Forecast'!$BD$18,Assumptions!$E$83:$F$85,2,TRUE)+Assumptions!$E$79),0)</f>
        <v>379055.16</v>
      </c>
      <c r="AM17" s="164">
        <f>IFNA('Revenue Forecast'!AM18*(VLOOKUP('Revenue Forecast'!$BD$41,Assumptions!$B$71:$C$73,2,TRUE)+VLOOKUP('Revenue Forecast'!$BD$18,Assumptions!$E$83:$F$85,2,TRUE)+Assumptions!$E$79),0)</f>
        <v>413514.72</v>
      </c>
      <c r="AN17" s="164">
        <f>IFNA('Revenue Forecast'!AN18*(VLOOKUP('Revenue Forecast'!$BD$41,Assumptions!$B$71:$C$73,2,TRUE)+VLOOKUP('Revenue Forecast'!$BD$18,Assumptions!$E$83:$F$85,2,TRUE)+Assumptions!$E$79),0)</f>
        <v>447974.28</v>
      </c>
      <c r="AO17" s="164">
        <f>IFNA('Revenue Forecast'!AO18*(VLOOKUP('Revenue Forecast'!$BE$41+'Revenue Forecast'!$BF$41,Assumptions!$B$71:$C$73,2,TRUE)+VLOOKUP('Revenue Forecast'!$BE$18+'Revenue Forecast'!$BF$18,Assumptions!$E$83:$F$85,2,TRUE)+Assumptions!$E$79),0)</f>
        <v>368576.392</v>
      </c>
      <c r="AP17" s="164">
        <f>IFNA('Revenue Forecast'!AP18*(VLOOKUP('Revenue Forecast'!$BE$41+'Revenue Forecast'!$BF$41,Assumptions!$B$71:$C$73,2,TRUE)+VLOOKUP('Revenue Forecast'!$BE$18+'Revenue Forecast'!$BF$18,Assumptions!$E$83:$F$85,2,TRUE)+Assumptions!$E$79),0)</f>
        <v>402862.568</v>
      </c>
      <c r="AQ17" s="164">
        <f>IFNA('Revenue Forecast'!AQ18*(VLOOKUP('Revenue Forecast'!$BE$41+'Revenue Forecast'!$BF$41,Assumptions!$B$71:$C$73,2,TRUE)+VLOOKUP('Revenue Forecast'!$BE$18+'Revenue Forecast'!$BF$18,Assumptions!$E$83:$F$85,2,TRUE)+Assumptions!$E$79),0)</f>
        <v>445720.288</v>
      </c>
      <c r="AR17" s="164">
        <f>IFNA('Revenue Forecast'!AR18*(VLOOKUP('Revenue Forecast'!$BE$41+'Revenue Forecast'!$BF$41,Assumptions!$B$71:$C$73,2,TRUE)+VLOOKUP('Revenue Forecast'!$BE$18+'Revenue Forecast'!$BF$18,Assumptions!$E$83:$F$85,2,TRUE)+Assumptions!$E$79),0)</f>
        <v>488578.008</v>
      </c>
      <c r="AS17" s="164">
        <f>IFNA('Revenue Forecast'!AS18*(VLOOKUP('Revenue Forecast'!$BE$41+'Revenue Forecast'!$BF$41,Assumptions!$B$71:$C$73,2,TRUE)+VLOOKUP('Revenue Forecast'!$BE$18+'Revenue Forecast'!$BF$18,Assumptions!$E$83:$F$85,2,TRUE)+Assumptions!$E$79),0)</f>
        <v>531435.728</v>
      </c>
      <c r="AT17" s="164">
        <f>IFNA('Revenue Forecast'!AT18*(VLOOKUP('Revenue Forecast'!$BE$41+'Revenue Forecast'!$BF$41,Assumptions!$B$71:$C$73,2,TRUE)+VLOOKUP('Revenue Forecast'!$BE$18+'Revenue Forecast'!$BF$18,Assumptions!$E$83:$F$85,2,TRUE)+Assumptions!$E$79),0)</f>
        <v>582864.992</v>
      </c>
      <c r="AU17" s="164">
        <f>IFNA('Revenue Forecast'!AU18*(VLOOKUP('Revenue Forecast'!$BE$41+'Revenue Forecast'!$BF$41,Assumptions!$B$71:$C$73,2,TRUE)+VLOOKUP('Revenue Forecast'!$BE$18+'Revenue Forecast'!$BF$18,Assumptions!$E$83:$F$85,2,TRUE)+Assumptions!$E$79),0)</f>
        <v>642865.8</v>
      </c>
      <c r="AV17" s="164">
        <f>IFNA('Revenue Forecast'!AV18*(VLOOKUP('Revenue Forecast'!$BE$41+'Revenue Forecast'!$BF$41,Assumptions!$B$71:$C$73,2,TRUE)+VLOOKUP('Revenue Forecast'!$BE$18+'Revenue Forecast'!$BF$18,Assumptions!$E$83:$F$85,2,TRUE)+Assumptions!$E$79),0)</f>
        <v>702866.608</v>
      </c>
      <c r="AW17" s="164">
        <f>IFNA('Revenue Forecast'!AW18*(VLOOKUP('Revenue Forecast'!$BE$41+'Revenue Forecast'!$BF$41,Assumptions!$B$71:$C$73,2,TRUE)+VLOOKUP('Revenue Forecast'!$BE$18+'Revenue Forecast'!$BF$18,Assumptions!$E$83:$F$85,2,TRUE)+Assumptions!$E$79),0)</f>
        <v>771438.96</v>
      </c>
      <c r="AX17" s="164">
        <f>IFNA('Revenue Forecast'!AX18*(VLOOKUP('Revenue Forecast'!$BE$41+'Revenue Forecast'!$BF$41,Assumptions!$B$71:$C$73,2,TRUE)+VLOOKUP('Revenue Forecast'!$BE$18+'Revenue Forecast'!$BF$18,Assumptions!$E$83:$F$85,2,TRUE)+Assumptions!$E$79),0)</f>
        <v>840011.312</v>
      </c>
      <c r="AY17" s="164">
        <f>IFNA('Revenue Forecast'!AY18*(VLOOKUP('Revenue Forecast'!$BE$41+'Revenue Forecast'!$BF$41,Assumptions!$B$71:$C$73,2,TRUE)+VLOOKUP('Revenue Forecast'!$BE$18+'Revenue Forecast'!$BF$18,Assumptions!$E$83:$F$85,2,TRUE)+Assumptions!$E$79),0)</f>
        <v>925726.752</v>
      </c>
      <c r="AZ17" s="164">
        <f>IFNA('Revenue Forecast'!AZ18*(VLOOKUP('Revenue Forecast'!$BE$41+'Revenue Forecast'!$BF$41,Assumptions!$B$71:$C$73,2,TRUE)+VLOOKUP('Revenue Forecast'!$BE$18+'Revenue Forecast'!$BF$18,Assumptions!$E$83:$F$85,2,TRUE)+Assumptions!$E$79),0)</f>
        <v>1011442.192</v>
      </c>
      <c r="BA17" s="163"/>
      <c r="BB17" s="163"/>
      <c r="BC17" s="163">
        <f t="shared" ref="BC17:BC18" si="9">SUM(Q17:AB17)</f>
        <v>0</v>
      </c>
      <c r="BD17" s="163">
        <f t="shared" ref="BD17:BD18" si="10">SUM(AC17:AN17)</f>
        <v>3445956</v>
      </c>
      <c r="BE17" s="163">
        <f t="shared" ref="BE17:BE18" si="11">SUM(AO17:AZ17)</f>
        <v>7714389.6</v>
      </c>
      <c r="BF17" s="163">
        <f>'Revenue Forecast'!BF18*(VLOOKUP('Revenue Forecast'!$BF$41+Assumptions!$G$21,Assumptions!$B$71:$C$73,2,TRUE)+VLOOKUP('Revenue Forecast'!$BF$18+Assumptions!$G$25,Assumptions!$E$83:$F$85,2,TRUE)+Assumptions!$E$79)</f>
        <v>11448612</v>
      </c>
      <c r="BG17" s="112"/>
    </row>
    <row r="18">
      <c r="A18" s="30"/>
      <c r="B18" s="30" t="s">
        <v>287</v>
      </c>
      <c r="C18" s="30"/>
      <c r="D18" s="203"/>
      <c r="E18" s="30"/>
      <c r="F18" s="30"/>
      <c r="G18" s="30"/>
      <c r="H18" s="30"/>
      <c r="I18" s="30"/>
      <c r="J18" s="30"/>
      <c r="K18" s="30"/>
      <c r="L18" s="30"/>
      <c r="M18" s="163"/>
      <c r="N18" s="163"/>
      <c r="O18" s="163"/>
      <c r="P18" s="163"/>
      <c r="Q18" s="163">
        <f>'Revenue Forecast'!Q18*SUMPRODUCT(Assumptions!$E$117:$E$119,Assumptions!$G$117:$G$119)</f>
        <v>0</v>
      </c>
      <c r="R18" s="163">
        <f>'Revenue Forecast'!R18*SUMPRODUCT(Assumptions!$E$117:$E$119,Assumptions!$G$117:$G$119)</f>
        <v>0</v>
      </c>
      <c r="S18" s="163">
        <f>'Revenue Forecast'!S18*SUMPRODUCT(Assumptions!$E$117:$E$119,Assumptions!$G$117:$G$119)</f>
        <v>0</v>
      </c>
      <c r="T18" s="163">
        <f>'Revenue Forecast'!T18*SUMPRODUCT(Assumptions!$E$117:$E$119,Assumptions!$G$117:$G$119)</f>
        <v>0</v>
      </c>
      <c r="U18" s="163">
        <f>'Revenue Forecast'!U18*SUMPRODUCT(Assumptions!$E$117:$E$119,Assumptions!$G$117:$G$119)</f>
        <v>0</v>
      </c>
      <c r="V18" s="163">
        <f>'Revenue Forecast'!V18*SUMPRODUCT(Assumptions!$E$117:$E$119,Assumptions!$G$117:$G$119)</f>
        <v>0</v>
      </c>
      <c r="W18" s="163">
        <f>'Revenue Forecast'!W18*SUMPRODUCT(Assumptions!$E$117:$E$119,Assumptions!$G$117:$G$119)</f>
        <v>0</v>
      </c>
      <c r="X18" s="163">
        <f>'Revenue Forecast'!X18*SUMPRODUCT(Assumptions!$E$117:$E$119,Assumptions!$G$117:$G$119)</f>
        <v>0</v>
      </c>
      <c r="Y18" s="163">
        <f>'Revenue Forecast'!Y18*SUMPRODUCT(Assumptions!$E$117:$E$119,Assumptions!$G$117:$G$119)</f>
        <v>0</v>
      </c>
      <c r="Z18" s="163">
        <f>'Revenue Forecast'!Z18*SUMPRODUCT(Assumptions!$E$117:$E$119,Assumptions!$G$117:$G$119)</f>
        <v>0</v>
      </c>
      <c r="AA18" s="163">
        <f>'Revenue Forecast'!AA18*SUMPRODUCT(Assumptions!$E$117:$E$119,Assumptions!$G$117:$G$119)</f>
        <v>0</v>
      </c>
      <c r="AB18" s="163">
        <f>'Revenue Forecast'!AB18*SUMPRODUCT(Assumptions!$E$117:$E$119,Assumptions!$G$117:$G$119)</f>
        <v>0</v>
      </c>
      <c r="AC18" s="163">
        <f>'Revenue Forecast'!AC18*SUMPRODUCT(Assumptions!$E$117:$E$119,Assumptions!$G$117:$G$119)</f>
        <v>3049.2</v>
      </c>
      <c r="AD18" s="163">
        <f>'Revenue Forecast'!AD18*SUMPRODUCT(Assumptions!$E$117:$E$119,Assumptions!$G$117:$G$119)</f>
        <v>3484.8</v>
      </c>
      <c r="AE18" s="163">
        <f>'Revenue Forecast'!AE18*SUMPRODUCT(Assumptions!$E$117:$E$119,Assumptions!$G$117:$G$119)</f>
        <v>3702.6</v>
      </c>
      <c r="AF18" s="163">
        <f>'Revenue Forecast'!AF18*SUMPRODUCT(Assumptions!$E$117:$E$119,Assumptions!$G$117:$G$119)</f>
        <v>4138.2</v>
      </c>
      <c r="AG18" s="163">
        <f>'Revenue Forecast'!AG18*SUMPRODUCT(Assumptions!$E$117:$E$119,Assumptions!$G$117:$G$119)</f>
        <v>4573.8</v>
      </c>
      <c r="AH18" s="163">
        <f>'Revenue Forecast'!AH18*SUMPRODUCT(Assumptions!$E$117:$E$119,Assumptions!$G$117:$G$119)</f>
        <v>5009.4</v>
      </c>
      <c r="AI18" s="163">
        <f>'Revenue Forecast'!AI18*SUMPRODUCT(Assumptions!$E$117:$E$119,Assumptions!$G$117:$G$119)</f>
        <v>5445</v>
      </c>
      <c r="AJ18" s="163">
        <f>'Revenue Forecast'!AJ18*SUMPRODUCT(Assumptions!$E$117:$E$119,Assumptions!$G$117:$G$119)</f>
        <v>5880.6</v>
      </c>
      <c r="AK18" s="163">
        <f>'Revenue Forecast'!AK18*SUMPRODUCT(Assumptions!$E$117:$E$119,Assumptions!$G$117:$G$119)</f>
        <v>6534</v>
      </c>
      <c r="AL18" s="163">
        <f>'Revenue Forecast'!AL18*SUMPRODUCT(Assumptions!$E$117:$E$119,Assumptions!$G$117:$G$119)</f>
        <v>7187.4</v>
      </c>
      <c r="AM18" s="163">
        <f>'Revenue Forecast'!AM18*SUMPRODUCT(Assumptions!$E$117:$E$119,Assumptions!$G$117:$G$119)</f>
        <v>7840.8</v>
      </c>
      <c r="AN18" s="163">
        <f>'Revenue Forecast'!AN18*SUMPRODUCT(Assumptions!$E$117:$E$119,Assumptions!$G$117:$G$119)</f>
        <v>8494.2</v>
      </c>
      <c r="AO18" s="163">
        <f>'Revenue Forecast'!AO18*SUMPRODUCT(Assumptions!$E$117:$E$119,Assumptions!$G$117:$G$119)</f>
        <v>9365.4</v>
      </c>
      <c r="AP18" s="163">
        <f>'Revenue Forecast'!AP18*SUMPRODUCT(Assumptions!$E$117:$E$119,Assumptions!$G$117:$G$119)</f>
        <v>10236.6</v>
      </c>
      <c r="AQ18" s="163">
        <f>'Revenue Forecast'!AQ18*SUMPRODUCT(Assumptions!$E$117:$E$119,Assumptions!$G$117:$G$119)</f>
        <v>11325.6</v>
      </c>
      <c r="AR18" s="163">
        <f>'Revenue Forecast'!AR18*SUMPRODUCT(Assumptions!$E$117:$E$119,Assumptions!$G$117:$G$119)</f>
        <v>12414.6</v>
      </c>
      <c r="AS18" s="163">
        <f>'Revenue Forecast'!AS18*SUMPRODUCT(Assumptions!$E$117:$E$119,Assumptions!$G$117:$G$119)</f>
        <v>13503.6</v>
      </c>
      <c r="AT18" s="163">
        <f>'Revenue Forecast'!AT18*SUMPRODUCT(Assumptions!$E$117:$E$119,Assumptions!$G$117:$G$119)</f>
        <v>14810.4</v>
      </c>
      <c r="AU18" s="163">
        <f>'Revenue Forecast'!AU18*SUMPRODUCT(Assumptions!$E$117:$E$119,Assumptions!$G$117:$G$119)</f>
        <v>16335</v>
      </c>
      <c r="AV18" s="163">
        <f>'Revenue Forecast'!AV18*SUMPRODUCT(Assumptions!$E$117:$E$119,Assumptions!$G$117:$G$119)</f>
        <v>17859.6</v>
      </c>
      <c r="AW18" s="163">
        <f>'Revenue Forecast'!AW18*SUMPRODUCT(Assumptions!$E$117:$E$119,Assumptions!$G$117:$G$119)</f>
        <v>19602</v>
      </c>
      <c r="AX18" s="163">
        <f>'Revenue Forecast'!AX18*SUMPRODUCT(Assumptions!$E$117:$E$119,Assumptions!$G$117:$G$119)</f>
        <v>21344.4</v>
      </c>
      <c r="AY18" s="163">
        <f>'Revenue Forecast'!AY18*SUMPRODUCT(Assumptions!$E$117:$E$119,Assumptions!$G$117:$G$119)</f>
        <v>23522.4</v>
      </c>
      <c r="AZ18" s="163">
        <f>'Revenue Forecast'!AZ18*SUMPRODUCT(Assumptions!$E$117:$E$119,Assumptions!$G$117:$G$119)</f>
        <v>25700.4</v>
      </c>
      <c r="BA18" s="163"/>
      <c r="BB18" s="163"/>
      <c r="BC18" s="163">
        <f t="shared" si="9"/>
        <v>0</v>
      </c>
      <c r="BD18" s="163">
        <f t="shared" si="10"/>
        <v>65340</v>
      </c>
      <c r="BE18" s="163">
        <f t="shared" si="11"/>
        <v>196020</v>
      </c>
      <c r="BF18" s="163">
        <f>'Revenue Forecast'!BF18*SUMPRODUCT(Assumptions!$E$117:$E$119,Assumptions!$G$117:$G$119)</f>
        <v>392040</v>
      </c>
      <c r="BG18" s="112"/>
    </row>
    <row r="19" ht="12.75" customHeight="1">
      <c r="A19" s="30"/>
      <c r="B19" s="244" t="s">
        <v>290</v>
      </c>
      <c r="C19" s="245"/>
      <c r="D19" s="244"/>
      <c r="E19" s="246"/>
      <c r="F19" s="246"/>
      <c r="G19" s="246"/>
      <c r="H19" s="246"/>
      <c r="I19" s="246"/>
      <c r="J19" s="246"/>
      <c r="K19" s="246"/>
      <c r="L19" s="246"/>
      <c r="M19" s="246"/>
      <c r="N19" s="246"/>
      <c r="O19" s="246"/>
      <c r="P19" s="246"/>
      <c r="Q19" s="246">
        <f t="shared" ref="Q19:AZ19" si="12">sum(Q17:Q18)</f>
        <v>0</v>
      </c>
      <c r="R19" s="246">
        <f t="shared" si="12"/>
        <v>0</v>
      </c>
      <c r="S19" s="246">
        <f t="shared" si="12"/>
        <v>0</v>
      </c>
      <c r="T19" s="246">
        <f t="shared" si="12"/>
        <v>0</v>
      </c>
      <c r="U19" s="246">
        <f t="shared" si="12"/>
        <v>0</v>
      </c>
      <c r="V19" s="246">
        <f t="shared" si="12"/>
        <v>0</v>
      </c>
      <c r="W19" s="246">
        <f t="shared" si="12"/>
        <v>0</v>
      </c>
      <c r="X19" s="246">
        <f t="shared" si="12"/>
        <v>0</v>
      </c>
      <c r="Y19" s="246">
        <f t="shared" si="12"/>
        <v>0</v>
      </c>
      <c r="Z19" s="246">
        <f t="shared" si="12"/>
        <v>0</v>
      </c>
      <c r="AA19" s="246">
        <f t="shared" si="12"/>
        <v>0</v>
      </c>
      <c r="AB19" s="246">
        <f t="shared" si="12"/>
        <v>0</v>
      </c>
      <c r="AC19" s="246">
        <f t="shared" si="12"/>
        <v>163860.48</v>
      </c>
      <c r="AD19" s="246">
        <f t="shared" si="12"/>
        <v>187269.12</v>
      </c>
      <c r="AE19" s="246">
        <f t="shared" si="12"/>
        <v>198973.44</v>
      </c>
      <c r="AF19" s="246">
        <f t="shared" si="12"/>
        <v>222382.08</v>
      </c>
      <c r="AG19" s="246">
        <f t="shared" si="12"/>
        <v>245790.72</v>
      </c>
      <c r="AH19" s="246">
        <f t="shared" si="12"/>
        <v>269199.36</v>
      </c>
      <c r="AI19" s="246">
        <f t="shared" si="12"/>
        <v>292608</v>
      </c>
      <c r="AJ19" s="246">
        <f t="shared" si="12"/>
        <v>316016.64</v>
      </c>
      <c r="AK19" s="246">
        <f t="shared" si="12"/>
        <v>351129.6</v>
      </c>
      <c r="AL19" s="246">
        <f t="shared" si="12"/>
        <v>386242.56</v>
      </c>
      <c r="AM19" s="246">
        <f t="shared" si="12"/>
        <v>421355.52</v>
      </c>
      <c r="AN19" s="246">
        <f t="shared" si="12"/>
        <v>456468.48</v>
      </c>
      <c r="AO19" s="246">
        <f t="shared" si="12"/>
        <v>377941.792</v>
      </c>
      <c r="AP19" s="246">
        <f t="shared" si="12"/>
        <v>413099.168</v>
      </c>
      <c r="AQ19" s="246">
        <f t="shared" si="12"/>
        <v>457045.888</v>
      </c>
      <c r="AR19" s="246">
        <f t="shared" si="12"/>
        <v>500992.608</v>
      </c>
      <c r="AS19" s="246">
        <f t="shared" si="12"/>
        <v>544939.328</v>
      </c>
      <c r="AT19" s="246">
        <f t="shared" si="12"/>
        <v>597675.392</v>
      </c>
      <c r="AU19" s="246">
        <f t="shared" si="12"/>
        <v>659200.8</v>
      </c>
      <c r="AV19" s="246">
        <f t="shared" si="12"/>
        <v>720726.208</v>
      </c>
      <c r="AW19" s="246">
        <f t="shared" si="12"/>
        <v>791040.96</v>
      </c>
      <c r="AX19" s="246">
        <f t="shared" si="12"/>
        <v>861355.712</v>
      </c>
      <c r="AY19" s="246">
        <f t="shared" si="12"/>
        <v>949249.152</v>
      </c>
      <c r="AZ19" s="246">
        <f t="shared" si="12"/>
        <v>1037142.592</v>
      </c>
      <c r="BA19" s="163"/>
      <c r="BB19" s="223"/>
      <c r="BC19" s="223">
        <f t="shared" ref="BC19:BF19" si="13">sum(BC17:BC18)</f>
        <v>0</v>
      </c>
      <c r="BD19" s="223">
        <f t="shared" si="13"/>
        <v>3511296</v>
      </c>
      <c r="BE19" s="223">
        <f t="shared" si="13"/>
        <v>7910409.6</v>
      </c>
      <c r="BF19" s="223">
        <f t="shared" si="13"/>
        <v>11840652</v>
      </c>
      <c r="BG19" s="224"/>
    </row>
    <row r="20">
      <c r="BA20" s="163"/>
    </row>
    <row r="21" ht="13.5" customHeight="1">
      <c r="A21" s="217"/>
      <c r="B21" s="221" t="s">
        <v>291</v>
      </c>
      <c r="C21" s="217"/>
      <c r="D21" s="217"/>
      <c r="E21" s="217"/>
      <c r="F21" s="217"/>
      <c r="G21" s="217"/>
      <c r="H21" s="217"/>
      <c r="I21" s="217"/>
      <c r="J21" s="217"/>
      <c r="K21" s="217"/>
      <c r="L21" s="217"/>
      <c r="M21" s="168"/>
      <c r="N21" s="168"/>
      <c r="O21" s="168"/>
      <c r="P21" s="168"/>
      <c r="Q21" s="168"/>
      <c r="R21" s="168"/>
      <c r="S21" s="168"/>
      <c r="T21" s="168"/>
      <c r="U21" s="168"/>
      <c r="V21" s="168"/>
      <c r="W21" s="168"/>
      <c r="X21" s="168"/>
      <c r="Y21" s="168"/>
      <c r="Z21" s="168"/>
      <c r="AA21" s="168"/>
      <c r="AB21" s="168"/>
      <c r="AC21" s="167"/>
      <c r="AD21" s="167"/>
      <c r="AE21" s="167"/>
      <c r="AF21" s="167"/>
      <c r="AG21" s="167"/>
      <c r="AH21" s="167"/>
      <c r="AI21" s="167"/>
      <c r="AJ21" s="167"/>
      <c r="AK21" s="167"/>
      <c r="AL21" s="167"/>
      <c r="AM21" s="167"/>
      <c r="AN21" s="167"/>
      <c r="AO21" s="167"/>
      <c r="AP21" s="167"/>
      <c r="AQ21" s="167"/>
      <c r="AR21" s="167"/>
      <c r="AS21" s="167"/>
      <c r="AT21" s="167"/>
      <c r="AU21" s="167"/>
      <c r="AV21" s="167"/>
      <c r="AW21" s="167"/>
      <c r="AX21" s="167"/>
      <c r="AY21" s="167"/>
      <c r="AZ21" s="167"/>
      <c r="BA21" s="163"/>
      <c r="BB21" s="168"/>
      <c r="BC21" s="170"/>
      <c r="BD21" s="170"/>
      <c r="BE21" s="170"/>
      <c r="BF21" s="170"/>
      <c r="BG21" s="112"/>
    </row>
    <row r="22" ht="15.0" customHeight="1">
      <c r="A22" s="30"/>
      <c r="B22" s="49" t="s">
        <v>292</v>
      </c>
      <c r="C22" s="30"/>
      <c r="D22" s="203" t="s">
        <v>198</v>
      </c>
      <c r="E22" s="242"/>
      <c r="F22" s="242"/>
      <c r="G22" s="242"/>
      <c r="H22" s="242"/>
      <c r="I22" s="242"/>
      <c r="J22" s="242"/>
      <c r="K22" s="242"/>
      <c r="L22" s="242"/>
      <c r="M22" s="164"/>
      <c r="N22" s="164"/>
      <c r="O22" s="164"/>
      <c r="P22" s="164"/>
      <c r="Q22" s="164">
        <f>'Revenue Forecast'!Q25</f>
        <v>0</v>
      </c>
      <c r="R22" s="164">
        <f>'Revenue Forecast'!R25</f>
        <v>0</v>
      </c>
      <c r="S22" s="164">
        <f>'Revenue Forecast'!S25</f>
        <v>0</v>
      </c>
      <c r="T22" s="164">
        <f>'Revenue Forecast'!T25</f>
        <v>0</v>
      </c>
      <c r="U22" s="164">
        <f>'Revenue Forecast'!U25</f>
        <v>0</v>
      </c>
      <c r="V22" s="164">
        <f>'Revenue Forecast'!V25</f>
        <v>0</v>
      </c>
      <c r="W22" s="164">
        <f>'Revenue Forecast'!W25</f>
        <v>0</v>
      </c>
      <c r="X22" s="164">
        <f>'Revenue Forecast'!X25</f>
        <v>0</v>
      </c>
      <c r="Y22" s="164">
        <f>'Revenue Forecast'!Y25</f>
        <v>0</v>
      </c>
      <c r="Z22" s="164">
        <f>'Revenue Forecast'!Z25</f>
        <v>0</v>
      </c>
      <c r="AA22" s="164">
        <f>'Revenue Forecast'!AA25</f>
        <v>0</v>
      </c>
      <c r="AB22" s="164">
        <f>'Revenue Forecast'!AB25</f>
        <v>0</v>
      </c>
      <c r="AC22" s="164">
        <f>'Revenue Forecast'!AC25</f>
        <v>159600</v>
      </c>
      <c r="AD22" s="164">
        <f>'Revenue Forecast'!AD25</f>
        <v>180400</v>
      </c>
      <c r="AE22" s="164">
        <f>'Revenue Forecast'!AE25</f>
        <v>193600</v>
      </c>
      <c r="AF22" s="164">
        <f>'Revenue Forecast'!AF25</f>
        <v>214400</v>
      </c>
      <c r="AG22" s="164">
        <f>'Revenue Forecast'!AG25</f>
        <v>238000</v>
      </c>
      <c r="AH22" s="164">
        <f>'Revenue Forecast'!AH25</f>
        <v>258800</v>
      </c>
      <c r="AI22" s="164">
        <f>'Revenue Forecast'!AI25</f>
        <v>282400</v>
      </c>
      <c r="AJ22" s="164">
        <f>'Revenue Forecast'!AJ25</f>
        <v>306000</v>
      </c>
      <c r="AK22" s="164">
        <f>'Revenue Forecast'!AK25</f>
        <v>340000</v>
      </c>
      <c r="AL22" s="164">
        <f>'Revenue Forecast'!AL25</f>
        <v>374000</v>
      </c>
      <c r="AM22" s="164">
        <f>'Revenue Forecast'!AM25</f>
        <v>408000</v>
      </c>
      <c r="AN22" s="164">
        <f>'Revenue Forecast'!AN25</f>
        <v>444800</v>
      </c>
      <c r="AO22" s="164">
        <f>'Revenue Forecast'!AO25</f>
        <v>489200</v>
      </c>
      <c r="AP22" s="164">
        <f>'Revenue Forecast'!AP25</f>
        <v>533600</v>
      </c>
      <c r="AQ22" s="164">
        <f>'Revenue Forecast'!AQ25</f>
        <v>588400</v>
      </c>
      <c r="AR22" s="164">
        <f>'Revenue Forecast'!AR25</f>
        <v>646000</v>
      </c>
      <c r="AS22" s="164">
        <f>'Revenue Forecast'!AS25</f>
        <v>703600</v>
      </c>
      <c r="AT22" s="164">
        <f>'Revenue Forecast'!AT25</f>
        <v>771600</v>
      </c>
      <c r="AU22" s="164">
        <f>'Revenue Forecast'!AU25</f>
        <v>850000</v>
      </c>
      <c r="AV22" s="164">
        <f>'Revenue Forecast'!AV25</f>
        <v>928400</v>
      </c>
      <c r="AW22" s="164">
        <f>'Revenue Forecast'!AW25</f>
        <v>1020000</v>
      </c>
      <c r="AX22" s="164">
        <f>'Revenue Forecast'!AX25</f>
        <v>1111600</v>
      </c>
      <c r="AY22" s="164">
        <f>'Revenue Forecast'!AY25</f>
        <v>1224000</v>
      </c>
      <c r="AZ22" s="164">
        <f>'Revenue Forecast'!AZ25</f>
        <v>1333600</v>
      </c>
      <c r="BA22" s="163"/>
      <c r="BB22" s="163">
        <f>'Revenue Forecast'!BB25</f>
        <v>0</v>
      </c>
      <c r="BC22" s="163">
        <f>'Revenue Forecast'!BC25</f>
        <v>0</v>
      </c>
      <c r="BD22" s="163">
        <f>'Revenue Forecast'!BD25</f>
        <v>3400000</v>
      </c>
      <c r="BE22" s="163">
        <f>'Revenue Forecast'!BE25</f>
        <v>10200000</v>
      </c>
      <c r="BF22" s="163">
        <f>'Revenue Forecast'!BF25</f>
        <v>20400000</v>
      </c>
      <c r="BG22" s="163"/>
    </row>
    <row r="23" ht="15.75" customHeight="1">
      <c r="A23" s="30"/>
      <c r="B23" s="30"/>
      <c r="C23" s="30"/>
      <c r="D23" s="30"/>
      <c r="E23" s="30"/>
      <c r="F23" s="30"/>
      <c r="G23" s="30"/>
      <c r="H23" s="30"/>
      <c r="I23" s="30"/>
      <c r="J23" s="30"/>
      <c r="K23" s="30"/>
      <c r="L23" s="30"/>
      <c r="M23" s="163"/>
      <c r="N23" s="163"/>
      <c r="O23" s="163"/>
      <c r="P23" s="163"/>
      <c r="Q23" s="163"/>
      <c r="R23" s="163"/>
      <c r="S23" s="163"/>
      <c r="T23" s="163"/>
      <c r="U23" s="163"/>
      <c r="V23" s="163"/>
      <c r="W23" s="163"/>
      <c r="X23" s="163"/>
      <c r="Y23" s="163"/>
      <c r="Z23" s="163"/>
      <c r="AA23" s="163"/>
      <c r="AB23" s="163"/>
      <c r="AC23" s="163"/>
      <c r="AD23" s="163"/>
      <c r="AE23" s="163"/>
      <c r="AF23" s="163"/>
      <c r="AG23" s="163"/>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12"/>
    </row>
    <row r="24" ht="13.5" customHeight="1">
      <c r="A24" s="217"/>
      <c r="B24" s="218" t="s">
        <v>276</v>
      </c>
      <c r="C24" s="217"/>
      <c r="D24" s="217"/>
      <c r="E24" s="168"/>
      <c r="F24" s="168"/>
      <c r="G24" s="168"/>
      <c r="H24" s="168"/>
      <c r="I24" s="168"/>
      <c r="J24" s="168"/>
      <c r="K24" s="168"/>
      <c r="L24" s="168"/>
      <c r="M24" s="168"/>
      <c r="N24" s="168"/>
      <c r="O24" s="168"/>
      <c r="P24" s="168"/>
      <c r="Q24" s="168"/>
      <c r="R24" s="168"/>
      <c r="S24" s="168"/>
      <c r="T24" s="168"/>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8"/>
      <c r="AX24" s="168"/>
      <c r="AY24" s="168"/>
      <c r="AZ24" s="168"/>
      <c r="BA24" s="163"/>
      <c r="BB24" s="170"/>
      <c r="BC24" s="170"/>
      <c r="BD24" s="170"/>
      <c r="BE24" s="170"/>
      <c r="BF24" s="170"/>
      <c r="BG24" s="112"/>
    </row>
    <row r="25" ht="15.0" customHeight="1">
      <c r="A25" s="226"/>
      <c r="B25" s="227" t="s">
        <v>277</v>
      </c>
      <c r="C25" s="226"/>
      <c r="D25" s="219" t="s">
        <v>66</v>
      </c>
      <c r="E25" s="228"/>
      <c r="F25" s="228"/>
      <c r="G25" s="228"/>
      <c r="H25" s="228"/>
      <c r="I25" s="228"/>
      <c r="J25" s="228"/>
      <c r="K25" s="228"/>
      <c r="L25" s="228"/>
      <c r="M25" s="228"/>
      <c r="N25" s="228"/>
      <c r="O25" s="228"/>
      <c r="P25" s="228"/>
      <c r="Q25" s="219" t="str">
        <f t="shared" ref="Q25:AB25" si="14">Q4</f>
        <v/>
      </c>
      <c r="R25" s="219" t="str">
        <f t="shared" si="14"/>
        <v/>
      </c>
      <c r="S25" s="219" t="str">
        <f t="shared" si="14"/>
        <v/>
      </c>
      <c r="T25" s="219" t="str">
        <f t="shared" si="14"/>
        <v/>
      </c>
      <c r="U25" s="219" t="str">
        <f t="shared" si="14"/>
        <v/>
      </c>
      <c r="V25" s="219" t="str">
        <f t="shared" si="14"/>
        <v/>
      </c>
      <c r="W25" s="219" t="str">
        <f t="shared" si="14"/>
        <v/>
      </c>
      <c r="X25" s="219" t="str">
        <f t="shared" si="14"/>
        <v/>
      </c>
      <c r="Y25" s="219" t="str">
        <f t="shared" si="14"/>
        <v/>
      </c>
      <c r="Z25" s="219" t="str">
        <f t="shared" si="14"/>
        <v/>
      </c>
      <c r="AA25" s="219" t="str">
        <f t="shared" si="14"/>
        <v/>
      </c>
      <c r="AB25" s="219" t="str">
        <f t="shared" si="14"/>
        <v/>
      </c>
      <c r="AC25" s="219">
        <f>'Revenue Forecast'!AC6</f>
        <v>19</v>
      </c>
      <c r="AD25" s="219">
        <f>'Revenue Forecast'!AD6+'Revenue Forecast'!AC28</f>
        <v>40</v>
      </c>
      <c r="AE25" s="219">
        <f>'Revenue Forecast'!AE6+'Revenue Forecast'!AD28</f>
        <v>63</v>
      </c>
      <c r="AF25" s="219">
        <f>'Revenue Forecast'!AF6+'Revenue Forecast'!AE28</f>
        <v>88</v>
      </c>
      <c r="AG25" s="219">
        <f>'Revenue Forecast'!AG6+'Revenue Forecast'!AF28</f>
        <v>116</v>
      </c>
      <c r="AH25" s="219">
        <f>'Revenue Forecast'!AH6+'Revenue Forecast'!AG28</f>
        <v>146</v>
      </c>
      <c r="AI25" s="219">
        <f>'Revenue Forecast'!AI6+'Revenue Forecast'!AH28</f>
        <v>179</v>
      </c>
      <c r="AJ25" s="219">
        <f>'Revenue Forecast'!AJ6+'Revenue Forecast'!AI28</f>
        <v>215</v>
      </c>
      <c r="AK25" s="219">
        <f>'Revenue Forecast'!AK6+'Revenue Forecast'!AJ28</f>
        <v>255</v>
      </c>
      <c r="AL25" s="219">
        <f>'Revenue Forecast'!AL6+'Revenue Forecast'!AK28</f>
        <v>299</v>
      </c>
      <c r="AM25" s="219">
        <f>'Revenue Forecast'!AM6+'Revenue Forecast'!AL28</f>
        <v>347</v>
      </c>
      <c r="AN25" s="219">
        <f>'Revenue Forecast'!AN6+'Revenue Forecast'!AM28</f>
        <v>400</v>
      </c>
      <c r="AO25" s="219">
        <f>'Revenue Forecast'!AO6+'Revenue Forecast'!AN28</f>
        <v>458</v>
      </c>
      <c r="AP25" s="219">
        <f>'Revenue Forecast'!AP6+'Revenue Forecast'!AO28</f>
        <v>521</v>
      </c>
      <c r="AQ25" s="219">
        <f>'Revenue Forecast'!AQ6+'Revenue Forecast'!AP28</f>
        <v>590</v>
      </c>
      <c r="AR25" s="219">
        <f>'Revenue Forecast'!AR6+'Revenue Forecast'!AQ28</f>
        <v>666</v>
      </c>
      <c r="AS25" s="219">
        <f>'Revenue Forecast'!AS6+'Revenue Forecast'!AR28</f>
        <v>749</v>
      </c>
      <c r="AT25" s="219">
        <f>'Revenue Forecast'!AT6+'Revenue Forecast'!AS28</f>
        <v>840</v>
      </c>
      <c r="AU25" s="219">
        <f>'Revenue Forecast'!AU6+'Revenue Forecast'!AT28</f>
        <v>940</v>
      </c>
      <c r="AV25" s="219">
        <f>'Revenue Forecast'!AV6+'Revenue Forecast'!AU28</f>
        <v>1049</v>
      </c>
      <c r="AW25" s="219">
        <f>'Revenue Forecast'!AW6+'Revenue Forecast'!AV28</f>
        <v>1169</v>
      </c>
      <c r="AX25" s="219">
        <f>'Revenue Forecast'!AX6+'Revenue Forecast'!AW28</f>
        <v>1300</v>
      </c>
      <c r="AY25" s="219">
        <f>'Revenue Forecast'!AY6+'Revenue Forecast'!AX28</f>
        <v>1444</v>
      </c>
      <c r="AZ25" s="219">
        <f>'Revenue Forecast'!AZ6+'Revenue Forecast'!AY28</f>
        <v>1600</v>
      </c>
      <c r="BA25" s="229"/>
      <c r="BB25" s="229">
        <f t="shared" ref="BB25:BB27" si="16">SUM(E25:P25)</f>
        <v>0</v>
      </c>
      <c r="BC25" s="229">
        <f t="shared" ref="BC25:BC27" si="17">SUM(Q25:AB25)</f>
        <v>0</v>
      </c>
      <c r="BD25" s="229">
        <f t="shared" ref="BD25:BD26" si="18">AN25</f>
        <v>400</v>
      </c>
      <c r="BE25" s="229">
        <f t="shared" ref="BE25:BE26" si="19">AZ25</f>
        <v>1600</v>
      </c>
      <c r="BF25" s="229">
        <f>'Revenue Forecast'!BF28</f>
        <v>3000</v>
      </c>
      <c r="BG25" s="230"/>
    </row>
    <row r="26" ht="15.0" customHeight="1">
      <c r="A26" s="226"/>
      <c r="B26" s="227" t="s">
        <v>278</v>
      </c>
      <c r="C26" s="226"/>
      <c r="D26" s="219" t="s">
        <v>66</v>
      </c>
      <c r="E26" s="228"/>
      <c r="F26" s="228"/>
      <c r="G26" s="228"/>
      <c r="H26" s="228"/>
      <c r="I26" s="228"/>
      <c r="J26" s="228"/>
      <c r="K26" s="228"/>
      <c r="L26" s="228"/>
      <c r="M26" s="228"/>
      <c r="N26" s="228"/>
      <c r="O26" s="228"/>
      <c r="P26" s="228"/>
      <c r="Q26" s="219" t="str">
        <f t="shared" ref="Q26:AB26" si="15">Q10</f>
        <v/>
      </c>
      <c r="R26" s="219" t="str">
        <f t="shared" si="15"/>
        <v/>
      </c>
      <c r="S26" s="219" t="str">
        <f t="shared" si="15"/>
        <v/>
      </c>
      <c r="T26" s="219" t="str">
        <f t="shared" si="15"/>
        <v/>
      </c>
      <c r="U26" s="219" t="str">
        <f t="shared" si="15"/>
        <v/>
      </c>
      <c r="V26" s="219" t="str">
        <f t="shared" si="15"/>
        <v/>
      </c>
      <c r="W26" s="219" t="str">
        <f t="shared" si="15"/>
        <v/>
      </c>
      <c r="X26" s="219" t="str">
        <f t="shared" si="15"/>
        <v/>
      </c>
      <c r="Y26" s="219" t="str">
        <f t="shared" si="15"/>
        <v/>
      </c>
      <c r="Z26" s="219" t="str">
        <f t="shared" si="15"/>
        <v/>
      </c>
      <c r="AA26" s="219" t="str">
        <f t="shared" si="15"/>
        <v/>
      </c>
      <c r="AB26" s="219" t="str">
        <f t="shared" si="15"/>
        <v/>
      </c>
      <c r="AC26" s="219">
        <f>'Revenue Forecast'!AC12</f>
        <v>14</v>
      </c>
      <c r="AD26" s="219">
        <f>'Revenue Forecast'!AD12+'Revenue Forecast'!AC29</f>
        <v>30</v>
      </c>
      <c r="AE26" s="219">
        <f>'Revenue Forecast'!AE12+'Revenue Forecast'!AD29</f>
        <v>47</v>
      </c>
      <c r="AF26" s="219">
        <f>'Revenue Forecast'!AF12+'Revenue Forecast'!AE29</f>
        <v>66</v>
      </c>
      <c r="AG26" s="219">
        <f>'Revenue Forecast'!AG12+'Revenue Forecast'!AF29</f>
        <v>87</v>
      </c>
      <c r="AH26" s="219">
        <f>'Revenue Forecast'!AH12+'Revenue Forecast'!AG29</f>
        <v>110</v>
      </c>
      <c r="AI26" s="219">
        <f>'Revenue Forecast'!AI12+'Revenue Forecast'!AH29</f>
        <v>135</v>
      </c>
      <c r="AJ26" s="219">
        <f>'Revenue Forecast'!AJ12+'Revenue Forecast'!AI29</f>
        <v>162</v>
      </c>
      <c r="AK26" s="219">
        <f>'Revenue Forecast'!AK12+'Revenue Forecast'!AJ29</f>
        <v>192</v>
      </c>
      <c r="AL26" s="219">
        <f>'Revenue Forecast'!AL12+'Revenue Forecast'!AK29</f>
        <v>225</v>
      </c>
      <c r="AM26" s="219">
        <f>'Revenue Forecast'!AM12+'Revenue Forecast'!AL29</f>
        <v>261</v>
      </c>
      <c r="AN26" s="219">
        <f>'Revenue Forecast'!AN12+'Revenue Forecast'!AM29</f>
        <v>300</v>
      </c>
      <c r="AO26" s="219">
        <f>'Revenue Forecast'!AO12+'Revenue Forecast'!AN29</f>
        <v>343</v>
      </c>
      <c r="AP26" s="219">
        <f>'Revenue Forecast'!AP12+'Revenue Forecast'!AO29</f>
        <v>390</v>
      </c>
      <c r="AQ26" s="219">
        <f>'Revenue Forecast'!AQ12+'Revenue Forecast'!AP29</f>
        <v>442</v>
      </c>
      <c r="AR26" s="219">
        <f>'Revenue Forecast'!AR12+'Revenue Forecast'!AQ29</f>
        <v>499</v>
      </c>
      <c r="AS26" s="219">
        <f>'Revenue Forecast'!AS12+'Revenue Forecast'!AR29</f>
        <v>561</v>
      </c>
      <c r="AT26" s="219">
        <f>'Revenue Forecast'!AT12+'Revenue Forecast'!AS29</f>
        <v>629</v>
      </c>
      <c r="AU26" s="219">
        <f>'Revenue Forecast'!AU12+'Revenue Forecast'!AT29</f>
        <v>704</v>
      </c>
      <c r="AV26" s="219">
        <f>'Revenue Forecast'!AV12+'Revenue Forecast'!AU29</f>
        <v>786</v>
      </c>
      <c r="AW26" s="219">
        <f>'Revenue Forecast'!AW12+'Revenue Forecast'!AV29</f>
        <v>876</v>
      </c>
      <c r="AX26" s="219">
        <f>'Revenue Forecast'!AX12+'Revenue Forecast'!AW29</f>
        <v>974</v>
      </c>
      <c r="AY26" s="219">
        <f>'Revenue Forecast'!AY12+'Revenue Forecast'!AX29</f>
        <v>1082</v>
      </c>
      <c r="AZ26" s="219">
        <f>'Revenue Forecast'!AZ12+'Revenue Forecast'!AY29</f>
        <v>1200</v>
      </c>
      <c r="BA26" s="229"/>
      <c r="BB26" s="229">
        <f t="shared" si="16"/>
        <v>0</v>
      </c>
      <c r="BC26" s="229">
        <f t="shared" si="17"/>
        <v>0</v>
      </c>
      <c r="BD26" s="229">
        <f t="shared" si="18"/>
        <v>300</v>
      </c>
      <c r="BE26" s="229">
        <f t="shared" si="19"/>
        <v>1200</v>
      </c>
      <c r="BF26" s="229">
        <f>'Revenue Forecast'!BF29</f>
        <v>1500</v>
      </c>
      <c r="BG26" s="230"/>
    </row>
    <row r="27" ht="12.75" customHeight="1">
      <c r="A27" s="61"/>
      <c r="B27" s="221" t="s">
        <v>280</v>
      </c>
      <c r="C27" s="218"/>
      <c r="D27" s="221" t="s">
        <v>198</v>
      </c>
      <c r="E27" s="167"/>
      <c r="F27" s="167"/>
      <c r="G27" s="167"/>
      <c r="H27" s="167"/>
      <c r="I27" s="167"/>
      <c r="J27" s="167"/>
      <c r="K27" s="167"/>
      <c r="L27" s="167"/>
      <c r="M27" s="167"/>
      <c r="N27" s="167"/>
      <c r="O27" s="167"/>
      <c r="P27" s="167"/>
      <c r="Q27" s="167">
        <f>'Revenue Forecast'!Q41*SUMPRODUCT(Assumptions!$E$129:$E$130,Assumptions!$G$129:$G$130)+E27</f>
        <v>0</v>
      </c>
      <c r="R27" s="167">
        <f>'Revenue Forecast'!R41*SUMPRODUCT(Assumptions!$E$129:$E$130,Assumptions!$G$129:$G$130)+F27</f>
        <v>0</v>
      </c>
      <c r="S27" s="167">
        <f>'Revenue Forecast'!S41*SUMPRODUCT(Assumptions!$E$129:$E$130,Assumptions!$G$129:$G$130)+G27</f>
        <v>0</v>
      </c>
      <c r="T27" s="167">
        <f>'Revenue Forecast'!T41*SUMPRODUCT(Assumptions!$E$129:$E$130,Assumptions!$G$129:$G$130)+H27</f>
        <v>0</v>
      </c>
      <c r="U27" s="167">
        <f>'Revenue Forecast'!U41*SUMPRODUCT(Assumptions!$E$129:$E$130,Assumptions!$G$129:$G$130)+I27</f>
        <v>0</v>
      </c>
      <c r="V27" s="167">
        <f>'Revenue Forecast'!V41*SUMPRODUCT(Assumptions!$E$129:$E$130,Assumptions!$G$129:$G$130)+J27</f>
        <v>0</v>
      </c>
      <c r="W27" s="167">
        <f>'Revenue Forecast'!W41*SUMPRODUCT(Assumptions!$E$129:$E$130,Assumptions!$G$129:$G$130)+K27</f>
        <v>0</v>
      </c>
      <c r="X27" s="167">
        <f>'Revenue Forecast'!X41*SUMPRODUCT(Assumptions!$E$129:$E$130,Assumptions!$G$129:$G$130)+L27</f>
        <v>0</v>
      </c>
      <c r="Y27" s="167">
        <f>'Revenue Forecast'!Y41*SUMPRODUCT(Assumptions!$E$129:$E$130,Assumptions!$G$129:$G$130)+M27</f>
        <v>0</v>
      </c>
      <c r="Z27" s="167">
        <f>'Revenue Forecast'!Z41*SUMPRODUCT(Assumptions!$E$129:$E$130,Assumptions!$G$129:$G$130)+N27</f>
        <v>0</v>
      </c>
      <c r="AA27" s="167">
        <f>'Revenue Forecast'!AA41*SUMPRODUCT(Assumptions!$E$129:$E$130,Assumptions!$G$129:$G$130)+O27</f>
        <v>0</v>
      </c>
      <c r="AB27" s="167">
        <f>'Revenue Forecast'!AB41*SUMPRODUCT(Assumptions!$E$129:$E$130,Assumptions!$G$129:$G$130)+P27</f>
        <v>0</v>
      </c>
      <c r="AC27" s="167">
        <f>'Revenue Forecast'!AC41*SUMPRODUCT(Assumptions!$E$129:$E$130,Assumptions!$G$129:$G$130)+Q27</f>
        <v>3736.5</v>
      </c>
      <c r="AD27" s="167">
        <f>'Revenue Forecast'!AD41*SUMPRODUCT(Assumptions!$E$129:$E$130,Assumptions!$G$129:$G$130)+R27</f>
        <v>4213.5</v>
      </c>
      <c r="AE27" s="167">
        <f>'Revenue Forecast'!AE41*SUMPRODUCT(Assumptions!$E$129:$E$130,Assumptions!$G$129:$G$130)+S27</f>
        <v>4531.5</v>
      </c>
      <c r="AF27" s="167">
        <f>'Revenue Forecast'!AF41*SUMPRODUCT(Assumptions!$E$129:$E$130,Assumptions!$G$129:$G$130)+T27</f>
        <v>5008.5</v>
      </c>
      <c r="AG27" s="167">
        <f>'Revenue Forecast'!AG41*SUMPRODUCT(Assumptions!$E$129:$E$130,Assumptions!$G$129:$G$130)+U27</f>
        <v>5565</v>
      </c>
      <c r="AH27" s="167">
        <f>'Revenue Forecast'!AH41*SUMPRODUCT(Assumptions!$E$129:$E$130,Assumptions!$G$129:$G$130)+V27</f>
        <v>6042</v>
      </c>
      <c r="AI27" s="167">
        <f>'Revenue Forecast'!AI41*SUMPRODUCT(Assumptions!$E$129:$E$130,Assumptions!$G$129:$G$130)+W27</f>
        <v>6598.5</v>
      </c>
      <c r="AJ27" s="167">
        <f>'Revenue Forecast'!AJ41*SUMPRODUCT(Assumptions!$E$129:$E$130,Assumptions!$G$129:$G$130)+X27</f>
        <v>7155</v>
      </c>
      <c r="AK27" s="167">
        <f>'Revenue Forecast'!AK41*SUMPRODUCT(Assumptions!$E$129:$E$130,Assumptions!$G$129:$G$130)+Y27</f>
        <v>7950</v>
      </c>
      <c r="AL27" s="167">
        <f>'Revenue Forecast'!AL41*SUMPRODUCT(Assumptions!$E$129:$E$130,Assumptions!$G$129:$G$130)+Z27</f>
        <v>8745</v>
      </c>
      <c r="AM27" s="167">
        <f>'Revenue Forecast'!AM41*SUMPRODUCT(Assumptions!$E$129:$E$130,Assumptions!$G$129:$G$130)+AA27</f>
        <v>9540</v>
      </c>
      <c r="AN27" s="167">
        <f>'Revenue Forecast'!AN41*SUMPRODUCT(Assumptions!$E$129:$E$130,Assumptions!$G$129:$G$130)+AB27</f>
        <v>10414.5</v>
      </c>
      <c r="AO27" s="167">
        <f>'Revenue Forecast'!AO41*SUMPRODUCT(Assumptions!$E$129:$E$130,Assumptions!$G$129:$G$130)+AC27</f>
        <v>15184.5</v>
      </c>
      <c r="AP27" s="167">
        <f>'Revenue Forecast'!AP41*SUMPRODUCT(Assumptions!$E$129:$E$130,Assumptions!$G$129:$G$130)+AD27</f>
        <v>16695</v>
      </c>
      <c r="AQ27" s="167">
        <f>'Revenue Forecast'!AQ41*SUMPRODUCT(Assumptions!$E$129:$E$130,Assumptions!$G$129:$G$130)+AE27</f>
        <v>18285</v>
      </c>
      <c r="AR27" s="167">
        <f>'Revenue Forecast'!AR41*SUMPRODUCT(Assumptions!$E$129:$E$130,Assumptions!$G$129:$G$130)+AF27</f>
        <v>20113.5</v>
      </c>
      <c r="AS27" s="167">
        <f>'Revenue Forecast'!AS41*SUMPRODUCT(Assumptions!$E$129:$E$130,Assumptions!$G$129:$G$130)+AG27</f>
        <v>22021.5</v>
      </c>
      <c r="AT27" s="167">
        <f>'Revenue Forecast'!AT41*SUMPRODUCT(Assumptions!$E$129:$E$130,Assumptions!$G$129:$G$130)+AH27</f>
        <v>24088.5</v>
      </c>
      <c r="AU27" s="167">
        <f>'Revenue Forecast'!AU41*SUMPRODUCT(Assumptions!$E$129:$E$130,Assumptions!$G$129:$G$130)+AI27</f>
        <v>26473.5</v>
      </c>
      <c r="AV27" s="167">
        <f>'Revenue Forecast'!AV41*SUMPRODUCT(Assumptions!$E$129:$E$130,Assumptions!$G$129:$G$130)+AJ27</f>
        <v>28858.5</v>
      </c>
      <c r="AW27" s="167">
        <f>'Revenue Forecast'!AW41*SUMPRODUCT(Assumptions!$E$129:$E$130,Assumptions!$G$129:$G$130)+AK27</f>
        <v>31800</v>
      </c>
      <c r="AX27" s="167">
        <f>'Revenue Forecast'!AX41*SUMPRODUCT(Assumptions!$E$129:$E$130,Assumptions!$G$129:$G$130)+AL27</f>
        <v>34741.5</v>
      </c>
      <c r="AY27" s="167">
        <f>'Revenue Forecast'!AY41*SUMPRODUCT(Assumptions!$E$129:$E$130,Assumptions!$G$129:$G$130)+AM27</f>
        <v>38160</v>
      </c>
      <c r="AZ27" s="167">
        <f>'Revenue Forecast'!AZ41*SUMPRODUCT(Assumptions!$E$129:$E$130,Assumptions!$G$129:$G$130)+AN27</f>
        <v>41578.5</v>
      </c>
      <c r="BA27" s="222"/>
      <c r="BB27" s="223">
        <f t="shared" si="16"/>
        <v>0</v>
      </c>
      <c r="BC27" s="223">
        <f t="shared" si="17"/>
        <v>0</v>
      </c>
      <c r="BD27" s="223">
        <f>sum(AC27:AN27)</f>
        <v>79500</v>
      </c>
      <c r="BE27" s="223">
        <f>sum(AO27:AZ27)+BD27</f>
        <v>397500</v>
      </c>
      <c r="BF27" s="223">
        <f>(BE27*2)+BE27</f>
        <v>1192500</v>
      </c>
      <c r="BG27" s="224"/>
    </row>
    <row r="28" ht="15.75" customHeight="1">
      <c r="A28" s="30"/>
      <c r="B28" s="30"/>
      <c r="C28" s="30"/>
      <c r="D28" s="30"/>
      <c r="E28" s="30"/>
      <c r="F28" s="30"/>
      <c r="G28" s="30"/>
      <c r="H28" s="30"/>
      <c r="I28" s="30"/>
      <c r="J28" s="30"/>
      <c r="K28" s="30"/>
      <c r="L28" s="30"/>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12"/>
    </row>
    <row r="29" ht="15.75" customHeight="1">
      <c r="A29" s="241"/>
      <c r="B29" s="142" t="s">
        <v>293</v>
      </c>
      <c r="C29" s="241"/>
      <c r="D29" s="241"/>
      <c r="E29" s="241"/>
      <c r="F29" s="241"/>
      <c r="G29" s="241"/>
      <c r="H29" s="241"/>
      <c r="I29" s="241"/>
      <c r="J29" s="241"/>
      <c r="K29" s="241"/>
      <c r="L29" s="241"/>
      <c r="M29" s="174">
        <f>M7+M12</f>
        <v>0</v>
      </c>
      <c r="N29" s="174">
        <f t="shared" ref="N29:P29" si="20">N9+N14+N22+N27</f>
        <v>0</v>
      </c>
      <c r="O29" s="174">
        <f t="shared" si="20"/>
        <v>0</v>
      </c>
      <c r="P29" s="174">
        <f t="shared" si="20"/>
        <v>0</v>
      </c>
      <c r="Q29" s="174">
        <f t="shared" ref="Q29:AZ29" si="21">Q9+Q14+Q19+Q22+Q27</f>
        <v>0</v>
      </c>
      <c r="R29" s="174">
        <f t="shared" si="21"/>
        <v>0</v>
      </c>
      <c r="S29" s="174">
        <f t="shared" si="21"/>
        <v>0</v>
      </c>
      <c r="T29" s="174">
        <f t="shared" si="21"/>
        <v>0</v>
      </c>
      <c r="U29" s="174">
        <f t="shared" si="21"/>
        <v>0</v>
      </c>
      <c r="V29" s="174">
        <f t="shared" si="21"/>
        <v>0</v>
      </c>
      <c r="W29" s="174">
        <f t="shared" si="21"/>
        <v>0</v>
      </c>
      <c r="X29" s="174">
        <f t="shared" si="21"/>
        <v>0</v>
      </c>
      <c r="Y29" s="174">
        <f t="shared" si="21"/>
        <v>0</v>
      </c>
      <c r="Z29" s="174">
        <f t="shared" si="21"/>
        <v>0</v>
      </c>
      <c r="AA29" s="174">
        <f t="shared" si="21"/>
        <v>0</v>
      </c>
      <c r="AB29" s="174">
        <f t="shared" si="21"/>
        <v>0</v>
      </c>
      <c r="AC29" s="174">
        <f t="shared" si="21"/>
        <v>681750.78</v>
      </c>
      <c r="AD29" s="174">
        <f t="shared" si="21"/>
        <v>769800.02</v>
      </c>
      <c r="AE29" s="174">
        <f t="shared" si="21"/>
        <v>826905.86</v>
      </c>
      <c r="AF29" s="174">
        <f t="shared" si="21"/>
        <v>914955.1</v>
      </c>
      <c r="AG29" s="174">
        <f t="shared" si="21"/>
        <v>1016085.56</v>
      </c>
      <c r="AH29" s="174">
        <f t="shared" si="21"/>
        <v>1104134.8</v>
      </c>
      <c r="AI29" s="174">
        <f t="shared" si="21"/>
        <v>1205265.26</v>
      </c>
      <c r="AJ29" s="174">
        <f t="shared" si="21"/>
        <v>1306395.72</v>
      </c>
      <c r="AK29" s="174">
        <f t="shared" si="21"/>
        <v>1451550.8</v>
      </c>
      <c r="AL29" s="174">
        <f t="shared" si="21"/>
        <v>1596705.88</v>
      </c>
      <c r="AM29" s="174">
        <f t="shared" si="21"/>
        <v>1741860.96</v>
      </c>
      <c r="AN29" s="174">
        <f t="shared" si="21"/>
        <v>1900097.26</v>
      </c>
      <c r="AO29" s="174">
        <f t="shared" si="21"/>
        <v>1673256.916</v>
      </c>
      <c r="AP29" s="174">
        <f t="shared" si="21"/>
        <v>1825018.928</v>
      </c>
      <c r="AQ29" s="174">
        <f t="shared" si="21"/>
        <v>2011901.632</v>
      </c>
      <c r="AR29" s="174">
        <f t="shared" si="21"/>
        <v>2209109.58</v>
      </c>
      <c r="AS29" s="174">
        <f t="shared" si="21"/>
        <v>2406397.028</v>
      </c>
      <c r="AT29" s="174">
        <f t="shared" si="21"/>
        <v>2638884.668</v>
      </c>
      <c r="AU29" s="174">
        <f t="shared" si="21"/>
        <v>2906731.5</v>
      </c>
      <c r="AV29" s="174">
        <f t="shared" si="21"/>
        <v>3174578.332</v>
      </c>
      <c r="AW29" s="174">
        <f t="shared" si="21"/>
        <v>3488109.6</v>
      </c>
      <c r="AX29" s="174">
        <f t="shared" si="21"/>
        <v>3801640.868</v>
      </c>
      <c r="AY29" s="174">
        <f t="shared" si="21"/>
        <v>4185731.52</v>
      </c>
      <c r="AZ29" s="174">
        <f t="shared" si="21"/>
        <v>4559735.428</v>
      </c>
      <c r="BA29" s="222"/>
      <c r="BB29" s="174">
        <f t="shared" ref="BB29:BF29" si="22">BB9+BB14+BB19+BB22+BB27</f>
        <v>0</v>
      </c>
      <c r="BC29" s="247">
        <f t="shared" si="22"/>
        <v>0</v>
      </c>
      <c r="BD29" s="247">
        <f t="shared" si="22"/>
        <v>14515508</v>
      </c>
      <c r="BE29" s="247">
        <f t="shared" si="22"/>
        <v>34960596</v>
      </c>
      <c r="BF29" s="247">
        <f t="shared" si="22"/>
        <v>57428448</v>
      </c>
      <c r="BG29" s="178"/>
    </row>
    <row r="30" ht="15.75" customHeight="1">
      <c r="A30" s="30"/>
      <c r="B30" s="30"/>
      <c r="C30" s="30"/>
      <c r="D30" s="30"/>
      <c r="E30" s="30"/>
      <c r="F30" s="30"/>
      <c r="G30" s="30"/>
      <c r="H30" s="30"/>
      <c r="I30" s="30"/>
      <c r="J30" s="30"/>
      <c r="K30" s="30"/>
      <c r="L30" s="30"/>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201"/>
      <c r="BF30" s="201"/>
      <c r="BG30" s="112"/>
    </row>
    <row r="31" ht="15.75" customHeight="1">
      <c r="A31" s="30"/>
      <c r="B31" s="30"/>
      <c r="C31" s="30"/>
      <c r="D31" s="30"/>
      <c r="E31" s="30"/>
      <c r="F31" s="30"/>
      <c r="G31" s="30"/>
      <c r="H31" s="30"/>
      <c r="I31" s="30"/>
      <c r="J31" s="30"/>
      <c r="K31" s="30"/>
      <c r="L31" s="30"/>
      <c r="M31" s="163"/>
      <c r="N31" s="163"/>
      <c r="O31" s="163"/>
      <c r="P31" s="163"/>
      <c r="Q31" s="163"/>
      <c r="R31" s="163"/>
      <c r="S31" s="163"/>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12"/>
    </row>
    <row r="32" ht="15.75" customHeight="1">
      <c r="A32" s="30"/>
      <c r="B32" s="30"/>
      <c r="C32" s="30"/>
      <c r="D32" s="30"/>
      <c r="E32" s="30"/>
      <c r="F32" s="30"/>
      <c r="G32" s="30"/>
      <c r="H32" s="30"/>
      <c r="I32" s="30"/>
      <c r="J32" s="30"/>
      <c r="K32" s="30"/>
      <c r="L32" s="30"/>
      <c r="M32" s="163"/>
      <c r="N32" s="163"/>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248"/>
      <c r="AV32" s="163"/>
      <c r="AW32" s="163"/>
      <c r="AX32" s="163"/>
      <c r="AY32" s="163"/>
      <c r="AZ32" s="163"/>
      <c r="BA32" s="163"/>
      <c r="BB32" s="163"/>
      <c r="BC32" s="163"/>
      <c r="BD32" s="210"/>
      <c r="BE32" s="210"/>
      <c r="BF32" s="163"/>
      <c r="BG32" s="112"/>
    </row>
    <row r="33" ht="15.75" customHeight="1">
      <c r="A33" s="30"/>
      <c r="B33" s="30"/>
      <c r="C33" s="30"/>
      <c r="D33" s="30"/>
      <c r="E33" s="30"/>
      <c r="F33" s="30"/>
      <c r="G33" s="30"/>
      <c r="H33" s="30"/>
      <c r="I33" s="30"/>
      <c r="J33" s="30"/>
      <c r="K33" s="30"/>
      <c r="L33" s="30"/>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12"/>
    </row>
    <row r="34" ht="15.75" customHeight="1">
      <c r="A34" s="30"/>
      <c r="B34" s="30"/>
      <c r="C34" s="30"/>
      <c r="D34" s="30"/>
      <c r="E34" s="30"/>
      <c r="F34" s="30"/>
      <c r="G34" s="30"/>
      <c r="H34" s="30"/>
      <c r="I34" s="30"/>
      <c r="J34" s="30"/>
      <c r="K34" s="30"/>
      <c r="L34" s="30"/>
      <c r="M34" s="163"/>
      <c r="N34" s="163"/>
      <c r="O34" s="163"/>
      <c r="P34" s="163"/>
      <c r="Q34" s="163"/>
      <c r="R34" s="163"/>
      <c r="S34" s="163"/>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12"/>
    </row>
    <row r="35" ht="15.75" customHeight="1">
      <c r="A35" s="30"/>
      <c r="B35" s="30"/>
      <c r="C35" s="30"/>
      <c r="D35" s="30"/>
      <c r="E35" s="30"/>
      <c r="F35" s="30"/>
      <c r="G35" s="30"/>
      <c r="H35" s="30"/>
      <c r="I35" s="30"/>
      <c r="J35" s="30"/>
      <c r="K35" s="30"/>
      <c r="L35" s="30"/>
      <c r="M35" s="163"/>
      <c r="N35" s="163"/>
      <c r="O35" s="163"/>
      <c r="P35" s="163"/>
      <c r="Q35" s="163"/>
      <c r="R35" s="163"/>
      <c r="S35" s="163"/>
      <c r="T35" s="163"/>
      <c r="U35" s="163"/>
      <c r="V35" s="163"/>
      <c r="W35" s="163"/>
      <c r="X35" s="163"/>
      <c r="Y35" s="163"/>
      <c r="Z35" s="163"/>
      <c r="AA35" s="163"/>
      <c r="AB35" s="163"/>
      <c r="AC35" s="163"/>
      <c r="AD35" s="163"/>
      <c r="AE35" s="163"/>
      <c r="AF35" s="163"/>
      <c r="AG35" s="163"/>
      <c r="AH35" s="163"/>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12"/>
    </row>
    <row r="36" ht="15.75" customHeight="1">
      <c r="A36" s="30"/>
      <c r="B36" s="30"/>
      <c r="C36" s="30"/>
      <c r="D36" s="30"/>
      <c r="E36" s="30"/>
      <c r="F36" s="30"/>
      <c r="G36" s="30"/>
      <c r="H36" s="30"/>
      <c r="I36" s="30"/>
      <c r="J36" s="30"/>
      <c r="K36" s="30"/>
      <c r="L36" s="30"/>
      <c r="M36" s="163"/>
      <c r="N36" s="163"/>
      <c r="O36" s="163"/>
      <c r="P36" s="163"/>
      <c r="Q36" s="163"/>
      <c r="R36" s="163"/>
      <c r="S36" s="163"/>
      <c r="T36" s="163"/>
      <c r="U36" s="163"/>
      <c r="V36" s="163"/>
      <c r="W36" s="163"/>
      <c r="X36" s="163"/>
      <c r="Y36" s="163"/>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248"/>
      <c r="AV36" s="163"/>
      <c r="AW36" s="163"/>
      <c r="AX36" s="163"/>
      <c r="AY36" s="163"/>
      <c r="AZ36" s="163"/>
      <c r="BA36" s="163"/>
      <c r="BB36" s="163"/>
      <c r="BC36" s="163"/>
      <c r="BD36" s="163"/>
      <c r="BE36" s="163"/>
      <c r="BF36" s="163"/>
      <c r="BG36" s="112"/>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163"/>
      <c r="BB37" s="30"/>
      <c r="BC37" s="30"/>
      <c r="BD37" s="30"/>
      <c r="BE37" s="30"/>
      <c r="BF37" s="30"/>
      <c r="BG37" s="37"/>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163"/>
      <c r="BB38" s="30"/>
      <c r="BC38" s="30"/>
      <c r="BD38" s="30"/>
      <c r="BE38" s="30"/>
      <c r="BF38" s="30"/>
      <c r="BG38" s="37"/>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163"/>
      <c r="BB39" s="30"/>
      <c r="BC39" s="30"/>
      <c r="BD39" s="30"/>
      <c r="BE39" s="30"/>
      <c r="BF39" s="30"/>
      <c r="BG39" s="37"/>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163"/>
      <c r="BB40" s="30"/>
      <c r="BC40" s="30"/>
      <c r="BD40" s="30"/>
      <c r="BE40" s="30"/>
      <c r="BF40" s="30"/>
      <c r="BG40" s="37"/>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163"/>
      <c r="BB41" s="30"/>
      <c r="BC41" s="30"/>
      <c r="BD41" s="30"/>
      <c r="BE41" s="30"/>
      <c r="BF41" s="30"/>
      <c r="BG41" s="37"/>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163"/>
      <c r="BB42" s="30"/>
      <c r="BC42" s="30"/>
      <c r="BD42" s="30"/>
      <c r="BE42" s="30"/>
      <c r="BF42" s="30"/>
      <c r="BG42" s="37"/>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163"/>
      <c r="BB43" s="30"/>
      <c r="BC43" s="30"/>
      <c r="BD43" s="30"/>
      <c r="BE43" s="30"/>
      <c r="BF43" s="30"/>
      <c r="BG43" s="37"/>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163"/>
      <c r="BB44" s="30"/>
      <c r="BC44" s="30"/>
      <c r="BD44" s="30"/>
      <c r="BE44" s="30"/>
      <c r="BF44" s="30"/>
      <c r="BG44" s="37"/>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163"/>
      <c r="BB45" s="30"/>
      <c r="BC45" s="30"/>
      <c r="BD45" s="30"/>
      <c r="BE45" s="30"/>
      <c r="BF45" s="30"/>
      <c r="BG45" s="37"/>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163"/>
      <c r="BB46" s="30"/>
      <c r="BC46" s="30"/>
      <c r="BD46" s="30"/>
      <c r="BE46" s="30"/>
      <c r="BF46" s="30"/>
      <c r="BG46" s="37"/>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163"/>
      <c r="BB47" s="30"/>
      <c r="BC47" s="30"/>
      <c r="BD47" s="30"/>
      <c r="BE47" s="30"/>
      <c r="BF47" s="30"/>
      <c r="BG47" s="37"/>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163"/>
      <c r="BB48" s="30"/>
      <c r="BC48" s="30"/>
      <c r="BD48" s="30"/>
      <c r="BE48" s="30"/>
      <c r="BF48" s="30"/>
      <c r="BG48" s="37"/>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163"/>
      <c r="BB49" s="30"/>
      <c r="BC49" s="30"/>
      <c r="BD49" s="30"/>
      <c r="BE49" s="30"/>
      <c r="BF49" s="30"/>
      <c r="BG49" s="37"/>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163"/>
      <c r="BB50" s="30"/>
      <c r="BC50" s="30"/>
      <c r="BD50" s="30"/>
      <c r="BE50" s="30"/>
      <c r="BF50" s="30"/>
      <c r="BG50" s="37"/>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163"/>
      <c r="BB51" s="30"/>
      <c r="BC51" s="30"/>
      <c r="BD51" s="30"/>
      <c r="BE51" s="30"/>
      <c r="BF51" s="30"/>
      <c r="BG51" s="37"/>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163"/>
      <c r="BB52" s="30"/>
      <c r="BC52" s="30"/>
      <c r="BD52" s="30"/>
      <c r="BE52" s="30"/>
      <c r="BF52" s="30"/>
      <c r="BG52" s="37"/>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163"/>
      <c r="BB53" s="30"/>
      <c r="BC53" s="30"/>
      <c r="BD53" s="30"/>
      <c r="BE53" s="30"/>
      <c r="BF53" s="30"/>
      <c r="BG53" s="37"/>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163"/>
      <c r="BB54" s="30"/>
      <c r="BC54" s="30"/>
      <c r="BD54" s="30"/>
      <c r="BE54" s="30"/>
      <c r="BF54" s="30"/>
      <c r="BG54" s="37"/>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163"/>
      <c r="BB55" s="30"/>
      <c r="BC55" s="30"/>
      <c r="BD55" s="30"/>
      <c r="BE55" s="30"/>
      <c r="BF55" s="30"/>
      <c r="BG55" s="37"/>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163"/>
      <c r="BB56" s="30"/>
      <c r="BC56" s="30"/>
      <c r="BD56" s="30"/>
      <c r="BE56" s="30"/>
      <c r="BF56" s="30"/>
      <c r="BG56" s="37"/>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163"/>
      <c r="BB57" s="30"/>
      <c r="BC57" s="30"/>
      <c r="BD57" s="30"/>
      <c r="BE57" s="30"/>
      <c r="BF57" s="30"/>
      <c r="BG57" s="37"/>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163"/>
      <c r="BB58" s="30"/>
      <c r="BC58" s="30"/>
      <c r="BD58" s="30"/>
      <c r="BE58" s="30"/>
      <c r="BF58" s="30"/>
      <c r="BG58" s="37"/>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163"/>
      <c r="BB59" s="30"/>
      <c r="BC59" s="30"/>
      <c r="BD59" s="30"/>
      <c r="BE59" s="30"/>
      <c r="BF59" s="30"/>
      <c r="BG59" s="37"/>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163"/>
      <c r="BB60" s="30"/>
      <c r="BC60" s="30"/>
      <c r="BD60" s="30"/>
      <c r="BE60" s="30"/>
      <c r="BF60" s="30"/>
      <c r="BG60" s="37"/>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163"/>
      <c r="BB61" s="30"/>
      <c r="BC61" s="30"/>
      <c r="BD61" s="30"/>
      <c r="BE61" s="30"/>
      <c r="BF61" s="30"/>
      <c r="BG61" s="37"/>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163"/>
      <c r="BB62" s="30"/>
      <c r="BC62" s="30"/>
      <c r="BD62" s="30"/>
      <c r="BE62" s="30"/>
      <c r="BF62" s="30"/>
      <c r="BG62" s="37"/>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163"/>
      <c r="BB63" s="30"/>
      <c r="BC63" s="30"/>
      <c r="BD63" s="30"/>
      <c r="BE63" s="30"/>
      <c r="BF63" s="30"/>
      <c r="BG63" s="37"/>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163"/>
      <c r="BB64" s="30"/>
      <c r="BC64" s="30"/>
      <c r="BD64" s="30"/>
      <c r="BE64" s="30"/>
      <c r="BF64" s="30"/>
      <c r="BG64" s="37"/>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163"/>
      <c r="BB65" s="30"/>
      <c r="BC65" s="30"/>
      <c r="BD65" s="30"/>
      <c r="BE65" s="30"/>
      <c r="BF65" s="30"/>
      <c r="BG65" s="37"/>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163"/>
      <c r="BB66" s="30"/>
      <c r="BC66" s="30"/>
      <c r="BD66" s="30"/>
      <c r="BE66" s="30"/>
      <c r="BF66" s="30"/>
      <c r="BG66" s="37"/>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163"/>
      <c r="BB67" s="30"/>
      <c r="BC67" s="30"/>
      <c r="BD67" s="30"/>
      <c r="BE67" s="30"/>
      <c r="BF67" s="30"/>
      <c r="BG67" s="37"/>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163"/>
      <c r="BB68" s="30"/>
      <c r="BC68" s="30"/>
      <c r="BD68" s="30"/>
      <c r="BE68" s="30"/>
      <c r="BF68" s="30"/>
      <c r="BG68" s="37"/>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163"/>
      <c r="BB69" s="30"/>
      <c r="BC69" s="30"/>
      <c r="BD69" s="30"/>
      <c r="BE69" s="30"/>
      <c r="BF69" s="30"/>
      <c r="BG69" s="37"/>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163"/>
      <c r="BB70" s="30"/>
      <c r="BC70" s="30"/>
      <c r="BD70" s="30"/>
      <c r="BE70" s="30"/>
      <c r="BF70" s="30"/>
      <c r="BG70" s="37"/>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163"/>
      <c r="BB71" s="30"/>
      <c r="BC71" s="30"/>
      <c r="BD71" s="30"/>
      <c r="BE71" s="30"/>
      <c r="BF71" s="30"/>
      <c r="BG71" s="37"/>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163"/>
      <c r="BB72" s="30"/>
      <c r="BC72" s="30"/>
      <c r="BD72" s="30"/>
      <c r="BE72" s="30"/>
      <c r="BF72" s="30"/>
      <c r="BG72" s="37"/>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163"/>
      <c r="BB73" s="30"/>
      <c r="BC73" s="30"/>
      <c r="BD73" s="30"/>
      <c r="BE73" s="30"/>
      <c r="BF73" s="30"/>
      <c r="BG73" s="37"/>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163"/>
      <c r="BB74" s="30"/>
      <c r="BC74" s="30"/>
      <c r="BD74" s="30"/>
      <c r="BE74" s="30"/>
      <c r="BF74" s="30"/>
      <c r="BG74" s="37"/>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163"/>
      <c r="BB75" s="30"/>
      <c r="BC75" s="30"/>
      <c r="BD75" s="30"/>
      <c r="BE75" s="30"/>
      <c r="BF75" s="30"/>
      <c r="BG75" s="37"/>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163"/>
      <c r="BB76" s="30"/>
      <c r="BC76" s="30"/>
      <c r="BD76" s="30"/>
      <c r="BE76" s="30"/>
      <c r="BF76" s="30"/>
      <c r="BG76" s="37"/>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163"/>
      <c r="BB77" s="30"/>
      <c r="BC77" s="30"/>
      <c r="BD77" s="30"/>
      <c r="BE77" s="30"/>
      <c r="BF77" s="30"/>
      <c r="BG77" s="37"/>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163"/>
      <c r="BB78" s="30"/>
      <c r="BC78" s="30"/>
      <c r="BD78" s="30"/>
      <c r="BE78" s="30"/>
      <c r="BF78" s="30"/>
      <c r="BG78" s="37"/>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163"/>
      <c r="BB79" s="30"/>
      <c r="BC79" s="30"/>
      <c r="BD79" s="30"/>
      <c r="BE79" s="30"/>
      <c r="BF79" s="30"/>
      <c r="BG79" s="37"/>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163"/>
      <c r="BB80" s="30"/>
      <c r="BC80" s="30"/>
      <c r="BD80" s="30"/>
      <c r="BE80" s="30"/>
      <c r="BF80" s="30"/>
      <c r="BG80" s="37"/>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163"/>
      <c r="BB81" s="30"/>
      <c r="BC81" s="30"/>
      <c r="BD81" s="30"/>
      <c r="BE81" s="30"/>
      <c r="BF81" s="30"/>
      <c r="BG81" s="37"/>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163"/>
      <c r="BB82" s="30"/>
      <c r="BC82" s="30"/>
      <c r="BD82" s="30"/>
      <c r="BE82" s="30"/>
      <c r="BF82" s="30"/>
      <c r="BG82" s="37"/>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163"/>
      <c r="BB83" s="30"/>
      <c r="BC83" s="30"/>
      <c r="BD83" s="30"/>
      <c r="BE83" s="30"/>
      <c r="BF83" s="30"/>
      <c r="BG83" s="37"/>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163"/>
      <c r="BB84" s="30"/>
      <c r="BC84" s="30"/>
      <c r="BD84" s="30"/>
      <c r="BE84" s="30"/>
      <c r="BF84" s="30"/>
      <c r="BG84" s="37"/>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163"/>
      <c r="BB85" s="30"/>
      <c r="BC85" s="30"/>
      <c r="BD85" s="30"/>
      <c r="BE85" s="30"/>
      <c r="BF85" s="30"/>
      <c r="BG85" s="37"/>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163"/>
      <c r="BB86" s="30"/>
      <c r="BC86" s="30"/>
      <c r="BD86" s="30"/>
      <c r="BE86" s="30"/>
      <c r="BF86" s="30"/>
      <c r="BG86" s="37"/>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163"/>
      <c r="BB87" s="30"/>
      <c r="BC87" s="30"/>
      <c r="BD87" s="30"/>
      <c r="BE87" s="30"/>
      <c r="BF87" s="30"/>
      <c r="BG87" s="37"/>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163"/>
      <c r="BB88" s="30"/>
      <c r="BC88" s="30"/>
      <c r="BD88" s="30"/>
      <c r="BE88" s="30"/>
      <c r="BF88" s="30"/>
      <c r="BG88" s="37"/>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163"/>
      <c r="BB89" s="30"/>
      <c r="BC89" s="30"/>
      <c r="BD89" s="30"/>
      <c r="BE89" s="30"/>
      <c r="BF89" s="30"/>
      <c r="BG89" s="37"/>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163"/>
      <c r="BB90" s="30"/>
      <c r="BC90" s="30"/>
      <c r="BD90" s="30"/>
      <c r="BE90" s="30"/>
      <c r="BF90" s="30"/>
      <c r="BG90" s="37"/>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163"/>
      <c r="BB91" s="30"/>
      <c r="BC91" s="30"/>
      <c r="BD91" s="30"/>
      <c r="BE91" s="30"/>
      <c r="BF91" s="30"/>
      <c r="BG91" s="37"/>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163"/>
      <c r="BB92" s="30"/>
      <c r="BC92" s="30"/>
      <c r="BD92" s="30"/>
      <c r="BE92" s="30"/>
      <c r="BF92" s="30"/>
      <c r="BG92" s="37"/>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163"/>
      <c r="BB93" s="30"/>
      <c r="BC93" s="30"/>
      <c r="BD93" s="30"/>
      <c r="BE93" s="30"/>
      <c r="BF93" s="30"/>
      <c r="BG93" s="37"/>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163"/>
      <c r="BB94" s="30"/>
      <c r="BC94" s="30"/>
      <c r="BD94" s="30"/>
      <c r="BE94" s="30"/>
      <c r="BF94" s="30"/>
      <c r="BG94" s="37"/>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163"/>
      <c r="BB95" s="30"/>
      <c r="BC95" s="30"/>
      <c r="BD95" s="30"/>
      <c r="BE95" s="30"/>
      <c r="BF95" s="30"/>
      <c r="BG95" s="37"/>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163"/>
      <c r="BB96" s="30"/>
      <c r="BC96" s="30"/>
      <c r="BD96" s="30"/>
      <c r="BE96" s="30"/>
      <c r="BF96" s="30"/>
      <c r="BG96" s="37"/>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163"/>
      <c r="BB97" s="30"/>
      <c r="BC97" s="30"/>
      <c r="BD97" s="30"/>
      <c r="BE97" s="30"/>
      <c r="BF97" s="30"/>
      <c r="BG97" s="37"/>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163"/>
      <c r="BB98" s="30"/>
      <c r="BC98" s="30"/>
      <c r="BD98" s="30"/>
      <c r="BE98" s="30"/>
      <c r="BF98" s="30"/>
      <c r="BG98" s="37"/>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163"/>
      <c r="BB99" s="30"/>
      <c r="BC99" s="30"/>
      <c r="BD99" s="30"/>
      <c r="BE99" s="30"/>
      <c r="BF99" s="30"/>
      <c r="BG99" s="37"/>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163"/>
      <c r="BB100" s="30"/>
      <c r="BC100" s="30"/>
      <c r="BD100" s="30"/>
      <c r="BE100" s="30"/>
      <c r="BF100" s="30"/>
      <c r="BG100" s="37"/>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163"/>
      <c r="BB101" s="30"/>
      <c r="BC101" s="30"/>
      <c r="BD101" s="30"/>
      <c r="BE101" s="30"/>
      <c r="BF101" s="30"/>
      <c r="BG101" s="37"/>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163"/>
      <c r="BB102" s="30"/>
      <c r="BC102" s="30"/>
      <c r="BD102" s="30"/>
      <c r="BE102" s="30"/>
      <c r="BF102" s="30"/>
      <c r="BG102" s="37"/>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163"/>
      <c r="BB103" s="30"/>
      <c r="BC103" s="30"/>
      <c r="BD103" s="30"/>
      <c r="BE103" s="30"/>
      <c r="BF103" s="30"/>
      <c r="BG103" s="37"/>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163"/>
      <c r="BB104" s="30"/>
      <c r="BC104" s="30"/>
      <c r="BD104" s="30"/>
      <c r="BE104" s="30"/>
      <c r="BF104" s="30"/>
      <c r="BG104" s="37"/>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163"/>
      <c r="BB105" s="30"/>
      <c r="BC105" s="30"/>
      <c r="BD105" s="30"/>
      <c r="BE105" s="30"/>
      <c r="BF105" s="30"/>
      <c r="BG105" s="37"/>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163"/>
      <c r="BB106" s="30"/>
      <c r="BC106" s="30"/>
      <c r="BD106" s="30"/>
      <c r="BE106" s="30"/>
      <c r="BF106" s="30"/>
      <c r="BG106" s="37"/>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163"/>
      <c r="BB107" s="30"/>
      <c r="BC107" s="30"/>
      <c r="BD107" s="30"/>
      <c r="BE107" s="30"/>
      <c r="BF107" s="30"/>
      <c r="BG107" s="37"/>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163"/>
      <c r="BB108" s="30"/>
      <c r="BC108" s="30"/>
      <c r="BD108" s="30"/>
      <c r="BE108" s="30"/>
      <c r="BF108" s="30"/>
      <c r="BG108" s="37"/>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163"/>
      <c r="BB109" s="30"/>
      <c r="BC109" s="30"/>
      <c r="BD109" s="30"/>
      <c r="BE109" s="30"/>
      <c r="BF109" s="30"/>
      <c r="BG109" s="37"/>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163"/>
      <c r="BB110" s="30"/>
      <c r="BC110" s="30"/>
      <c r="BD110" s="30"/>
      <c r="BE110" s="30"/>
      <c r="BF110" s="30"/>
      <c r="BG110" s="37"/>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163"/>
      <c r="BB111" s="30"/>
      <c r="BC111" s="30"/>
      <c r="BD111" s="30"/>
      <c r="BE111" s="30"/>
      <c r="BF111" s="30"/>
      <c r="BG111" s="37"/>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163"/>
      <c r="BB112" s="30"/>
      <c r="BC112" s="30"/>
      <c r="BD112" s="30"/>
      <c r="BE112" s="30"/>
      <c r="BF112" s="30"/>
      <c r="BG112" s="37"/>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163"/>
      <c r="BB113" s="30"/>
      <c r="BC113" s="30"/>
      <c r="BD113" s="30"/>
      <c r="BE113" s="30"/>
      <c r="BF113" s="30"/>
      <c r="BG113" s="37"/>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163"/>
      <c r="BB114" s="30"/>
      <c r="BC114" s="30"/>
      <c r="BD114" s="30"/>
      <c r="BE114" s="30"/>
      <c r="BF114" s="30"/>
      <c r="BG114" s="37"/>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163"/>
      <c r="BB115" s="30"/>
      <c r="BC115" s="30"/>
      <c r="BD115" s="30"/>
      <c r="BE115" s="30"/>
      <c r="BF115" s="30"/>
      <c r="BG115" s="37"/>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163"/>
      <c r="BB116" s="30"/>
      <c r="BC116" s="30"/>
      <c r="BD116" s="30"/>
      <c r="BE116" s="30"/>
      <c r="BF116" s="30"/>
      <c r="BG116" s="37"/>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163"/>
      <c r="BB117" s="30"/>
      <c r="BC117" s="30"/>
      <c r="BD117" s="30"/>
      <c r="BE117" s="30"/>
      <c r="BF117" s="30"/>
      <c r="BG117" s="37"/>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163"/>
      <c r="BB118" s="30"/>
      <c r="BC118" s="30"/>
      <c r="BD118" s="30"/>
      <c r="BE118" s="30"/>
      <c r="BF118" s="30"/>
      <c r="BG118" s="37"/>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163"/>
      <c r="BB119" s="30"/>
      <c r="BC119" s="30"/>
      <c r="BD119" s="30"/>
      <c r="BE119" s="30"/>
      <c r="BF119" s="30"/>
      <c r="BG119" s="37"/>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163"/>
      <c r="BB120" s="30"/>
      <c r="BC120" s="30"/>
      <c r="BD120" s="30"/>
      <c r="BE120" s="30"/>
      <c r="BF120" s="30"/>
      <c r="BG120" s="37"/>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163"/>
      <c r="BB121" s="30"/>
      <c r="BC121" s="30"/>
      <c r="BD121" s="30"/>
      <c r="BE121" s="30"/>
      <c r="BF121" s="30"/>
      <c r="BG121" s="37"/>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163"/>
      <c r="BB122" s="30"/>
      <c r="BC122" s="30"/>
      <c r="BD122" s="30"/>
      <c r="BE122" s="30"/>
      <c r="BF122" s="30"/>
      <c r="BG122" s="37"/>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163"/>
      <c r="BB123" s="30"/>
      <c r="BC123" s="30"/>
      <c r="BD123" s="30"/>
      <c r="BE123" s="30"/>
      <c r="BF123" s="30"/>
      <c r="BG123" s="37"/>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163"/>
      <c r="BB124" s="30"/>
      <c r="BC124" s="30"/>
      <c r="BD124" s="30"/>
      <c r="BE124" s="30"/>
      <c r="BF124" s="30"/>
      <c r="BG124" s="37"/>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163"/>
      <c r="BB125" s="30"/>
      <c r="BC125" s="30"/>
      <c r="BD125" s="30"/>
      <c r="BE125" s="30"/>
      <c r="BF125" s="30"/>
      <c r="BG125" s="37"/>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163"/>
      <c r="BB126" s="30"/>
      <c r="BC126" s="30"/>
      <c r="BD126" s="30"/>
      <c r="BE126" s="30"/>
      <c r="BF126" s="30"/>
      <c r="BG126" s="37"/>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163"/>
      <c r="BB127" s="30"/>
      <c r="BC127" s="30"/>
      <c r="BD127" s="30"/>
      <c r="BE127" s="30"/>
      <c r="BF127" s="30"/>
      <c r="BG127" s="37"/>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163"/>
      <c r="BB128" s="30"/>
      <c r="BC128" s="30"/>
      <c r="BD128" s="30"/>
      <c r="BE128" s="30"/>
      <c r="BF128" s="30"/>
      <c r="BG128" s="37"/>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163"/>
      <c r="BB129" s="30"/>
      <c r="BC129" s="30"/>
      <c r="BD129" s="30"/>
      <c r="BE129" s="30"/>
      <c r="BF129" s="30"/>
      <c r="BG129" s="37"/>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163"/>
      <c r="BB130" s="30"/>
      <c r="BC130" s="30"/>
      <c r="BD130" s="30"/>
      <c r="BE130" s="30"/>
      <c r="BF130" s="30"/>
      <c r="BG130" s="37"/>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163"/>
      <c r="BB131" s="30"/>
      <c r="BC131" s="30"/>
      <c r="BD131" s="30"/>
      <c r="BE131" s="30"/>
      <c r="BF131" s="30"/>
      <c r="BG131" s="37"/>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163"/>
      <c r="BB132" s="30"/>
      <c r="BC132" s="30"/>
      <c r="BD132" s="30"/>
      <c r="BE132" s="30"/>
      <c r="BF132" s="30"/>
      <c r="BG132" s="37"/>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163"/>
      <c r="BB133" s="30"/>
      <c r="BC133" s="30"/>
      <c r="BD133" s="30"/>
      <c r="BE133" s="30"/>
      <c r="BF133" s="30"/>
      <c r="BG133" s="37"/>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163"/>
      <c r="BB134" s="30"/>
      <c r="BC134" s="30"/>
      <c r="BD134" s="30"/>
      <c r="BE134" s="30"/>
      <c r="BF134" s="30"/>
      <c r="BG134" s="37"/>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163"/>
      <c r="BB135" s="30"/>
      <c r="BC135" s="30"/>
      <c r="BD135" s="30"/>
      <c r="BE135" s="30"/>
      <c r="BF135" s="30"/>
      <c r="BG135" s="37"/>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163"/>
      <c r="BB136" s="30"/>
      <c r="BC136" s="30"/>
      <c r="BD136" s="30"/>
      <c r="BE136" s="30"/>
      <c r="BF136" s="30"/>
      <c r="BG136" s="37"/>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163"/>
      <c r="BB137" s="30"/>
      <c r="BC137" s="30"/>
      <c r="BD137" s="30"/>
      <c r="BE137" s="30"/>
      <c r="BF137" s="30"/>
      <c r="BG137" s="37"/>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163"/>
      <c r="BB138" s="30"/>
      <c r="BC138" s="30"/>
      <c r="BD138" s="30"/>
      <c r="BE138" s="30"/>
      <c r="BF138" s="30"/>
      <c r="BG138" s="37"/>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163"/>
      <c r="BB139" s="30"/>
      <c r="BC139" s="30"/>
      <c r="BD139" s="30"/>
      <c r="BE139" s="30"/>
      <c r="BF139" s="30"/>
      <c r="BG139" s="37"/>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163"/>
      <c r="BB140" s="30"/>
      <c r="BC140" s="30"/>
      <c r="BD140" s="30"/>
      <c r="BE140" s="30"/>
      <c r="BF140" s="30"/>
      <c r="BG140" s="37"/>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163"/>
      <c r="BB141" s="30"/>
      <c r="BC141" s="30"/>
      <c r="BD141" s="30"/>
      <c r="BE141" s="30"/>
      <c r="BF141" s="30"/>
      <c r="BG141" s="37"/>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163"/>
      <c r="BB142" s="30"/>
      <c r="BC142" s="30"/>
      <c r="BD142" s="30"/>
      <c r="BE142" s="30"/>
      <c r="BF142" s="30"/>
      <c r="BG142" s="37"/>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163"/>
      <c r="BB143" s="30"/>
      <c r="BC143" s="30"/>
      <c r="BD143" s="30"/>
      <c r="BE143" s="30"/>
      <c r="BF143" s="30"/>
      <c r="BG143" s="37"/>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163"/>
      <c r="BB144" s="30"/>
      <c r="BC144" s="30"/>
      <c r="BD144" s="30"/>
      <c r="BE144" s="30"/>
      <c r="BF144" s="30"/>
      <c r="BG144" s="37"/>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163"/>
      <c r="BB145" s="30"/>
      <c r="BC145" s="30"/>
      <c r="BD145" s="30"/>
      <c r="BE145" s="30"/>
      <c r="BF145" s="30"/>
      <c r="BG145" s="37"/>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163"/>
      <c r="BB146" s="30"/>
      <c r="BC146" s="30"/>
      <c r="BD146" s="30"/>
      <c r="BE146" s="30"/>
      <c r="BF146" s="30"/>
      <c r="BG146" s="37"/>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163"/>
      <c r="BB147" s="30"/>
      <c r="BC147" s="30"/>
      <c r="BD147" s="30"/>
      <c r="BE147" s="30"/>
      <c r="BF147" s="30"/>
      <c r="BG147" s="37"/>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163"/>
      <c r="BB148" s="30"/>
      <c r="BC148" s="30"/>
      <c r="BD148" s="30"/>
      <c r="BE148" s="30"/>
      <c r="BF148" s="30"/>
      <c r="BG148" s="37"/>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163"/>
      <c r="BB149" s="30"/>
      <c r="BC149" s="30"/>
      <c r="BD149" s="30"/>
      <c r="BE149" s="30"/>
      <c r="BF149" s="30"/>
      <c r="BG149" s="37"/>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163"/>
      <c r="BB150" s="30"/>
      <c r="BC150" s="30"/>
      <c r="BD150" s="30"/>
      <c r="BE150" s="30"/>
      <c r="BF150" s="30"/>
      <c r="BG150" s="37"/>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163"/>
      <c r="BB151" s="30"/>
      <c r="BC151" s="30"/>
      <c r="BD151" s="30"/>
      <c r="BE151" s="30"/>
      <c r="BF151" s="30"/>
      <c r="BG151" s="37"/>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163"/>
      <c r="BB152" s="30"/>
      <c r="BC152" s="30"/>
      <c r="BD152" s="30"/>
      <c r="BE152" s="30"/>
      <c r="BF152" s="30"/>
      <c r="BG152" s="37"/>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163"/>
      <c r="BB153" s="30"/>
      <c r="BC153" s="30"/>
      <c r="BD153" s="30"/>
      <c r="BE153" s="30"/>
      <c r="BF153" s="30"/>
      <c r="BG153" s="37"/>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163"/>
      <c r="BB154" s="30"/>
      <c r="BC154" s="30"/>
      <c r="BD154" s="30"/>
      <c r="BE154" s="30"/>
      <c r="BF154" s="30"/>
      <c r="BG154" s="37"/>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163"/>
      <c r="BB155" s="30"/>
      <c r="BC155" s="30"/>
      <c r="BD155" s="30"/>
      <c r="BE155" s="30"/>
      <c r="BF155" s="30"/>
      <c r="BG155" s="37"/>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163"/>
      <c r="BB156" s="30"/>
      <c r="BC156" s="30"/>
      <c r="BD156" s="30"/>
      <c r="BE156" s="30"/>
      <c r="BF156" s="30"/>
      <c r="BG156" s="37"/>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163"/>
      <c r="BB157" s="30"/>
      <c r="BC157" s="30"/>
      <c r="BD157" s="30"/>
      <c r="BE157" s="30"/>
      <c r="BF157" s="30"/>
      <c r="BG157" s="37"/>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163"/>
      <c r="BB158" s="30"/>
      <c r="BC158" s="30"/>
      <c r="BD158" s="30"/>
      <c r="BE158" s="30"/>
      <c r="BF158" s="30"/>
      <c r="BG158" s="37"/>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163"/>
      <c r="BB159" s="30"/>
      <c r="BC159" s="30"/>
      <c r="BD159" s="30"/>
      <c r="BE159" s="30"/>
      <c r="BF159" s="30"/>
      <c r="BG159" s="37"/>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163"/>
      <c r="BB160" s="30"/>
      <c r="BC160" s="30"/>
      <c r="BD160" s="30"/>
      <c r="BE160" s="30"/>
      <c r="BF160" s="30"/>
      <c r="BG160" s="37"/>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163"/>
      <c r="BB161" s="30"/>
      <c r="BC161" s="30"/>
      <c r="BD161" s="30"/>
      <c r="BE161" s="30"/>
      <c r="BF161" s="30"/>
      <c r="BG161" s="37"/>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163"/>
      <c r="BB162" s="30"/>
      <c r="BC162" s="30"/>
      <c r="BD162" s="30"/>
      <c r="BE162" s="30"/>
      <c r="BF162" s="30"/>
      <c r="BG162" s="37"/>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163"/>
      <c r="BB163" s="30"/>
      <c r="BC163" s="30"/>
      <c r="BD163" s="30"/>
      <c r="BE163" s="30"/>
      <c r="BF163" s="30"/>
      <c r="BG163" s="37"/>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163"/>
      <c r="BB164" s="30"/>
      <c r="BC164" s="30"/>
      <c r="BD164" s="30"/>
      <c r="BE164" s="30"/>
      <c r="BF164" s="30"/>
      <c r="BG164" s="37"/>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163"/>
      <c r="BB165" s="30"/>
      <c r="BC165" s="30"/>
      <c r="BD165" s="30"/>
      <c r="BE165" s="30"/>
      <c r="BF165" s="30"/>
      <c r="BG165" s="37"/>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163"/>
      <c r="BB166" s="30"/>
      <c r="BC166" s="30"/>
      <c r="BD166" s="30"/>
      <c r="BE166" s="30"/>
      <c r="BF166" s="30"/>
      <c r="BG166" s="37"/>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163"/>
      <c r="BB167" s="30"/>
      <c r="BC167" s="30"/>
      <c r="BD167" s="30"/>
      <c r="BE167" s="30"/>
      <c r="BF167" s="30"/>
      <c r="BG167" s="37"/>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163"/>
      <c r="BB168" s="30"/>
      <c r="BC168" s="30"/>
      <c r="BD168" s="30"/>
      <c r="BE168" s="30"/>
      <c r="BF168" s="30"/>
      <c r="BG168" s="37"/>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163"/>
      <c r="BB169" s="30"/>
      <c r="BC169" s="30"/>
      <c r="BD169" s="30"/>
      <c r="BE169" s="30"/>
      <c r="BF169" s="30"/>
      <c r="BG169" s="37"/>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163"/>
      <c r="BB170" s="30"/>
      <c r="BC170" s="30"/>
      <c r="BD170" s="30"/>
      <c r="BE170" s="30"/>
      <c r="BF170" s="30"/>
      <c r="BG170" s="37"/>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163"/>
      <c r="BB171" s="30"/>
      <c r="BC171" s="30"/>
      <c r="BD171" s="30"/>
      <c r="BE171" s="30"/>
      <c r="BF171" s="30"/>
      <c r="BG171" s="37"/>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163"/>
      <c r="BB172" s="30"/>
      <c r="BC172" s="30"/>
      <c r="BD172" s="30"/>
      <c r="BE172" s="30"/>
      <c r="BF172" s="30"/>
      <c r="BG172" s="37"/>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163"/>
      <c r="BB173" s="30"/>
      <c r="BC173" s="30"/>
      <c r="BD173" s="30"/>
      <c r="BE173" s="30"/>
      <c r="BF173" s="30"/>
      <c r="BG173" s="37"/>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163"/>
      <c r="BB174" s="30"/>
      <c r="BC174" s="30"/>
      <c r="BD174" s="30"/>
      <c r="BE174" s="30"/>
      <c r="BF174" s="30"/>
      <c r="BG174" s="37"/>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163"/>
      <c r="BB175" s="30"/>
      <c r="BC175" s="30"/>
      <c r="BD175" s="30"/>
      <c r="BE175" s="30"/>
      <c r="BF175" s="30"/>
      <c r="BG175" s="37"/>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163"/>
      <c r="BB176" s="30"/>
      <c r="BC176" s="30"/>
      <c r="BD176" s="30"/>
      <c r="BE176" s="30"/>
      <c r="BF176" s="30"/>
      <c r="BG176" s="37"/>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163"/>
      <c r="BB177" s="30"/>
      <c r="BC177" s="30"/>
      <c r="BD177" s="30"/>
      <c r="BE177" s="30"/>
      <c r="BF177" s="30"/>
      <c r="BG177" s="37"/>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163"/>
      <c r="BB178" s="30"/>
      <c r="BC178" s="30"/>
      <c r="BD178" s="30"/>
      <c r="BE178" s="30"/>
      <c r="BF178" s="30"/>
      <c r="BG178" s="37"/>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163"/>
      <c r="BB179" s="30"/>
      <c r="BC179" s="30"/>
      <c r="BD179" s="30"/>
      <c r="BE179" s="30"/>
      <c r="BF179" s="30"/>
      <c r="BG179" s="37"/>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163"/>
      <c r="BB180" s="30"/>
      <c r="BC180" s="30"/>
      <c r="BD180" s="30"/>
      <c r="BE180" s="30"/>
      <c r="BF180" s="30"/>
      <c r="BG180" s="37"/>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163"/>
      <c r="BB181" s="30"/>
      <c r="BC181" s="30"/>
      <c r="BD181" s="30"/>
      <c r="BE181" s="30"/>
      <c r="BF181" s="30"/>
      <c r="BG181" s="37"/>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163"/>
      <c r="BB182" s="30"/>
      <c r="BC182" s="30"/>
      <c r="BD182" s="30"/>
      <c r="BE182" s="30"/>
      <c r="BF182" s="30"/>
      <c r="BG182" s="37"/>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163"/>
      <c r="BB183" s="30"/>
      <c r="BC183" s="30"/>
      <c r="BD183" s="30"/>
      <c r="BE183" s="30"/>
      <c r="BF183" s="30"/>
      <c r="BG183" s="37"/>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163"/>
      <c r="BB184" s="30"/>
      <c r="BC184" s="30"/>
      <c r="BD184" s="30"/>
      <c r="BE184" s="30"/>
      <c r="BF184" s="30"/>
      <c r="BG184" s="37"/>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163"/>
      <c r="BB185" s="30"/>
      <c r="BC185" s="30"/>
      <c r="BD185" s="30"/>
      <c r="BE185" s="30"/>
      <c r="BF185" s="30"/>
      <c r="BG185" s="37"/>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163"/>
      <c r="BB186" s="30"/>
      <c r="BC186" s="30"/>
      <c r="BD186" s="30"/>
      <c r="BE186" s="30"/>
      <c r="BF186" s="30"/>
      <c r="BG186" s="37"/>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163"/>
      <c r="BB187" s="30"/>
      <c r="BC187" s="30"/>
      <c r="BD187" s="30"/>
      <c r="BE187" s="30"/>
      <c r="BF187" s="30"/>
      <c r="BG187" s="37"/>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163"/>
      <c r="BB188" s="30"/>
      <c r="BC188" s="30"/>
      <c r="BD188" s="30"/>
      <c r="BE188" s="30"/>
      <c r="BF188" s="30"/>
      <c r="BG188" s="37"/>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163"/>
      <c r="BB189" s="30"/>
      <c r="BC189" s="30"/>
      <c r="BD189" s="30"/>
      <c r="BE189" s="30"/>
      <c r="BF189" s="30"/>
      <c r="BG189" s="37"/>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163"/>
      <c r="BB190" s="30"/>
      <c r="BC190" s="30"/>
      <c r="BD190" s="30"/>
      <c r="BE190" s="30"/>
      <c r="BF190" s="30"/>
      <c r="BG190" s="37"/>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163"/>
      <c r="BB191" s="30"/>
      <c r="BC191" s="30"/>
      <c r="BD191" s="30"/>
      <c r="BE191" s="30"/>
      <c r="BF191" s="30"/>
      <c r="BG191" s="37"/>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163"/>
      <c r="BB192" s="30"/>
      <c r="BC192" s="30"/>
      <c r="BD192" s="30"/>
      <c r="BE192" s="30"/>
      <c r="BF192" s="30"/>
      <c r="BG192" s="37"/>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163"/>
      <c r="BB193" s="30"/>
      <c r="BC193" s="30"/>
      <c r="BD193" s="30"/>
      <c r="BE193" s="30"/>
      <c r="BF193" s="30"/>
      <c r="BG193" s="37"/>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163"/>
      <c r="BB194" s="30"/>
      <c r="BC194" s="30"/>
      <c r="BD194" s="30"/>
      <c r="BE194" s="30"/>
      <c r="BF194" s="30"/>
      <c r="BG194" s="37"/>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163"/>
      <c r="BB195" s="30"/>
      <c r="BC195" s="30"/>
      <c r="BD195" s="30"/>
      <c r="BE195" s="30"/>
      <c r="BF195" s="30"/>
      <c r="BG195" s="37"/>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163"/>
      <c r="BB196" s="30"/>
      <c r="BC196" s="30"/>
      <c r="BD196" s="30"/>
      <c r="BE196" s="30"/>
      <c r="BF196" s="30"/>
      <c r="BG196" s="37"/>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163"/>
      <c r="BB197" s="30"/>
      <c r="BC197" s="30"/>
      <c r="BD197" s="30"/>
      <c r="BE197" s="30"/>
      <c r="BF197" s="30"/>
      <c r="BG197" s="37"/>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163"/>
      <c r="BB198" s="30"/>
      <c r="BC198" s="30"/>
      <c r="BD198" s="30"/>
      <c r="BE198" s="30"/>
      <c r="BF198" s="30"/>
      <c r="BG198" s="37"/>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163"/>
      <c r="BB199" s="30"/>
      <c r="BC199" s="30"/>
      <c r="BD199" s="30"/>
      <c r="BE199" s="30"/>
      <c r="BF199" s="30"/>
      <c r="BG199" s="37"/>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163"/>
      <c r="BB200" s="30"/>
      <c r="BC200" s="30"/>
      <c r="BD200" s="30"/>
      <c r="BE200" s="30"/>
      <c r="BF200" s="30"/>
      <c r="BG200" s="37"/>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163"/>
      <c r="BB201" s="30"/>
      <c r="BC201" s="30"/>
      <c r="BD201" s="30"/>
      <c r="BE201" s="30"/>
      <c r="BF201" s="30"/>
      <c r="BG201" s="37"/>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163"/>
      <c r="BB202" s="30"/>
      <c r="BC202" s="30"/>
      <c r="BD202" s="30"/>
      <c r="BE202" s="30"/>
      <c r="BF202" s="30"/>
      <c r="BG202" s="37"/>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163"/>
      <c r="BB203" s="30"/>
      <c r="BC203" s="30"/>
      <c r="BD203" s="30"/>
      <c r="BE203" s="30"/>
      <c r="BF203" s="30"/>
      <c r="BG203" s="37"/>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163"/>
      <c r="BB204" s="30"/>
      <c r="BC204" s="30"/>
      <c r="BD204" s="30"/>
      <c r="BE204" s="30"/>
      <c r="BF204" s="30"/>
      <c r="BG204" s="37"/>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163"/>
      <c r="BB205" s="30"/>
      <c r="BC205" s="30"/>
      <c r="BD205" s="30"/>
      <c r="BE205" s="30"/>
      <c r="BF205" s="30"/>
      <c r="BG205" s="37"/>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163"/>
      <c r="BB206" s="30"/>
      <c r="BC206" s="30"/>
      <c r="BD206" s="30"/>
      <c r="BE206" s="30"/>
      <c r="BF206" s="30"/>
      <c r="BG206" s="37"/>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163"/>
      <c r="BB207" s="30"/>
      <c r="BC207" s="30"/>
      <c r="BD207" s="30"/>
      <c r="BE207" s="30"/>
      <c r="BF207" s="30"/>
      <c r="BG207" s="37"/>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163"/>
      <c r="BB208" s="30"/>
      <c r="BC208" s="30"/>
      <c r="BD208" s="30"/>
      <c r="BE208" s="30"/>
      <c r="BF208" s="30"/>
      <c r="BG208" s="37"/>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163"/>
      <c r="BB209" s="30"/>
      <c r="BC209" s="30"/>
      <c r="BD209" s="30"/>
      <c r="BE209" s="30"/>
      <c r="BF209" s="30"/>
      <c r="BG209" s="37"/>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163"/>
      <c r="BB210" s="30"/>
      <c r="BC210" s="30"/>
      <c r="BD210" s="30"/>
      <c r="BE210" s="30"/>
      <c r="BF210" s="30"/>
      <c r="BG210" s="37"/>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163"/>
      <c r="BB211" s="30"/>
      <c r="BC211" s="30"/>
      <c r="BD211" s="30"/>
      <c r="BE211" s="30"/>
      <c r="BF211" s="30"/>
      <c r="BG211" s="37"/>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163"/>
      <c r="BB212" s="30"/>
      <c r="BC212" s="30"/>
      <c r="BD212" s="30"/>
      <c r="BE212" s="30"/>
      <c r="BF212" s="30"/>
      <c r="BG212" s="37"/>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163"/>
      <c r="BB213" s="30"/>
      <c r="BC213" s="30"/>
      <c r="BD213" s="30"/>
      <c r="BE213" s="30"/>
      <c r="BF213" s="30"/>
      <c r="BG213" s="37"/>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163"/>
      <c r="BB214" s="30"/>
      <c r="BC214" s="30"/>
      <c r="BD214" s="30"/>
      <c r="BE214" s="30"/>
      <c r="BF214" s="30"/>
      <c r="BG214" s="37"/>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163"/>
      <c r="BB215" s="30"/>
      <c r="BC215" s="30"/>
      <c r="BD215" s="30"/>
      <c r="BE215" s="30"/>
      <c r="BF215" s="30"/>
      <c r="BG215" s="37"/>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163"/>
      <c r="BB216" s="30"/>
      <c r="BC216" s="30"/>
      <c r="BD216" s="30"/>
      <c r="BE216" s="30"/>
      <c r="BF216" s="30"/>
      <c r="BG216" s="37"/>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163"/>
      <c r="BB217" s="30"/>
      <c r="BC217" s="30"/>
      <c r="BD217" s="30"/>
      <c r="BE217" s="30"/>
      <c r="BF217" s="30"/>
      <c r="BG217" s="37"/>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163"/>
      <c r="BB218" s="30"/>
      <c r="BC218" s="30"/>
      <c r="BD218" s="30"/>
      <c r="BE218" s="30"/>
      <c r="BF218" s="30"/>
      <c r="BG218" s="37"/>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163"/>
      <c r="BB219" s="30"/>
      <c r="BC219" s="30"/>
      <c r="BD219" s="30"/>
      <c r="BE219" s="30"/>
      <c r="BF219" s="30"/>
      <c r="BG219" s="37"/>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163"/>
      <c r="BB220" s="30"/>
      <c r="BC220" s="30"/>
      <c r="BD220" s="30"/>
      <c r="BE220" s="30"/>
      <c r="BF220" s="30"/>
      <c r="BG220" s="37"/>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163"/>
      <c r="BB221" s="30"/>
      <c r="BC221" s="30"/>
      <c r="BD221" s="30"/>
      <c r="BE221" s="30"/>
      <c r="BF221" s="30"/>
      <c r="BG221" s="37"/>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163"/>
      <c r="BB222" s="30"/>
      <c r="BC222" s="30"/>
      <c r="BD222" s="30"/>
      <c r="BE222" s="30"/>
      <c r="BF222" s="30"/>
      <c r="BG222" s="37"/>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163"/>
      <c r="BB223" s="30"/>
      <c r="BC223" s="30"/>
      <c r="BD223" s="30"/>
      <c r="BE223" s="30"/>
      <c r="BF223" s="30"/>
      <c r="BG223" s="37"/>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163"/>
      <c r="BB224" s="30"/>
      <c r="BC224" s="30"/>
      <c r="BD224" s="30"/>
      <c r="BE224" s="30"/>
      <c r="BF224" s="30"/>
      <c r="BG224" s="37"/>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163"/>
      <c r="BB225" s="30"/>
      <c r="BC225" s="30"/>
      <c r="BD225" s="30"/>
      <c r="BE225" s="30"/>
      <c r="BF225" s="30"/>
      <c r="BG225" s="37"/>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163"/>
      <c r="BB226" s="30"/>
      <c r="BC226" s="30"/>
      <c r="BD226" s="30"/>
      <c r="BE226" s="30"/>
      <c r="BF226" s="30"/>
      <c r="BG226" s="37"/>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163"/>
      <c r="BB227" s="30"/>
      <c r="BC227" s="30"/>
      <c r="BD227" s="30"/>
      <c r="BE227" s="30"/>
      <c r="BF227" s="30"/>
      <c r="BG227" s="37"/>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163"/>
      <c r="BB228" s="30"/>
      <c r="BC228" s="30"/>
      <c r="BD228" s="30"/>
      <c r="BE228" s="30"/>
      <c r="BF228" s="30"/>
      <c r="BG228" s="37"/>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163"/>
      <c r="BB229" s="30"/>
      <c r="BC229" s="30"/>
      <c r="BD229" s="30"/>
      <c r="BE229" s="30"/>
      <c r="BF229" s="30"/>
      <c r="BG229" s="37"/>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topLeftCell="E1" activePane="topRight" state="frozen"/>
      <selection activeCell="F2" sqref="F2" pane="topRight"/>
    </sheetView>
  </sheetViews>
  <sheetFormatPr customHeight="1" defaultColWidth="14.43" defaultRowHeight="15.0" outlineLevelCol="1"/>
  <cols>
    <col customWidth="1" min="1" max="1" width="2.0"/>
    <col customWidth="1" min="2" max="2" width="42.86"/>
    <col customWidth="1" min="3" max="3" width="12.0"/>
    <col customWidth="1" min="4" max="4" width="5.0"/>
    <col customWidth="1" hidden="1" min="5" max="17" width="9.0" outlineLevel="1"/>
    <col customWidth="1" hidden="1" min="18" max="18" width="9.86" outlineLevel="1"/>
    <col customWidth="1" min="19" max="19" width="9.71"/>
    <col customWidth="1" min="20" max="20" width="9.57"/>
    <col customWidth="1" min="21" max="21" width="9.71"/>
    <col customWidth="1" min="22" max="22" width="9.43"/>
    <col customWidth="1" min="23" max="23" width="10.0"/>
    <col customWidth="1" min="24" max="24" width="9.71"/>
    <col customWidth="1" min="25" max="25" width="9.14"/>
    <col customWidth="1" min="26" max="27" width="9.86"/>
    <col customWidth="1" min="28" max="28" width="9.57"/>
    <col customWidth="1" min="29" max="30" width="9.86"/>
    <col customWidth="1" min="31" max="32" width="9.43"/>
    <col customWidth="1" min="33" max="33" width="9.57"/>
    <col customWidth="1" min="34" max="34" width="9.29"/>
    <col customWidth="1" min="35" max="35" width="9.86"/>
    <col customWidth="1" min="36" max="36" width="9.57"/>
    <col customWidth="1" min="37" max="37" width="8.86"/>
    <col customWidth="1" min="38" max="39" width="9.57"/>
    <col customWidth="1" min="40" max="40" width="9.29"/>
    <col customWidth="1" min="41" max="44" width="9.57"/>
    <col customWidth="1" min="45" max="45" width="9.71"/>
    <col customWidth="1" min="46" max="46" width="9.43"/>
    <col customWidth="1" min="47" max="47" width="10.0"/>
    <col customWidth="1" min="48" max="48" width="9.71"/>
    <col customWidth="1" min="49" max="49" width="9.14"/>
    <col customWidth="1" min="50" max="50" width="9.86"/>
    <col customWidth="1" min="51" max="51" width="9.71"/>
    <col customWidth="1" min="52" max="52" width="9.57"/>
    <col customWidth="1" min="53" max="54" width="9.86"/>
    <col customWidth="1" min="56" max="56" width="8.86"/>
    <col customWidth="1" min="57" max="57" width="10.57"/>
    <col customWidth="1" min="58" max="58" width="11.0"/>
    <col customWidth="1" min="59" max="59" width="10.86"/>
    <col customWidth="1" min="60" max="60" width="10.43" outlineLevel="1"/>
    <col customWidth="1" min="61" max="61" width="17.86" outlineLevel="1"/>
  </cols>
  <sheetData>
    <row r="1" ht="15.75" customHeight="1">
      <c r="A1" s="249"/>
      <c r="B1" s="142" t="s">
        <v>294</v>
      </c>
      <c r="C1" s="143"/>
      <c r="D1" s="250"/>
      <c r="E1" s="143"/>
      <c r="F1" s="143"/>
      <c r="G1" s="143"/>
      <c r="H1" s="143"/>
      <c r="I1" s="143"/>
      <c r="J1" s="143"/>
      <c r="K1" s="143"/>
      <c r="L1" s="143"/>
      <c r="M1" s="143"/>
      <c r="N1" s="143"/>
      <c r="O1" s="143"/>
      <c r="P1" s="251"/>
      <c r="Q1" s="251"/>
      <c r="R1" s="251"/>
      <c r="S1" s="251"/>
      <c r="T1" s="251"/>
      <c r="U1" s="251" t="s">
        <v>295</v>
      </c>
      <c r="V1" s="251" t="s">
        <v>296</v>
      </c>
      <c r="W1" s="251"/>
      <c r="X1" s="251"/>
      <c r="Y1" s="251"/>
      <c r="Z1" s="251"/>
      <c r="AA1" s="251"/>
      <c r="AB1" s="251"/>
      <c r="AC1" s="251"/>
      <c r="AD1" s="251"/>
      <c r="AE1" s="251"/>
      <c r="AF1" s="251"/>
      <c r="AG1" s="251"/>
      <c r="AH1" s="251"/>
      <c r="AI1" s="251"/>
      <c r="AJ1" s="251"/>
      <c r="AK1" s="251"/>
      <c r="AL1" s="251"/>
      <c r="AM1" s="251"/>
      <c r="AN1" s="251"/>
      <c r="AO1" s="251"/>
      <c r="AP1" s="251"/>
      <c r="AQ1" s="251"/>
      <c r="AR1" s="251"/>
      <c r="AS1" s="251"/>
      <c r="AT1" s="251"/>
      <c r="AU1" s="251"/>
      <c r="AV1" s="251"/>
      <c r="AW1" s="251"/>
      <c r="AX1" s="175"/>
      <c r="AY1" s="175"/>
      <c r="AZ1" s="175"/>
      <c r="BA1" s="175"/>
      <c r="BB1" s="175"/>
      <c r="BC1" s="163"/>
      <c r="BD1" s="175"/>
      <c r="BE1" s="175"/>
      <c r="BF1" s="175"/>
      <c r="BG1" s="175"/>
      <c r="BH1" s="175"/>
      <c r="BI1" s="163"/>
    </row>
    <row r="2" ht="13.5" customHeight="1">
      <c r="A2" s="150"/>
      <c r="B2" s="151"/>
      <c r="C2" s="151"/>
      <c r="D2" s="151"/>
      <c r="E2" s="152"/>
      <c r="F2" s="152"/>
      <c r="G2" s="152">
        <v>2025.0</v>
      </c>
      <c r="H2" s="152"/>
      <c r="I2" s="152"/>
      <c r="J2" s="152"/>
      <c r="K2" s="152"/>
      <c r="L2" s="152"/>
      <c r="M2" s="152"/>
      <c r="N2" s="152"/>
      <c r="O2" s="152"/>
      <c r="P2" s="252"/>
      <c r="Q2" s="252"/>
      <c r="R2" s="252"/>
      <c r="S2" s="252" t="s">
        <v>192</v>
      </c>
      <c r="T2" s="252"/>
      <c r="U2" s="252"/>
      <c r="V2" s="252"/>
      <c r="W2" s="252"/>
      <c r="X2" s="252"/>
      <c r="Y2" s="252"/>
      <c r="Z2" s="252"/>
      <c r="AA2" s="252"/>
      <c r="AB2" s="252"/>
      <c r="AC2" s="252"/>
      <c r="AD2" s="252"/>
      <c r="AE2" s="252" t="s">
        <v>193</v>
      </c>
      <c r="AF2" s="252"/>
      <c r="AG2" s="252"/>
      <c r="AH2" s="252"/>
      <c r="AI2" s="252"/>
      <c r="AJ2" s="252"/>
      <c r="AK2" s="252"/>
      <c r="AL2" s="252"/>
      <c r="AM2" s="252"/>
      <c r="AN2" s="252"/>
      <c r="AO2" s="252"/>
      <c r="AP2" s="252"/>
      <c r="AQ2" s="252" t="s">
        <v>194</v>
      </c>
      <c r="AR2" s="252"/>
      <c r="AS2" s="252"/>
      <c r="AT2" s="252"/>
      <c r="AU2" s="252"/>
      <c r="AV2" s="252"/>
      <c r="AW2" s="252"/>
      <c r="AX2" s="253"/>
      <c r="AY2" s="253"/>
      <c r="AZ2" s="253"/>
      <c r="BA2" s="253"/>
      <c r="BB2" s="253"/>
      <c r="BC2" s="163"/>
      <c r="BD2" s="253"/>
      <c r="BE2" s="253"/>
      <c r="BF2" s="253"/>
      <c r="BG2" s="253"/>
      <c r="BH2" s="253"/>
      <c r="BI2" s="163"/>
    </row>
    <row r="3" ht="13.5" customHeight="1">
      <c r="A3" s="150"/>
      <c r="B3" s="151"/>
      <c r="C3" s="151"/>
      <c r="D3" s="151"/>
      <c r="E3" s="156"/>
      <c r="F3" s="156"/>
      <c r="G3" s="160">
        <v>45658.0</v>
      </c>
      <c r="H3" s="160">
        <v>45689.0</v>
      </c>
      <c r="I3" s="160">
        <v>45717.0</v>
      </c>
      <c r="J3" s="160">
        <v>45748.0</v>
      </c>
      <c r="K3" s="160">
        <v>45778.0</v>
      </c>
      <c r="L3" s="160">
        <v>45809.0</v>
      </c>
      <c r="M3" s="160">
        <v>45839.0</v>
      </c>
      <c r="N3" s="160">
        <v>45870.0</v>
      </c>
      <c r="O3" s="160">
        <v>45901.0</v>
      </c>
      <c r="P3" s="160">
        <v>45931.0</v>
      </c>
      <c r="Q3" s="160">
        <v>45962.0</v>
      </c>
      <c r="R3" s="160">
        <v>45992.0</v>
      </c>
      <c r="S3" s="160">
        <v>46023.0</v>
      </c>
      <c r="T3" s="160">
        <v>46054.0</v>
      </c>
      <c r="U3" s="160">
        <v>46082.0</v>
      </c>
      <c r="V3" s="160">
        <v>46113.0</v>
      </c>
      <c r="W3" s="160">
        <v>46143.0</v>
      </c>
      <c r="X3" s="160">
        <v>46174.0</v>
      </c>
      <c r="Y3" s="160">
        <v>46204.0</v>
      </c>
      <c r="Z3" s="160">
        <v>46235.0</v>
      </c>
      <c r="AA3" s="160">
        <v>46266.0</v>
      </c>
      <c r="AB3" s="160">
        <v>46296.0</v>
      </c>
      <c r="AC3" s="160">
        <v>46327.0</v>
      </c>
      <c r="AD3" s="160">
        <v>46357.0</v>
      </c>
      <c r="AE3" s="160">
        <v>46388.0</v>
      </c>
      <c r="AF3" s="160">
        <v>46419.0</v>
      </c>
      <c r="AG3" s="160">
        <v>46447.0</v>
      </c>
      <c r="AH3" s="160">
        <v>46478.0</v>
      </c>
      <c r="AI3" s="160">
        <v>46508.0</v>
      </c>
      <c r="AJ3" s="160">
        <v>46539.0</v>
      </c>
      <c r="AK3" s="160">
        <v>46569.0</v>
      </c>
      <c r="AL3" s="160">
        <v>46600.0</v>
      </c>
      <c r="AM3" s="160">
        <v>46631.0</v>
      </c>
      <c r="AN3" s="160">
        <v>46661.0</v>
      </c>
      <c r="AO3" s="160">
        <v>46692.0</v>
      </c>
      <c r="AP3" s="160">
        <v>46722.0</v>
      </c>
      <c r="AQ3" s="160">
        <v>46753.0</v>
      </c>
      <c r="AR3" s="160">
        <v>46784.0</v>
      </c>
      <c r="AS3" s="160">
        <v>46813.0</v>
      </c>
      <c r="AT3" s="160">
        <v>46844.0</v>
      </c>
      <c r="AU3" s="160">
        <v>46874.0</v>
      </c>
      <c r="AV3" s="160">
        <v>46905.0</v>
      </c>
      <c r="AW3" s="160">
        <v>46935.0</v>
      </c>
      <c r="AX3" s="160">
        <v>46966.0</v>
      </c>
      <c r="AY3" s="160">
        <v>46997.0</v>
      </c>
      <c r="AZ3" s="160">
        <v>47027.0</v>
      </c>
      <c r="BA3" s="160">
        <v>47058.0</v>
      </c>
      <c r="BB3" s="160">
        <v>47088.0</v>
      </c>
      <c r="BC3" s="163"/>
      <c r="BD3" s="241">
        <v>2025.0</v>
      </c>
      <c r="BE3" s="241">
        <v>2026.0</v>
      </c>
      <c r="BF3" s="241">
        <v>2027.0</v>
      </c>
      <c r="BG3" s="241">
        <v>2028.0</v>
      </c>
      <c r="BH3" s="241">
        <v>2029.0</v>
      </c>
      <c r="BI3" s="163"/>
    </row>
    <row r="4" ht="15.0" customHeight="1">
      <c r="A4" s="37"/>
      <c r="B4" s="30"/>
      <c r="C4" s="30"/>
      <c r="D4" s="84"/>
      <c r="E4" s="30"/>
      <c r="F4" s="30"/>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63"/>
      <c r="BB4" s="163"/>
      <c r="BC4" s="163"/>
      <c r="BD4" s="163"/>
      <c r="BE4" s="163"/>
      <c r="BF4" s="163"/>
      <c r="BG4" s="163"/>
      <c r="BH4" s="163"/>
      <c r="BI4" s="216"/>
    </row>
    <row r="5" ht="15.75" customHeight="1">
      <c r="A5" s="37"/>
      <c r="B5" s="254" t="s">
        <v>297</v>
      </c>
      <c r="C5" s="254"/>
      <c r="D5" s="254"/>
      <c r="E5" s="254"/>
      <c r="F5" s="254"/>
      <c r="G5" s="254"/>
      <c r="H5" s="254"/>
      <c r="I5" s="254"/>
      <c r="J5" s="254"/>
      <c r="K5" s="254"/>
      <c r="L5" s="254"/>
      <c r="M5" s="254"/>
      <c r="N5" s="254"/>
      <c r="O5" s="255"/>
      <c r="P5" s="255"/>
      <c r="Q5" s="255"/>
      <c r="R5" s="255"/>
      <c r="S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163"/>
      <c r="BD5" s="255"/>
      <c r="BE5" s="255"/>
      <c r="BF5" s="255"/>
      <c r="BG5" s="255"/>
      <c r="BH5" s="255"/>
      <c r="BI5" s="216"/>
    </row>
    <row r="6" ht="13.5" customHeight="1">
      <c r="A6" s="37"/>
      <c r="B6" s="40" t="s">
        <v>144</v>
      </c>
      <c r="C6" s="30"/>
      <c r="D6" s="256" t="s">
        <v>198</v>
      </c>
      <c r="E6" s="40"/>
      <c r="F6" s="40"/>
      <c r="G6" s="257"/>
      <c r="H6" s="257"/>
      <c r="I6" s="257"/>
      <c r="J6" s="257"/>
      <c r="K6" s="257"/>
      <c r="L6" s="257"/>
      <c r="M6" s="257"/>
      <c r="N6" s="257"/>
      <c r="O6" s="258">
        <f>Personnel!Q62</f>
        <v>47500</v>
      </c>
      <c r="P6" s="258">
        <f>Personnel!R62</f>
        <v>47500</v>
      </c>
      <c r="Q6" s="258">
        <f>Personnel!S62</f>
        <v>47500</v>
      </c>
      <c r="R6" s="258">
        <f>Personnel!T62</f>
        <v>47500</v>
      </c>
      <c r="S6" s="258">
        <f>Personnel!U62</f>
        <v>50700</v>
      </c>
      <c r="T6" s="258">
        <f>Personnel!V62</f>
        <v>50700</v>
      </c>
      <c r="U6" s="258">
        <f>Personnel!W62</f>
        <v>50700</v>
      </c>
      <c r="V6" s="258">
        <f>Personnel!X62</f>
        <v>50700</v>
      </c>
      <c r="W6" s="258">
        <f>Personnel!Y62</f>
        <v>50700</v>
      </c>
      <c r="X6" s="258">
        <f>Personnel!Z62</f>
        <v>50700</v>
      </c>
      <c r="Y6" s="258">
        <f>Personnel!AA62</f>
        <v>50700</v>
      </c>
      <c r="Z6" s="258">
        <f>Personnel!AB62</f>
        <v>56700</v>
      </c>
      <c r="AA6" s="258">
        <f>Personnel!AC62</f>
        <v>60700</v>
      </c>
      <c r="AB6" s="258">
        <f>Personnel!AD62</f>
        <v>69620</v>
      </c>
      <c r="AC6" s="258">
        <f>Personnel!AE62</f>
        <v>69620</v>
      </c>
      <c r="AD6" s="258">
        <f>Personnel!AF62</f>
        <v>69620</v>
      </c>
      <c r="AE6" s="258">
        <f>Personnel!AG62</f>
        <v>94569.6</v>
      </c>
      <c r="AF6" s="258">
        <f>Personnel!AH62</f>
        <v>94569.6</v>
      </c>
      <c r="AG6" s="258">
        <f>Personnel!AI62</f>
        <v>94569.6</v>
      </c>
      <c r="AH6" s="258">
        <f>Personnel!AJ62</f>
        <v>94569.6</v>
      </c>
      <c r="AI6" s="258">
        <f>Personnel!AK62</f>
        <v>94569.6</v>
      </c>
      <c r="AJ6" s="258">
        <f>Personnel!AL62</f>
        <v>101069.6</v>
      </c>
      <c r="AK6" s="258">
        <f>Personnel!AM62</f>
        <v>101069.6</v>
      </c>
      <c r="AL6" s="258">
        <f>Personnel!AN62</f>
        <v>101549.6</v>
      </c>
      <c r="AM6" s="258">
        <f>Personnel!AO62</f>
        <v>101549.6</v>
      </c>
      <c r="AN6" s="258">
        <f>Personnel!AP62</f>
        <v>102189.6</v>
      </c>
      <c r="AO6" s="258">
        <f>Personnel!AQ62</f>
        <v>102189.6</v>
      </c>
      <c r="AP6" s="258">
        <f>Personnel!AR62</f>
        <v>102189.6</v>
      </c>
      <c r="AQ6" s="258">
        <f>Personnel!AS62</f>
        <v>108635.168</v>
      </c>
      <c r="AR6" s="258">
        <f>Personnel!AT62</f>
        <v>108635.168</v>
      </c>
      <c r="AS6" s="258">
        <f>Personnel!AU62</f>
        <v>108635.168</v>
      </c>
      <c r="AT6" s="258">
        <f>Personnel!AV62</f>
        <v>108635.168</v>
      </c>
      <c r="AU6" s="258">
        <f>Personnel!AW62</f>
        <v>108635.168</v>
      </c>
      <c r="AV6" s="258">
        <f>Personnel!AX62</f>
        <v>109155.168</v>
      </c>
      <c r="AW6" s="258">
        <f>Personnel!AY62</f>
        <v>109155.168</v>
      </c>
      <c r="AX6" s="258">
        <f>Personnel!AZ62</f>
        <v>109673.568</v>
      </c>
      <c r="AY6" s="258">
        <f>Personnel!BA62</f>
        <v>109673.568</v>
      </c>
      <c r="AZ6" s="258">
        <f>Personnel!BB62</f>
        <v>110364.768</v>
      </c>
      <c r="BA6" s="258">
        <f>Personnel!BC62</f>
        <v>110364.768</v>
      </c>
      <c r="BB6" s="258">
        <f>Personnel!BD62</f>
        <v>110364.768</v>
      </c>
      <c r="BC6" s="163"/>
      <c r="BD6" s="258">
        <f t="shared" ref="BD6:BD9" si="1">SUM(G6:R6)</f>
        <v>190000</v>
      </c>
      <c r="BE6" s="258">
        <f t="shared" ref="BE6:BE9" si="2">SUM(S6:AD6)</f>
        <v>681160</v>
      </c>
      <c r="BF6" s="258">
        <f t="shared" ref="BF6:BF9" si="3">SUM(AE6:AP6)</f>
        <v>1184655.2</v>
      </c>
      <c r="BG6" s="258">
        <f t="shared" ref="BG6:BG9" si="4">SUM(AQ6:BB6)</f>
        <v>1311927.616</v>
      </c>
      <c r="BH6" s="258">
        <f>sum(Personnel!BE62:BP62)</f>
        <v>1780381.825</v>
      </c>
      <c r="BI6" s="259">
        <f>BH6*('Financial Statements'!$BE$7/'Financial Statements'!$BD$7)^0.5</f>
        <v>3083711.778</v>
      </c>
    </row>
    <row r="7" ht="13.5" customHeight="1">
      <c r="A7" s="37"/>
      <c r="B7" s="40" t="s">
        <v>141</v>
      </c>
      <c r="C7" s="30"/>
      <c r="D7" s="256" t="s">
        <v>198</v>
      </c>
      <c r="E7" s="40"/>
      <c r="F7" s="260"/>
      <c r="G7" s="257"/>
      <c r="H7" s="257"/>
      <c r="I7" s="257"/>
      <c r="J7" s="257"/>
      <c r="K7" s="257"/>
      <c r="L7" s="257"/>
      <c r="M7" s="257"/>
      <c r="N7" s="257"/>
      <c r="O7" s="258">
        <f>Personnel!Q63</f>
        <v>0</v>
      </c>
      <c r="P7" s="258">
        <f>Personnel!R63</f>
        <v>0</v>
      </c>
      <c r="Q7" s="258">
        <f>Personnel!S63</f>
        <v>0</v>
      </c>
      <c r="R7" s="258">
        <f>Personnel!T63</f>
        <v>0</v>
      </c>
      <c r="S7" s="258">
        <f>Personnel!U63</f>
        <v>0</v>
      </c>
      <c r="T7" s="258">
        <f>Personnel!V63</f>
        <v>10800</v>
      </c>
      <c r="U7" s="258">
        <f>Personnel!W63</f>
        <v>10800</v>
      </c>
      <c r="V7" s="258">
        <f>Personnel!X63</f>
        <v>10800</v>
      </c>
      <c r="W7" s="258">
        <f>Personnel!Y63</f>
        <v>10800</v>
      </c>
      <c r="X7" s="258">
        <f>Personnel!Z63</f>
        <v>10800</v>
      </c>
      <c r="Y7" s="258">
        <f>Personnel!AA63</f>
        <v>10800</v>
      </c>
      <c r="Z7" s="258">
        <f>Personnel!AB63</f>
        <v>19800</v>
      </c>
      <c r="AA7" s="258">
        <f>Personnel!AC63</f>
        <v>19800</v>
      </c>
      <c r="AB7" s="258">
        <f>Personnel!AD63</f>
        <v>26300</v>
      </c>
      <c r="AC7" s="258">
        <f>Personnel!AE63</f>
        <v>26300</v>
      </c>
      <c r="AD7" s="258">
        <f>Personnel!AF63</f>
        <v>26300</v>
      </c>
      <c r="AE7" s="258">
        <f>Personnel!AG63</f>
        <v>27164</v>
      </c>
      <c r="AF7" s="258">
        <f>Personnel!AH63</f>
        <v>27164</v>
      </c>
      <c r="AG7" s="258">
        <f>Personnel!AI63</f>
        <v>27164</v>
      </c>
      <c r="AH7" s="258">
        <f>Personnel!AJ63</f>
        <v>27164</v>
      </c>
      <c r="AI7" s="258">
        <f>Personnel!AK63</f>
        <v>27164</v>
      </c>
      <c r="AJ7" s="258">
        <f>Personnel!AL63</f>
        <v>49664</v>
      </c>
      <c r="AK7" s="258">
        <f>Personnel!AM63</f>
        <v>49664</v>
      </c>
      <c r="AL7" s="258">
        <f>Personnel!AN63</f>
        <v>50384</v>
      </c>
      <c r="AM7" s="258">
        <f>Personnel!AO63</f>
        <v>50384</v>
      </c>
      <c r="AN7" s="258">
        <f>Personnel!AP63</f>
        <v>50904</v>
      </c>
      <c r="AO7" s="258">
        <f>Personnel!AQ63</f>
        <v>50904</v>
      </c>
      <c r="AP7" s="258">
        <f>Personnel!AR63</f>
        <v>50904</v>
      </c>
      <c r="AQ7" s="258">
        <f>Personnel!AS63</f>
        <v>66837.12</v>
      </c>
      <c r="AR7" s="258">
        <f>Personnel!AT63</f>
        <v>66837.12</v>
      </c>
      <c r="AS7" s="258">
        <f>Personnel!AU63</f>
        <v>66837.12</v>
      </c>
      <c r="AT7" s="258">
        <f>Personnel!AV63</f>
        <v>66837.12</v>
      </c>
      <c r="AU7" s="258">
        <f>Personnel!AW63</f>
        <v>66837.12</v>
      </c>
      <c r="AV7" s="258">
        <f>Personnel!AX63</f>
        <v>68637.12</v>
      </c>
      <c r="AW7" s="258">
        <f>Personnel!AY63</f>
        <v>92137.12</v>
      </c>
      <c r="AX7" s="258">
        <f>Personnel!AZ63</f>
        <v>92914.72</v>
      </c>
      <c r="AY7" s="258">
        <f>Personnel!BA63</f>
        <v>92914.72</v>
      </c>
      <c r="AZ7" s="258">
        <f>Personnel!BB63</f>
        <v>107976.32</v>
      </c>
      <c r="BA7" s="258">
        <f>Personnel!BC63</f>
        <v>114476.32</v>
      </c>
      <c r="BB7" s="258">
        <f>Personnel!BD63</f>
        <v>114476.32</v>
      </c>
      <c r="BC7" s="163"/>
      <c r="BD7" s="258">
        <f t="shared" si="1"/>
        <v>0</v>
      </c>
      <c r="BE7" s="258">
        <f t="shared" si="2"/>
        <v>183300</v>
      </c>
      <c r="BF7" s="258">
        <f t="shared" si="3"/>
        <v>488628</v>
      </c>
      <c r="BG7" s="258">
        <f t="shared" si="4"/>
        <v>1017718.24</v>
      </c>
      <c r="BH7" s="258">
        <f>sum(Personnel!BE63:BP63)</f>
        <v>1838535.699</v>
      </c>
      <c r="BI7" s="259">
        <f>BH7*('Financial Statements'!$BE$7/'Financial Statements'!$BD$7)^0.5</f>
        <v>3184437.243</v>
      </c>
    </row>
    <row r="8" ht="13.5" customHeight="1">
      <c r="A8" s="37"/>
      <c r="B8" s="40" t="s">
        <v>137</v>
      </c>
      <c r="C8" s="30"/>
      <c r="D8" s="256" t="s">
        <v>198</v>
      </c>
      <c r="E8" s="40"/>
      <c r="F8" s="260"/>
      <c r="G8" s="257"/>
      <c r="H8" s="257"/>
      <c r="I8" s="257"/>
      <c r="J8" s="257"/>
      <c r="K8" s="257"/>
      <c r="L8" s="257"/>
      <c r="M8" s="257"/>
      <c r="N8" s="257"/>
      <c r="O8" s="258">
        <f>Personnel!Q64</f>
        <v>11500</v>
      </c>
      <c r="P8" s="258">
        <f>Personnel!R64</f>
        <v>11500</v>
      </c>
      <c r="Q8" s="258">
        <f>Personnel!S64</f>
        <v>11500</v>
      </c>
      <c r="R8" s="258">
        <f>Personnel!T64</f>
        <v>11500</v>
      </c>
      <c r="S8" s="258">
        <f>Personnel!U64</f>
        <v>11820</v>
      </c>
      <c r="T8" s="258">
        <f>Personnel!V64</f>
        <v>11820</v>
      </c>
      <c r="U8" s="258">
        <f>Personnel!W64</f>
        <v>11820</v>
      </c>
      <c r="V8" s="258">
        <f>Personnel!X64</f>
        <v>11820</v>
      </c>
      <c r="W8" s="258">
        <f>Personnel!Y64</f>
        <v>11820</v>
      </c>
      <c r="X8" s="258">
        <f>Personnel!Z64</f>
        <v>11820</v>
      </c>
      <c r="Y8" s="258">
        <f>Personnel!AA64</f>
        <v>11820</v>
      </c>
      <c r="Z8" s="258">
        <f>Personnel!AB64</f>
        <v>20820</v>
      </c>
      <c r="AA8" s="258">
        <f>Personnel!AC64</f>
        <v>25740</v>
      </c>
      <c r="AB8" s="258">
        <f>Personnel!AD64</f>
        <v>30920</v>
      </c>
      <c r="AC8" s="258">
        <f>Personnel!AE64</f>
        <v>30920</v>
      </c>
      <c r="AD8" s="258">
        <f>Personnel!AF64</f>
        <v>30920</v>
      </c>
      <c r="AE8" s="258">
        <f>Personnel!AG64</f>
        <v>42913.6</v>
      </c>
      <c r="AF8" s="258">
        <f>Personnel!AH64</f>
        <v>42913.6</v>
      </c>
      <c r="AG8" s="258">
        <f>Personnel!AI64</f>
        <v>42913.6</v>
      </c>
      <c r="AH8" s="258">
        <f>Personnel!AJ64</f>
        <v>42913.6</v>
      </c>
      <c r="AI8" s="258">
        <f>Personnel!AK64</f>
        <v>42913.6</v>
      </c>
      <c r="AJ8" s="258">
        <f>Personnel!AL64</f>
        <v>42913.6</v>
      </c>
      <c r="AK8" s="258">
        <f>Personnel!AM64</f>
        <v>42913.6</v>
      </c>
      <c r="AL8" s="258">
        <f>Personnel!AN64</f>
        <v>43633.6</v>
      </c>
      <c r="AM8" s="258">
        <f>Personnel!AO64</f>
        <v>43633.6</v>
      </c>
      <c r="AN8" s="258">
        <f>Personnel!AP64</f>
        <v>44393.6</v>
      </c>
      <c r="AO8" s="258">
        <f>Personnel!AQ64</f>
        <v>44393.6</v>
      </c>
      <c r="AP8" s="258">
        <f>Personnel!AR64</f>
        <v>44393.6</v>
      </c>
      <c r="AQ8" s="258">
        <f>Personnel!AS64</f>
        <v>53846.688</v>
      </c>
      <c r="AR8" s="258">
        <f>Personnel!AT64</f>
        <v>53846.688</v>
      </c>
      <c r="AS8" s="258">
        <f>Personnel!AU64</f>
        <v>53846.688</v>
      </c>
      <c r="AT8" s="258">
        <f>Personnel!AV64</f>
        <v>53846.688</v>
      </c>
      <c r="AU8" s="258">
        <f>Personnel!AW64</f>
        <v>53846.688</v>
      </c>
      <c r="AV8" s="258">
        <f>Personnel!AX64</f>
        <v>53846.688</v>
      </c>
      <c r="AW8" s="258">
        <f>Personnel!AY64</f>
        <v>53846.688</v>
      </c>
      <c r="AX8" s="258">
        <f>Personnel!AZ64</f>
        <v>54624.288</v>
      </c>
      <c r="AY8" s="258">
        <f>Personnel!BA64</f>
        <v>54624.288</v>
      </c>
      <c r="AZ8" s="258">
        <f>Personnel!BB64</f>
        <v>61945.088</v>
      </c>
      <c r="BA8" s="258">
        <f>Personnel!BC64</f>
        <v>61945.088</v>
      </c>
      <c r="BB8" s="258">
        <f>Personnel!BD64</f>
        <v>61945.088</v>
      </c>
      <c r="BC8" s="163"/>
      <c r="BD8" s="258">
        <f t="shared" si="1"/>
        <v>46000</v>
      </c>
      <c r="BE8" s="258">
        <f t="shared" si="2"/>
        <v>222060</v>
      </c>
      <c r="BF8" s="258">
        <f t="shared" si="3"/>
        <v>520843.2</v>
      </c>
      <c r="BG8" s="258">
        <f t="shared" si="4"/>
        <v>672010.656</v>
      </c>
      <c r="BH8" s="258">
        <f>sum(Personnel!BE64:BP64)</f>
        <v>812271.5085</v>
      </c>
      <c r="BI8" s="259">
        <f>BH8*('Financial Statements'!$BE$7/'Financial Statements'!$BD$7)^0.2</f>
        <v>1011871.749</v>
      </c>
    </row>
    <row r="9" ht="15.0" customHeight="1">
      <c r="A9" s="37"/>
      <c r="B9" s="142" t="s">
        <v>298</v>
      </c>
      <c r="C9" s="142"/>
      <c r="D9" s="240" t="s">
        <v>198</v>
      </c>
      <c r="E9" s="261"/>
      <c r="F9" s="261"/>
      <c r="G9" s="252">
        <f t="shared" ref="G9:N9" si="5">SUM(G6:G8)</f>
        <v>0</v>
      </c>
      <c r="H9" s="252">
        <f t="shared" si="5"/>
        <v>0</v>
      </c>
      <c r="I9" s="252">
        <f t="shared" si="5"/>
        <v>0</v>
      </c>
      <c r="J9" s="252">
        <f t="shared" si="5"/>
        <v>0</v>
      </c>
      <c r="K9" s="252">
        <f t="shared" si="5"/>
        <v>0</v>
      </c>
      <c r="L9" s="252">
        <f t="shared" si="5"/>
        <v>0</v>
      </c>
      <c r="M9" s="252">
        <f t="shared" si="5"/>
        <v>0</v>
      </c>
      <c r="N9" s="252">
        <f t="shared" si="5"/>
        <v>0</v>
      </c>
      <c r="O9" s="252">
        <f t="shared" ref="O9:BB9" si="6">sum(O6:O8)</f>
        <v>59000</v>
      </c>
      <c r="P9" s="252">
        <f t="shared" si="6"/>
        <v>59000</v>
      </c>
      <c r="Q9" s="252">
        <f t="shared" si="6"/>
        <v>59000</v>
      </c>
      <c r="R9" s="252">
        <f t="shared" si="6"/>
        <v>59000</v>
      </c>
      <c r="S9" s="252">
        <f t="shared" si="6"/>
        <v>62520</v>
      </c>
      <c r="T9" s="252">
        <f t="shared" si="6"/>
        <v>73320</v>
      </c>
      <c r="U9" s="252">
        <f t="shared" si="6"/>
        <v>73320</v>
      </c>
      <c r="V9" s="252">
        <f t="shared" si="6"/>
        <v>73320</v>
      </c>
      <c r="W9" s="252">
        <f t="shared" si="6"/>
        <v>73320</v>
      </c>
      <c r="X9" s="252">
        <f t="shared" si="6"/>
        <v>73320</v>
      </c>
      <c r="Y9" s="252">
        <f t="shared" si="6"/>
        <v>73320</v>
      </c>
      <c r="Z9" s="252">
        <f t="shared" si="6"/>
        <v>97320</v>
      </c>
      <c r="AA9" s="252">
        <f t="shared" si="6"/>
        <v>106240</v>
      </c>
      <c r="AB9" s="252">
        <f t="shared" si="6"/>
        <v>126840</v>
      </c>
      <c r="AC9" s="252">
        <f t="shared" si="6"/>
        <v>126840</v>
      </c>
      <c r="AD9" s="252">
        <f t="shared" si="6"/>
        <v>126840</v>
      </c>
      <c r="AE9" s="252">
        <f t="shared" si="6"/>
        <v>164647.2</v>
      </c>
      <c r="AF9" s="252">
        <f t="shared" si="6"/>
        <v>164647.2</v>
      </c>
      <c r="AG9" s="252">
        <f t="shared" si="6"/>
        <v>164647.2</v>
      </c>
      <c r="AH9" s="252">
        <f t="shared" si="6"/>
        <v>164647.2</v>
      </c>
      <c r="AI9" s="252">
        <f t="shared" si="6"/>
        <v>164647.2</v>
      </c>
      <c r="AJ9" s="252">
        <f t="shared" si="6"/>
        <v>193647.2</v>
      </c>
      <c r="AK9" s="252">
        <f t="shared" si="6"/>
        <v>193647.2</v>
      </c>
      <c r="AL9" s="252">
        <f t="shared" si="6"/>
        <v>195567.2</v>
      </c>
      <c r="AM9" s="252">
        <f t="shared" si="6"/>
        <v>195567.2</v>
      </c>
      <c r="AN9" s="252">
        <f t="shared" si="6"/>
        <v>197487.2</v>
      </c>
      <c r="AO9" s="252">
        <f t="shared" si="6"/>
        <v>197487.2</v>
      </c>
      <c r="AP9" s="252">
        <f t="shared" si="6"/>
        <v>197487.2</v>
      </c>
      <c r="AQ9" s="252">
        <f t="shared" si="6"/>
        <v>229318.976</v>
      </c>
      <c r="AR9" s="252">
        <f t="shared" si="6"/>
        <v>229318.976</v>
      </c>
      <c r="AS9" s="252">
        <f t="shared" si="6"/>
        <v>229318.976</v>
      </c>
      <c r="AT9" s="252">
        <f t="shared" si="6"/>
        <v>229318.976</v>
      </c>
      <c r="AU9" s="252">
        <f t="shared" si="6"/>
        <v>229318.976</v>
      </c>
      <c r="AV9" s="252">
        <f t="shared" si="6"/>
        <v>231638.976</v>
      </c>
      <c r="AW9" s="252">
        <f t="shared" si="6"/>
        <v>255138.976</v>
      </c>
      <c r="AX9" s="252">
        <f t="shared" si="6"/>
        <v>257212.576</v>
      </c>
      <c r="AY9" s="252">
        <f t="shared" si="6"/>
        <v>257212.576</v>
      </c>
      <c r="AZ9" s="252">
        <f t="shared" si="6"/>
        <v>280286.176</v>
      </c>
      <c r="BA9" s="252">
        <f t="shared" si="6"/>
        <v>286786.176</v>
      </c>
      <c r="BB9" s="252">
        <f t="shared" si="6"/>
        <v>286786.176</v>
      </c>
      <c r="BC9" s="163"/>
      <c r="BD9" s="252">
        <f t="shared" si="1"/>
        <v>236000</v>
      </c>
      <c r="BE9" s="252">
        <f t="shared" si="2"/>
        <v>1086520</v>
      </c>
      <c r="BF9" s="252">
        <f t="shared" si="3"/>
        <v>2194126.4</v>
      </c>
      <c r="BG9" s="252">
        <f t="shared" si="4"/>
        <v>3001656.512</v>
      </c>
      <c r="BH9" s="252">
        <f>sum(BH6:BH8)</f>
        <v>4431189.033</v>
      </c>
      <c r="BI9" s="216"/>
    </row>
    <row r="10" ht="13.5" customHeight="1">
      <c r="A10" s="37"/>
      <c r="B10" s="88"/>
      <c r="C10" s="30"/>
      <c r="D10" s="84"/>
      <c r="E10" s="30"/>
      <c r="F10" s="30"/>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216"/>
    </row>
    <row r="11" ht="13.5" customHeight="1">
      <c r="A11" s="37"/>
      <c r="B11" s="221" t="s">
        <v>299</v>
      </c>
      <c r="C11" s="262"/>
      <c r="D11" s="263"/>
      <c r="E11" s="217"/>
      <c r="F11" s="217"/>
      <c r="G11" s="168"/>
      <c r="H11" s="168"/>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3"/>
      <c r="BD11" s="168"/>
      <c r="BE11" s="168"/>
      <c r="BF11" s="168"/>
      <c r="BG11" s="168"/>
      <c r="BH11" s="168"/>
      <c r="BI11" s="163"/>
    </row>
    <row r="12" ht="13.5" customHeight="1">
      <c r="A12" s="37"/>
      <c r="B12" s="88"/>
      <c r="C12" s="30"/>
      <c r="D12" s="84"/>
      <c r="E12" s="30"/>
      <c r="F12" s="30"/>
      <c r="G12" s="163"/>
      <c r="H12" s="163"/>
      <c r="I12" s="163"/>
      <c r="J12" s="163"/>
      <c r="K12" s="163"/>
      <c r="L12" s="163"/>
      <c r="M12" s="163"/>
      <c r="N12" s="163"/>
      <c r="O12" s="163"/>
      <c r="P12" s="163"/>
      <c r="Q12" s="163"/>
      <c r="R12" s="163"/>
      <c r="S12" s="163"/>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c r="BI12" s="163"/>
    </row>
    <row r="13" ht="13.5" customHeight="1">
      <c r="A13" s="249"/>
      <c r="B13" s="221" t="s">
        <v>300</v>
      </c>
      <c r="C13" s="217"/>
      <c r="D13" s="263"/>
      <c r="E13" s="217"/>
      <c r="F13" s="217"/>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c r="AU13" s="168"/>
      <c r="AV13" s="168"/>
      <c r="AW13" s="168"/>
      <c r="AX13" s="168"/>
      <c r="AY13" s="168"/>
      <c r="AZ13" s="168"/>
      <c r="BA13" s="168"/>
      <c r="BB13" s="168"/>
      <c r="BC13" s="163"/>
      <c r="BD13" s="168"/>
      <c r="BE13" s="168"/>
      <c r="BF13" s="168"/>
      <c r="BG13" s="168"/>
      <c r="BH13" s="168"/>
      <c r="BI13" s="163"/>
    </row>
    <row r="14" ht="15.0" customHeight="1">
      <c r="A14" s="37"/>
      <c r="B14" s="49" t="s">
        <v>146</v>
      </c>
      <c r="C14" s="30"/>
      <c r="D14" s="264" t="s">
        <v>198</v>
      </c>
      <c r="E14" s="242"/>
      <c r="F14" s="242"/>
      <c r="G14" s="164"/>
      <c r="H14" s="164"/>
      <c r="I14" s="164"/>
      <c r="J14" s="164"/>
      <c r="K14" s="164"/>
      <c r="L14" s="164"/>
      <c r="M14" s="164"/>
      <c r="N14" s="164"/>
      <c r="O14" s="164"/>
      <c r="P14" s="164"/>
      <c r="Q14" s="164"/>
      <c r="R14" s="164">
        <f>Assumptions!E99</f>
        <v>168933</v>
      </c>
      <c r="S14" s="164"/>
      <c r="T14" s="164"/>
      <c r="U14" s="164"/>
      <c r="V14" s="164"/>
      <c r="W14" s="164"/>
      <c r="X14" s="164"/>
      <c r="Y14" s="164"/>
      <c r="Z14" s="164"/>
      <c r="AA14" s="164"/>
      <c r="AB14" s="164"/>
      <c r="AC14" s="164"/>
      <c r="AD14" s="164"/>
      <c r="AE14" s="164"/>
      <c r="AF14" s="164"/>
      <c r="AG14" s="164"/>
      <c r="AH14" s="164"/>
      <c r="AI14" s="164"/>
      <c r="AJ14" s="164"/>
      <c r="AK14" s="164"/>
      <c r="AL14" s="164"/>
      <c r="AM14" s="164"/>
      <c r="AN14" s="164"/>
      <c r="AO14" s="164"/>
      <c r="AP14" s="164"/>
      <c r="AQ14" s="164"/>
      <c r="AR14" s="164"/>
      <c r="AS14" s="164"/>
      <c r="AT14" s="164"/>
      <c r="AU14" s="164"/>
      <c r="AV14" s="164"/>
      <c r="AW14" s="164"/>
      <c r="AX14" s="164"/>
      <c r="AY14" s="164"/>
      <c r="AZ14" s="164"/>
      <c r="BA14" s="164"/>
      <c r="BB14" s="164"/>
      <c r="BC14" s="163"/>
      <c r="BD14" s="164">
        <f t="shared" ref="BD14:BD19" si="7">SUM(G14:R14)</f>
        <v>168933</v>
      </c>
      <c r="BE14" s="164">
        <f t="shared" ref="BE14:BE15" si="8">SUM(S14:AD14)</f>
        <v>0</v>
      </c>
      <c r="BF14" s="164">
        <f t="shared" ref="BF14:BF19" si="9">SUM(AE14:AP14)</f>
        <v>0</v>
      </c>
      <c r="BG14" s="164">
        <f t="shared" ref="BG14:BG19" si="10">SUM(AQ14:BB14)</f>
        <v>0</v>
      </c>
      <c r="BH14" s="164">
        <v>0.0</v>
      </c>
      <c r="BI14" s="163"/>
    </row>
    <row r="15" ht="15.0" customHeight="1">
      <c r="A15" s="37"/>
      <c r="B15" s="265" t="s">
        <v>143</v>
      </c>
      <c r="C15" s="30"/>
      <c r="D15" s="264" t="s">
        <v>198</v>
      </c>
      <c r="E15" s="49"/>
      <c r="F15" s="49"/>
      <c r="G15" s="164"/>
      <c r="H15" s="164"/>
      <c r="I15" s="164"/>
      <c r="J15" s="164"/>
      <c r="K15" s="164"/>
      <c r="L15" s="164"/>
      <c r="M15" s="164"/>
      <c r="N15" s="164"/>
      <c r="O15" s="164"/>
      <c r="P15" s="164"/>
      <c r="Q15" s="164"/>
      <c r="R15" s="164"/>
      <c r="S15" s="164">
        <f t="array" ref="S15">INDEX(Assumptions!$E$97:$I$97,MATCH(YEAR(S$3),Assumptions!$E$92:$I$92,0))</f>
        <v>10000</v>
      </c>
      <c r="T15" s="164">
        <f t="array" ref="T15">INDEX(Assumptions!$E$97:$I$97,MATCH(YEAR(T$3),Assumptions!$E$92:$I$92,0))</f>
        <v>10000</v>
      </c>
      <c r="U15" s="164">
        <f t="array" ref="U15">INDEX(Assumptions!$E$97:$I$97,MATCH(YEAR(U$3),Assumptions!$E$92:$I$92,0))</f>
        <v>10000</v>
      </c>
      <c r="V15" s="164">
        <f t="array" ref="V15">INDEX(Assumptions!$E$97:$I$97,MATCH(YEAR(V$3),Assumptions!$E$92:$I$92,0))</f>
        <v>10000</v>
      </c>
      <c r="W15" s="164">
        <f t="array" ref="W15">INDEX(Assumptions!$E$97:$I$97,MATCH(YEAR(W$3),Assumptions!$E$92:$I$92,0))</f>
        <v>10000</v>
      </c>
      <c r="X15" s="164">
        <f t="array" ref="X15">INDEX(Assumptions!$E$97:$I$97,MATCH(YEAR(X$3),Assumptions!$E$92:$I$92,0))</f>
        <v>10000</v>
      </c>
      <c r="Y15" s="164">
        <f t="array" ref="Y15">INDEX(Assumptions!$E$97:$I$97,MATCH(YEAR(Y$3),Assumptions!$E$92:$I$92,0))</f>
        <v>10000</v>
      </c>
      <c r="Z15" s="164">
        <f t="array" ref="Z15">INDEX(Assumptions!$E$97:$I$97,MATCH(YEAR(Z$3),Assumptions!$E$92:$I$92,0))</f>
        <v>10000</v>
      </c>
      <c r="AA15" s="164">
        <f t="array" ref="AA15">INDEX(Assumptions!$E$97:$I$97,MATCH(YEAR(AA$3),Assumptions!$E$92:$I$92,0))</f>
        <v>10000</v>
      </c>
      <c r="AB15" s="164">
        <f t="array" ref="AB15">INDEX(Assumptions!$E$97:$I$97,MATCH(YEAR(AB$3),Assumptions!$E$92:$I$92,0))</f>
        <v>10000</v>
      </c>
      <c r="AC15" s="164">
        <f t="array" ref="AC15">INDEX(Assumptions!$E$97:$I$97,MATCH(YEAR(AC$3),Assumptions!$E$92:$I$92,0))</f>
        <v>10000</v>
      </c>
      <c r="AD15" s="164">
        <f t="array" ref="AD15">INDEX(Assumptions!$E$97:$I$97,MATCH(YEAR(AD$3),Assumptions!$E$92:$I$92,0))</f>
        <v>10000</v>
      </c>
      <c r="AE15" s="164">
        <f t="array" ref="AE15">INDEX(Assumptions!$E$97:$I$97,MATCH(YEAR(AE$3),Assumptions!$E$92:$I$92,0))</f>
        <v>13500</v>
      </c>
      <c r="AF15" s="164">
        <f t="array" ref="AF15">INDEX(Assumptions!$E$97:$I$97,MATCH(YEAR(AF$3),Assumptions!$E$92:$I$92,0))</f>
        <v>13500</v>
      </c>
      <c r="AG15" s="164">
        <f t="array" ref="AG15">INDEX(Assumptions!$E$97:$I$97,MATCH(YEAR(AG$3),Assumptions!$E$92:$I$92,0))</f>
        <v>13500</v>
      </c>
      <c r="AH15" s="164">
        <f t="array" ref="AH15">INDEX(Assumptions!$E$97:$I$97,MATCH(YEAR(AH$3),Assumptions!$E$92:$I$92,0))</f>
        <v>13500</v>
      </c>
      <c r="AI15" s="164">
        <f t="array" ref="AI15">INDEX(Assumptions!$E$97:$I$97,MATCH(YEAR(AI$3),Assumptions!$E$92:$I$92,0))</f>
        <v>13500</v>
      </c>
      <c r="AJ15" s="164">
        <f t="array" ref="AJ15">INDEX(Assumptions!$E$97:$I$97,MATCH(YEAR(AJ$3),Assumptions!$E$92:$I$92,0))</f>
        <v>13500</v>
      </c>
      <c r="AK15" s="164">
        <f t="array" ref="AK15">INDEX(Assumptions!$E$97:$I$97,MATCH(YEAR(AK$3),Assumptions!$E$92:$I$92,0))</f>
        <v>13500</v>
      </c>
      <c r="AL15" s="164">
        <f t="array" ref="AL15">INDEX(Assumptions!$E$97:$I$97,MATCH(YEAR(AL$3),Assumptions!$E$92:$I$92,0))</f>
        <v>13500</v>
      </c>
      <c r="AM15" s="164">
        <f t="array" ref="AM15">INDEX(Assumptions!$E$97:$I$97,MATCH(YEAR(AM$3),Assumptions!$E$92:$I$92,0))</f>
        <v>13500</v>
      </c>
      <c r="AN15" s="164">
        <f t="array" ref="AN15">INDEX(Assumptions!$E$97:$I$97,MATCH(YEAR(AN$3),Assumptions!$E$92:$I$92,0))</f>
        <v>13500</v>
      </c>
      <c r="AO15" s="164">
        <f t="array" ref="AO15">INDEX(Assumptions!$E$97:$I$97,MATCH(YEAR(AO$3),Assumptions!$E$92:$I$92,0))</f>
        <v>13500</v>
      </c>
      <c r="AP15" s="164">
        <f t="array" ref="AP15">INDEX(Assumptions!$E$97:$I$97,MATCH(YEAR(AP$3),Assumptions!$E$92:$I$92,0))</f>
        <v>13500</v>
      </c>
      <c r="AQ15" s="164">
        <f t="array" ref="AQ15">INDEX(Assumptions!$E$97:$I$97,MATCH(YEAR(AQ$3),Assumptions!$E$92:$I$92,0))</f>
        <v>18225</v>
      </c>
      <c r="AR15" s="164">
        <f t="array" ref="AR15">INDEX(Assumptions!$E$97:$I$97,MATCH(YEAR(AR$3),Assumptions!$E$92:$I$92,0))</f>
        <v>18225</v>
      </c>
      <c r="AS15" s="164">
        <f t="array" ref="AS15">INDEX(Assumptions!$E$97:$I$97,MATCH(YEAR(AS$3),Assumptions!$E$92:$I$92,0))</f>
        <v>18225</v>
      </c>
      <c r="AT15" s="164">
        <f t="array" ref="AT15">INDEX(Assumptions!$E$97:$I$97,MATCH(YEAR(AT$3),Assumptions!$E$92:$I$92,0))</f>
        <v>18225</v>
      </c>
      <c r="AU15" s="164">
        <f t="array" ref="AU15">INDEX(Assumptions!$E$97:$I$97,MATCH(YEAR(AU$3),Assumptions!$E$92:$I$92,0))</f>
        <v>18225</v>
      </c>
      <c r="AV15" s="164">
        <f t="array" ref="AV15">INDEX(Assumptions!$E$97:$I$97,MATCH(YEAR(AV$3),Assumptions!$E$92:$I$92,0))</f>
        <v>18225</v>
      </c>
      <c r="AW15" s="164">
        <f t="array" ref="AW15">INDEX(Assumptions!$E$97:$I$97,MATCH(YEAR(AW$3),Assumptions!$E$92:$I$92,0))</f>
        <v>18225</v>
      </c>
      <c r="AX15" s="164">
        <f t="array" ref="AX15">INDEX(Assumptions!$E$97:$I$97,MATCH(YEAR(AX$3),Assumptions!$E$92:$I$92,0))</f>
        <v>18225</v>
      </c>
      <c r="AY15" s="164">
        <f t="array" ref="AY15">INDEX(Assumptions!$E$97:$I$97,MATCH(YEAR(AY$3),Assumptions!$E$92:$I$92,0))</f>
        <v>18225</v>
      </c>
      <c r="AZ15" s="164">
        <f t="array" ref="AZ15">INDEX(Assumptions!$E$97:$I$97,MATCH(YEAR(AZ$3),Assumptions!$E$92:$I$92,0))</f>
        <v>18225</v>
      </c>
      <c r="BA15" s="164">
        <f t="array" ref="BA15">INDEX(Assumptions!$E$97:$I$97,MATCH(YEAR(BA$3),Assumptions!$E$92:$I$92,0))</f>
        <v>18225</v>
      </c>
      <c r="BB15" s="164">
        <f t="array" ref="BB15">INDEX(Assumptions!$E$97:$I$97,MATCH(YEAR(BB$3),Assumptions!$E$92:$I$92,0))</f>
        <v>18225</v>
      </c>
      <c r="BC15" s="163"/>
      <c r="BD15" s="164">
        <f t="shared" si="7"/>
        <v>0</v>
      </c>
      <c r="BE15" s="164">
        <f t="shared" si="8"/>
        <v>120000</v>
      </c>
      <c r="BF15" s="164">
        <f t="shared" si="9"/>
        <v>162000</v>
      </c>
      <c r="BG15" s="164">
        <f t="shared" si="10"/>
        <v>218700</v>
      </c>
      <c r="BH15" s="164">
        <f>BG15*('Financial Statements'!$BE$7/'Financial Statements'!$BD$7)^0.4</f>
        <v>339388.627</v>
      </c>
      <c r="BI15" s="163"/>
    </row>
    <row r="16" ht="15.0" customHeight="1">
      <c r="A16" s="37"/>
      <c r="B16" s="265" t="s">
        <v>150</v>
      </c>
      <c r="C16" s="30"/>
      <c r="D16" s="264" t="s">
        <v>198</v>
      </c>
      <c r="E16" s="49"/>
      <c r="F16" s="49"/>
      <c r="G16" s="164"/>
      <c r="H16" s="164"/>
      <c r="I16" s="164"/>
      <c r="J16" s="164"/>
      <c r="K16" s="164"/>
      <c r="L16" s="164"/>
      <c r="M16" s="164"/>
      <c r="N16" s="164"/>
      <c r="O16" s="164"/>
      <c r="P16" s="164"/>
      <c r="Q16" s="164"/>
      <c r="R16" s="164"/>
      <c r="S16" s="164"/>
      <c r="T16" s="164"/>
      <c r="U16" s="164"/>
      <c r="V16" s="164"/>
      <c r="W16" s="164"/>
      <c r="X16" s="164"/>
      <c r="Y16" s="164"/>
      <c r="Z16" s="164"/>
      <c r="AA16" s="164"/>
      <c r="AB16" s="164">
        <f>Assumptions!E102</f>
        <v>100000</v>
      </c>
      <c r="AC16" s="164"/>
      <c r="AE16" s="164"/>
      <c r="AF16" s="164"/>
      <c r="AG16" s="164"/>
      <c r="AH16" s="164"/>
      <c r="AI16" s="164"/>
      <c r="AJ16" s="164"/>
      <c r="AK16" s="164"/>
      <c r="AL16" s="164"/>
      <c r="AM16" s="164"/>
      <c r="AN16" s="164"/>
      <c r="AO16" s="164"/>
      <c r="AP16" s="164"/>
      <c r="AQ16" s="164"/>
      <c r="AR16" s="164"/>
      <c r="AS16" s="164"/>
      <c r="AT16" s="164"/>
      <c r="AU16" s="164"/>
      <c r="AV16" s="164"/>
      <c r="AW16" s="164"/>
      <c r="AX16" s="164"/>
      <c r="AY16" s="164"/>
      <c r="AZ16" s="164"/>
      <c r="BA16" s="164"/>
      <c r="BB16" s="164"/>
      <c r="BC16" s="163"/>
      <c r="BD16" s="164">
        <f t="shared" si="7"/>
        <v>0</v>
      </c>
      <c r="BE16" s="164">
        <f>SUM(S16:AC16)</f>
        <v>100000</v>
      </c>
      <c r="BF16" s="164">
        <f t="shared" si="9"/>
        <v>0</v>
      </c>
      <c r="BG16" s="164">
        <f t="shared" si="10"/>
        <v>0</v>
      </c>
      <c r="BH16" s="266">
        <v>0.0</v>
      </c>
      <c r="BI16" s="163"/>
    </row>
    <row r="17" ht="15.0" customHeight="1">
      <c r="A17" s="37"/>
      <c r="B17" s="49" t="s">
        <v>301</v>
      </c>
      <c r="C17" s="30"/>
      <c r="D17" s="264" t="s">
        <v>198</v>
      </c>
      <c r="E17" s="49"/>
      <c r="F17" s="49"/>
      <c r="G17" s="164"/>
      <c r="H17" s="164"/>
      <c r="I17" s="164"/>
      <c r="J17" s="164"/>
      <c r="K17" s="164"/>
      <c r="L17" s="164"/>
      <c r="M17" s="164"/>
      <c r="N17" s="164"/>
      <c r="O17" s="164"/>
      <c r="P17" s="164"/>
      <c r="Q17" s="164"/>
      <c r="R17" s="164"/>
      <c r="S17" s="164">
        <f t="array" ref="S17">INDEX(Assumptions!$E$98:$I$98,MATCH(YEAR(S$3),Assumptions!$E$92:$I$92,0))</f>
        <v>15000</v>
      </c>
      <c r="T17" s="164">
        <f t="array" ref="T17">INDEX(Assumptions!$E$98:$I$98,MATCH(YEAR(T$3),Assumptions!$E$92:$I$92,0))</f>
        <v>15000</v>
      </c>
      <c r="U17" s="164">
        <f t="array" ref="U17">INDEX(Assumptions!$E$98:$I$98,MATCH(YEAR(U$3),Assumptions!$E$92:$I$92,0))</f>
        <v>15000</v>
      </c>
      <c r="V17" s="164">
        <f t="array" ref="V17">INDEX(Assumptions!$E$98:$I$98,MATCH(YEAR(V$3),Assumptions!$E$92:$I$92,0))</f>
        <v>15000</v>
      </c>
      <c r="W17" s="164">
        <f t="array" ref="W17">INDEX(Assumptions!$E$98:$I$98,MATCH(YEAR(W$3),Assumptions!$E$92:$I$92,0))</f>
        <v>15000</v>
      </c>
      <c r="X17" s="164">
        <f t="array" ref="X17">INDEX(Assumptions!$E$98:$I$98,MATCH(YEAR(X$3),Assumptions!$E$92:$I$92,0))</f>
        <v>15000</v>
      </c>
      <c r="Y17" s="164">
        <f t="array" ref="Y17">INDEX(Assumptions!$E$98:$I$98,MATCH(YEAR(Y$3),Assumptions!$E$92:$I$92,0))</f>
        <v>15000</v>
      </c>
      <c r="Z17" s="164">
        <f t="array" ref="Z17">INDEX(Assumptions!$E$98:$I$98,MATCH(YEAR(Z$3),Assumptions!$E$92:$I$92,0))</f>
        <v>15000</v>
      </c>
      <c r="AA17" s="164">
        <f t="array" ref="AA17">INDEX(Assumptions!$E$98:$I$98,MATCH(YEAR(AA$3),Assumptions!$E$92:$I$92,0))</f>
        <v>15000</v>
      </c>
      <c r="AB17" s="164">
        <f t="array" ref="AB17">INDEX(Assumptions!$E$98:$I$98,MATCH(YEAR(AB$3),Assumptions!$E$92:$I$92,0))</f>
        <v>15000</v>
      </c>
      <c r="AC17" s="164">
        <f t="array" ref="AC17">INDEX(Assumptions!$E$98:$I$98,MATCH(YEAR(AC$3),Assumptions!$E$92:$I$92,0))</f>
        <v>15000</v>
      </c>
      <c r="AD17" s="164">
        <f t="array" ref="AD17">INDEX(Assumptions!$E$98:$I$98,MATCH(YEAR(AD$3),Assumptions!$E$92:$I$92,0))</f>
        <v>15000</v>
      </c>
      <c r="AE17" s="164">
        <f t="array" ref="AE17">INDEX(Assumptions!$E$98:$I$98,MATCH(YEAR(AE$3),Assumptions!$E$92:$I$92,0))</f>
        <v>20250</v>
      </c>
      <c r="AF17" s="164">
        <f t="array" ref="AF17">INDEX(Assumptions!$E$98:$I$98,MATCH(YEAR(AF$3),Assumptions!$E$92:$I$92,0))</f>
        <v>20250</v>
      </c>
      <c r="AG17" s="164">
        <f t="array" ref="AG17">INDEX(Assumptions!$E$98:$I$98,MATCH(YEAR(AG$3),Assumptions!$E$92:$I$92,0))</f>
        <v>20250</v>
      </c>
      <c r="AH17" s="164">
        <f t="array" ref="AH17">INDEX(Assumptions!$E$98:$I$98,MATCH(YEAR(AH$3),Assumptions!$E$92:$I$92,0))</f>
        <v>20250</v>
      </c>
      <c r="AI17" s="164">
        <f t="array" ref="AI17">INDEX(Assumptions!$E$98:$I$98,MATCH(YEAR(AI$3),Assumptions!$E$92:$I$92,0))</f>
        <v>20250</v>
      </c>
      <c r="AJ17" s="164">
        <f t="array" ref="AJ17">INDEX(Assumptions!$E$98:$I$98,MATCH(YEAR(AJ$3),Assumptions!$E$92:$I$92,0))</f>
        <v>20250</v>
      </c>
      <c r="AK17" s="164">
        <f t="array" ref="AK17">INDEX(Assumptions!$E$98:$I$98,MATCH(YEAR(AK$3),Assumptions!$E$92:$I$92,0))</f>
        <v>20250</v>
      </c>
      <c r="AL17" s="164">
        <f t="array" ref="AL17">INDEX(Assumptions!$E$98:$I$98,MATCH(YEAR(AL$3),Assumptions!$E$92:$I$92,0))</f>
        <v>20250</v>
      </c>
      <c r="AM17" s="164">
        <f t="array" ref="AM17">INDEX(Assumptions!$E$98:$I$98,MATCH(YEAR(AM$3),Assumptions!$E$92:$I$92,0))</f>
        <v>20250</v>
      </c>
      <c r="AN17" s="164">
        <f t="array" ref="AN17">INDEX(Assumptions!$E$98:$I$98,MATCH(YEAR(AN$3),Assumptions!$E$92:$I$92,0))</f>
        <v>20250</v>
      </c>
      <c r="AO17" s="164">
        <f t="array" ref="AO17">INDEX(Assumptions!$E$98:$I$98,MATCH(YEAR(AO$3),Assumptions!$E$92:$I$92,0))</f>
        <v>20250</v>
      </c>
      <c r="AP17" s="164">
        <f t="array" ref="AP17">INDEX(Assumptions!$E$98:$I$98,MATCH(YEAR(AP$3),Assumptions!$E$92:$I$92,0))</f>
        <v>20250</v>
      </c>
      <c r="AQ17" s="164">
        <f t="array" ref="AQ17">INDEX(Assumptions!$E$98:$I$98,MATCH(YEAR(AQ$3),Assumptions!$E$92:$I$92,0))</f>
        <v>27337.5</v>
      </c>
      <c r="AR17" s="164">
        <f t="array" ref="AR17">INDEX(Assumptions!$E$98:$I$98,MATCH(YEAR(AR$3),Assumptions!$E$92:$I$92,0))</f>
        <v>27337.5</v>
      </c>
      <c r="AS17" s="164">
        <f t="array" ref="AS17">INDEX(Assumptions!$E$98:$I$98,MATCH(YEAR(AS$3),Assumptions!$E$92:$I$92,0))</f>
        <v>27337.5</v>
      </c>
      <c r="AT17" s="164">
        <f t="array" ref="AT17">INDEX(Assumptions!$E$98:$I$98,MATCH(YEAR(AT$3),Assumptions!$E$92:$I$92,0))</f>
        <v>27337.5</v>
      </c>
      <c r="AU17" s="164">
        <f t="array" ref="AU17">INDEX(Assumptions!$E$98:$I$98,MATCH(YEAR(AU$3),Assumptions!$E$92:$I$92,0))</f>
        <v>27337.5</v>
      </c>
      <c r="AV17" s="164">
        <f t="array" ref="AV17">INDEX(Assumptions!$E$98:$I$98,MATCH(YEAR(AV$3),Assumptions!$E$92:$I$92,0))</f>
        <v>27337.5</v>
      </c>
      <c r="AW17" s="164">
        <f t="array" ref="AW17">INDEX(Assumptions!$E$98:$I$98,MATCH(YEAR(AW$3),Assumptions!$E$92:$I$92,0))</f>
        <v>27337.5</v>
      </c>
      <c r="AX17" s="164">
        <f t="array" ref="AX17">INDEX(Assumptions!$E$98:$I$98,MATCH(YEAR(AX$3),Assumptions!$E$92:$I$92,0))</f>
        <v>27337.5</v>
      </c>
      <c r="AY17" s="164">
        <f t="array" ref="AY17">INDEX(Assumptions!$E$98:$I$98,MATCH(YEAR(AY$3),Assumptions!$E$92:$I$92,0))</f>
        <v>27337.5</v>
      </c>
      <c r="AZ17" s="164">
        <f t="array" ref="AZ17">INDEX(Assumptions!$E$98:$I$98,MATCH(YEAR(AZ$3),Assumptions!$E$92:$I$92,0))</f>
        <v>27337.5</v>
      </c>
      <c r="BA17" s="164">
        <f t="array" ref="BA17">INDEX(Assumptions!$E$98:$I$98,MATCH(YEAR(BA$3),Assumptions!$E$92:$I$92,0))</f>
        <v>27337.5</v>
      </c>
      <c r="BB17" s="164">
        <f t="array" ref="BB17">INDEX(Assumptions!$E$98:$I$98,MATCH(YEAR(BB$3),Assumptions!$E$92:$I$92,0))</f>
        <v>27337.5</v>
      </c>
      <c r="BC17" s="163"/>
      <c r="BD17" s="164">
        <f t="shared" si="7"/>
        <v>0</v>
      </c>
      <c r="BE17" s="164">
        <f>SUM(S17:AD17)</f>
        <v>180000</v>
      </c>
      <c r="BF17" s="164">
        <f t="shared" si="9"/>
        <v>243000</v>
      </c>
      <c r="BG17" s="164">
        <f t="shared" si="10"/>
        <v>328050</v>
      </c>
      <c r="BH17" s="164">
        <f>BG17*('Financial Statements'!$BE$7/'Financial Statements'!$BD$7)^0.4</f>
        <v>509082.9405</v>
      </c>
      <c r="BI17" s="163"/>
    </row>
    <row r="18" ht="15.0" customHeight="1">
      <c r="A18" s="37"/>
      <c r="B18" s="265" t="s">
        <v>151</v>
      </c>
      <c r="C18" s="30"/>
      <c r="D18" s="264" t="s">
        <v>198</v>
      </c>
      <c r="E18" s="49"/>
      <c r="F18" s="49"/>
      <c r="G18" s="164"/>
      <c r="H18" s="164"/>
      <c r="I18" s="164"/>
      <c r="J18" s="164"/>
      <c r="K18" s="164"/>
      <c r="L18" s="164"/>
      <c r="M18" s="164"/>
      <c r="N18" s="164"/>
      <c r="O18" s="164"/>
      <c r="P18" s="164"/>
      <c r="Q18" s="164"/>
      <c r="R18" s="164"/>
      <c r="S18" s="164"/>
      <c r="T18" s="164"/>
      <c r="U18" s="164"/>
      <c r="V18" s="164"/>
      <c r="W18" s="164"/>
      <c r="X18" s="164"/>
      <c r="Y18" s="164"/>
      <c r="Z18" s="164"/>
      <c r="AA18" s="164"/>
      <c r="AB18" s="164"/>
      <c r="AC18" s="164">
        <f>Assumptions!E103</f>
        <v>45000</v>
      </c>
      <c r="AE18" s="164"/>
      <c r="AF18" s="164"/>
      <c r="AG18" s="164"/>
      <c r="AH18" s="164"/>
      <c r="AI18" s="164"/>
      <c r="AJ18" s="164"/>
      <c r="AK18" s="164"/>
      <c r="AL18" s="164"/>
      <c r="AM18" s="164"/>
      <c r="AN18" s="164"/>
      <c r="AO18" s="164"/>
      <c r="AP18" s="164"/>
      <c r="AQ18" s="164"/>
      <c r="AR18" s="164"/>
      <c r="AS18" s="164"/>
      <c r="AT18" s="164"/>
      <c r="AU18" s="164"/>
      <c r="AV18" s="164"/>
      <c r="AW18" s="164"/>
      <c r="AX18" s="164"/>
      <c r="AY18" s="164"/>
      <c r="AZ18" s="164"/>
      <c r="BA18" s="164"/>
      <c r="BB18" s="164"/>
      <c r="BC18" s="163"/>
      <c r="BD18" s="164">
        <f t="shared" si="7"/>
        <v>0</v>
      </c>
      <c r="BE18" s="164">
        <f>SUM(S18:AC18)</f>
        <v>45000</v>
      </c>
      <c r="BF18" s="164">
        <f t="shared" si="9"/>
        <v>0</v>
      </c>
      <c r="BG18" s="164">
        <f t="shared" si="10"/>
        <v>0</v>
      </c>
      <c r="BH18" s="258">
        <v>0.0</v>
      </c>
      <c r="BI18" s="163"/>
    </row>
    <row r="19" ht="12.75" customHeight="1">
      <c r="A19" s="249"/>
      <c r="B19" s="234" t="s">
        <v>302</v>
      </c>
      <c r="C19" s="267"/>
      <c r="D19" s="268"/>
      <c r="E19" s="269"/>
      <c r="F19" s="269"/>
      <c r="G19" s="193"/>
      <c r="H19" s="193"/>
      <c r="I19" s="193"/>
      <c r="J19" s="193"/>
      <c r="K19" s="193"/>
      <c r="L19" s="193"/>
      <c r="M19" s="193"/>
      <c r="N19" s="193"/>
      <c r="O19" s="193"/>
      <c r="P19" s="193"/>
      <c r="Q19" s="193"/>
      <c r="R19" s="193">
        <f>R14+R15+R16</f>
        <v>168933</v>
      </c>
      <c r="S19" s="193">
        <f t="shared" ref="S19:BB19" si="11">sum(S14:S18)</f>
        <v>25000</v>
      </c>
      <c r="T19" s="193">
        <f t="shared" si="11"/>
        <v>25000</v>
      </c>
      <c r="U19" s="193">
        <f t="shared" si="11"/>
        <v>25000</v>
      </c>
      <c r="V19" s="193">
        <f t="shared" si="11"/>
        <v>25000</v>
      </c>
      <c r="W19" s="193">
        <f t="shared" si="11"/>
        <v>25000</v>
      </c>
      <c r="X19" s="193">
        <f t="shared" si="11"/>
        <v>25000</v>
      </c>
      <c r="Y19" s="193">
        <f t="shared" si="11"/>
        <v>25000</v>
      </c>
      <c r="Z19" s="193">
        <f t="shared" si="11"/>
        <v>25000</v>
      </c>
      <c r="AA19" s="193">
        <f t="shared" si="11"/>
        <v>25000</v>
      </c>
      <c r="AB19" s="193">
        <f t="shared" si="11"/>
        <v>125000</v>
      </c>
      <c r="AC19" s="193">
        <f t="shared" si="11"/>
        <v>70000</v>
      </c>
      <c r="AD19" s="193">
        <f t="shared" si="11"/>
        <v>25000</v>
      </c>
      <c r="AE19" s="193">
        <f t="shared" si="11"/>
        <v>33750</v>
      </c>
      <c r="AF19" s="193">
        <f t="shared" si="11"/>
        <v>33750</v>
      </c>
      <c r="AG19" s="193">
        <f t="shared" si="11"/>
        <v>33750</v>
      </c>
      <c r="AH19" s="193">
        <f t="shared" si="11"/>
        <v>33750</v>
      </c>
      <c r="AI19" s="193">
        <f t="shared" si="11"/>
        <v>33750</v>
      </c>
      <c r="AJ19" s="193">
        <f t="shared" si="11"/>
        <v>33750</v>
      </c>
      <c r="AK19" s="193">
        <f t="shared" si="11"/>
        <v>33750</v>
      </c>
      <c r="AL19" s="193">
        <f t="shared" si="11"/>
        <v>33750</v>
      </c>
      <c r="AM19" s="193">
        <f t="shared" si="11"/>
        <v>33750</v>
      </c>
      <c r="AN19" s="193">
        <f t="shared" si="11"/>
        <v>33750</v>
      </c>
      <c r="AO19" s="193">
        <f t="shared" si="11"/>
        <v>33750</v>
      </c>
      <c r="AP19" s="193">
        <f t="shared" si="11"/>
        <v>33750</v>
      </c>
      <c r="AQ19" s="193">
        <f t="shared" si="11"/>
        <v>45562.5</v>
      </c>
      <c r="AR19" s="193">
        <f t="shared" si="11"/>
        <v>45562.5</v>
      </c>
      <c r="AS19" s="193">
        <f t="shared" si="11"/>
        <v>45562.5</v>
      </c>
      <c r="AT19" s="193">
        <f t="shared" si="11"/>
        <v>45562.5</v>
      </c>
      <c r="AU19" s="193">
        <f t="shared" si="11"/>
        <v>45562.5</v>
      </c>
      <c r="AV19" s="193">
        <f t="shared" si="11"/>
        <v>45562.5</v>
      </c>
      <c r="AW19" s="193">
        <f t="shared" si="11"/>
        <v>45562.5</v>
      </c>
      <c r="AX19" s="193">
        <f t="shared" si="11"/>
        <v>45562.5</v>
      </c>
      <c r="AY19" s="193">
        <f t="shared" si="11"/>
        <v>45562.5</v>
      </c>
      <c r="AZ19" s="193">
        <f t="shared" si="11"/>
        <v>45562.5</v>
      </c>
      <c r="BA19" s="193">
        <f t="shared" si="11"/>
        <v>45562.5</v>
      </c>
      <c r="BB19" s="193">
        <f t="shared" si="11"/>
        <v>45562.5</v>
      </c>
      <c r="BC19" s="163"/>
      <c r="BD19" s="193">
        <f t="shared" si="7"/>
        <v>168933</v>
      </c>
      <c r="BE19" s="193">
        <f>SUM(S19:AD19)</f>
        <v>445000</v>
      </c>
      <c r="BF19" s="193">
        <f t="shared" si="9"/>
        <v>405000</v>
      </c>
      <c r="BG19" s="193">
        <f t="shared" si="10"/>
        <v>546750</v>
      </c>
      <c r="BH19" s="193">
        <f>sum(BH14:BH18)</f>
        <v>848471.5675</v>
      </c>
      <c r="BI19" s="163"/>
    </row>
    <row r="20">
      <c r="A20" s="37"/>
      <c r="B20" s="30"/>
      <c r="C20" s="30"/>
      <c r="D20" s="84"/>
      <c r="E20" s="30"/>
      <c r="F20" s="30"/>
      <c r="G20" s="163"/>
      <c r="H20" s="163"/>
      <c r="I20" s="163"/>
      <c r="J20" s="163"/>
      <c r="K20" s="163"/>
      <c r="L20" s="163"/>
      <c r="M20" s="163"/>
      <c r="N20" s="163"/>
      <c r="O20" s="163"/>
      <c r="P20" s="163"/>
      <c r="Q20" s="163"/>
      <c r="R20" s="163"/>
      <c r="S20" s="163"/>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91"/>
      <c r="BE20" s="191">
        <f t="shared" ref="BE20:BH20" si="12">BE19/BD19-1</f>
        <v>1.634180415</v>
      </c>
      <c r="BF20" s="191">
        <f t="shared" si="12"/>
        <v>-0.08988764045</v>
      </c>
      <c r="BG20" s="191">
        <f t="shared" si="12"/>
        <v>0.35</v>
      </c>
      <c r="BH20" s="191">
        <f t="shared" si="12"/>
        <v>0.5518455739</v>
      </c>
      <c r="BI20" s="163"/>
    </row>
    <row r="21" ht="13.5" customHeight="1">
      <c r="A21" s="249"/>
      <c r="B21" s="221" t="s">
        <v>303</v>
      </c>
      <c r="C21" s="217"/>
      <c r="D21" s="263"/>
      <c r="E21" s="217"/>
      <c r="F21" s="217"/>
      <c r="G21" s="168"/>
      <c r="H21" s="168"/>
      <c r="I21" s="168"/>
      <c r="J21" s="168"/>
      <c r="K21" s="168"/>
      <c r="L21" s="168"/>
      <c r="M21" s="168"/>
      <c r="N21" s="168"/>
      <c r="O21" s="168"/>
      <c r="P21" s="168"/>
      <c r="Q21" s="168"/>
      <c r="R21" s="168"/>
      <c r="S21" s="168"/>
      <c r="T21" s="168"/>
      <c r="U21" s="168"/>
      <c r="V21" s="168"/>
      <c r="W21" s="168"/>
      <c r="X21" s="168"/>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8"/>
      <c r="BB21" s="168"/>
      <c r="BC21" s="163"/>
      <c r="BD21" s="168"/>
      <c r="BE21" s="168"/>
      <c r="BF21" s="168"/>
      <c r="BG21" s="168"/>
      <c r="BH21" s="168"/>
      <c r="BI21" s="163"/>
    </row>
    <row r="22" ht="15.0" customHeight="1">
      <c r="A22" s="37"/>
      <c r="B22" s="265" t="s">
        <v>304</v>
      </c>
      <c r="C22" s="30"/>
      <c r="D22" s="264"/>
      <c r="E22" s="242"/>
      <c r="F22" s="242"/>
      <c r="G22" s="164"/>
      <c r="H22" s="164"/>
      <c r="I22" s="164"/>
      <c r="J22" s="164"/>
      <c r="K22" s="164"/>
      <c r="L22" s="164"/>
      <c r="M22" s="164"/>
      <c r="N22" s="164"/>
      <c r="O22" s="164"/>
      <c r="P22" s="164"/>
      <c r="Q22" s="164"/>
      <c r="R22" s="163"/>
      <c r="S22" s="164">
        <f t="array" ref="S22">INDEX(Assumptions!$E$95:$I$95,MATCH(YEAR(S$3),Assumptions!$E$92:$I$92,0))</f>
        <v>14000</v>
      </c>
      <c r="T22" s="164">
        <f t="array" ref="T22">INDEX(Assumptions!$E$95:$I$95,MATCH(YEAR(T$3),Assumptions!$E$92:$I$92,0))</f>
        <v>14000</v>
      </c>
      <c r="U22" s="164">
        <f t="array" ref="U22">INDEX(Assumptions!$E$95:$I$95,MATCH(YEAR(U$3),Assumptions!$E$92:$I$92,0))</f>
        <v>14000</v>
      </c>
      <c r="V22" s="164">
        <f t="array" ref="V22">INDEX(Assumptions!$E$95:$I$95,MATCH(YEAR(V$3),Assumptions!$E$92:$I$92,0))</f>
        <v>14000</v>
      </c>
      <c r="W22" s="164">
        <f t="array" ref="W22">INDEX(Assumptions!$E$95:$I$95,MATCH(YEAR(W$3),Assumptions!$E$92:$I$92,0))</f>
        <v>14000</v>
      </c>
      <c r="X22" s="164">
        <f t="array" ref="X22">INDEX(Assumptions!$E$95:$I$95,MATCH(YEAR(X$3),Assumptions!$E$92:$I$92,0))</f>
        <v>14000</v>
      </c>
      <c r="Y22" s="164">
        <f t="array" ref="Y22">INDEX(Assumptions!$E$95:$I$95,MATCH(YEAR(Y$3),Assumptions!$E$92:$I$92,0))</f>
        <v>14000</v>
      </c>
      <c r="Z22" s="164">
        <f t="array" ref="Z22">INDEX(Assumptions!$E$95:$I$95,MATCH(YEAR(Z$3),Assumptions!$E$92:$I$92,0))</f>
        <v>14000</v>
      </c>
      <c r="AA22" s="164">
        <f t="array" ref="AA22">INDEX(Assumptions!$E$95:$I$95,MATCH(YEAR(AA$3),Assumptions!$E$92:$I$92,0))</f>
        <v>14000</v>
      </c>
      <c r="AB22" s="164">
        <f t="array" ref="AB22">INDEX(Assumptions!$E$95:$I$95,MATCH(YEAR(AB$3),Assumptions!$E$92:$I$92,0))</f>
        <v>14000</v>
      </c>
      <c r="AC22" s="164">
        <f t="array" ref="AC22">INDEX(Assumptions!$E$95:$I$95,MATCH(YEAR(AC$3),Assumptions!$E$92:$I$92,0))</f>
        <v>14000</v>
      </c>
      <c r="AD22" s="164">
        <f t="array" ref="AD22">INDEX(Assumptions!$E$95:$I$95,MATCH(YEAR(AD$3),Assumptions!$E$92:$I$92,0))</f>
        <v>14000</v>
      </c>
      <c r="AE22" s="164">
        <f t="array" ref="AE22">INDEX(Assumptions!$E$95:$I$95,MATCH(YEAR(AE$3),Assumptions!$E$92:$I$92,0))</f>
        <v>18900</v>
      </c>
      <c r="AF22" s="164">
        <f t="array" ref="AF22">INDEX(Assumptions!$E$95:$I$95,MATCH(YEAR(AF$3),Assumptions!$E$92:$I$92,0))</f>
        <v>18900</v>
      </c>
      <c r="AG22" s="164">
        <f t="array" ref="AG22">INDEX(Assumptions!$E$95:$I$95,MATCH(YEAR(AG$3),Assumptions!$E$92:$I$92,0))</f>
        <v>18900</v>
      </c>
      <c r="AH22" s="164">
        <f t="array" ref="AH22">INDEX(Assumptions!$E$95:$I$95,MATCH(YEAR(AH$3),Assumptions!$E$92:$I$92,0))</f>
        <v>18900</v>
      </c>
      <c r="AI22" s="164">
        <f t="array" ref="AI22">INDEX(Assumptions!$E$95:$I$95,MATCH(YEAR(AI$3),Assumptions!$E$92:$I$92,0))</f>
        <v>18900</v>
      </c>
      <c r="AJ22" s="164">
        <f t="array" ref="AJ22">INDEX(Assumptions!$E$95:$I$95,MATCH(YEAR(AJ$3),Assumptions!$E$92:$I$92,0))</f>
        <v>18900</v>
      </c>
      <c r="AK22" s="164">
        <f t="array" ref="AK22">INDEX(Assumptions!$E$95:$I$95,MATCH(YEAR(AK$3),Assumptions!$E$92:$I$92,0))</f>
        <v>18900</v>
      </c>
      <c r="AL22" s="164">
        <f t="array" ref="AL22">INDEX(Assumptions!$E$95:$I$95,MATCH(YEAR(AL$3),Assumptions!$E$92:$I$92,0))</f>
        <v>18900</v>
      </c>
      <c r="AM22" s="164">
        <f t="array" ref="AM22">INDEX(Assumptions!$E$95:$I$95,MATCH(YEAR(AM$3),Assumptions!$E$92:$I$92,0))</f>
        <v>18900</v>
      </c>
      <c r="AN22" s="164">
        <f t="array" ref="AN22">INDEX(Assumptions!$E$95:$I$95,MATCH(YEAR(AN$3),Assumptions!$E$92:$I$92,0))</f>
        <v>18900</v>
      </c>
      <c r="AO22" s="164">
        <f t="array" ref="AO22">INDEX(Assumptions!$E$95:$I$95,MATCH(YEAR(AO$3),Assumptions!$E$92:$I$92,0))</f>
        <v>18900</v>
      </c>
      <c r="AP22" s="164">
        <f t="array" ref="AP22">INDEX(Assumptions!$E$95:$I$95,MATCH(YEAR(AP$3),Assumptions!$E$92:$I$92,0))</f>
        <v>18900</v>
      </c>
      <c r="AQ22" s="164">
        <f t="array" ref="AQ22">INDEX(Assumptions!$E$95:$I$95,MATCH(YEAR(AQ$3),Assumptions!$E$92:$I$92,0))</f>
        <v>25515</v>
      </c>
      <c r="AR22" s="164">
        <f t="array" ref="AR22">INDEX(Assumptions!$E$95:$I$95,MATCH(YEAR(AR$3),Assumptions!$E$92:$I$92,0))</f>
        <v>25515</v>
      </c>
      <c r="AS22" s="164">
        <f t="array" ref="AS22">INDEX(Assumptions!$E$95:$I$95,MATCH(YEAR(AS$3),Assumptions!$E$92:$I$92,0))</f>
        <v>25515</v>
      </c>
      <c r="AT22" s="164">
        <f t="array" ref="AT22">INDEX(Assumptions!$E$95:$I$95,MATCH(YEAR(AT$3),Assumptions!$E$92:$I$92,0))</f>
        <v>25515</v>
      </c>
      <c r="AU22" s="164">
        <f t="array" ref="AU22">INDEX(Assumptions!$E$95:$I$95,MATCH(YEAR(AU$3),Assumptions!$E$92:$I$92,0))</f>
        <v>25515</v>
      </c>
      <c r="AV22" s="164">
        <f t="array" ref="AV22">INDEX(Assumptions!$E$95:$I$95,MATCH(YEAR(AV$3),Assumptions!$E$92:$I$92,0))</f>
        <v>25515</v>
      </c>
      <c r="AW22" s="164">
        <f t="array" ref="AW22">INDEX(Assumptions!$E$95:$I$95,MATCH(YEAR(AW$3),Assumptions!$E$92:$I$92,0))</f>
        <v>25515</v>
      </c>
      <c r="AX22" s="164">
        <f t="array" ref="AX22">INDEX(Assumptions!$E$95:$I$95,MATCH(YEAR(AX$3),Assumptions!$E$92:$I$92,0))</f>
        <v>25515</v>
      </c>
      <c r="AY22" s="164">
        <f t="array" ref="AY22">INDEX(Assumptions!$E$95:$I$95,MATCH(YEAR(AY$3),Assumptions!$E$92:$I$92,0))</f>
        <v>25515</v>
      </c>
      <c r="AZ22" s="164">
        <f t="array" ref="AZ22">INDEX(Assumptions!$E$95:$I$95,MATCH(YEAR(AZ$3),Assumptions!$E$92:$I$92,0))</f>
        <v>25515</v>
      </c>
      <c r="BA22" s="164">
        <f t="array" ref="BA22">INDEX(Assumptions!$E$95:$I$95,MATCH(YEAR(BA$3),Assumptions!$E$92:$I$92,0))</f>
        <v>25515</v>
      </c>
      <c r="BB22" s="164">
        <f t="array" ref="BB22">INDEX(Assumptions!$E$95:$I$95,MATCH(YEAR(BB$3),Assumptions!$E$92:$I$92,0))</f>
        <v>25515</v>
      </c>
      <c r="BC22" s="163"/>
      <c r="BD22" s="164">
        <f t="shared" ref="BD22:BD26" si="13">SUM(G22:R22)</f>
        <v>0</v>
      </c>
      <c r="BE22" s="164">
        <f t="shared" ref="BE22:BE23" si="14">SUM(S22:AD22)</f>
        <v>168000</v>
      </c>
      <c r="BF22" s="164">
        <f t="shared" ref="BF22:BF26" si="15">SUM(AE22:AP22)</f>
        <v>226800</v>
      </c>
      <c r="BG22" s="164">
        <f t="shared" ref="BG22:BG26" si="16">SUM(AQ22:BB22)</f>
        <v>306180</v>
      </c>
      <c r="BH22" s="258">
        <f>BG22*('Financial Statements'!$BE$7/'Financial Statements'!$BD$7)^0.5</f>
        <v>530319.3163</v>
      </c>
      <c r="BI22" s="163"/>
    </row>
    <row r="23" ht="15.0" customHeight="1">
      <c r="A23" s="37"/>
      <c r="B23" s="265" t="s">
        <v>305</v>
      </c>
      <c r="C23" s="30"/>
      <c r="D23" s="264" t="s">
        <v>198</v>
      </c>
      <c r="E23" s="242"/>
      <c r="F23" s="242"/>
      <c r="G23" s="164"/>
      <c r="H23" s="164"/>
      <c r="I23" s="164"/>
      <c r="J23" s="164"/>
      <c r="K23" s="164"/>
      <c r="L23" s="164"/>
      <c r="M23" s="164"/>
      <c r="N23" s="164"/>
      <c r="O23" s="164"/>
      <c r="P23" s="164"/>
      <c r="Q23" s="164"/>
      <c r="R23" s="163"/>
      <c r="S23" s="164">
        <v>7000.0</v>
      </c>
      <c r="T23" s="164">
        <v>7000.0</v>
      </c>
      <c r="U23" s="164">
        <v>7000.0</v>
      </c>
      <c r="V23" s="164">
        <v>7000.0</v>
      </c>
      <c r="W23" s="164">
        <v>7000.0</v>
      </c>
      <c r="X23" s="164">
        <v>7000.0</v>
      </c>
      <c r="Y23" s="164">
        <v>7000.0</v>
      </c>
      <c r="Z23" s="164">
        <v>7000.0</v>
      </c>
      <c r="AA23" s="164">
        <v>7000.0</v>
      </c>
      <c r="AB23" s="164">
        <v>10000.0</v>
      </c>
      <c r="AC23" s="164">
        <v>10000.0</v>
      </c>
      <c r="AD23" s="164">
        <v>10000.0</v>
      </c>
      <c r="AE23" s="164">
        <f>('Revenue Forecast'!AC6+'Revenue Forecast'!AC12)*VLOOKUP('Revenue Forecast'!AC40,Assumptions!$G$107:$H$114,2,TRUE)</f>
        <v>26400</v>
      </c>
      <c r="AF23" s="164">
        <f>('Revenue Forecast'!AD6+'Revenue Forecast'!AD12)*VLOOKUP('Revenue Forecast'!AD40,Assumptions!$G$107:$H$114,2,TRUE)</f>
        <v>29600</v>
      </c>
      <c r="AG23" s="164">
        <f>('Revenue Forecast'!AE6+'Revenue Forecast'!AE12)*VLOOKUP('Revenue Forecast'!AE40,Assumptions!$G$107:$H$114,2,TRUE)</f>
        <v>32000</v>
      </c>
      <c r="AH23" s="164">
        <f>('Revenue Forecast'!AF6+'Revenue Forecast'!AF12)*VLOOKUP('Revenue Forecast'!AF40,Assumptions!$G$107:$H$114,2,TRUE)</f>
        <v>35200</v>
      </c>
      <c r="AI23" s="164">
        <f>('Revenue Forecast'!AG6+'Revenue Forecast'!AG12)*VLOOKUP('Revenue Forecast'!AG40,Assumptions!$G$107:$H$114,2,TRUE)</f>
        <v>39200</v>
      </c>
      <c r="AJ23" s="164">
        <f>('Revenue Forecast'!AH6+'Revenue Forecast'!AH12)*VLOOKUP('Revenue Forecast'!AH40,Assumptions!$G$107:$H$114,2,TRUE)</f>
        <v>42400</v>
      </c>
      <c r="AK23" s="164">
        <f>('Revenue Forecast'!AI6+'Revenue Forecast'!AI12)*VLOOKUP('Revenue Forecast'!AI40,Assumptions!$G$107:$H$114,2,TRUE)</f>
        <v>46400</v>
      </c>
      <c r="AL23" s="164">
        <f>('Revenue Forecast'!AJ6+'Revenue Forecast'!AJ12)*VLOOKUP('Revenue Forecast'!AJ40,Assumptions!$G$107:$H$114,2,TRUE)</f>
        <v>50400</v>
      </c>
      <c r="AM23" s="164">
        <f>('Revenue Forecast'!AK6+'Revenue Forecast'!AK12)*VLOOKUP('Revenue Forecast'!AK40,Assumptions!$G$107:$H$114,2,TRUE)</f>
        <v>56000</v>
      </c>
      <c r="AN23" s="164">
        <f>('Revenue Forecast'!AL6+'Revenue Forecast'!AL12)*VLOOKUP('Revenue Forecast'!AL40,Assumptions!$G$107:$H$114,2,TRUE)</f>
        <v>61600</v>
      </c>
      <c r="AO23" s="164">
        <f>('Revenue Forecast'!AM6+'Revenue Forecast'!AM12)*VLOOKUP('Revenue Forecast'!AM40,Assumptions!$G$107:$H$114,2,TRUE)</f>
        <v>60480</v>
      </c>
      <c r="AP23" s="164">
        <f>('Revenue Forecast'!AN6+'Revenue Forecast'!AN12)*VLOOKUP('Revenue Forecast'!AN40,Assumptions!$G$107:$H$114,2,TRUE)</f>
        <v>66240</v>
      </c>
      <c r="AQ23" s="164">
        <f>('Revenue Forecast'!AO6+'Revenue Forecast'!AO12)*VLOOKUP('Revenue Forecast'!AO40,Assumptions!$G$107:$H$114,2,TRUE)</f>
        <v>72720</v>
      </c>
      <c r="AR23" s="164">
        <f>('Revenue Forecast'!AP6+'Revenue Forecast'!AP12)*VLOOKUP('Revenue Forecast'!AP40,Assumptions!$G$107:$H$114,2,TRUE)</f>
        <v>79200</v>
      </c>
      <c r="AS23" s="164">
        <f>('Revenue Forecast'!AQ6+'Revenue Forecast'!AQ12)*VLOOKUP('Revenue Forecast'!AQ40,Assumptions!$G$107:$H$114,2,TRUE)</f>
        <v>87120</v>
      </c>
      <c r="AT23" s="164">
        <f>('Revenue Forecast'!AR6+'Revenue Forecast'!AR12)*VLOOKUP('Revenue Forecast'!AR40,Assumptions!$G$107:$H$114,2,TRUE)</f>
        <v>86184</v>
      </c>
      <c r="AU23" s="164">
        <f>('Revenue Forecast'!AS6+'Revenue Forecast'!AS12)*VLOOKUP('Revenue Forecast'!AS40,Assumptions!$G$107:$H$114,2,TRUE)</f>
        <v>93960</v>
      </c>
      <c r="AV23" s="164">
        <f>('Revenue Forecast'!AT6+'Revenue Forecast'!AT12)*VLOOKUP('Revenue Forecast'!AT40,Assumptions!$G$107:$H$114,2,TRUE)</f>
        <v>103032</v>
      </c>
      <c r="AW23" s="164">
        <f>('Revenue Forecast'!AU6+'Revenue Forecast'!AU12)*VLOOKUP('Revenue Forecast'!AU40,Assumptions!$G$107:$H$114,2,TRUE)</f>
        <v>113400</v>
      </c>
      <c r="AX23" s="164">
        <f>('Revenue Forecast'!AV6+'Revenue Forecast'!AV12)*VLOOKUP('Revenue Forecast'!AV40,Assumptions!$G$107:$H$114,2,TRUE)</f>
        <v>123768</v>
      </c>
      <c r="AY23" s="164">
        <f>('Revenue Forecast'!AW6+'Revenue Forecast'!AW12)*VLOOKUP('Revenue Forecast'!AW40,Assumptions!$G$107:$H$114,2,TRUE)</f>
        <v>136080</v>
      </c>
      <c r="AZ23" s="164">
        <f>('Revenue Forecast'!AX6+'Revenue Forecast'!AX12)*VLOOKUP('Revenue Forecast'!AX40,Assumptions!$G$107:$H$114,2,TRUE)</f>
        <v>133552.8</v>
      </c>
      <c r="BA23" s="164">
        <f>('Revenue Forecast'!AY6+'Revenue Forecast'!AY12)*VLOOKUP('Revenue Forecast'!AY40,Assumptions!$G$107:$H$114,2,TRUE)</f>
        <v>146966.4</v>
      </c>
      <c r="BB23" s="164">
        <f>('Revenue Forecast'!AZ6+'Revenue Forecast'!AZ12)*VLOOKUP('Revenue Forecast'!AZ40,Assumptions!$G$107:$H$114,2,TRUE)</f>
        <v>159796.8</v>
      </c>
      <c r="BC23" s="163"/>
      <c r="BD23" s="164">
        <f t="shared" si="13"/>
        <v>0</v>
      </c>
      <c r="BE23" s="164">
        <f t="shared" si="14"/>
        <v>93000</v>
      </c>
      <c r="BF23" s="164">
        <f t="shared" si="15"/>
        <v>545920</v>
      </c>
      <c r="BG23" s="164">
        <f t="shared" si="16"/>
        <v>1335780</v>
      </c>
      <c r="BH23" s="164">
        <f>('Revenue Forecast'!BF6+'Revenue Forecast'!BF12)*VLOOKUP('Revenue Forecast'!BF40,Assumptions!$G$107:$H$114,2,TRUE)</f>
        <v>2449440</v>
      </c>
      <c r="BI23" s="163"/>
    </row>
    <row r="24" ht="15.0" customHeight="1">
      <c r="A24" s="37"/>
      <c r="B24" s="265" t="s">
        <v>148</v>
      </c>
      <c r="C24" s="30"/>
      <c r="D24" s="264" t="s">
        <v>198</v>
      </c>
      <c r="E24" s="49"/>
      <c r="F24" s="49"/>
      <c r="G24" s="164"/>
      <c r="H24" s="164"/>
      <c r="I24" s="164"/>
      <c r="J24" s="164"/>
      <c r="K24" s="164"/>
      <c r="L24" s="164"/>
      <c r="M24" s="164"/>
      <c r="N24" s="164"/>
      <c r="O24" s="164"/>
      <c r="P24" s="164"/>
      <c r="Q24" s="164"/>
      <c r="R24" s="164">
        <f>Assumptions!$E$100</f>
        <v>10000</v>
      </c>
      <c r="T24" s="164"/>
      <c r="U24" s="164"/>
      <c r="V24" s="164"/>
      <c r="W24" s="164"/>
      <c r="X24" s="164">
        <f>Assumptions!E100</f>
        <v>10000</v>
      </c>
      <c r="Y24" s="164"/>
      <c r="Z24" s="164"/>
      <c r="AA24" s="164"/>
      <c r="AB24" s="164"/>
      <c r="AC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4"/>
      <c r="BA24" s="164"/>
      <c r="BB24" s="164"/>
      <c r="BC24" s="163"/>
      <c r="BD24" s="164">
        <f t="shared" si="13"/>
        <v>10000</v>
      </c>
      <c r="BE24" s="164">
        <f>SUM(T24:AC24)</f>
        <v>10000</v>
      </c>
      <c r="BF24" s="164">
        <f t="shared" si="15"/>
        <v>0</v>
      </c>
      <c r="BG24" s="164">
        <f t="shared" si="16"/>
        <v>0</v>
      </c>
      <c r="BH24" s="258">
        <f>BG24*('Financial Statements'!$BE$7/'Financial Statements'!$BD$7)^0.5</f>
        <v>0</v>
      </c>
      <c r="BI24" s="163"/>
    </row>
    <row r="25" ht="15.0" customHeight="1">
      <c r="A25" s="37"/>
      <c r="B25" s="265" t="s">
        <v>149</v>
      </c>
      <c r="C25" s="30"/>
      <c r="D25" s="264" t="s">
        <v>198</v>
      </c>
      <c r="E25" s="49"/>
      <c r="F25" s="49"/>
      <c r="G25" s="164"/>
      <c r="H25" s="164"/>
      <c r="I25" s="164"/>
      <c r="J25" s="164"/>
      <c r="K25" s="164"/>
      <c r="L25" s="164"/>
      <c r="M25" s="164"/>
      <c r="N25" s="164"/>
      <c r="O25" s="164"/>
      <c r="P25" s="164"/>
      <c r="Q25" s="164"/>
      <c r="R25" s="164">
        <f>Assumptions!$E$101</f>
        <v>10000</v>
      </c>
      <c r="S25" s="164"/>
      <c r="T25" s="164"/>
      <c r="U25" s="164"/>
      <c r="V25" s="164"/>
      <c r="W25" s="164">
        <f>Assumptions!E101</f>
        <v>10000</v>
      </c>
      <c r="X25" s="164"/>
      <c r="Y25" s="164"/>
      <c r="Z25" s="164"/>
      <c r="AA25" s="164"/>
      <c r="AB25" s="164"/>
      <c r="AC25" s="164"/>
      <c r="AE25" s="164"/>
      <c r="AF25" s="164"/>
      <c r="AG25" s="164"/>
      <c r="AH25" s="164"/>
      <c r="AJ25" s="164"/>
      <c r="AK25" s="164"/>
      <c r="AL25" s="164"/>
      <c r="AM25" s="164"/>
      <c r="AN25" s="164"/>
      <c r="AO25" s="164"/>
      <c r="AP25" s="164"/>
      <c r="AQ25" s="164"/>
      <c r="AR25" s="164"/>
      <c r="AS25" s="164"/>
      <c r="AT25" s="164"/>
      <c r="AU25" s="164"/>
      <c r="AV25" s="164"/>
      <c r="AW25" s="164"/>
      <c r="AX25" s="164"/>
      <c r="AY25" s="164"/>
      <c r="AZ25" s="164"/>
      <c r="BA25" s="164"/>
      <c r="BB25" s="164"/>
      <c r="BC25" s="163"/>
      <c r="BD25" s="164">
        <f t="shared" si="13"/>
        <v>10000</v>
      </c>
      <c r="BE25" s="164">
        <f>SUM(S25:AH25)</f>
        <v>10000</v>
      </c>
      <c r="BF25" s="164">
        <f t="shared" si="15"/>
        <v>0</v>
      </c>
      <c r="BG25" s="164">
        <f t="shared" si="16"/>
        <v>0</v>
      </c>
      <c r="BH25" s="258">
        <f>BG25*('Financial Statements'!$BE$7/'Financial Statements'!$BD$7)^0.5</f>
        <v>0</v>
      </c>
      <c r="BI25" s="163"/>
    </row>
    <row r="26" ht="12.75" customHeight="1">
      <c r="A26" s="249"/>
      <c r="B26" s="234" t="s">
        <v>306</v>
      </c>
      <c r="C26" s="267"/>
      <c r="D26" s="268"/>
      <c r="E26" s="269"/>
      <c r="F26" s="269"/>
      <c r="G26" s="193">
        <f t="shared" ref="G26:R26" si="17">SUM(G23:G25)</f>
        <v>0</v>
      </c>
      <c r="H26" s="193">
        <f t="shared" si="17"/>
        <v>0</v>
      </c>
      <c r="I26" s="193">
        <f t="shared" si="17"/>
        <v>0</v>
      </c>
      <c r="J26" s="193">
        <f t="shared" si="17"/>
        <v>0</v>
      </c>
      <c r="K26" s="193">
        <f t="shared" si="17"/>
        <v>0</v>
      </c>
      <c r="L26" s="193">
        <f t="shared" si="17"/>
        <v>0</v>
      </c>
      <c r="M26" s="193">
        <f t="shared" si="17"/>
        <v>0</v>
      </c>
      <c r="N26" s="193">
        <f t="shared" si="17"/>
        <v>0</v>
      </c>
      <c r="O26" s="193">
        <f t="shared" si="17"/>
        <v>0</v>
      </c>
      <c r="P26" s="193">
        <f t="shared" si="17"/>
        <v>0</v>
      </c>
      <c r="Q26" s="193">
        <f t="shared" si="17"/>
        <v>0</v>
      </c>
      <c r="R26" s="193">
        <f t="shared" si="17"/>
        <v>20000</v>
      </c>
      <c r="S26" s="193">
        <f t="shared" ref="S26:BB26" si="18">sum(S22:S25)</f>
        <v>21000</v>
      </c>
      <c r="T26" s="193">
        <f t="shared" si="18"/>
        <v>21000</v>
      </c>
      <c r="U26" s="193">
        <f t="shared" si="18"/>
        <v>21000</v>
      </c>
      <c r="V26" s="193">
        <f t="shared" si="18"/>
        <v>21000</v>
      </c>
      <c r="W26" s="193">
        <f t="shared" si="18"/>
        <v>31000</v>
      </c>
      <c r="X26" s="193">
        <f t="shared" si="18"/>
        <v>31000</v>
      </c>
      <c r="Y26" s="193">
        <f t="shared" si="18"/>
        <v>21000</v>
      </c>
      <c r="Z26" s="193">
        <f t="shared" si="18"/>
        <v>21000</v>
      </c>
      <c r="AA26" s="193">
        <f t="shared" si="18"/>
        <v>21000</v>
      </c>
      <c r="AB26" s="193">
        <f t="shared" si="18"/>
        <v>24000</v>
      </c>
      <c r="AC26" s="193">
        <f t="shared" si="18"/>
        <v>24000</v>
      </c>
      <c r="AD26" s="193">
        <f t="shared" si="18"/>
        <v>24000</v>
      </c>
      <c r="AE26" s="193">
        <f t="shared" si="18"/>
        <v>45300</v>
      </c>
      <c r="AF26" s="193">
        <f t="shared" si="18"/>
        <v>48500</v>
      </c>
      <c r="AG26" s="193">
        <f t="shared" si="18"/>
        <v>50900</v>
      </c>
      <c r="AH26" s="193">
        <f t="shared" si="18"/>
        <v>54100</v>
      </c>
      <c r="AI26" s="193">
        <f t="shared" si="18"/>
        <v>58100</v>
      </c>
      <c r="AJ26" s="193">
        <f t="shared" si="18"/>
        <v>61300</v>
      </c>
      <c r="AK26" s="193">
        <f t="shared" si="18"/>
        <v>65300</v>
      </c>
      <c r="AL26" s="193">
        <f t="shared" si="18"/>
        <v>69300</v>
      </c>
      <c r="AM26" s="193">
        <f t="shared" si="18"/>
        <v>74900</v>
      </c>
      <c r="AN26" s="193">
        <f t="shared" si="18"/>
        <v>80500</v>
      </c>
      <c r="AO26" s="193">
        <f t="shared" si="18"/>
        <v>79380</v>
      </c>
      <c r="AP26" s="193">
        <f t="shared" si="18"/>
        <v>85140</v>
      </c>
      <c r="AQ26" s="193">
        <f t="shared" si="18"/>
        <v>98235</v>
      </c>
      <c r="AR26" s="193">
        <f t="shared" si="18"/>
        <v>104715</v>
      </c>
      <c r="AS26" s="193">
        <f t="shared" si="18"/>
        <v>112635</v>
      </c>
      <c r="AT26" s="193">
        <f t="shared" si="18"/>
        <v>111699</v>
      </c>
      <c r="AU26" s="193">
        <f t="shared" si="18"/>
        <v>119475</v>
      </c>
      <c r="AV26" s="193">
        <f t="shared" si="18"/>
        <v>128547</v>
      </c>
      <c r="AW26" s="193">
        <f t="shared" si="18"/>
        <v>138915</v>
      </c>
      <c r="AX26" s="193">
        <f t="shared" si="18"/>
        <v>149283</v>
      </c>
      <c r="AY26" s="193">
        <f t="shared" si="18"/>
        <v>161595</v>
      </c>
      <c r="AZ26" s="193">
        <f t="shared" si="18"/>
        <v>159067.8</v>
      </c>
      <c r="BA26" s="193">
        <f t="shared" si="18"/>
        <v>172481.4</v>
      </c>
      <c r="BB26" s="193">
        <f t="shared" si="18"/>
        <v>185311.8</v>
      </c>
      <c r="BC26" s="163"/>
      <c r="BD26" s="193">
        <f t="shared" si="13"/>
        <v>20000</v>
      </c>
      <c r="BE26" s="193">
        <f>SUM(S26:AD26)</f>
        <v>281000</v>
      </c>
      <c r="BF26" s="193">
        <f t="shared" si="15"/>
        <v>772720</v>
      </c>
      <c r="BG26" s="193">
        <f t="shared" si="16"/>
        <v>1641960</v>
      </c>
      <c r="BH26" s="193">
        <f>sum(BH22:BH25)</f>
        <v>2979759.316</v>
      </c>
      <c r="BI26" s="163"/>
    </row>
    <row r="27" ht="15.75" customHeight="1">
      <c r="A27" s="37"/>
      <c r="B27" s="30"/>
      <c r="C27" s="30"/>
      <c r="D27" s="84"/>
      <c r="E27" s="30"/>
      <c r="F27" s="30"/>
      <c r="G27" s="163"/>
      <c r="H27" s="163"/>
      <c r="I27" s="163"/>
      <c r="J27" s="163"/>
      <c r="K27" s="163"/>
      <c r="L27" s="163"/>
      <c r="M27" s="163"/>
      <c r="N27" s="163"/>
      <c r="O27" s="163"/>
      <c r="P27" s="163"/>
      <c r="Q27" s="163"/>
      <c r="R27" s="163"/>
      <c r="S27" s="163"/>
      <c r="T27" s="163"/>
      <c r="U27" s="163"/>
      <c r="V27" s="16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91">
        <f t="shared" ref="BE27:BH27" si="19">BE26/BD26-1</f>
        <v>13.05</v>
      </c>
      <c r="BF27" s="191">
        <f t="shared" si="19"/>
        <v>1.749893238</v>
      </c>
      <c r="BG27" s="191">
        <f t="shared" si="19"/>
        <v>1.124909411</v>
      </c>
      <c r="BH27" s="191">
        <f t="shared" si="19"/>
        <v>0.8147575558</v>
      </c>
      <c r="BI27" s="163"/>
    </row>
    <row r="28" ht="13.5" customHeight="1">
      <c r="A28" s="249"/>
      <c r="B28" s="221" t="s">
        <v>307</v>
      </c>
      <c r="C28" s="217"/>
      <c r="D28" s="263"/>
      <c r="E28" s="217"/>
      <c r="F28" s="217"/>
      <c r="G28" s="168"/>
      <c r="H28" s="168"/>
      <c r="I28" s="168"/>
      <c r="J28" s="168"/>
      <c r="K28" s="168"/>
      <c r="L28" s="168"/>
      <c r="M28" s="168"/>
      <c r="N28" s="168"/>
      <c r="O28" s="168"/>
      <c r="P28" s="168"/>
      <c r="Q28" s="168"/>
      <c r="R28" s="168"/>
      <c r="S28" s="168"/>
      <c r="T28" s="168"/>
      <c r="U28" s="168"/>
      <c r="V28" s="168"/>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8"/>
      <c r="AX28" s="168"/>
      <c r="AY28" s="168"/>
      <c r="AZ28" s="168"/>
      <c r="BA28" s="168"/>
      <c r="BB28" s="168"/>
      <c r="BC28" s="163"/>
      <c r="BD28" s="168"/>
      <c r="BE28" s="168"/>
      <c r="BF28" s="168"/>
      <c r="BG28" s="168"/>
      <c r="BH28" s="168"/>
      <c r="BI28" s="163"/>
    </row>
    <row r="29" ht="15.75" customHeight="1">
      <c r="A29" s="37"/>
      <c r="B29" s="265" t="s">
        <v>136</v>
      </c>
      <c r="C29" s="30"/>
      <c r="D29" s="264" t="s">
        <v>198</v>
      </c>
      <c r="E29" s="242"/>
      <c r="F29" s="242"/>
      <c r="G29" s="164">
        <f>Assumptions!$E$93</f>
        <v>5000</v>
      </c>
      <c r="H29" s="164">
        <f>Assumptions!$E$93</f>
        <v>5000</v>
      </c>
      <c r="I29" s="164">
        <f>Assumptions!$E$93</f>
        <v>5000</v>
      </c>
      <c r="J29" s="164">
        <f>Assumptions!$E$93</f>
        <v>5000</v>
      </c>
      <c r="K29" s="164">
        <f>Assumptions!$E$93</f>
        <v>5000</v>
      </c>
      <c r="L29" s="164">
        <f>Assumptions!$E$93</f>
        <v>5000</v>
      </c>
      <c r="M29" s="164">
        <f>Assumptions!$E$93</f>
        <v>5000</v>
      </c>
      <c r="N29" s="164">
        <f>Assumptions!$E$93</f>
        <v>5000</v>
      </c>
      <c r="O29" s="164">
        <f>Assumptions!$E$93</f>
        <v>5000</v>
      </c>
      <c r="P29" s="164">
        <f>Assumptions!$E$93</f>
        <v>5000</v>
      </c>
      <c r="Q29" s="164">
        <f>Assumptions!$E$93</f>
        <v>5000</v>
      </c>
      <c r="R29" s="164">
        <f>Assumptions!$E$93</f>
        <v>5000</v>
      </c>
      <c r="S29" s="164">
        <f t="array" ref="S29">INDEX(Assumptions!$E$93:$I$93,MATCH(YEAR(S$3),Assumptions!$E$92:$I$92,0))</f>
        <v>5000</v>
      </c>
      <c r="T29" s="164">
        <f t="array" ref="T29">INDEX(Assumptions!$E$93:$I$93,MATCH(YEAR(T$3),Assumptions!$E$92:$I$92,0))</f>
        <v>5000</v>
      </c>
      <c r="U29" s="164">
        <f t="array" ref="U29">INDEX(Assumptions!$E$93:$I$93,MATCH(YEAR(U$3),Assumptions!$E$92:$I$92,0))</f>
        <v>5000</v>
      </c>
      <c r="V29" s="164">
        <f t="array" ref="V29">INDEX(Assumptions!$E$93:$I$93,MATCH(YEAR(V$3),Assumptions!$E$92:$I$92,0))</f>
        <v>5000</v>
      </c>
      <c r="W29" s="164">
        <f t="array" ref="W29">INDEX(Assumptions!$E$93:$I$93,MATCH(YEAR(W$3),Assumptions!$E$92:$I$92,0))</f>
        <v>5000</v>
      </c>
      <c r="X29" s="164">
        <f t="array" ref="X29">INDEX(Assumptions!$E$93:$I$93,MATCH(YEAR(X$3),Assumptions!$E$92:$I$92,0))</f>
        <v>5000</v>
      </c>
      <c r="Y29" s="164">
        <f t="array" ref="Y29">INDEX(Assumptions!$E$93:$I$93,MATCH(YEAR(Y$3),Assumptions!$E$92:$I$92,0))</f>
        <v>5000</v>
      </c>
      <c r="Z29" s="164">
        <f t="array" ref="Z29">INDEX(Assumptions!$E$93:$I$93,MATCH(YEAR(Z$3),Assumptions!$E$92:$I$92,0))</f>
        <v>5000</v>
      </c>
      <c r="AA29" s="164">
        <f t="array" ref="AA29">INDEX(Assumptions!$E$93:$I$93,MATCH(YEAR(AA$3),Assumptions!$E$92:$I$92,0))</f>
        <v>5000</v>
      </c>
      <c r="AB29" s="164">
        <f t="array" ref="AB29">INDEX(Assumptions!$E$93:$I$93,MATCH(YEAR(AB$3),Assumptions!$E$92:$I$92,0))</f>
        <v>5000</v>
      </c>
      <c r="AC29" s="164">
        <f t="array" ref="AC29">INDEX(Assumptions!$E$93:$I$93,MATCH(YEAR(AC$3),Assumptions!$E$92:$I$92,0))</f>
        <v>5000</v>
      </c>
      <c r="AD29" s="164">
        <f t="array" ref="AD29">INDEX(Assumptions!$E$93:$I$93,MATCH(YEAR(AD$3),Assumptions!$E$92:$I$92,0))</f>
        <v>5000</v>
      </c>
      <c r="AE29" s="164">
        <f t="array" ref="AE29">INDEX(Assumptions!$E$93:$I$93,MATCH(YEAR(AE$3),Assumptions!$E$92:$I$92,0))</f>
        <v>6750</v>
      </c>
      <c r="AF29" s="164">
        <f t="array" ref="AF29">INDEX(Assumptions!$E$93:$I$93,MATCH(YEAR(AF$3),Assumptions!$E$92:$I$92,0))</f>
        <v>6750</v>
      </c>
      <c r="AG29" s="164">
        <f t="array" ref="AG29">INDEX(Assumptions!$E$93:$I$93,MATCH(YEAR(AG$3),Assumptions!$E$92:$I$92,0))</f>
        <v>6750</v>
      </c>
      <c r="AH29" s="164">
        <f t="array" ref="AH29">INDEX(Assumptions!$E$93:$I$93,MATCH(YEAR(AH$3),Assumptions!$E$92:$I$92,0))</f>
        <v>6750</v>
      </c>
      <c r="AI29" s="164">
        <f t="array" ref="AI29">INDEX(Assumptions!$E$93:$I$93,MATCH(YEAR(AI$3),Assumptions!$E$92:$I$92,0))</f>
        <v>6750</v>
      </c>
      <c r="AJ29" s="164">
        <f t="array" ref="AJ29">INDEX(Assumptions!$E$93:$I$93,MATCH(YEAR(AJ$3),Assumptions!$E$92:$I$92,0))</f>
        <v>6750</v>
      </c>
      <c r="AK29" s="164">
        <f t="array" ref="AK29">INDEX(Assumptions!$E$93:$I$93,MATCH(YEAR(AK$3),Assumptions!$E$92:$I$92,0))</f>
        <v>6750</v>
      </c>
      <c r="AL29" s="164">
        <f t="array" ref="AL29">INDEX(Assumptions!$E$93:$I$93,MATCH(YEAR(AL$3),Assumptions!$E$92:$I$92,0))</f>
        <v>6750</v>
      </c>
      <c r="AM29" s="164">
        <f t="array" ref="AM29">INDEX(Assumptions!$E$93:$I$93,MATCH(YEAR(AM$3),Assumptions!$E$92:$I$92,0))</f>
        <v>6750</v>
      </c>
      <c r="AN29" s="164">
        <f t="array" ref="AN29">INDEX(Assumptions!$E$93:$I$93,MATCH(YEAR(AN$3),Assumptions!$E$92:$I$92,0))</f>
        <v>6750</v>
      </c>
      <c r="AO29" s="164">
        <f t="array" ref="AO29">INDEX(Assumptions!$E$93:$I$93,MATCH(YEAR(AO$3),Assumptions!$E$92:$I$92,0))</f>
        <v>6750</v>
      </c>
      <c r="AP29" s="164">
        <f t="array" ref="AP29">INDEX(Assumptions!$E$93:$I$93,MATCH(YEAR(AP$3),Assumptions!$E$92:$I$92,0))</f>
        <v>6750</v>
      </c>
      <c r="AQ29" s="164">
        <f t="array" ref="AQ29">INDEX(Assumptions!$E$93:$I$93,MATCH(YEAR(AQ$3),Assumptions!$E$92:$I$92,0))</f>
        <v>9112.5</v>
      </c>
      <c r="AR29" s="164">
        <f t="array" ref="AR29">INDEX(Assumptions!$E$93:$I$93,MATCH(YEAR(AR$3),Assumptions!$E$92:$I$92,0))</f>
        <v>9112.5</v>
      </c>
      <c r="AS29" s="164">
        <f t="array" ref="AS29">INDEX(Assumptions!$E$93:$I$93,MATCH(YEAR(AS$3),Assumptions!$E$92:$I$92,0))</f>
        <v>9112.5</v>
      </c>
      <c r="AT29" s="164">
        <f t="array" ref="AT29">INDEX(Assumptions!$E$93:$I$93,MATCH(YEAR(AT$3),Assumptions!$E$92:$I$92,0))</f>
        <v>9112.5</v>
      </c>
      <c r="AU29" s="164">
        <f t="array" ref="AU29">INDEX(Assumptions!$E$93:$I$93,MATCH(YEAR(AU$3),Assumptions!$E$92:$I$92,0))</f>
        <v>9112.5</v>
      </c>
      <c r="AV29" s="164">
        <f t="array" ref="AV29">INDEX(Assumptions!$E$93:$I$93,MATCH(YEAR(AV$3),Assumptions!$E$92:$I$92,0))</f>
        <v>9112.5</v>
      </c>
      <c r="AW29" s="164">
        <f t="array" ref="AW29">INDEX(Assumptions!$E$93:$I$93,MATCH(YEAR(AW$3),Assumptions!$E$92:$I$92,0))</f>
        <v>9112.5</v>
      </c>
      <c r="AX29" s="164">
        <f t="array" ref="AX29">INDEX(Assumptions!$E$93:$I$93,MATCH(YEAR(AX$3),Assumptions!$E$92:$I$92,0))</f>
        <v>9112.5</v>
      </c>
      <c r="AY29" s="164">
        <f t="array" ref="AY29">INDEX(Assumptions!$E$93:$I$93,MATCH(YEAR(AY$3),Assumptions!$E$92:$I$92,0))</f>
        <v>9112.5</v>
      </c>
      <c r="AZ29" s="164">
        <f t="array" ref="AZ29">INDEX(Assumptions!$E$93:$I$93,MATCH(YEAR(AZ$3),Assumptions!$E$92:$I$92,0))</f>
        <v>9112.5</v>
      </c>
      <c r="BA29" s="164">
        <f t="array" ref="BA29">INDEX(Assumptions!$E$93:$I$93,MATCH(YEAR(BA$3),Assumptions!$E$92:$I$92,0))</f>
        <v>9112.5</v>
      </c>
      <c r="BB29" s="164">
        <f t="array" ref="BB29">INDEX(Assumptions!$E$93:$I$93,MATCH(YEAR(BB$3),Assumptions!$E$92:$I$92,0))</f>
        <v>9112.5</v>
      </c>
      <c r="BC29" s="163"/>
      <c r="BD29" s="164">
        <f t="shared" ref="BD29:BD32" si="20">SUM(G29:R29)</f>
        <v>60000</v>
      </c>
      <c r="BE29" s="164">
        <f t="shared" ref="BE29:BE32" si="21">SUM(S29:AD29)</f>
        <v>60000</v>
      </c>
      <c r="BF29" s="164">
        <f t="shared" ref="BF29:BF32" si="22">SUM(AE29:AP29)</f>
        <v>81000</v>
      </c>
      <c r="BG29" s="164">
        <f t="shared" ref="BG29:BG32" si="23">SUM(AQ29:BB29)</f>
        <v>109350</v>
      </c>
      <c r="BH29" s="258">
        <f>BG29*('Financial Statements'!$BE$7/'Financial Statements'!$BD$7)^0.2</f>
        <v>136220.6782</v>
      </c>
      <c r="BI29" s="163"/>
    </row>
    <row r="30" ht="15.75" customHeight="1">
      <c r="A30" s="37"/>
      <c r="B30" s="265" t="s">
        <v>139</v>
      </c>
      <c r="C30" s="30"/>
      <c r="D30" s="264" t="s">
        <v>198</v>
      </c>
      <c r="E30" s="242"/>
      <c r="F30" s="242"/>
      <c r="G30" s="164">
        <f>Assumptions!$E$94</f>
        <v>7000</v>
      </c>
      <c r="H30" s="164">
        <f>Assumptions!$E$94</f>
        <v>7000</v>
      </c>
      <c r="I30" s="164">
        <f>Assumptions!$E$94</f>
        <v>7000</v>
      </c>
      <c r="J30" s="164">
        <f>Assumptions!$E$94</f>
        <v>7000</v>
      </c>
      <c r="K30" s="164">
        <f>Assumptions!$E$94</f>
        <v>7000</v>
      </c>
      <c r="L30" s="164">
        <f>Assumptions!$E$94</f>
        <v>7000</v>
      </c>
      <c r="M30" s="164">
        <f>Assumptions!$E$94</f>
        <v>7000</v>
      </c>
      <c r="N30" s="164">
        <f>Assumptions!$E$94</f>
        <v>7000</v>
      </c>
      <c r="O30" s="164">
        <f>Assumptions!$E$94</f>
        <v>7000</v>
      </c>
      <c r="P30" s="164">
        <f>Assumptions!$E$94</f>
        <v>7000</v>
      </c>
      <c r="Q30" s="164">
        <f>Assumptions!$E$94</f>
        <v>7000</v>
      </c>
      <c r="R30" s="164">
        <f>Assumptions!$E$94</f>
        <v>7000</v>
      </c>
      <c r="S30" s="164">
        <f t="array" ref="S30">INDEX(Assumptions!$E$94:$I$94,MATCH(YEAR(S$3),Assumptions!$E$92:$I$92,0))</f>
        <v>7000</v>
      </c>
      <c r="T30" s="164">
        <f t="array" ref="T30">INDEX(Assumptions!$E$94:$I$94,MATCH(YEAR(T$3),Assumptions!$E$92:$I$92,0))</f>
        <v>7000</v>
      </c>
      <c r="U30" s="164">
        <f t="array" ref="U30">INDEX(Assumptions!$E$94:$I$94,MATCH(YEAR(U$3),Assumptions!$E$92:$I$92,0))</f>
        <v>7000</v>
      </c>
      <c r="V30" s="164">
        <f t="array" ref="V30">INDEX(Assumptions!$E$94:$I$94,MATCH(YEAR(V$3),Assumptions!$E$92:$I$92,0))</f>
        <v>7000</v>
      </c>
      <c r="W30" s="164">
        <f t="array" ref="W30">INDEX(Assumptions!$E$94:$I$94,MATCH(YEAR(W$3),Assumptions!$E$92:$I$92,0))</f>
        <v>7000</v>
      </c>
      <c r="X30" s="164">
        <f t="array" ref="X30">INDEX(Assumptions!$E$94:$I$94,MATCH(YEAR(X$3),Assumptions!$E$92:$I$92,0))</f>
        <v>7000</v>
      </c>
      <c r="Y30" s="164">
        <f t="array" ref="Y30">INDEX(Assumptions!$E$94:$I$94,MATCH(YEAR(Y$3),Assumptions!$E$92:$I$92,0))</f>
        <v>7000</v>
      </c>
      <c r="Z30" s="164">
        <f t="array" ref="Z30">INDEX(Assumptions!$E$94:$I$94,MATCH(YEAR(Z$3),Assumptions!$E$92:$I$92,0))</f>
        <v>7000</v>
      </c>
      <c r="AA30" s="164">
        <f t="array" ref="AA30">INDEX(Assumptions!$E$94:$I$94,MATCH(YEAR(AA$3),Assumptions!$E$92:$I$92,0))</f>
        <v>7000</v>
      </c>
      <c r="AB30" s="164">
        <f t="array" ref="AB30">INDEX(Assumptions!$E$94:$I$94,MATCH(YEAR(AB$3),Assumptions!$E$92:$I$92,0))</f>
        <v>7000</v>
      </c>
      <c r="AC30" s="164">
        <f t="array" ref="AC30">INDEX(Assumptions!$E$94:$I$94,MATCH(YEAR(AC$3),Assumptions!$E$92:$I$92,0))</f>
        <v>7000</v>
      </c>
      <c r="AD30" s="164">
        <f t="array" ref="AD30">INDEX(Assumptions!$E$94:$I$94,MATCH(YEAR(AD$3),Assumptions!$E$92:$I$92,0))</f>
        <v>7000</v>
      </c>
      <c r="AE30" s="164">
        <f t="array" ref="AE30">INDEX(Assumptions!$E$94:$I$94,MATCH(YEAR(AE$3),Assumptions!$E$92:$I$92,0))</f>
        <v>9450</v>
      </c>
      <c r="AF30" s="164">
        <f t="array" ref="AF30">INDEX(Assumptions!$E$94:$I$94,MATCH(YEAR(AF$3),Assumptions!$E$92:$I$92,0))</f>
        <v>9450</v>
      </c>
      <c r="AG30" s="164">
        <f t="array" ref="AG30">INDEX(Assumptions!$E$94:$I$94,MATCH(YEAR(AG$3),Assumptions!$E$92:$I$92,0))</f>
        <v>9450</v>
      </c>
      <c r="AH30" s="164">
        <f t="array" ref="AH30">INDEX(Assumptions!$E$94:$I$94,MATCH(YEAR(AH$3),Assumptions!$E$92:$I$92,0))</f>
        <v>9450</v>
      </c>
      <c r="AI30" s="164">
        <f t="array" ref="AI30">INDEX(Assumptions!$E$94:$I$94,MATCH(YEAR(AI$3),Assumptions!$E$92:$I$92,0))</f>
        <v>9450</v>
      </c>
      <c r="AJ30" s="164">
        <f t="array" ref="AJ30">INDEX(Assumptions!$E$94:$I$94,MATCH(YEAR(AJ$3),Assumptions!$E$92:$I$92,0))</f>
        <v>9450</v>
      </c>
      <c r="AK30" s="164">
        <f t="array" ref="AK30">INDEX(Assumptions!$E$94:$I$94,MATCH(YEAR(AK$3),Assumptions!$E$92:$I$92,0))</f>
        <v>9450</v>
      </c>
      <c r="AL30" s="164">
        <f t="array" ref="AL30">INDEX(Assumptions!$E$94:$I$94,MATCH(YEAR(AL$3),Assumptions!$E$92:$I$92,0))</f>
        <v>9450</v>
      </c>
      <c r="AM30" s="164">
        <f t="array" ref="AM30">INDEX(Assumptions!$E$94:$I$94,MATCH(YEAR(AM$3),Assumptions!$E$92:$I$92,0))</f>
        <v>9450</v>
      </c>
      <c r="AN30" s="164">
        <f t="array" ref="AN30">INDEX(Assumptions!$E$94:$I$94,MATCH(YEAR(AN$3),Assumptions!$E$92:$I$92,0))</f>
        <v>9450</v>
      </c>
      <c r="AO30" s="164">
        <f t="array" ref="AO30">INDEX(Assumptions!$E$94:$I$94,MATCH(YEAR(AO$3),Assumptions!$E$92:$I$92,0))</f>
        <v>9450</v>
      </c>
      <c r="AP30" s="164">
        <f t="array" ref="AP30">INDEX(Assumptions!$E$94:$I$94,MATCH(YEAR(AP$3),Assumptions!$E$92:$I$92,0))</f>
        <v>9450</v>
      </c>
      <c r="AQ30" s="164">
        <f t="array" ref="AQ30">INDEX(Assumptions!$E$94:$I$94,MATCH(YEAR(AQ$3),Assumptions!$E$92:$I$92,0))</f>
        <v>12757.5</v>
      </c>
      <c r="AR30" s="164">
        <f t="array" ref="AR30">INDEX(Assumptions!$E$94:$I$94,MATCH(YEAR(AR$3),Assumptions!$E$92:$I$92,0))</f>
        <v>12757.5</v>
      </c>
      <c r="AS30" s="164">
        <f t="array" ref="AS30">INDEX(Assumptions!$E$94:$I$94,MATCH(YEAR(AS$3),Assumptions!$E$92:$I$92,0))</f>
        <v>12757.5</v>
      </c>
      <c r="AT30" s="164">
        <f t="array" ref="AT30">INDEX(Assumptions!$E$94:$I$94,MATCH(YEAR(AT$3),Assumptions!$E$92:$I$92,0))</f>
        <v>12757.5</v>
      </c>
      <c r="AU30" s="164">
        <f t="array" ref="AU30">INDEX(Assumptions!$E$94:$I$94,MATCH(YEAR(AU$3),Assumptions!$E$92:$I$92,0))</f>
        <v>12757.5</v>
      </c>
      <c r="AV30" s="164">
        <f t="array" ref="AV30">INDEX(Assumptions!$E$94:$I$94,MATCH(YEAR(AV$3),Assumptions!$E$92:$I$92,0))</f>
        <v>12757.5</v>
      </c>
      <c r="AW30" s="164">
        <f t="array" ref="AW30">INDEX(Assumptions!$E$94:$I$94,MATCH(YEAR(AW$3),Assumptions!$E$92:$I$92,0))</f>
        <v>12757.5</v>
      </c>
      <c r="AX30" s="164">
        <f t="array" ref="AX30">INDEX(Assumptions!$E$94:$I$94,MATCH(YEAR(AX$3),Assumptions!$E$92:$I$92,0))</f>
        <v>12757.5</v>
      </c>
      <c r="AY30" s="164">
        <f t="array" ref="AY30">INDEX(Assumptions!$E$94:$I$94,MATCH(YEAR(AY$3),Assumptions!$E$92:$I$92,0))</f>
        <v>12757.5</v>
      </c>
      <c r="AZ30" s="164">
        <f t="array" ref="AZ30">INDEX(Assumptions!$E$94:$I$94,MATCH(YEAR(AZ$3),Assumptions!$E$92:$I$92,0))</f>
        <v>12757.5</v>
      </c>
      <c r="BA30" s="164">
        <f t="array" ref="BA30">INDEX(Assumptions!$E$94:$I$94,MATCH(YEAR(BA$3),Assumptions!$E$92:$I$92,0))</f>
        <v>12757.5</v>
      </c>
      <c r="BB30" s="164">
        <f t="array" ref="BB30">INDEX(Assumptions!$E$94:$I$94,MATCH(YEAR(BB$3),Assumptions!$E$92:$I$92,0))</f>
        <v>12757.5</v>
      </c>
      <c r="BC30" s="163"/>
      <c r="BD30" s="164">
        <f t="shared" si="20"/>
        <v>84000</v>
      </c>
      <c r="BE30" s="164">
        <f t="shared" si="21"/>
        <v>84000</v>
      </c>
      <c r="BF30" s="164">
        <f t="shared" si="22"/>
        <v>113400</v>
      </c>
      <c r="BG30" s="164">
        <f t="shared" si="23"/>
        <v>153090</v>
      </c>
      <c r="BH30" s="258">
        <f>BG30*('Financial Statements'!$BE$7/'Financial Statements'!$BD$7)^0.2</f>
        <v>190708.9495</v>
      </c>
      <c r="BI30" s="163"/>
    </row>
    <row r="31" ht="15.75" customHeight="1">
      <c r="A31" s="37"/>
      <c r="B31" s="265" t="s">
        <v>142</v>
      </c>
      <c r="C31" s="30"/>
      <c r="D31" s="264" t="s">
        <v>198</v>
      </c>
      <c r="E31" s="242"/>
      <c r="F31" s="242"/>
      <c r="G31" s="164">
        <f>Assumptions!$E$96</f>
        <v>8000</v>
      </c>
      <c r="H31" s="164">
        <f>Assumptions!$E$96</f>
        <v>8000</v>
      </c>
      <c r="I31" s="164">
        <f>Assumptions!$E$96</f>
        <v>8000</v>
      </c>
      <c r="J31" s="164">
        <f>Assumptions!$E$96</f>
        <v>8000</v>
      </c>
      <c r="K31" s="164">
        <f>Assumptions!$E$96</f>
        <v>8000</v>
      </c>
      <c r="L31" s="164">
        <f>Assumptions!$E$96</f>
        <v>8000</v>
      </c>
      <c r="M31" s="164">
        <f>Assumptions!$E$96</f>
        <v>8000</v>
      </c>
      <c r="N31" s="164">
        <f>Assumptions!$E$96</f>
        <v>8000</v>
      </c>
      <c r="O31" s="164">
        <f>Assumptions!$E$96</f>
        <v>8000</v>
      </c>
      <c r="P31" s="164">
        <f>Assumptions!$E$96</f>
        <v>8000</v>
      </c>
      <c r="Q31" s="164">
        <f>Assumptions!$E$96</f>
        <v>8000</v>
      </c>
      <c r="R31" s="164">
        <f>Assumptions!$E$96</f>
        <v>8000</v>
      </c>
      <c r="S31" s="164">
        <f t="array" ref="S31">INDEX(Assumptions!$E$96:$I$96,MATCH(YEAR(S$3),Assumptions!$E$92:$I$92,0))</f>
        <v>8000</v>
      </c>
      <c r="T31" s="164">
        <f t="array" ref="T31">INDEX(Assumptions!$E$96:$I$96,MATCH(YEAR(T$3),Assumptions!$E$92:$I$92,0))</f>
        <v>8000</v>
      </c>
      <c r="U31" s="164">
        <f t="array" ref="U31">INDEX(Assumptions!$E$96:$I$96,MATCH(YEAR(U$3),Assumptions!$E$92:$I$92,0))</f>
        <v>8000</v>
      </c>
      <c r="V31" s="164">
        <f t="array" ref="V31">INDEX(Assumptions!$E$96:$I$96,MATCH(YEAR(V$3),Assumptions!$E$92:$I$92,0))</f>
        <v>8000</v>
      </c>
      <c r="W31" s="164">
        <f t="array" ref="W31">INDEX(Assumptions!$E$96:$I$96,MATCH(YEAR(W$3),Assumptions!$E$92:$I$92,0))</f>
        <v>8000</v>
      </c>
      <c r="X31" s="164">
        <f t="array" ref="X31">INDEX(Assumptions!$E$96:$I$96,MATCH(YEAR(X$3),Assumptions!$E$92:$I$92,0))</f>
        <v>8000</v>
      </c>
      <c r="Y31" s="164">
        <f t="array" ref="Y31">INDEX(Assumptions!$E$96:$I$96,MATCH(YEAR(Y$3),Assumptions!$E$92:$I$92,0))</f>
        <v>8000</v>
      </c>
      <c r="Z31" s="164">
        <f t="array" ref="Z31">INDEX(Assumptions!$E$96:$I$96,MATCH(YEAR(Z$3),Assumptions!$E$92:$I$92,0))</f>
        <v>8000</v>
      </c>
      <c r="AA31" s="164">
        <f t="array" ref="AA31">INDEX(Assumptions!$E$96:$I$96,MATCH(YEAR(AA$3),Assumptions!$E$92:$I$92,0))</f>
        <v>8000</v>
      </c>
      <c r="AB31" s="164">
        <f t="array" ref="AB31">INDEX(Assumptions!$E$96:$I$96,MATCH(YEAR(AB$3),Assumptions!$E$92:$I$92,0))</f>
        <v>8000</v>
      </c>
      <c r="AC31" s="164">
        <f t="array" ref="AC31">INDEX(Assumptions!$E$96:$I$96,MATCH(YEAR(AC$3),Assumptions!$E$92:$I$92,0))</f>
        <v>8000</v>
      </c>
      <c r="AD31" s="164">
        <f t="array" ref="AD31">INDEX(Assumptions!$E$96:$I$96,MATCH(YEAR(AD$3),Assumptions!$E$92:$I$92,0))</f>
        <v>8000</v>
      </c>
      <c r="AE31" s="164">
        <f t="array" ref="AE31">INDEX(Assumptions!$E$96:$I$96,MATCH(YEAR(AE$3),Assumptions!$E$92:$I$92,0))</f>
        <v>10800</v>
      </c>
      <c r="AF31" s="164">
        <f t="array" ref="AF31">INDEX(Assumptions!$E$96:$I$96,MATCH(YEAR(AF$3),Assumptions!$E$92:$I$92,0))</f>
        <v>10800</v>
      </c>
      <c r="AG31" s="164">
        <f t="array" ref="AG31">INDEX(Assumptions!$E$96:$I$96,MATCH(YEAR(AG$3),Assumptions!$E$92:$I$92,0))</f>
        <v>10800</v>
      </c>
      <c r="AH31" s="164">
        <f t="array" ref="AH31">INDEX(Assumptions!$E$96:$I$96,MATCH(YEAR(AH$3),Assumptions!$E$92:$I$92,0))</f>
        <v>10800</v>
      </c>
      <c r="AI31" s="164">
        <f t="array" ref="AI31">INDEX(Assumptions!$E$96:$I$96,MATCH(YEAR(AI$3),Assumptions!$E$92:$I$92,0))</f>
        <v>10800</v>
      </c>
      <c r="AJ31" s="164">
        <f t="array" ref="AJ31">INDEX(Assumptions!$E$96:$I$96,MATCH(YEAR(AJ$3),Assumptions!$E$92:$I$92,0))</f>
        <v>10800</v>
      </c>
      <c r="AK31" s="164">
        <f t="array" ref="AK31">INDEX(Assumptions!$E$96:$I$96,MATCH(YEAR(AK$3),Assumptions!$E$92:$I$92,0))</f>
        <v>10800</v>
      </c>
      <c r="AL31" s="164">
        <f t="array" ref="AL31">INDEX(Assumptions!$E$96:$I$96,MATCH(YEAR(AL$3),Assumptions!$E$92:$I$92,0))</f>
        <v>10800</v>
      </c>
      <c r="AM31" s="164">
        <f t="array" ref="AM31">INDEX(Assumptions!$E$96:$I$96,MATCH(YEAR(AM$3),Assumptions!$E$92:$I$92,0))</f>
        <v>10800</v>
      </c>
      <c r="AN31" s="164">
        <f t="array" ref="AN31">INDEX(Assumptions!$E$96:$I$96,MATCH(YEAR(AN$3),Assumptions!$E$92:$I$92,0))</f>
        <v>10800</v>
      </c>
      <c r="AO31" s="164">
        <f t="array" ref="AO31">INDEX(Assumptions!$E$96:$I$96,MATCH(YEAR(AO$3),Assumptions!$E$92:$I$92,0))</f>
        <v>10800</v>
      </c>
      <c r="AP31" s="164">
        <f t="array" ref="AP31">INDEX(Assumptions!$E$96:$I$96,MATCH(YEAR(AP$3),Assumptions!$E$92:$I$92,0))</f>
        <v>10800</v>
      </c>
      <c r="AQ31" s="164">
        <f t="array" ref="AQ31">INDEX(Assumptions!$E$96:$I$96,MATCH(YEAR(AQ$3),Assumptions!$E$92:$I$92,0))</f>
        <v>14580</v>
      </c>
      <c r="AR31" s="164">
        <f t="array" ref="AR31">INDEX(Assumptions!$E$96:$I$96,MATCH(YEAR(AR$3),Assumptions!$E$92:$I$92,0))</f>
        <v>14580</v>
      </c>
      <c r="AS31" s="164">
        <f t="array" ref="AS31">INDEX(Assumptions!$E$96:$I$96,MATCH(YEAR(AS$3),Assumptions!$E$92:$I$92,0))</f>
        <v>14580</v>
      </c>
      <c r="AT31" s="164">
        <f t="array" ref="AT31">INDEX(Assumptions!$E$96:$I$96,MATCH(YEAR(AT$3),Assumptions!$E$92:$I$92,0))</f>
        <v>14580</v>
      </c>
      <c r="AU31" s="164">
        <f t="array" ref="AU31">INDEX(Assumptions!$E$96:$I$96,MATCH(YEAR(AU$3),Assumptions!$E$92:$I$92,0))</f>
        <v>14580</v>
      </c>
      <c r="AV31" s="164">
        <f t="array" ref="AV31">INDEX(Assumptions!$E$96:$I$96,MATCH(YEAR(AV$3),Assumptions!$E$92:$I$92,0))</f>
        <v>14580</v>
      </c>
      <c r="AW31" s="164">
        <f t="array" ref="AW31">INDEX(Assumptions!$E$96:$I$96,MATCH(YEAR(AW$3),Assumptions!$E$92:$I$92,0))</f>
        <v>14580</v>
      </c>
      <c r="AX31" s="164">
        <f t="array" ref="AX31">INDEX(Assumptions!$E$96:$I$96,MATCH(YEAR(AX$3),Assumptions!$E$92:$I$92,0))</f>
        <v>14580</v>
      </c>
      <c r="AY31" s="164">
        <f t="array" ref="AY31">INDEX(Assumptions!$E$96:$I$96,MATCH(YEAR(AY$3),Assumptions!$E$92:$I$92,0))</f>
        <v>14580</v>
      </c>
      <c r="AZ31" s="164">
        <f t="array" ref="AZ31">INDEX(Assumptions!$E$96:$I$96,MATCH(YEAR(AZ$3),Assumptions!$E$92:$I$92,0))</f>
        <v>14580</v>
      </c>
      <c r="BA31" s="164">
        <f t="array" ref="BA31">INDEX(Assumptions!$E$96:$I$96,MATCH(YEAR(BA$3),Assumptions!$E$92:$I$92,0))</f>
        <v>14580</v>
      </c>
      <c r="BB31" s="164">
        <f t="array" ref="BB31">INDEX(Assumptions!$E$96:$I$96,MATCH(YEAR(BB$3),Assumptions!$E$92:$I$92,0))</f>
        <v>14580</v>
      </c>
      <c r="BC31" s="163"/>
      <c r="BD31" s="164">
        <f t="shared" si="20"/>
        <v>96000</v>
      </c>
      <c r="BE31" s="164">
        <f t="shared" si="21"/>
        <v>96000</v>
      </c>
      <c r="BF31" s="164">
        <f t="shared" si="22"/>
        <v>129600</v>
      </c>
      <c r="BG31" s="164">
        <f t="shared" si="23"/>
        <v>174960</v>
      </c>
      <c r="BH31" s="258">
        <f>BG31*('Financial Statements'!$BE$7/'Financial Statements'!$BD$7)^0.2</f>
        <v>217953.0852</v>
      </c>
      <c r="BI31" s="163"/>
    </row>
    <row r="32" ht="12.75" customHeight="1">
      <c r="A32" s="249"/>
      <c r="B32" s="234" t="s">
        <v>308</v>
      </c>
      <c r="C32" s="267"/>
      <c r="D32" s="268"/>
      <c r="E32" s="269"/>
      <c r="F32" s="269"/>
      <c r="G32" s="193"/>
      <c r="H32" s="193"/>
      <c r="I32" s="193"/>
      <c r="J32" s="193"/>
      <c r="K32" s="193"/>
      <c r="L32" s="193"/>
      <c r="M32" s="193"/>
      <c r="N32" s="193"/>
      <c r="O32" s="193"/>
      <c r="P32" s="193"/>
      <c r="Q32" s="193"/>
      <c r="R32" s="193"/>
      <c r="S32" s="193">
        <f t="shared" ref="S32:BB32" si="24">sum(S29:S31)</f>
        <v>20000</v>
      </c>
      <c r="T32" s="193">
        <f t="shared" si="24"/>
        <v>20000</v>
      </c>
      <c r="U32" s="193">
        <f t="shared" si="24"/>
        <v>20000</v>
      </c>
      <c r="V32" s="193">
        <f t="shared" si="24"/>
        <v>20000</v>
      </c>
      <c r="W32" s="193">
        <f t="shared" si="24"/>
        <v>20000</v>
      </c>
      <c r="X32" s="193">
        <f t="shared" si="24"/>
        <v>20000</v>
      </c>
      <c r="Y32" s="193">
        <f t="shared" si="24"/>
        <v>20000</v>
      </c>
      <c r="Z32" s="193">
        <f t="shared" si="24"/>
        <v>20000</v>
      </c>
      <c r="AA32" s="193">
        <f t="shared" si="24"/>
        <v>20000</v>
      </c>
      <c r="AB32" s="193">
        <f t="shared" si="24"/>
        <v>20000</v>
      </c>
      <c r="AC32" s="193">
        <f t="shared" si="24"/>
        <v>20000</v>
      </c>
      <c r="AD32" s="193">
        <f t="shared" si="24"/>
        <v>20000</v>
      </c>
      <c r="AE32" s="193">
        <f t="shared" si="24"/>
        <v>27000</v>
      </c>
      <c r="AF32" s="193">
        <f t="shared" si="24"/>
        <v>27000</v>
      </c>
      <c r="AG32" s="193">
        <f t="shared" si="24"/>
        <v>27000</v>
      </c>
      <c r="AH32" s="193">
        <f t="shared" si="24"/>
        <v>27000</v>
      </c>
      <c r="AI32" s="193">
        <f t="shared" si="24"/>
        <v>27000</v>
      </c>
      <c r="AJ32" s="193">
        <f t="shared" si="24"/>
        <v>27000</v>
      </c>
      <c r="AK32" s="193">
        <f t="shared" si="24"/>
        <v>27000</v>
      </c>
      <c r="AL32" s="193">
        <f t="shared" si="24"/>
        <v>27000</v>
      </c>
      <c r="AM32" s="193">
        <f t="shared" si="24"/>
        <v>27000</v>
      </c>
      <c r="AN32" s="193">
        <f t="shared" si="24"/>
        <v>27000</v>
      </c>
      <c r="AO32" s="193">
        <f t="shared" si="24"/>
        <v>27000</v>
      </c>
      <c r="AP32" s="193">
        <f t="shared" si="24"/>
        <v>27000</v>
      </c>
      <c r="AQ32" s="193">
        <f t="shared" si="24"/>
        <v>36450</v>
      </c>
      <c r="AR32" s="193">
        <f t="shared" si="24"/>
        <v>36450</v>
      </c>
      <c r="AS32" s="193">
        <f t="shared" si="24"/>
        <v>36450</v>
      </c>
      <c r="AT32" s="193">
        <f t="shared" si="24"/>
        <v>36450</v>
      </c>
      <c r="AU32" s="193">
        <f t="shared" si="24"/>
        <v>36450</v>
      </c>
      <c r="AV32" s="193">
        <f t="shared" si="24"/>
        <v>36450</v>
      </c>
      <c r="AW32" s="193">
        <f t="shared" si="24"/>
        <v>36450</v>
      </c>
      <c r="AX32" s="193">
        <f t="shared" si="24"/>
        <v>36450</v>
      </c>
      <c r="AY32" s="193">
        <f t="shared" si="24"/>
        <v>36450</v>
      </c>
      <c r="AZ32" s="193">
        <f t="shared" si="24"/>
        <v>36450</v>
      </c>
      <c r="BA32" s="193">
        <f t="shared" si="24"/>
        <v>36450</v>
      </c>
      <c r="BB32" s="193">
        <f t="shared" si="24"/>
        <v>36450</v>
      </c>
      <c r="BC32" s="163"/>
      <c r="BD32" s="193">
        <f t="shared" si="20"/>
        <v>0</v>
      </c>
      <c r="BE32" s="193">
        <f t="shared" si="21"/>
        <v>240000</v>
      </c>
      <c r="BF32" s="193">
        <f t="shared" si="22"/>
        <v>324000</v>
      </c>
      <c r="BG32" s="193">
        <f t="shared" si="23"/>
        <v>437400</v>
      </c>
      <c r="BH32" s="193">
        <f>sum(BH29:BH31)</f>
        <v>544882.713</v>
      </c>
      <c r="BI32" s="163"/>
    </row>
    <row r="33" ht="15.75" customHeight="1">
      <c r="A33" s="37"/>
      <c r="B33" s="30"/>
      <c r="C33" s="30"/>
      <c r="D33" s="84"/>
      <c r="E33" s="30"/>
      <c r="F33" s="30"/>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c r="BI33" s="163"/>
    </row>
    <row r="34" ht="15.75" customHeight="1">
      <c r="A34" s="270"/>
      <c r="B34" s="142" t="s">
        <v>309</v>
      </c>
      <c r="C34" s="241"/>
      <c r="D34" s="271" t="s">
        <v>198</v>
      </c>
      <c r="E34" s="241"/>
      <c r="F34" s="241"/>
      <c r="G34" s="174">
        <f t="shared" ref="G34:BB34" si="25">G32+G26+G19</f>
        <v>0</v>
      </c>
      <c r="H34" s="174">
        <f t="shared" si="25"/>
        <v>0</v>
      </c>
      <c r="I34" s="174">
        <f t="shared" si="25"/>
        <v>0</v>
      </c>
      <c r="J34" s="174">
        <f t="shared" si="25"/>
        <v>0</v>
      </c>
      <c r="K34" s="174">
        <f t="shared" si="25"/>
        <v>0</v>
      </c>
      <c r="L34" s="174">
        <f t="shared" si="25"/>
        <v>0</v>
      </c>
      <c r="M34" s="174">
        <f t="shared" si="25"/>
        <v>0</v>
      </c>
      <c r="N34" s="174">
        <f t="shared" si="25"/>
        <v>0</v>
      </c>
      <c r="O34" s="174">
        <f t="shared" si="25"/>
        <v>0</v>
      </c>
      <c r="P34" s="174">
        <f t="shared" si="25"/>
        <v>0</v>
      </c>
      <c r="Q34" s="174">
        <f t="shared" si="25"/>
        <v>0</v>
      </c>
      <c r="R34" s="174">
        <f t="shared" si="25"/>
        <v>188933</v>
      </c>
      <c r="S34" s="174">
        <f t="shared" si="25"/>
        <v>66000</v>
      </c>
      <c r="T34" s="174">
        <f t="shared" si="25"/>
        <v>66000</v>
      </c>
      <c r="U34" s="174">
        <f t="shared" si="25"/>
        <v>66000</v>
      </c>
      <c r="V34" s="174">
        <f t="shared" si="25"/>
        <v>66000</v>
      </c>
      <c r="W34" s="174">
        <f t="shared" si="25"/>
        <v>76000</v>
      </c>
      <c r="X34" s="174">
        <f t="shared" si="25"/>
        <v>76000</v>
      </c>
      <c r="Y34" s="174">
        <f t="shared" si="25"/>
        <v>66000</v>
      </c>
      <c r="Z34" s="174">
        <f t="shared" si="25"/>
        <v>66000</v>
      </c>
      <c r="AA34" s="174">
        <f t="shared" si="25"/>
        <v>66000</v>
      </c>
      <c r="AB34" s="174">
        <f t="shared" si="25"/>
        <v>169000</v>
      </c>
      <c r="AC34" s="174">
        <f t="shared" si="25"/>
        <v>114000</v>
      </c>
      <c r="AD34" s="174">
        <f t="shared" si="25"/>
        <v>69000</v>
      </c>
      <c r="AE34" s="174">
        <f t="shared" si="25"/>
        <v>106050</v>
      </c>
      <c r="AF34" s="174">
        <f t="shared" si="25"/>
        <v>109250</v>
      </c>
      <c r="AG34" s="174">
        <f t="shared" si="25"/>
        <v>111650</v>
      </c>
      <c r="AH34" s="174">
        <f t="shared" si="25"/>
        <v>114850</v>
      </c>
      <c r="AI34" s="174">
        <f t="shared" si="25"/>
        <v>118850</v>
      </c>
      <c r="AJ34" s="174">
        <f t="shared" si="25"/>
        <v>122050</v>
      </c>
      <c r="AK34" s="174">
        <f t="shared" si="25"/>
        <v>126050</v>
      </c>
      <c r="AL34" s="174">
        <f t="shared" si="25"/>
        <v>130050</v>
      </c>
      <c r="AM34" s="174">
        <f t="shared" si="25"/>
        <v>135650</v>
      </c>
      <c r="AN34" s="174">
        <f t="shared" si="25"/>
        <v>141250</v>
      </c>
      <c r="AO34" s="174">
        <f t="shared" si="25"/>
        <v>140130</v>
      </c>
      <c r="AP34" s="174">
        <f t="shared" si="25"/>
        <v>145890</v>
      </c>
      <c r="AQ34" s="174">
        <f t="shared" si="25"/>
        <v>180247.5</v>
      </c>
      <c r="AR34" s="174">
        <f t="shared" si="25"/>
        <v>186727.5</v>
      </c>
      <c r="AS34" s="174">
        <f t="shared" si="25"/>
        <v>194647.5</v>
      </c>
      <c r="AT34" s="174">
        <f t="shared" si="25"/>
        <v>193711.5</v>
      </c>
      <c r="AU34" s="174">
        <f t="shared" si="25"/>
        <v>201487.5</v>
      </c>
      <c r="AV34" s="174">
        <f t="shared" si="25"/>
        <v>210559.5</v>
      </c>
      <c r="AW34" s="174">
        <f t="shared" si="25"/>
        <v>220927.5</v>
      </c>
      <c r="AX34" s="174">
        <f t="shared" si="25"/>
        <v>231295.5</v>
      </c>
      <c r="AY34" s="174">
        <f t="shared" si="25"/>
        <v>243607.5</v>
      </c>
      <c r="AZ34" s="174">
        <f t="shared" si="25"/>
        <v>241080.3</v>
      </c>
      <c r="BA34" s="174">
        <f t="shared" si="25"/>
        <v>254493.9</v>
      </c>
      <c r="BB34" s="174">
        <f t="shared" si="25"/>
        <v>267324.3</v>
      </c>
      <c r="BC34" s="222"/>
      <c r="BD34" s="174">
        <f>SUM(G34:R34)</f>
        <v>188933</v>
      </c>
      <c r="BE34" s="174">
        <f>SUM(S34:AD34)</f>
        <v>966000</v>
      </c>
      <c r="BF34" s="174">
        <f>SUM(AE34:AP34)</f>
        <v>1501720</v>
      </c>
      <c r="BG34" s="174">
        <f>SUM(AQ34:BB34)</f>
        <v>2626110</v>
      </c>
      <c r="BH34" s="174">
        <f>BH32+BH26+BH19</f>
        <v>4373113.597</v>
      </c>
      <c r="BI34" s="222"/>
    </row>
    <row r="35" ht="15.75" customHeight="1">
      <c r="A35" s="38"/>
      <c r="B35" s="272"/>
      <c r="C35" s="38"/>
      <c r="D35" s="273"/>
      <c r="E35" s="274"/>
      <c r="F35" s="274"/>
      <c r="G35" s="275"/>
      <c r="H35" s="275"/>
      <c r="I35" s="275"/>
      <c r="J35" s="275"/>
      <c r="K35" s="275"/>
      <c r="L35" s="275"/>
      <c r="M35" s="275"/>
      <c r="N35" s="275"/>
      <c r="O35" s="275"/>
      <c r="P35" s="275"/>
      <c r="Q35" s="275"/>
      <c r="R35" s="275"/>
      <c r="S35" s="275"/>
      <c r="T35" s="275"/>
      <c r="U35" s="275"/>
      <c r="V35" s="275"/>
      <c r="W35" s="275"/>
      <c r="X35" s="275"/>
      <c r="Y35" s="275"/>
      <c r="Z35" s="275"/>
      <c r="AA35" s="275"/>
      <c r="AB35" s="275"/>
      <c r="AC35" s="275"/>
      <c r="AD35" s="275"/>
      <c r="AE35" s="275"/>
      <c r="AF35" s="275"/>
      <c r="AG35" s="275"/>
      <c r="AH35" s="275"/>
      <c r="AI35" s="275"/>
      <c r="AJ35" s="275"/>
      <c r="AK35" s="275"/>
      <c r="AL35" s="275"/>
      <c r="AM35" s="275"/>
      <c r="AN35" s="275"/>
      <c r="AO35" s="275"/>
      <c r="AP35" s="275"/>
      <c r="AQ35" s="275"/>
      <c r="AR35" s="275"/>
      <c r="AS35" s="275"/>
      <c r="AT35" s="275"/>
      <c r="AU35" s="275"/>
      <c r="AV35" s="275"/>
      <c r="AW35" s="275"/>
      <c r="AX35" s="275"/>
      <c r="AY35" s="275"/>
      <c r="AZ35" s="275"/>
      <c r="BA35" s="275"/>
      <c r="BB35" s="275"/>
      <c r="BC35" s="222"/>
      <c r="BD35" s="275"/>
      <c r="BE35" s="275"/>
      <c r="BF35" s="275"/>
      <c r="BG35" s="275"/>
      <c r="BH35" s="275"/>
      <c r="BI35" s="222"/>
    </row>
    <row r="36" ht="15.75" customHeight="1">
      <c r="A36" s="270"/>
      <c r="B36" s="142" t="s">
        <v>310</v>
      </c>
      <c r="C36" s="241"/>
      <c r="D36" s="271" t="s">
        <v>198</v>
      </c>
      <c r="E36" s="241"/>
      <c r="F36" s="241"/>
      <c r="G36" s="174">
        <f t="shared" ref="G36:BB36" si="26">G34+G9</f>
        <v>0</v>
      </c>
      <c r="H36" s="174">
        <f t="shared" si="26"/>
        <v>0</v>
      </c>
      <c r="I36" s="174">
        <f t="shared" si="26"/>
        <v>0</v>
      </c>
      <c r="J36" s="174">
        <f t="shared" si="26"/>
        <v>0</v>
      </c>
      <c r="K36" s="174">
        <f t="shared" si="26"/>
        <v>0</v>
      </c>
      <c r="L36" s="174">
        <f t="shared" si="26"/>
        <v>0</v>
      </c>
      <c r="M36" s="174">
        <f t="shared" si="26"/>
        <v>0</v>
      </c>
      <c r="N36" s="174">
        <f t="shared" si="26"/>
        <v>0</v>
      </c>
      <c r="O36" s="174">
        <f t="shared" si="26"/>
        <v>59000</v>
      </c>
      <c r="P36" s="174">
        <f t="shared" si="26"/>
        <v>59000</v>
      </c>
      <c r="Q36" s="174">
        <f t="shared" si="26"/>
        <v>59000</v>
      </c>
      <c r="R36" s="174">
        <f t="shared" si="26"/>
        <v>247933</v>
      </c>
      <c r="S36" s="174">
        <f t="shared" si="26"/>
        <v>128520</v>
      </c>
      <c r="T36" s="174">
        <f t="shared" si="26"/>
        <v>139320</v>
      </c>
      <c r="U36" s="174">
        <f t="shared" si="26"/>
        <v>139320</v>
      </c>
      <c r="V36" s="174">
        <f t="shared" si="26"/>
        <v>139320</v>
      </c>
      <c r="W36" s="174">
        <f t="shared" si="26"/>
        <v>149320</v>
      </c>
      <c r="X36" s="174">
        <f t="shared" si="26"/>
        <v>149320</v>
      </c>
      <c r="Y36" s="174">
        <f t="shared" si="26"/>
        <v>139320</v>
      </c>
      <c r="Z36" s="174">
        <f t="shared" si="26"/>
        <v>163320</v>
      </c>
      <c r="AA36" s="174">
        <f t="shared" si="26"/>
        <v>172240</v>
      </c>
      <c r="AB36" s="174">
        <f t="shared" si="26"/>
        <v>295840</v>
      </c>
      <c r="AC36" s="174">
        <f t="shared" si="26"/>
        <v>240840</v>
      </c>
      <c r="AD36" s="174">
        <f t="shared" si="26"/>
        <v>195840</v>
      </c>
      <c r="AE36" s="174">
        <f t="shared" si="26"/>
        <v>270697.2</v>
      </c>
      <c r="AF36" s="174">
        <f t="shared" si="26"/>
        <v>273897.2</v>
      </c>
      <c r="AG36" s="174">
        <f t="shared" si="26"/>
        <v>276297.2</v>
      </c>
      <c r="AH36" s="174">
        <f t="shared" si="26"/>
        <v>279497.2</v>
      </c>
      <c r="AI36" s="174">
        <f t="shared" si="26"/>
        <v>283497.2</v>
      </c>
      <c r="AJ36" s="174">
        <f t="shared" si="26"/>
        <v>315697.2</v>
      </c>
      <c r="AK36" s="174">
        <f t="shared" si="26"/>
        <v>319697.2</v>
      </c>
      <c r="AL36" s="174">
        <f t="shared" si="26"/>
        <v>325617.2</v>
      </c>
      <c r="AM36" s="174">
        <f t="shared" si="26"/>
        <v>331217.2</v>
      </c>
      <c r="AN36" s="174">
        <f t="shared" si="26"/>
        <v>338737.2</v>
      </c>
      <c r="AO36" s="174">
        <f t="shared" si="26"/>
        <v>337617.2</v>
      </c>
      <c r="AP36" s="174">
        <f t="shared" si="26"/>
        <v>343377.2</v>
      </c>
      <c r="AQ36" s="174">
        <f t="shared" si="26"/>
        <v>409566.476</v>
      </c>
      <c r="AR36" s="174">
        <f t="shared" si="26"/>
        <v>416046.476</v>
      </c>
      <c r="AS36" s="174">
        <f t="shared" si="26"/>
        <v>423966.476</v>
      </c>
      <c r="AT36" s="174">
        <f t="shared" si="26"/>
        <v>423030.476</v>
      </c>
      <c r="AU36" s="174">
        <f t="shared" si="26"/>
        <v>430806.476</v>
      </c>
      <c r="AV36" s="174">
        <f t="shared" si="26"/>
        <v>442198.476</v>
      </c>
      <c r="AW36" s="174">
        <f t="shared" si="26"/>
        <v>476066.476</v>
      </c>
      <c r="AX36" s="174">
        <f t="shared" si="26"/>
        <v>488508.076</v>
      </c>
      <c r="AY36" s="174">
        <f t="shared" si="26"/>
        <v>500820.076</v>
      </c>
      <c r="AZ36" s="174">
        <f t="shared" si="26"/>
        <v>521366.476</v>
      </c>
      <c r="BA36" s="174">
        <f t="shared" si="26"/>
        <v>541280.076</v>
      </c>
      <c r="BB36" s="174">
        <f t="shared" si="26"/>
        <v>554110.476</v>
      </c>
      <c r="BC36" s="222"/>
      <c r="BD36" s="174">
        <f>SUM(G36:R36)</f>
        <v>424933</v>
      </c>
      <c r="BE36" s="174">
        <f>SUM(S36:AD36)</f>
        <v>2052520</v>
      </c>
      <c r="BF36" s="174">
        <f>SUM(AE36:AP36)</f>
        <v>3695846.4</v>
      </c>
      <c r="BG36" s="174">
        <f>SUM(AQ36:BB36)</f>
        <v>5627766.512</v>
      </c>
      <c r="BH36" s="174">
        <f>BH34+BH9</f>
        <v>8804302.63</v>
      </c>
      <c r="BI36" s="222"/>
    </row>
    <row r="37" ht="15.75" customHeight="1">
      <c r="A37" s="92"/>
      <c r="B37" s="61"/>
      <c r="C37" s="61"/>
      <c r="D37" s="89"/>
      <c r="E37" s="61"/>
      <c r="F37" s="61"/>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row>
    <row r="38" ht="15.75" customHeight="1">
      <c r="A38" s="270"/>
      <c r="B38" s="142" t="s">
        <v>302</v>
      </c>
      <c r="C38" s="241"/>
      <c r="D38" s="271" t="s">
        <v>198</v>
      </c>
      <c r="E38" s="241"/>
      <c r="F38" s="241"/>
      <c r="G38" s="174">
        <f t="shared" ref="G38:BB38" si="27">G19+G6</f>
        <v>0</v>
      </c>
      <c r="H38" s="174">
        <f t="shared" si="27"/>
        <v>0</v>
      </c>
      <c r="I38" s="174">
        <f t="shared" si="27"/>
        <v>0</v>
      </c>
      <c r="J38" s="174">
        <f t="shared" si="27"/>
        <v>0</v>
      </c>
      <c r="K38" s="174">
        <f t="shared" si="27"/>
        <v>0</v>
      </c>
      <c r="L38" s="174">
        <f t="shared" si="27"/>
        <v>0</v>
      </c>
      <c r="M38" s="174">
        <f t="shared" si="27"/>
        <v>0</v>
      </c>
      <c r="N38" s="174">
        <f t="shared" si="27"/>
        <v>0</v>
      </c>
      <c r="O38" s="174">
        <f t="shared" si="27"/>
        <v>47500</v>
      </c>
      <c r="P38" s="174">
        <f t="shared" si="27"/>
        <v>47500</v>
      </c>
      <c r="Q38" s="174">
        <f t="shared" si="27"/>
        <v>47500</v>
      </c>
      <c r="R38" s="174">
        <f t="shared" si="27"/>
        <v>216433</v>
      </c>
      <c r="S38" s="174">
        <f t="shared" si="27"/>
        <v>75700</v>
      </c>
      <c r="T38" s="174">
        <f t="shared" si="27"/>
        <v>75700</v>
      </c>
      <c r="U38" s="174">
        <f t="shared" si="27"/>
        <v>75700</v>
      </c>
      <c r="V38" s="174">
        <f t="shared" si="27"/>
        <v>75700</v>
      </c>
      <c r="W38" s="174">
        <f t="shared" si="27"/>
        <v>75700</v>
      </c>
      <c r="X38" s="174">
        <f t="shared" si="27"/>
        <v>75700</v>
      </c>
      <c r="Y38" s="174">
        <f t="shared" si="27"/>
        <v>75700</v>
      </c>
      <c r="Z38" s="174">
        <f t="shared" si="27"/>
        <v>81700</v>
      </c>
      <c r="AA38" s="174">
        <f t="shared" si="27"/>
        <v>85700</v>
      </c>
      <c r="AB38" s="174">
        <f t="shared" si="27"/>
        <v>194620</v>
      </c>
      <c r="AC38" s="174">
        <f t="shared" si="27"/>
        <v>139620</v>
      </c>
      <c r="AD38" s="174">
        <f t="shared" si="27"/>
        <v>94620</v>
      </c>
      <c r="AE38" s="174">
        <f t="shared" si="27"/>
        <v>128319.6</v>
      </c>
      <c r="AF38" s="174">
        <f t="shared" si="27"/>
        <v>128319.6</v>
      </c>
      <c r="AG38" s="174">
        <f t="shared" si="27"/>
        <v>128319.6</v>
      </c>
      <c r="AH38" s="174">
        <f t="shared" si="27"/>
        <v>128319.6</v>
      </c>
      <c r="AI38" s="174">
        <f t="shared" si="27"/>
        <v>128319.6</v>
      </c>
      <c r="AJ38" s="174">
        <f t="shared" si="27"/>
        <v>134819.6</v>
      </c>
      <c r="AK38" s="174">
        <f t="shared" si="27"/>
        <v>134819.6</v>
      </c>
      <c r="AL38" s="174">
        <f t="shared" si="27"/>
        <v>135299.6</v>
      </c>
      <c r="AM38" s="174">
        <f t="shared" si="27"/>
        <v>135299.6</v>
      </c>
      <c r="AN38" s="174">
        <f t="shared" si="27"/>
        <v>135939.6</v>
      </c>
      <c r="AO38" s="174">
        <f t="shared" si="27"/>
        <v>135939.6</v>
      </c>
      <c r="AP38" s="174">
        <f t="shared" si="27"/>
        <v>135939.6</v>
      </c>
      <c r="AQ38" s="174">
        <f t="shared" si="27"/>
        <v>154197.668</v>
      </c>
      <c r="AR38" s="174">
        <f t="shared" si="27"/>
        <v>154197.668</v>
      </c>
      <c r="AS38" s="174">
        <f t="shared" si="27"/>
        <v>154197.668</v>
      </c>
      <c r="AT38" s="174">
        <f t="shared" si="27"/>
        <v>154197.668</v>
      </c>
      <c r="AU38" s="174">
        <f t="shared" si="27"/>
        <v>154197.668</v>
      </c>
      <c r="AV38" s="174">
        <f t="shared" si="27"/>
        <v>154717.668</v>
      </c>
      <c r="AW38" s="174">
        <f t="shared" si="27"/>
        <v>154717.668</v>
      </c>
      <c r="AX38" s="174">
        <f t="shared" si="27"/>
        <v>155236.068</v>
      </c>
      <c r="AY38" s="174">
        <f t="shared" si="27"/>
        <v>155236.068</v>
      </c>
      <c r="AZ38" s="174">
        <f t="shared" si="27"/>
        <v>155927.268</v>
      </c>
      <c r="BA38" s="174">
        <f t="shared" si="27"/>
        <v>155927.268</v>
      </c>
      <c r="BB38" s="174">
        <f t="shared" si="27"/>
        <v>155927.268</v>
      </c>
      <c r="BC38" s="222"/>
      <c r="BD38" s="174">
        <f t="shared" ref="BD38:BH38" si="28">BD19+BD6</f>
        <v>358933</v>
      </c>
      <c r="BE38" s="174">
        <f t="shared" si="28"/>
        <v>1126160</v>
      </c>
      <c r="BF38" s="174">
        <f t="shared" si="28"/>
        <v>1589655.2</v>
      </c>
      <c r="BG38" s="174">
        <f t="shared" si="28"/>
        <v>1858677.616</v>
      </c>
      <c r="BH38" s="174">
        <f t="shared" si="28"/>
        <v>2628853.393</v>
      </c>
      <c r="BI38" s="222"/>
    </row>
    <row r="39" ht="15.75" customHeight="1">
      <c r="A39" s="270"/>
      <c r="B39" s="142" t="s">
        <v>306</v>
      </c>
      <c r="C39" s="241"/>
      <c r="D39" s="271" t="s">
        <v>198</v>
      </c>
      <c r="E39" s="241"/>
      <c r="F39" s="241"/>
      <c r="G39" s="174">
        <f t="shared" ref="G39:BB39" si="29">G26+G7</f>
        <v>0</v>
      </c>
      <c r="H39" s="174">
        <f t="shared" si="29"/>
        <v>0</v>
      </c>
      <c r="I39" s="174">
        <f t="shared" si="29"/>
        <v>0</v>
      </c>
      <c r="J39" s="174">
        <f t="shared" si="29"/>
        <v>0</v>
      </c>
      <c r="K39" s="174">
        <f t="shared" si="29"/>
        <v>0</v>
      </c>
      <c r="L39" s="174">
        <f t="shared" si="29"/>
        <v>0</v>
      </c>
      <c r="M39" s="174">
        <f t="shared" si="29"/>
        <v>0</v>
      </c>
      <c r="N39" s="174">
        <f t="shared" si="29"/>
        <v>0</v>
      </c>
      <c r="O39" s="174">
        <f t="shared" si="29"/>
        <v>0</v>
      </c>
      <c r="P39" s="174">
        <f t="shared" si="29"/>
        <v>0</v>
      </c>
      <c r="Q39" s="174">
        <f t="shared" si="29"/>
        <v>0</v>
      </c>
      <c r="R39" s="174">
        <f t="shared" si="29"/>
        <v>20000</v>
      </c>
      <c r="S39" s="174">
        <f t="shared" si="29"/>
        <v>21000</v>
      </c>
      <c r="T39" s="174">
        <f t="shared" si="29"/>
        <v>31800</v>
      </c>
      <c r="U39" s="174">
        <f t="shared" si="29"/>
        <v>31800</v>
      </c>
      <c r="V39" s="174">
        <f t="shared" si="29"/>
        <v>31800</v>
      </c>
      <c r="W39" s="174">
        <f t="shared" si="29"/>
        <v>41800</v>
      </c>
      <c r="X39" s="174">
        <f t="shared" si="29"/>
        <v>41800</v>
      </c>
      <c r="Y39" s="174">
        <f t="shared" si="29"/>
        <v>31800</v>
      </c>
      <c r="Z39" s="174">
        <f t="shared" si="29"/>
        <v>40800</v>
      </c>
      <c r="AA39" s="174">
        <f t="shared" si="29"/>
        <v>40800</v>
      </c>
      <c r="AB39" s="174">
        <f t="shared" si="29"/>
        <v>50300</v>
      </c>
      <c r="AC39" s="174">
        <f t="shared" si="29"/>
        <v>50300</v>
      </c>
      <c r="AD39" s="174">
        <f t="shared" si="29"/>
        <v>50300</v>
      </c>
      <c r="AE39" s="174">
        <f t="shared" si="29"/>
        <v>72464</v>
      </c>
      <c r="AF39" s="174">
        <f t="shared" si="29"/>
        <v>75664</v>
      </c>
      <c r="AG39" s="174">
        <f t="shared" si="29"/>
        <v>78064</v>
      </c>
      <c r="AH39" s="174">
        <f t="shared" si="29"/>
        <v>81264</v>
      </c>
      <c r="AI39" s="174">
        <f t="shared" si="29"/>
        <v>85264</v>
      </c>
      <c r="AJ39" s="174">
        <f t="shared" si="29"/>
        <v>110964</v>
      </c>
      <c r="AK39" s="174">
        <f t="shared" si="29"/>
        <v>114964</v>
      </c>
      <c r="AL39" s="174">
        <f t="shared" si="29"/>
        <v>119684</v>
      </c>
      <c r="AM39" s="174">
        <f t="shared" si="29"/>
        <v>125284</v>
      </c>
      <c r="AN39" s="174">
        <f t="shared" si="29"/>
        <v>131404</v>
      </c>
      <c r="AO39" s="174">
        <f t="shared" si="29"/>
        <v>130284</v>
      </c>
      <c r="AP39" s="174">
        <f t="shared" si="29"/>
        <v>136044</v>
      </c>
      <c r="AQ39" s="174">
        <f t="shared" si="29"/>
        <v>165072.12</v>
      </c>
      <c r="AR39" s="174">
        <f t="shared" si="29"/>
        <v>171552.12</v>
      </c>
      <c r="AS39" s="174">
        <f t="shared" si="29"/>
        <v>179472.12</v>
      </c>
      <c r="AT39" s="174">
        <f t="shared" si="29"/>
        <v>178536.12</v>
      </c>
      <c r="AU39" s="174">
        <f t="shared" si="29"/>
        <v>186312.12</v>
      </c>
      <c r="AV39" s="174">
        <f t="shared" si="29"/>
        <v>197184.12</v>
      </c>
      <c r="AW39" s="174">
        <f t="shared" si="29"/>
        <v>231052.12</v>
      </c>
      <c r="AX39" s="174">
        <f t="shared" si="29"/>
        <v>242197.72</v>
      </c>
      <c r="AY39" s="174">
        <f t="shared" si="29"/>
        <v>254509.72</v>
      </c>
      <c r="AZ39" s="174">
        <f t="shared" si="29"/>
        <v>267044.12</v>
      </c>
      <c r="BA39" s="174">
        <f t="shared" si="29"/>
        <v>286957.72</v>
      </c>
      <c r="BB39" s="174">
        <f t="shared" si="29"/>
        <v>299788.12</v>
      </c>
      <c r="BC39" s="222"/>
      <c r="BD39" s="174">
        <f t="shared" ref="BD39:BH39" si="30">BD26+BD7</f>
        <v>20000</v>
      </c>
      <c r="BE39" s="174">
        <f t="shared" si="30"/>
        <v>464300</v>
      </c>
      <c r="BF39" s="174">
        <f t="shared" si="30"/>
        <v>1261348</v>
      </c>
      <c r="BG39" s="174">
        <f t="shared" si="30"/>
        <v>2659678.24</v>
      </c>
      <c r="BH39" s="174">
        <f t="shared" si="30"/>
        <v>4818295.015</v>
      </c>
      <c r="BI39" s="222"/>
    </row>
    <row r="40" ht="15.75" customHeight="1">
      <c r="A40" s="270"/>
      <c r="B40" s="142" t="s">
        <v>308</v>
      </c>
      <c r="C40" s="241"/>
      <c r="D40" s="271" t="s">
        <v>198</v>
      </c>
      <c r="E40" s="241"/>
      <c r="F40" s="241"/>
      <c r="G40" s="174">
        <f t="shared" ref="G40:BB40" si="31">G32+G8</f>
        <v>0</v>
      </c>
      <c r="H40" s="174">
        <f t="shared" si="31"/>
        <v>0</v>
      </c>
      <c r="I40" s="174">
        <f t="shared" si="31"/>
        <v>0</v>
      </c>
      <c r="J40" s="174">
        <f t="shared" si="31"/>
        <v>0</v>
      </c>
      <c r="K40" s="174">
        <f t="shared" si="31"/>
        <v>0</v>
      </c>
      <c r="L40" s="174">
        <f t="shared" si="31"/>
        <v>0</v>
      </c>
      <c r="M40" s="174">
        <f t="shared" si="31"/>
        <v>0</v>
      </c>
      <c r="N40" s="174">
        <f t="shared" si="31"/>
        <v>0</v>
      </c>
      <c r="O40" s="174">
        <f t="shared" si="31"/>
        <v>11500</v>
      </c>
      <c r="P40" s="174">
        <f t="shared" si="31"/>
        <v>11500</v>
      </c>
      <c r="Q40" s="174">
        <f t="shared" si="31"/>
        <v>11500</v>
      </c>
      <c r="R40" s="174">
        <f t="shared" si="31"/>
        <v>11500</v>
      </c>
      <c r="S40" s="174">
        <f t="shared" si="31"/>
        <v>31820</v>
      </c>
      <c r="T40" s="174">
        <f t="shared" si="31"/>
        <v>31820</v>
      </c>
      <c r="U40" s="174">
        <f t="shared" si="31"/>
        <v>31820</v>
      </c>
      <c r="V40" s="174">
        <f t="shared" si="31"/>
        <v>31820</v>
      </c>
      <c r="W40" s="174">
        <f t="shared" si="31"/>
        <v>31820</v>
      </c>
      <c r="X40" s="174">
        <f t="shared" si="31"/>
        <v>31820</v>
      </c>
      <c r="Y40" s="174">
        <f t="shared" si="31"/>
        <v>31820</v>
      </c>
      <c r="Z40" s="174">
        <f t="shared" si="31"/>
        <v>40820</v>
      </c>
      <c r="AA40" s="174">
        <f t="shared" si="31"/>
        <v>45740</v>
      </c>
      <c r="AB40" s="174">
        <f t="shared" si="31"/>
        <v>50920</v>
      </c>
      <c r="AC40" s="174">
        <f t="shared" si="31"/>
        <v>50920</v>
      </c>
      <c r="AD40" s="174">
        <f t="shared" si="31"/>
        <v>50920</v>
      </c>
      <c r="AE40" s="174">
        <f t="shared" si="31"/>
        <v>69913.6</v>
      </c>
      <c r="AF40" s="174">
        <f t="shared" si="31"/>
        <v>69913.6</v>
      </c>
      <c r="AG40" s="174">
        <f t="shared" si="31"/>
        <v>69913.6</v>
      </c>
      <c r="AH40" s="174">
        <f t="shared" si="31"/>
        <v>69913.6</v>
      </c>
      <c r="AI40" s="174">
        <f t="shared" si="31"/>
        <v>69913.6</v>
      </c>
      <c r="AJ40" s="174">
        <f t="shared" si="31"/>
        <v>69913.6</v>
      </c>
      <c r="AK40" s="174">
        <f t="shared" si="31"/>
        <v>69913.6</v>
      </c>
      <c r="AL40" s="174">
        <f t="shared" si="31"/>
        <v>70633.6</v>
      </c>
      <c r="AM40" s="174">
        <f t="shared" si="31"/>
        <v>70633.6</v>
      </c>
      <c r="AN40" s="174">
        <f t="shared" si="31"/>
        <v>71393.6</v>
      </c>
      <c r="AO40" s="174">
        <f t="shared" si="31"/>
        <v>71393.6</v>
      </c>
      <c r="AP40" s="174">
        <f t="shared" si="31"/>
        <v>71393.6</v>
      </c>
      <c r="AQ40" s="174">
        <f t="shared" si="31"/>
        <v>90296.688</v>
      </c>
      <c r="AR40" s="174">
        <f t="shared" si="31"/>
        <v>90296.688</v>
      </c>
      <c r="AS40" s="174">
        <f t="shared" si="31"/>
        <v>90296.688</v>
      </c>
      <c r="AT40" s="174">
        <f t="shared" si="31"/>
        <v>90296.688</v>
      </c>
      <c r="AU40" s="174">
        <f t="shared" si="31"/>
        <v>90296.688</v>
      </c>
      <c r="AV40" s="174">
        <f t="shared" si="31"/>
        <v>90296.688</v>
      </c>
      <c r="AW40" s="174">
        <f t="shared" si="31"/>
        <v>90296.688</v>
      </c>
      <c r="AX40" s="174">
        <f t="shared" si="31"/>
        <v>91074.288</v>
      </c>
      <c r="AY40" s="174">
        <f t="shared" si="31"/>
        <v>91074.288</v>
      </c>
      <c r="AZ40" s="174">
        <f t="shared" si="31"/>
        <v>98395.088</v>
      </c>
      <c r="BA40" s="174">
        <f t="shared" si="31"/>
        <v>98395.088</v>
      </c>
      <c r="BB40" s="174">
        <f t="shared" si="31"/>
        <v>98395.088</v>
      </c>
      <c r="BC40" s="222"/>
      <c r="BD40" s="174">
        <f t="shared" ref="BD40:BH40" si="32">BD32+BD8</f>
        <v>46000</v>
      </c>
      <c r="BE40" s="174">
        <f t="shared" si="32"/>
        <v>462060</v>
      </c>
      <c r="BF40" s="174">
        <f t="shared" si="32"/>
        <v>844843.2</v>
      </c>
      <c r="BG40" s="174">
        <f t="shared" si="32"/>
        <v>1109410.656</v>
      </c>
      <c r="BH40" s="174">
        <f t="shared" si="32"/>
        <v>1357154.221</v>
      </c>
      <c r="BI40" s="222"/>
    </row>
    <row r="41" ht="15.75" customHeight="1">
      <c r="A41" s="276"/>
      <c r="B41" s="276" t="s">
        <v>311</v>
      </c>
      <c r="C41" s="276"/>
      <c r="D41" s="276"/>
      <c r="E41" s="276"/>
      <c r="F41" s="276"/>
      <c r="G41" s="276"/>
      <c r="H41" s="276"/>
      <c r="I41" s="276"/>
      <c r="J41" s="276"/>
      <c r="K41" s="276"/>
      <c r="L41" s="276"/>
      <c r="M41" s="276"/>
      <c r="N41" s="276"/>
      <c r="O41" s="276"/>
      <c r="P41" s="276"/>
      <c r="Q41" s="276"/>
      <c r="R41" s="276"/>
      <c r="S41" s="277">
        <f t="shared" ref="S41:BB41" si="33">S38/S$36</f>
        <v>0.5890133831</v>
      </c>
      <c r="T41" s="277">
        <f t="shared" si="33"/>
        <v>0.543353431</v>
      </c>
      <c r="U41" s="277">
        <f t="shared" si="33"/>
        <v>0.543353431</v>
      </c>
      <c r="V41" s="277">
        <f t="shared" si="33"/>
        <v>0.543353431</v>
      </c>
      <c r="W41" s="277">
        <f t="shared" si="33"/>
        <v>0.5069649076</v>
      </c>
      <c r="X41" s="277">
        <f t="shared" si="33"/>
        <v>0.5069649076</v>
      </c>
      <c r="Y41" s="277">
        <f t="shared" si="33"/>
        <v>0.543353431</v>
      </c>
      <c r="Z41" s="277">
        <f t="shared" si="33"/>
        <v>0.500244918</v>
      </c>
      <c r="AA41" s="277">
        <f t="shared" si="33"/>
        <v>0.497561542</v>
      </c>
      <c r="AB41" s="277">
        <f t="shared" si="33"/>
        <v>0.6578555976</v>
      </c>
      <c r="AC41" s="277">
        <f t="shared" si="33"/>
        <v>0.5797209766</v>
      </c>
      <c r="AD41" s="277">
        <f t="shared" si="33"/>
        <v>0.4831495098</v>
      </c>
      <c r="AE41" s="277">
        <f t="shared" si="33"/>
        <v>0.4740337174</v>
      </c>
      <c r="AF41" s="277">
        <f t="shared" si="33"/>
        <v>0.4684954793</v>
      </c>
      <c r="AG41" s="277">
        <f t="shared" si="33"/>
        <v>0.4644259877</v>
      </c>
      <c r="AH41" s="277">
        <f t="shared" si="33"/>
        <v>0.4591087138</v>
      </c>
      <c r="AI41" s="277">
        <f t="shared" si="33"/>
        <v>0.4526309255</v>
      </c>
      <c r="AJ41" s="277">
        <f t="shared" si="33"/>
        <v>0.4270535184</v>
      </c>
      <c r="AK41" s="277">
        <f t="shared" si="33"/>
        <v>0.4217102934</v>
      </c>
      <c r="AL41" s="277">
        <f t="shared" si="33"/>
        <v>0.4155173621</v>
      </c>
      <c r="AM41" s="277">
        <f t="shared" si="33"/>
        <v>0.4084920711</v>
      </c>
      <c r="AN41" s="277">
        <f t="shared" si="33"/>
        <v>0.4013128762</v>
      </c>
      <c r="AO41" s="277">
        <f t="shared" si="33"/>
        <v>0.4026441781</v>
      </c>
      <c r="AP41" s="277">
        <f t="shared" si="33"/>
        <v>0.3958900009</v>
      </c>
      <c r="AQ41" s="277">
        <f t="shared" si="33"/>
        <v>0.3764899645</v>
      </c>
      <c r="AR41" s="277">
        <f t="shared" si="33"/>
        <v>0.3706260644</v>
      </c>
      <c r="AS41" s="277">
        <f t="shared" si="33"/>
        <v>0.3637025018</v>
      </c>
      <c r="AT41" s="277">
        <f t="shared" si="33"/>
        <v>0.3645072323</v>
      </c>
      <c r="AU41" s="277">
        <f t="shared" si="33"/>
        <v>0.3579279249</v>
      </c>
      <c r="AV41" s="277">
        <f t="shared" si="33"/>
        <v>0.3498828612</v>
      </c>
      <c r="AW41" s="277">
        <f t="shared" si="33"/>
        <v>0.3249917308</v>
      </c>
      <c r="AX41" s="277">
        <f t="shared" si="33"/>
        <v>0.3177758478</v>
      </c>
      <c r="AY41" s="277">
        <f t="shared" si="33"/>
        <v>0.3099637483</v>
      </c>
      <c r="AZ41" s="277">
        <f t="shared" si="33"/>
        <v>0.2990742121</v>
      </c>
      <c r="BA41" s="277">
        <f t="shared" si="33"/>
        <v>0.2880713237</v>
      </c>
      <c r="BB41" s="277">
        <f t="shared" si="33"/>
        <v>0.2814010468</v>
      </c>
      <c r="BC41" s="163"/>
      <c r="BD41" s="277">
        <f t="shared" ref="BD41:BH41" si="34">BD38/BD$36</f>
        <v>0.8446813968</v>
      </c>
      <c r="BE41" s="277">
        <f t="shared" si="34"/>
        <v>0.5486718765</v>
      </c>
      <c r="BF41" s="277">
        <f t="shared" si="34"/>
        <v>0.4301193902</v>
      </c>
      <c r="BG41" s="277">
        <f t="shared" si="34"/>
        <v>0.3302691418</v>
      </c>
      <c r="BH41" s="277">
        <f t="shared" si="34"/>
        <v>0.2985873502</v>
      </c>
      <c r="BI41" s="163"/>
    </row>
    <row r="42" ht="15.75" customHeight="1">
      <c r="A42" s="276"/>
      <c r="B42" s="276" t="s">
        <v>312</v>
      </c>
      <c r="C42" s="276"/>
      <c r="D42" s="276"/>
      <c r="E42" s="276"/>
      <c r="F42" s="276"/>
      <c r="G42" s="276"/>
      <c r="H42" s="276"/>
      <c r="I42" s="276"/>
      <c r="J42" s="276"/>
      <c r="K42" s="276"/>
      <c r="L42" s="276"/>
      <c r="M42" s="276"/>
      <c r="N42" s="276"/>
      <c r="O42" s="276"/>
      <c r="P42" s="276"/>
      <c r="Q42" s="276"/>
      <c r="R42" s="276"/>
      <c r="S42" s="277">
        <f t="shared" ref="S42:BB42" si="35">S39/S$36</f>
        <v>0.1633986928</v>
      </c>
      <c r="T42" s="277">
        <f t="shared" si="35"/>
        <v>0.2282515073</v>
      </c>
      <c r="U42" s="277">
        <f t="shared" si="35"/>
        <v>0.2282515073</v>
      </c>
      <c r="V42" s="277">
        <f t="shared" si="35"/>
        <v>0.2282515073</v>
      </c>
      <c r="W42" s="277">
        <f t="shared" si="35"/>
        <v>0.2799357085</v>
      </c>
      <c r="X42" s="277">
        <f t="shared" si="35"/>
        <v>0.2799357085</v>
      </c>
      <c r="Y42" s="277">
        <f t="shared" si="35"/>
        <v>0.2282515073</v>
      </c>
      <c r="Z42" s="277">
        <f t="shared" si="35"/>
        <v>0.2498163115</v>
      </c>
      <c r="AA42" s="277">
        <f t="shared" si="35"/>
        <v>0.2368787738</v>
      </c>
      <c r="AB42" s="277">
        <f t="shared" si="35"/>
        <v>0.1700243375</v>
      </c>
      <c r="AC42" s="277">
        <f t="shared" si="35"/>
        <v>0.2088523501</v>
      </c>
      <c r="AD42" s="277">
        <f t="shared" si="35"/>
        <v>0.2568423203</v>
      </c>
      <c r="AE42" s="277">
        <f t="shared" si="35"/>
        <v>0.2676939399</v>
      </c>
      <c r="AF42" s="277">
        <f t="shared" si="35"/>
        <v>0.2762496294</v>
      </c>
      <c r="AG42" s="277">
        <f t="shared" si="35"/>
        <v>0.2825363413</v>
      </c>
      <c r="AH42" s="277">
        <f t="shared" si="35"/>
        <v>0.2907506766</v>
      </c>
      <c r="AI42" s="277">
        <f t="shared" si="35"/>
        <v>0.3007578205</v>
      </c>
      <c r="AJ42" s="277">
        <f t="shared" si="35"/>
        <v>0.351488705</v>
      </c>
      <c r="AK42" s="277">
        <f t="shared" si="35"/>
        <v>0.3596027741</v>
      </c>
      <c r="AL42" s="277">
        <f t="shared" si="35"/>
        <v>0.367560436</v>
      </c>
      <c r="AM42" s="277">
        <f t="shared" si="35"/>
        <v>0.3782533033</v>
      </c>
      <c r="AN42" s="277">
        <f t="shared" si="35"/>
        <v>0.3879231451</v>
      </c>
      <c r="AO42" s="277">
        <f t="shared" si="35"/>
        <v>0.3858926619</v>
      </c>
      <c r="AP42" s="277">
        <f t="shared" si="35"/>
        <v>0.3961940397</v>
      </c>
      <c r="AQ42" s="277">
        <f t="shared" si="35"/>
        <v>0.4030410927</v>
      </c>
      <c r="AR42" s="277">
        <f t="shared" si="35"/>
        <v>0.4123388369</v>
      </c>
      <c r="AS42" s="277">
        <f t="shared" si="35"/>
        <v>0.4233167719</v>
      </c>
      <c r="AT42" s="277">
        <f t="shared" si="35"/>
        <v>0.4220407988</v>
      </c>
      <c r="AU42" s="277">
        <f t="shared" si="35"/>
        <v>0.432472886</v>
      </c>
      <c r="AV42" s="277">
        <f t="shared" si="35"/>
        <v>0.4459176834</v>
      </c>
      <c r="AW42" s="277">
        <f t="shared" si="35"/>
        <v>0.4853358336</v>
      </c>
      <c r="AX42" s="277">
        <f t="shared" si="35"/>
        <v>0.4957906162</v>
      </c>
      <c r="AY42" s="277">
        <f t="shared" si="35"/>
        <v>0.5081859378</v>
      </c>
      <c r="AZ42" s="277">
        <f t="shared" si="35"/>
        <v>0.5122004047</v>
      </c>
      <c r="BA42" s="277">
        <f t="shared" si="35"/>
        <v>0.5301464671</v>
      </c>
      <c r="BB42" s="277">
        <f t="shared" si="35"/>
        <v>0.5410259018</v>
      </c>
      <c r="BC42" s="163"/>
      <c r="BD42" s="277">
        <f t="shared" ref="BD42:BH42" si="36">BD39/BD$36</f>
        <v>0.04706624338</v>
      </c>
      <c r="BE42" s="277">
        <f t="shared" si="36"/>
        <v>0.2262097324</v>
      </c>
      <c r="BF42" s="277">
        <f t="shared" si="36"/>
        <v>0.3412879929</v>
      </c>
      <c r="BG42" s="277">
        <f t="shared" si="36"/>
        <v>0.4725992513</v>
      </c>
      <c r="BH42" s="277">
        <f t="shared" si="36"/>
        <v>0.5472659469</v>
      </c>
      <c r="BI42" s="163"/>
    </row>
    <row r="43" ht="15.75" customHeight="1">
      <c r="A43" s="276"/>
      <c r="B43" s="276" t="s">
        <v>313</v>
      </c>
      <c r="C43" s="276"/>
      <c r="D43" s="276"/>
      <c r="E43" s="276"/>
      <c r="F43" s="276"/>
      <c r="G43" s="276"/>
      <c r="H43" s="276"/>
      <c r="I43" s="276"/>
      <c r="J43" s="276"/>
      <c r="K43" s="276"/>
      <c r="L43" s="276"/>
      <c r="M43" s="276"/>
      <c r="N43" s="276"/>
      <c r="O43" s="276"/>
      <c r="P43" s="276"/>
      <c r="Q43" s="276"/>
      <c r="R43" s="276"/>
      <c r="S43" s="277">
        <f t="shared" ref="S43:BB43" si="37">S40/S$36</f>
        <v>0.2475879241</v>
      </c>
      <c r="T43" s="277">
        <f t="shared" si="37"/>
        <v>0.2283950617</v>
      </c>
      <c r="U43" s="277">
        <f t="shared" si="37"/>
        <v>0.2283950617</v>
      </c>
      <c r="V43" s="277">
        <f t="shared" si="37"/>
        <v>0.2283950617</v>
      </c>
      <c r="W43" s="277">
        <f t="shared" si="37"/>
        <v>0.2130993839</v>
      </c>
      <c r="X43" s="277">
        <f t="shared" si="37"/>
        <v>0.2130993839</v>
      </c>
      <c r="Y43" s="277">
        <f t="shared" si="37"/>
        <v>0.2283950617</v>
      </c>
      <c r="Z43" s="277">
        <f t="shared" si="37"/>
        <v>0.2499387705</v>
      </c>
      <c r="AA43" s="277">
        <f t="shared" si="37"/>
        <v>0.2655596842</v>
      </c>
      <c r="AB43" s="277">
        <f t="shared" si="37"/>
        <v>0.1721200649</v>
      </c>
      <c r="AC43" s="277">
        <f t="shared" si="37"/>
        <v>0.2114266733</v>
      </c>
      <c r="AD43" s="277">
        <f t="shared" si="37"/>
        <v>0.2600081699</v>
      </c>
      <c r="AE43" s="277">
        <f t="shared" si="37"/>
        <v>0.2582723427</v>
      </c>
      <c r="AF43" s="277">
        <f t="shared" si="37"/>
        <v>0.2552548913</v>
      </c>
      <c r="AG43" s="277">
        <f t="shared" si="37"/>
        <v>0.253037671</v>
      </c>
      <c r="AH43" s="277">
        <f t="shared" si="37"/>
        <v>0.2501406096</v>
      </c>
      <c r="AI43" s="277">
        <f t="shared" si="37"/>
        <v>0.246611254</v>
      </c>
      <c r="AJ43" s="277">
        <f t="shared" si="37"/>
        <v>0.2214577766</v>
      </c>
      <c r="AK43" s="277">
        <f t="shared" si="37"/>
        <v>0.2186869325</v>
      </c>
      <c r="AL43" s="277">
        <f t="shared" si="37"/>
        <v>0.2169222019</v>
      </c>
      <c r="AM43" s="277">
        <f t="shared" si="37"/>
        <v>0.2132546257</v>
      </c>
      <c r="AN43" s="277">
        <f t="shared" si="37"/>
        <v>0.2107639787</v>
      </c>
      <c r="AO43" s="277">
        <f t="shared" si="37"/>
        <v>0.2114631601</v>
      </c>
      <c r="AP43" s="277">
        <f t="shared" si="37"/>
        <v>0.2079159595</v>
      </c>
      <c r="AQ43" s="277">
        <f t="shared" si="37"/>
        <v>0.2204689429</v>
      </c>
      <c r="AR43" s="277">
        <f t="shared" si="37"/>
        <v>0.2170350987</v>
      </c>
      <c r="AS43" s="277">
        <f t="shared" si="37"/>
        <v>0.2129807263</v>
      </c>
      <c r="AT43" s="277">
        <f t="shared" si="37"/>
        <v>0.2134519689</v>
      </c>
      <c r="AU43" s="277">
        <f t="shared" si="37"/>
        <v>0.209599189</v>
      </c>
      <c r="AV43" s="277">
        <f t="shared" si="37"/>
        <v>0.2041994554</v>
      </c>
      <c r="AW43" s="277">
        <f t="shared" si="37"/>
        <v>0.1896724356</v>
      </c>
      <c r="AX43" s="277">
        <f t="shared" si="37"/>
        <v>0.1864335361</v>
      </c>
      <c r="AY43" s="277">
        <f t="shared" si="37"/>
        <v>0.1818503138</v>
      </c>
      <c r="AZ43" s="277">
        <f t="shared" si="37"/>
        <v>0.1887253833</v>
      </c>
      <c r="BA43" s="277">
        <f t="shared" si="37"/>
        <v>0.1817822092</v>
      </c>
      <c r="BB43" s="277">
        <f t="shared" si="37"/>
        <v>0.1775730513</v>
      </c>
      <c r="BC43" s="163"/>
      <c r="BD43" s="277">
        <f t="shared" ref="BD43:BH43" si="38">BD40/BD$36</f>
        <v>0.1082523598</v>
      </c>
      <c r="BE43" s="277">
        <f t="shared" si="38"/>
        <v>0.2251183911</v>
      </c>
      <c r="BF43" s="277">
        <f t="shared" si="38"/>
        <v>0.2285926168</v>
      </c>
      <c r="BG43" s="277">
        <f t="shared" si="38"/>
        <v>0.1971316069</v>
      </c>
      <c r="BH43" s="277">
        <f t="shared" si="38"/>
        <v>0.1541467029</v>
      </c>
      <c r="BI43" s="163"/>
    </row>
    <row r="44" ht="15.75" customHeight="1">
      <c r="A44" s="278"/>
      <c r="B44" s="278"/>
      <c r="C44" s="278"/>
      <c r="D44" s="278"/>
      <c r="E44" s="278"/>
      <c r="F44" s="278"/>
      <c r="G44" s="278"/>
      <c r="H44" s="278"/>
      <c r="I44" s="278"/>
      <c r="J44" s="278"/>
      <c r="K44" s="278"/>
      <c r="L44" s="278"/>
      <c r="M44" s="278"/>
      <c r="N44" s="278"/>
      <c r="O44" s="278"/>
      <c r="P44" s="278"/>
      <c r="Q44" s="278"/>
      <c r="R44" s="278"/>
      <c r="S44" s="278"/>
      <c r="T44" s="278"/>
      <c r="U44" s="278"/>
      <c r="V44" s="278"/>
      <c r="W44" s="278"/>
      <c r="X44" s="278"/>
      <c r="Y44" s="278"/>
      <c r="Z44" s="278"/>
      <c r="AA44" s="278"/>
      <c r="AB44" s="278"/>
      <c r="AC44" s="278"/>
      <c r="AD44" s="278"/>
      <c r="AE44" s="278"/>
      <c r="AF44" s="278"/>
      <c r="AG44" s="278"/>
      <c r="AH44" s="278"/>
      <c r="AI44" s="278"/>
      <c r="AJ44" s="278"/>
      <c r="AK44" s="278"/>
      <c r="AL44" s="278"/>
      <c r="AM44" s="278"/>
      <c r="AN44" s="278"/>
      <c r="AO44" s="278"/>
      <c r="AP44" s="278"/>
      <c r="AQ44" s="278"/>
      <c r="AR44" s="278"/>
      <c r="AS44" s="278"/>
      <c r="AT44" s="278"/>
      <c r="AU44" s="278"/>
      <c r="AV44" s="278"/>
      <c r="AW44" s="278"/>
      <c r="AX44" s="278"/>
      <c r="AY44" s="278"/>
      <c r="AZ44" s="278"/>
      <c r="BA44" s="278"/>
      <c r="BB44" s="278"/>
      <c r="BC44" s="163"/>
      <c r="BD44" s="278"/>
      <c r="BE44" s="278"/>
      <c r="BF44" s="278"/>
      <c r="BG44" s="278"/>
      <c r="BH44" s="278"/>
      <c r="BI44" s="163"/>
    </row>
    <row r="45" ht="15.75" customHeight="1">
      <c r="A45" s="37"/>
      <c r="B45" s="30"/>
      <c r="C45" s="30"/>
      <c r="D45" s="84"/>
      <c r="E45" s="30"/>
      <c r="F45" s="30"/>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c r="BI45" s="163"/>
    </row>
    <row r="46" ht="15.75" customHeight="1">
      <c r="A46" s="37"/>
      <c r="B46" s="30"/>
      <c r="C46" s="30"/>
      <c r="D46" s="84"/>
      <c r="E46" s="30"/>
      <c r="F46" s="30"/>
      <c r="G46" s="30"/>
      <c r="H46" s="30"/>
      <c r="I46" s="30"/>
      <c r="J46" s="30"/>
      <c r="K46" s="30"/>
      <c r="L46" s="30"/>
      <c r="M46" s="30"/>
      <c r="N46" s="30"/>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c r="BI46" s="163"/>
    </row>
    <row r="47" ht="15.75" customHeight="1">
      <c r="A47" s="37"/>
      <c r="B47" s="30"/>
      <c r="C47" s="30"/>
      <c r="D47" s="84"/>
      <c r="E47" s="30"/>
      <c r="F47" s="30"/>
      <c r="G47" s="30"/>
      <c r="H47" s="30"/>
      <c r="I47" s="30"/>
      <c r="J47" s="30"/>
      <c r="K47" s="30"/>
      <c r="L47" s="30"/>
      <c r="M47" s="30"/>
      <c r="N47" s="30"/>
      <c r="O47" s="163"/>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c r="BI47" s="163"/>
    </row>
    <row r="48" ht="15.75" customHeight="1">
      <c r="A48" s="37"/>
      <c r="B48" s="30"/>
      <c r="C48" s="30"/>
      <c r="D48" s="84"/>
      <c r="E48" s="30"/>
      <c r="F48" s="30"/>
      <c r="G48" s="30"/>
      <c r="H48" s="30"/>
      <c r="I48" s="30"/>
      <c r="J48" s="30"/>
      <c r="K48" s="30"/>
      <c r="L48" s="30"/>
      <c r="M48" s="30"/>
      <c r="N48" s="30"/>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c r="BI48" s="163"/>
    </row>
    <row r="49" ht="15.75" customHeight="1">
      <c r="A49" s="37"/>
      <c r="B49" s="30"/>
      <c r="C49" s="30"/>
      <c r="D49" s="84"/>
      <c r="E49" s="30"/>
      <c r="F49" s="30"/>
      <c r="G49" s="30"/>
      <c r="H49" s="30"/>
      <c r="I49" s="30"/>
      <c r="J49" s="30"/>
      <c r="K49" s="30"/>
      <c r="L49" s="30"/>
      <c r="M49" s="30"/>
      <c r="N49" s="30"/>
      <c r="O49" s="163"/>
      <c r="P49" s="163"/>
      <c r="Q49" s="163"/>
      <c r="R49" s="163"/>
      <c r="S49" s="163"/>
      <c r="T49" s="163"/>
      <c r="U49" s="163"/>
      <c r="V49" s="163"/>
      <c r="W49" s="163"/>
      <c r="X49" s="163"/>
      <c r="Y49" s="163"/>
      <c r="Z49" s="163"/>
      <c r="AA49" s="163"/>
      <c r="AB49" s="163"/>
      <c r="AC49" s="163"/>
      <c r="AD49" s="163"/>
      <c r="AE49" s="163"/>
      <c r="AF49" s="163"/>
      <c r="AG49" s="163"/>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c r="BI49" s="163"/>
    </row>
    <row r="50" ht="15.75" customHeight="1">
      <c r="A50" s="37"/>
      <c r="B50" s="30"/>
      <c r="C50" s="30"/>
      <c r="D50" s="84"/>
      <c r="E50" s="30"/>
      <c r="F50" s="30"/>
      <c r="G50" s="30"/>
      <c r="H50" s="30"/>
      <c r="I50" s="30"/>
      <c r="J50" s="30"/>
      <c r="K50" s="30"/>
      <c r="L50" s="30"/>
      <c r="M50" s="30"/>
      <c r="N50" s="30"/>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c r="BI50" s="163"/>
    </row>
    <row r="51" ht="15.75" customHeight="1">
      <c r="A51" s="37"/>
      <c r="B51" s="30"/>
      <c r="C51" s="30"/>
      <c r="D51" s="84"/>
      <c r="E51" s="30"/>
      <c r="F51" s="30"/>
      <c r="G51" s="30"/>
      <c r="H51" s="30"/>
      <c r="I51" s="30"/>
      <c r="J51" s="30"/>
      <c r="K51" s="30"/>
      <c r="L51" s="30"/>
      <c r="M51" s="30"/>
      <c r="N51" s="30"/>
      <c r="O51" s="163"/>
      <c r="P51" s="163"/>
      <c r="Q51" s="163"/>
      <c r="R51" s="163"/>
      <c r="S51" s="163"/>
      <c r="T51" s="163"/>
      <c r="U51" s="163"/>
      <c r="V51" s="163"/>
      <c r="W51" s="163"/>
      <c r="X51" s="163"/>
      <c r="Y51" s="163"/>
      <c r="Z51" s="163"/>
      <c r="AA51" s="163"/>
      <c r="AB51" s="163"/>
      <c r="AC51" s="163"/>
      <c r="AD51" s="163"/>
      <c r="AE51" s="163"/>
      <c r="AF51" s="163"/>
      <c r="AG51" s="163"/>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c r="BI51" s="163"/>
    </row>
    <row r="52" ht="15.75" customHeight="1">
      <c r="A52" s="37"/>
      <c r="B52" s="30"/>
      <c r="C52" s="30"/>
      <c r="D52" s="84"/>
      <c r="E52" s="30"/>
      <c r="F52" s="30"/>
      <c r="G52" s="30"/>
      <c r="H52" s="30"/>
      <c r="I52" s="30"/>
      <c r="J52" s="30"/>
      <c r="K52" s="30"/>
      <c r="L52" s="30"/>
      <c r="M52" s="30"/>
      <c r="N52" s="30"/>
      <c r="O52" s="163"/>
      <c r="P52" s="163"/>
      <c r="Q52" s="163"/>
      <c r="R52" s="163"/>
      <c r="S52" s="163"/>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c r="AU52" s="163"/>
      <c r="AV52" s="163"/>
      <c r="AW52" s="163"/>
      <c r="AX52" s="163"/>
      <c r="AY52" s="163"/>
      <c r="AZ52" s="163"/>
      <c r="BA52" s="163"/>
      <c r="BB52" s="163"/>
      <c r="BC52" s="163"/>
      <c r="BD52" s="163"/>
      <c r="BE52" s="163"/>
      <c r="BF52" s="163"/>
      <c r="BG52" s="163"/>
      <c r="BH52" s="163"/>
      <c r="BI52" s="163"/>
    </row>
    <row r="53" ht="15.75" customHeight="1">
      <c r="A53" s="37"/>
      <c r="B53" s="30"/>
      <c r="C53" s="30"/>
      <c r="D53" s="84"/>
      <c r="E53" s="30"/>
      <c r="F53" s="30"/>
      <c r="G53" s="30"/>
      <c r="H53" s="30"/>
      <c r="I53" s="30"/>
      <c r="J53" s="30"/>
      <c r="K53" s="30"/>
      <c r="L53" s="30"/>
      <c r="M53" s="30"/>
      <c r="N53" s="30"/>
      <c r="O53" s="163"/>
      <c r="P53" s="163"/>
      <c r="Q53" s="163"/>
      <c r="R53" s="163"/>
      <c r="S53" s="163"/>
      <c r="T53" s="163"/>
      <c r="U53" s="163"/>
      <c r="V53" s="163"/>
      <c r="W53" s="163"/>
      <c r="X53" s="163"/>
      <c r="Y53" s="163"/>
      <c r="Z53" s="163"/>
      <c r="AA53" s="163"/>
      <c r="AB53" s="163"/>
      <c r="AC53" s="163"/>
      <c r="AD53" s="163"/>
      <c r="AE53" s="163"/>
      <c r="AF53" s="163"/>
      <c r="AG53" s="163"/>
      <c r="AH53" s="163"/>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c r="BI53" s="163"/>
    </row>
    <row r="54" ht="15.75" customHeight="1">
      <c r="A54" s="37"/>
      <c r="B54" s="30"/>
      <c r="C54" s="30"/>
      <c r="D54" s="84"/>
      <c r="E54" s="30"/>
      <c r="F54" s="30"/>
      <c r="G54" s="30"/>
      <c r="H54" s="30"/>
      <c r="I54" s="30"/>
      <c r="J54" s="30"/>
      <c r="K54" s="30"/>
      <c r="L54" s="30"/>
      <c r="M54" s="30"/>
      <c r="N54" s="30"/>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c r="BI54" s="163"/>
    </row>
    <row r="55" ht="15.75" customHeight="1">
      <c r="A55" s="37"/>
      <c r="B55" s="30"/>
      <c r="C55" s="30"/>
      <c r="D55" s="84"/>
      <c r="E55" s="30"/>
      <c r="F55" s="30"/>
      <c r="G55" s="30"/>
      <c r="H55" s="30"/>
      <c r="I55" s="30"/>
      <c r="J55" s="30"/>
      <c r="K55" s="30"/>
      <c r="L55" s="30"/>
      <c r="M55" s="30"/>
      <c r="N55" s="30"/>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c r="BI55" s="163"/>
    </row>
    <row r="56" ht="15.75" customHeight="1">
      <c r="A56" s="37"/>
      <c r="B56" s="30"/>
      <c r="C56" s="30"/>
      <c r="D56" s="84"/>
      <c r="E56" s="30"/>
      <c r="F56" s="30"/>
      <c r="G56" s="30"/>
      <c r="H56" s="30"/>
      <c r="I56" s="30"/>
      <c r="J56" s="30"/>
      <c r="K56" s="30"/>
      <c r="L56" s="30"/>
      <c r="M56" s="30"/>
      <c r="N56" s="30"/>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c r="BI56" s="163"/>
    </row>
    <row r="57" ht="15.75" customHeight="1">
      <c r="A57" s="37"/>
      <c r="B57" s="30"/>
      <c r="C57" s="30"/>
      <c r="D57" s="84"/>
      <c r="E57" s="30"/>
      <c r="F57" s="30"/>
      <c r="G57" s="30"/>
      <c r="H57" s="30"/>
      <c r="I57" s="30"/>
      <c r="J57" s="30"/>
      <c r="K57" s="30"/>
      <c r="L57" s="30"/>
      <c r="M57" s="30"/>
      <c r="N57" s="30"/>
      <c r="O57" s="163"/>
      <c r="P57" s="163"/>
      <c r="Q57" s="163"/>
      <c r="R57" s="163"/>
      <c r="S57" s="163"/>
      <c r="T57" s="163"/>
      <c r="U57" s="163"/>
      <c r="V57" s="163"/>
      <c r="W57" s="163"/>
      <c r="X57" s="163"/>
      <c r="Y57" s="163"/>
      <c r="Z57" s="163"/>
      <c r="AA57" s="163"/>
      <c r="AB57" s="163"/>
      <c r="AC57" s="163"/>
      <c r="AD57" s="163"/>
      <c r="AE57" s="163"/>
      <c r="AF57" s="163"/>
      <c r="AG57" s="163"/>
      <c r="AH57" s="163"/>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c r="BI57" s="163"/>
    </row>
    <row r="58" ht="15.75" customHeight="1">
      <c r="A58" s="37"/>
      <c r="B58" s="30"/>
      <c r="C58" s="30"/>
      <c r="D58" s="84"/>
      <c r="E58" s="30"/>
      <c r="F58" s="30"/>
      <c r="G58" s="30"/>
      <c r="H58" s="30"/>
      <c r="I58" s="30"/>
      <c r="J58" s="30"/>
      <c r="K58" s="30"/>
      <c r="L58" s="30"/>
      <c r="M58" s="30"/>
      <c r="N58" s="30"/>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c r="BI58" s="163"/>
    </row>
    <row r="59" ht="15.75" customHeight="1">
      <c r="A59" s="37"/>
      <c r="B59" s="30"/>
      <c r="C59" s="30"/>
      <c r="D59" s="84"/>
      <c r="E59" s="30"/>
      <c r="F59" s="30"/>
      <c r="G59" s="30"/>
      <c r="H59" s="30"/>
      <c r="I59" s="30"/>
      <c r="J59" s="30"/>
      <c r="K59" s="30"/>
      <c r="L59" s="30"/>
      <c r="M59" s="30"/>
      <c r="N59" s="30"/>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c r="BI59" s="163"/>
    </row>
    <row r="60" ht="15.75" customHeight="1">
      <c r="A60" s="37"/>
      <c r="B60" s="30"/>
      <c r="C60" s="30"/>
      <c r="D60" s="84"/>
      <c r="E60" s="30"/>
      <c r="F60" s="30"/>
      <c r="G60" s="30"/>
      <c r="H60" s="30"/>
      <c r="I60" s="30"/>
      <c r="J60" s="30"/>
      <c r="K60" s="30"/>
      <c r="L60" s="30"/>
      <c r="M60" s="30"/>
      <c r="N60" s="30"/>
      <c r="O60" s="163"/>
      <c r="P60" s="163"/>
      <c r="Q60" s="163"/>
      <c r="R60" s="163"/>
      <c r="S60" s="163"/>
      <c r="T60" s="163"/>
      <c r="U60" s="163"/>
      <c r="V60" s="163"/>
      <c r="W60" s="163"/>
      <c r="X60" s="163"/>
      <c r="Y60" s="163"/>
      <c r="Z60" s="163"/>
      <c r="AA60" s="163"/>
      <c r="AB60" s="163"/>
      <c r="AC60" s="163"/>
      <c r="AD60" s="163"/>
      <c r="AE60" s="163"/>
      <c r="AF60" s="163"/>
      <c r="AG60" s="163"/>
      <c r="AH60" s="163"/>
      <c r="AI60" s="163"/>
      <c r="AJ60" s="163"/>
      <c r="AK60" s="163"/>
      <c r="AL60" s="163"/>
      <c r="AM60" s="163"/>
      <c r="AN60" s="163"/>
      <c r="AO60" s="163"/>
      <c r="AP60" s="163"/>
      <c r="AQ60" s="163"/>
      <c r="AR60" s="163"/>
      <c r="AS60" s="163"/>
      <c r="AT60" s="163"/>
      <c r="AU60" s="163"/>
      <c r="AV60" s="163"/>
      <c r="AW60" s="163"/>
      <c r="AX60" s="163"/>
      <c r="AY60" s="163"/>
      <c r="AZ60" s="163"/>
      <c r="BA60" s="163"/>
      <c r="BB60" s="163"/>
      <c r="BC60" s="163"/>
      <c r="BD60" s="163"/>
      <c r="BE60" s="163"/>
      <c r="BF60" s="163"/>
      <c r="BG60" s="163"/>
      <c r="BH60" s="163"/>
      <c r="BI60" s="163"/>
    </row>
    <row r="61" ht="15.75" customHeight="1">
      <c r="A61" s="37"/>
      <c r="B61" s="30"/>
      <c r="C61" s="30"/>
      <c r="D61" s="84"/>
      <c r="E61" s="30"/>
      <c r="F61" s="30"/>
      <c r="G61" s="30"/>
      <c r="H61" s="30"/>
      <c r="I61" s="30"/>
      <c r="J61" s="30"/>
      <c r="K61" s="30"/>
      <c r="L61" s="30"/>
      <c r="M61" s="30"/>
      <c r="N61" s="30"/>
      <c r="O61" s="163"/>
      <c r="P61" s="163"/>
      <c r="Q61" s="163"/>
      <c r="R61" s="163"/>
      <c r="S61" s="163"/>
      <c r="T61" s="163"/>
      <c r="U61" s="163"/>
      <c r="V61" s="163"/>
      <c r="W61" s="163"/>
      <c r="X61" s="163"/>
      <c r="Y61" s="163"/>
      <c r="Z61" s="163"/>
      <c r="AA61" s="163"/>
      <c r="AB61" s="163"/>
      <c r="AC61" s="163"/>
      <c r="AD61" s="163"/>
      <c r="AE61" s="163"/>
      <c r="AF61" s="163"/>
      <c r="AG61" s="163"/>
      <c r="AH61" s="163"/>
      <c r="AI61" s="163"/>
      <c r="AJ61" s="163"/>
      <c r="AK61" s="163"/>
      <c r="AL61" s="163"/>
      <c r="AM61" s="163"/>
      <c r="AN61" s="163"/>
      <c r="AO61" s="163"/>
      <c r="AP61" s="163"/>
      <c r="AQ61" s="163"/>
      <c r="AR61" s="163"/>
      <c r="AS61" s="163"/>
      <c r="AT61" s="163"/>
      <c r="AU61" s="163"/>
      <c r="AV61" s="163"/>
      <c r="AW61" s="163"/>
      <c r="AX61" s="163"/>
      <c r="AY61" s="163"/>
      <c r="AZ61" s="163"/>
      <c r="BA61" s="163"/>
      <c r="BB61" s="163"/>
      <c r="BC61" s="163"/>
      <c r="BD61" s="163"/>
      <c r="BE61" s="163"/>
      <c r="BF61" s="163"/>
      <c r="BG61" s="163"/>
      <c r="BH61" s="163"/>
      <c r="BI61" s="163"/>
    </row>
    <row r="62" ht="15.75" customHeight="1">
      <c r="A62" s="37"/>
      <c r="B62" s="30"/>
      <c r="C62" s="30"/>
      <c r="D62" s="84"/>
      <c r="E62" s="30"/>
      <c r="F62" s="30"/>
      <c r="G62" s="30"/>
      <c r="H62" s="30"/>
      <c r="I62" s="30"/>
      <c r="J62" s="30"/>
      <c r="K62" s="30"/>
      <c r="L62" s="30"/>
      <c r="M62" s="30"/>
      <c r="N62" s="30"/>
      <c r="O62" s="163"/>
      <c r="P62" s="163"/>
      <c r="Q62" s="163"/>
      <c r="R62" s="163"/>
      <c r="S62" s="163"/>
      <c r="T62" s="163"/>
      <c r="U62" s="163"/>
      <c r="V62" s="163"/>
      <c r="W62" s="163"/>
      <c r="X62" s="163"/>
      <c r="Y62" s="163"/>
      <c r="Z62" s="163"/>
      <c r="AA62" s="163"/>
      <c r="AB62" s="163"/>
      <c r="AC62" s="163"/>
      <c r="AD62" s="163"/>
      <c r="AE62" s="163"/>
      <c r="AF62" s="163"/>
      <c r="AG62" s="163"/>
      <c r="AH62" s="163"/>
      <c r="AI62" s="163"/>
      <c r="AJ62" s="163"/>
      <c r="AK62" s="163"/>
      <c r="AL62" s="163"/>
      <c r="AM62" s="163"/>
      <c r="AN62" s="163"/>
      <c r="AO62" s="163"/>
      <c r="AP62" s="163"/>
      <c r="AQ62" s="163"/>
      <c r="AR62" s="163"/>
      <c r="AS62" s="163"/>
      <c r="AT62" s="163"/>
      <c r="AU62" s="163"/>
      <c r="AV62" s="163"/>
      <c r="AW62" s="163"/>
      <c r="AX62" s="163"/>
      <c r="AY62" s="163"/>
      <c r="AZ62" s="163"/>
      <c r="BA62" s="163"/>
      <c r="BB62" s="163"/>
      <c r="BC62" s="163"/>
      <c r="BD62" s="163"/>
      <c r="BE62" s="163"/>
      <c r="BF62" s="163"/>
      <c r="BG62" s="163"/>
      <c r="BH62" s="163"/>
      <c r="BI62" s="163"/>
    </row>
    <row r="63" ht="15.75" customHeight="1">
      <c r="A63" s="37"/>
      <c r="B63" s="30"/>
      <c r="C63" s="30"/>
      <c r="D63" s="84"/>
      <c r="E63" s="30"/>
      <c r="F63" s="30"/>
      <c r="G63" s="30"/>
      <c r="H63" s="30"/>
      <c r="I63" s="30"/>
      <c r="J63" s="30"/>
      <c r="K63" s="30"/>
      <c r="L63" s="30"/>
      <c r="M63" s="30"/>
      <c r="N63" s="30"/>
      <c r="O63" s="163"/>
      <c r="P63" s="163"/>
      <c r="Q63" s="163"/>
      <c r="R63" s="163"/>
      <c r="S63" s="163"/>
      <c r="T63" s="163"/>
      <c r="U63" s="163"/>
      <c r="V63" s="163"/>
      <c r="W63" s="163"/>
      <c r="X63" s="163"/>
      <c r="Y63" s="163"/>
      <c r="Z63" s="163"/>
      <c r="AA63" s="163"/>
      <c r="AB63" s="163"/>
      <c r="AC63" s="163"/>
      <c r="AD63" s="163"/>
      <c r="AE63" s="163"/>
      <c r="AF63" s="163"/>
      <c r="AG63" s="163"/>
      <c r="AH63" s="163"/>
      <c r="AI63" s="163"/>
      <c r="AJ63" s="163"/>
      <c r="AK63" s="163"/>
      <c r="AL63" s="163"/>
      <c r="AM63" s="163"/>
      <c r="AN63" s="163"/>
      <c r="AO63" s="163"/>
      <c r="AP63" s="163"/>
      <c r="AQ63" s="163"/>
      <c r="AR63" s="163"/>
      <c r="AS63" s="163"/>
      <c r="AT63" s="163"/>
      <c r="AU63" s="163"/>
      <c r="AV63" s="163"/>
      <c r="AW63" s="163"/>
      <c r="AX63" s="163"/>
      <c r="AY63" s="163"/>
      <c r="AZ63" s="163"/>
      <c r="BA63" s="163"/>
      <c r="BB63" s="163"/>
      <c r="BC63" s="163"/>
      <c r="BD63" s="163"/>
      <c r="BE63" s="163"/>
      <c r="BF63" s="163"/>
      <c r="BG63" s="163"/>
      <c r="BH63" s="163"/>
      <c r="BI63" s="163"/>
    </row>
    <row r="64" ht="15.75" customHeight="1">
      <c r="A64" s="37"/>
      <c r="B64" s="30"/>
      <c r="C64" s="30"/>
      <c r="D64" s="84"/>
      <c r="E64" s="30"/>
      <c r="F64" s="30"/>
      <c r="G64" s="30"/>
      <c r="H64" s="30"/>
      <c r="I64" s="30"/>
      <c r="J64" s="30"/>
      <c r="K64" s="30"/>
      <c r="L64" s="30"/>
      <c r="M64" s="30"/>
      <c r="N64" s="30"/>
      <c r="O64" s="163"/>
      <c r="P64" s="163"/>
      <c r="Q64" s="163"/>
      <c r="R64" s="163"/>
      <c r="S64" s="163"/>
      <c r="T64" s="163"/>
      <c r="U64" s="163"/>
      <c r="V64" s="163"/>
      <c r="W64" s="163"/>
      <c r="X64" s="163"/>
      <c r="Y64" s="163"/>
      <c r="Z64" s="163"/>
      <c r="AA64" s="163"/>
      <c r="AB64" s="163"/>
      <c r="AC64" s="163"/>
      <c r="AD64" s="163"/>
      <c r="AE64" s="163"/>
      <c r="AF64" s="163"/>
      <c r="AG64" s="163"/>
      <c r="AH64" s="163"/>
      <c r="AI64" s="163"/>
      <c r="AJ64" s="163"/>
      <c r="AK64" s="163"/>
      <c r="AL64" s="163"/>
      <c r="AM64" s="163"/>
      <c r="AN64" s="163"/>
      <c r="AO64" s="163"/>
      <c r="AP64" s="163"/>
      <c r="AQ64" s="163"/>
      <c r="AR64" s="163"/>
      <c r="AS64" s="163"/>
      <c r="AT64" s="163"/>
      <c r="AU64" s="163"/>
      <c r="AV64" s="163"/>
      <c r="AW64" s="163"/>
      <c r="AX64" s="163"/>
      <c r="AY64" s="163"/>
      <c r="AZ64" s="163"/>
      <c r="BA64" s="163"/>
      <c r="BB64" s="163"/>
      <c r="BC64" s="163"/>
      <c r="BD64" s="163"/>
      <c r="BE64" s="163"/>
      <c r="BF64" s="163"/>
      <c r="BG64" s="163"/>
      <c r="BH64" s="163"/>
      <c r="BI64" s="163"/>
    </row>
    <row r="65" ht="15.75" customHeight="1">
      <c r="A65" s="37"/>
      <c r="B65" s="30"/>
      <c r="C65" s="30"/>
      <c r="D65" s="84"/>
      <c r="E65" s="30"/>
      <c r="F65" s="30"/>
      <c r="G65" s="30"/>
      <c r="H65" s="30"/>
      <c r="I65" s="30"/>
      <c r="J65" s="30"/>
      <c r="K65" s="30"/>
      <c r="L65" s="30"/>
      <c r="M65" s="30"/>
      <c r="N65" s="30"/>
      <c r="O65" s="163"/>
      <c r="P65" s="163"/>
      <c r="Q65" s="163"/>
      <c r="R65" s="163"/>
      <c r="S65" s="163"/>
      <c r="T65" s="163"/>
      <c r="U65" s="163"/>
      <c r="V65" s="163"/>
      <c r="W65" s="163"/>
      <c r="X65" s="163"/>
      <c r="Y65" s="163"/>
      <c r="Z65" s="163"/>
      <c r="AA65" s="163"/>
      <c r="AB65" s="163"/>
      <c r="AC65" s="163"/>
      <c r="AD65" s="163"/>
      <c r="AE65" s="163"/>
      <c r="AF65" s="163"/>
      <c r="AG65" s="163"/>
      <c r="AH65" s="163"/>
      <c r="AI65" s="163"/>
      <c r="AJ65" s="163"/>
      <c r="AK65" s="163"/>
      <c r="AL65" s="163"/>
      <c r="AM65" s="163"/>
      <c r="AN65" s="163"/>
      <c r="AO65" s="163"/>
      <c r="AP65" s="163"/>
      <c r="AQ65" s="163"/>
      <c r="AR65" s="163"/>
      <c r="AS65" s="163"/>
      <c r="AT65" s="163"/>
      <c r="AU65" s="163"/>
      <c r="AV65" s="163"/>
      <c r="AW65" s="163"/>
      <c r="AX65" s="163"/>
      <c r="AY65" s="163"/>
      <c r="AZ65" s="163"/>
      <c r="BA65" s="163"/>
      <c r="BB65" s="163"/>
      <c r="BC65" s="163"/>
      <c r="BD65" s="163"/>
      <c r="BE65" s="163"/>
      <c r="BF65" s="163"/>
      <c r="BG65" s="163"/>
      <c r="BH65" s="163"/>
      <c r="BI65" s="163"/>
    </row>
    <row r="66" ht="15.75" customHeight="1">
      <c r="A66" s="37"/>
      <c r="B66" s="30"/>
      <c r="C66" s="30"/>
      <c r="D66" s="84"/>
      <c r="E66" s="30"/>
      <c r="F66" s="30"/>
      <c r="G66" s="30"/>
      <c r="H66" s="30"/>
      <c r="I66" s="30"/>
      <c r="J66" s="30"/>
      <c r="K66" s="30"/>
      <c r="L66" s="30"/>
      <c r="M66" s="30"/>
      <c r="N66" s="30"/>
      <c r="O66" s="163"/>
      <c r="P66" s="163"/>
      <c r="Q66" s="163"/>
      <c r="R66" s="163"/>
      <c r="S66" s="163"/>
      <c r="T66" s="163"/>
      <c r="U66" s="163"/>
      <c r="V66" s="163"/>
      <c r="W66" s="163"/>
      <c r="X66" s="163"/>
      <c r="Y66" s="163"/>
      <c r="Z66" s="163"/>
      <c r="AA66" s="163"/>
      <c r="AB66" s="163"/>
      <c r="AC66" s="163"/>
      <c r="AD66" s="163"/>
      <c r="AE66" s="163"/>
      <c r="AF66" s="163"/>
      <c r="AG66" s="163"/>
      <c r="AH66" s="163"/>
      <c r="AI66" s="163"/>
      <c r="AJ66" s="163"/>
      <c r="AK66" s="163"/>
      <c r="AL66" s="163"/>
      <c r="AM66" s="163"/>
      <c r="AN66" s="163"/>
      <c r="AO66" s="163"/>
      <c r="AP66" s="163"/>
      <c r="AQ66" s="163"/>
      <c r="AR66" s="163"/>
      <c r="AS66" s="163"/>
      <c r="AT66" s="163"/>
      <c r="AU66" s="163"/>
      <c r="AV66" s="163"/>
      <c r="AW66" s="163"/>
      <c r="AX66" s="163"/>
      <c r="AY66" s="163"/>
      <c r="AZ66" s="163"/>
      <c r="BA66" s="163"/>
      <c r="BB66" s="163"/>
      <c r="BC66" s="163"/>
      <c r="BD66" s="163"/>
      <c r="BE66" s="163"/>
      <c r="BF66" s="163"/>
      <c r="BG66" s="163"/>
      <c r="BH66" s="163"/>
      <c r="BI66" s="163"/>
    </row>
    <row r="67" ht="15.75" customHeight="1">
      <c r="A67" s="37"/>
      <c r="B67" s="30"/>
      <c r="C67" s="30"/>
      <c r="D67" s="84"/>
      <c r="E67" s="30"/>
      <c r="F67" s="30"/>
      <c r="G67" s="30"/>
      <c r="H67" s="30"/>
      <c r="I67" s="30"/>
      <c r="J67" s="30"/>
      <c r="K67" s="30"/>
      <c r="L67" s="30"/>
      <c r="M67" s="30"/>
      <c r="N67" s="30"/>
      <c r="O67" s="163"/>
      <c r="P67" s="163"/>
      <c r="Q67" s="163"/>
      <c r="R67" s="163"/>
      <c r="S67" s="163"/>
      <c r="T67" s="163"/>
      <c r="U67" s="163"/>
      <c r="V67" s="163"/>
      <c r="W67" s="163"/>
      <c r="X67" s="163"/>
      <c r="Y67" s="163"/>
      <c r="Z67" s="163"/>
      <c r="AA67" s="163"/>
      <c r="AB67" s="163"/>
      <c r="AC67" s="163"/>
      <c r="AD67" s="163"/>
      <c r="AE67" s="163"/>
      <c r="AF67" s="163"/>
      <c r="AG67" s="163"/>
      <c r="AH67" s="163"/>
      <c r="AI67" s="163"/>
      <c r="AJ67" s="163"/>
      <c r="AK67" s="163"/>
      <c r="AL67" s="163"/>
      <c r="AM67" s="163"/>
      <c r="AN67" s="163"/>
      <c r="AO67" s="163"/>
      <c r="AP67" s="163"/>
      <c r="AQ67" s="163"/>
      <c r="AR67" s="163"/>
      <c r="AS67" s="163"/>
      <c r="AT67" s="163"/>
      <c r="AU67" s="163"/>
      <c r="AV67" s="163"/>
      <c r="AW67" s="163"/>
      <c r="AX67" s="163"/>
      <c r="AY67" s="163"/>
      <c r="AZ67" s="163"/>
      <c r="BA67" s="163"/>
      <c r="BB67" s="163"/>
      <c r="BC67" s="163"/>
      <c r="BD67" s="163"/>
      <c r="BE67" s="163"/>
      <c r="BF67" s="163"/>
      <c r="BG67" s="163"/>
      <c r="BH67" s="163"/>
      <c r="BI67" s="163"/>
    </row>
    <row r="68" ht="15.75" customHeight="1">
      <c r="A68" s="37"/>
      <c r="B68" s="30"/>
      <c r="C68" s="30"/>
      <c r="D68" s="84"/>
      <c r="E68" s="30"/>
      <c r="F68" s="30"/>
      <c r="G68" s="30"/>
      <c r="H68" s="30"/>
      <c r="I68" s="30"/>
      <c r="J68" s="30"/>
      <c r="K68" s="30"/>
      <c r="L68" s="30"/>
      <c r="M68" s="30"/>
      <c r="N68" s="30"/>
      <c r="O68" s="163"/>
      <c r="P68" s="163"/>
      <c r="Q68" s="163"/>
      <c r="R68" s="163"/>
      <c r="S68" s="163"/>
      <c r="T68" s="163"/>
      <c r="U68" s="163"/>
      <c r="V68" s="163"/>
      <c r="W68" s="163"/>
      <c r="X68" s="163"/>
      <c r="Y68" s="163"/>
      <c r="Z68" s="163"/>
      <c r="AA68" s="163"/>
      <c r="AB68" s="163"/>
      <c r="AC68" s="163"/>
      <c r="AD68" s="163"/>
      <c r="AE68" s="163"/>
      <c r="AF68" s="163"/>
      <c r="AG68" s="163"/>
      <c r="AH68" s="163"/>
      <c r="AI68" s="163"/>
      <c r="AJ68" s="163"/>
      <c r="AK68" s="163"/>
      <c r="AL68" s="163"/>
      <c r="AM68" s="163"/>
      <c r="AN68" s="163"/>
      <c r="AO68" s="163"/>
      <c r="AP68" s="163"/>
      <c r="AQ68" s="163"/>
      <c r="AR68" s="163"/>
      <c r="AS68" s="163"/>
      <c r="AT68" s="163"/>
      <c r="AU68" s="163"/>
      <c r="AV68" s="163"/>
      <c r="AW68" s="163"/>
      <c r="AX68" s="163"/>
      <c r="AY68" s="163"/>
      <c r="AZ68" s="163"/>
      <c r="BA68" s="163"/>
      <c r="BB68" s="163"/>
      <c r="BC68" s="163"/>
      <c r="BD68" s="163"/>
      <c r="BE68" s="163"/>
      <c r="BF68" s="163"/>
      <c r="BG68" s="163"/>
      <c r="BH68" s="163"/>
      <c r="BI68" s="163"/>
    </row>
    <row r="69" ht="15.75" customHeight="1">
      <c r="A69" s="37"/>
      <c r="B69" s="30"/>
      <c r="C69" s="30"/>
      <c r="D69" s="84"/>
      <c r="E69" s="30"/>
      <c r="F69" s="30"/>
      <c r="G69" s="30"/>
      <c r="H69" s="30"/>
      <c r="I69" s="30"/>
      <c r="J69" s="30"/>
      <c r="K69" s="30"/>
      <c r="L69" s="30"/>
      <c r="M69" s="30"/>
      <c r="N69" s="30"/>
      <c r="O69" s="163"/>
      <c r="P69" s="163"/>
      <c r="Q69" s="163"/>
      <c r="R69" s="163"/>
      <c r="S69" s="163"/>
      <c r="T69" s="163"/>
      <c r="U69" s="163"/>
      <c r="V69" s="163"/>
      <c r="W69" s="163"/>
      <c r="X69" s="163"/>
      <c r="Y69" s="163"/>
      <c r="Z69" s="163"/>
      <c r="AA69" s="163"/>
      <c r="AB69" s="163"/>
      <c r="AC69" s="163"/>
      <c r="AD69" s="163"/>
      <c r="AE69" s="163"/>
      <c r="AF69" s="163"/>
      <c r="AG69" s="163"/>
      <c r="AH69" s="163"/>
      <c r="AI69" s="163"/>
      <c r="AJ69" s="163"/>
      <c r="AK69" s="163"/>
      <c r="AL69" s="163"/>
      <c r="AM69" s="163"/>
      <c r="AN69" s="163"/>
      <c r="AO69" s="163"/>
      <c r="AP69" s="163"/>
      <c r="AQ69" s="163"/>
      <c r="AR69" s="163"/>
      <c r="AS69" s="163"/>
      <c r="AT69" s="163"/>
      <c r="AU69" s="163"/>
      <c r="AV69" s="163"/>
      <c r="AW69" s="163"/>
      <c r="AX69" s="163"/>
      <c r="AY69" s="163"/>
      <c r="AZ69" s="163"/>
      <c r="BA69" s="163"/>
      <c r="BB69" s="163"/>
      <c r="BC69" s="163"/>
      <c r="BD69" s="163"/>
      <c r="BE69" s="163"/>
      <c r="BF69" s="163"/>
      <c r="BG69" s="163"/>
      <c r="BH69" s="163"/>
      <c r="BI69" s="163"/>
    </row>
    <row r="70" ht="15.75" customHeight="1">
      <c r="A70" s="37"/>
      <c r="B70" s="30"/>
      <c r="C70" s="30"/>
      <c r="D70" s="84"/>
      <c r="E70" s="30"/>
      <c r="F70" s="30"/>
      <c r="G70" s="30"/>
      <c r="H70" s="30"/>
      <c r="I70" s="30"/>
      <c r="J70" s="30"/>
      <c r="K70" s="30"/>
      <c r="L70" s="30"/>
      <c r="M70" s="30"/>
      <c r="N70" s="30"/>
      <c r="O70" s="163"/>
      <c r="P70" s="163"/>
      <c r="Q70" s="163"/>
      <c r="R70" s="163"/>
      <c r="S70" s="163"/>
      <c r="T70" s="163"/>
      <c r="U70" s="163"/>
      <c r="V70" s="163"/>
      <c r="W70" s="163"/>
      <c r="X70" s="163"/>
      <c r="Y70" s="163"/>
      <c r="Z70" s="163"/>
      <c r="AA70" s="163"/>
      <c r="AB70" s="163"/>
      <c r="AC70" s="163"/>
      <c r="AD70" s="163"/>
      <c r="AE70" s="163"/>
      <c r="AF70" s="163"/>
      <c r="AG70" s="163"/>
      <c r="AH70" s="163"/>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c r="BI70" s="163"/>
    </row>
    <row r="71" ht="15.75" customHeight="1">
      <c r="A71" s="37"/>
      <c r="B71" s="30"/>
      <c r="C71" s="30"/>
      <c r="D71" s="84"/>
      <c r="E71" s="30"/>
      <c r="F71" s="30"/>
      <c r="G71" s="30"/>
      <c r="H71" s="30"/>
      <c r="I71" s="30"/>
      <c r="J71" s="30"/>
      <c r="K71" s="30"/>
      <c r="L71" s="30"/>
      <c r="M71" s="30"/>
      <c r="N71" s="30"/>
      <c r="O71" s="163"/>
      <c r="P71" s="163"/>
      <c r="Q71" s="163"/>
      <c r="R71" s="163"/>
      <c r="S71" s="163"/>
      <c r="T71" s="163"/>
      <c r="U71" s="163"/>
      <c r="V71" s="163"/>
      <c r="W71" s="163"/>
      <c r="X71" s="163"/>
      <c r="Y71" s="163"/>
      <c r="Z71" s="163"/>
      <c r="AA71" s="163"/>
      <c r="AB71" s="163"/>
      <c r="AC71" s="163"/>
      <c r="AD71" s="163"/>
      <c r="AE71" s="163"/>
      <c r="AF71" s="163"/>
      <c r="AG71" s="163"/>
      <c r="AH71" s="163"/>
      <c r="AI71" s="163"/>
      <c r="AJ71" s="163"/>
      <c r="AK71" s="163"/>
      <c r="AL71" s="163"/>
      <c r="AM71" s="163"/>
      <c r="AN71" s="163"/>
      <c r="AO71" s="163"/>
      <c r="AP71" s="163"/>
      <c r="AQ71" s="163"/>
      <c r="AR71" s="163"/>
      <c r="AS71" s="163"/>
      <c r="AT71" s="163"/>
      <c r="AU71" s="163"/>
      <c r="AV71" s="163"/>
      <c r="AW71" s="163"/>
      <c r="AX71" s="163"/>
      <c r="AY71" s="163"/>
      <c r="AZ71" s="163"/>
      <c r="BA71" s="163"/>
      <c r="BB71" s="163"/>
      <c r="BC71" s="163"/>
      <c r="BD71" s="163"/>
      <c r="BE71" s="163"/>
      <c r="BF71" s="163"/>
      <c r="BG71" s="163"/>
      <c r="BH71" s="163"/>
      <c r="BI71" s="163"/>
    </row>
    <row r="72" ht="15.75" customHeight="1">
      <c r="A72" s="37"/>
      <c r="B72" s="30"/>
      <c r="C72" s="30"/>
      <c r="D72" s="84"/>
      <c r="E72" s="30"/>
      <c r="F72" s="30"/>
      <c r="G72" s="30"/>
      <c r="H72" s="30"/>
      <c r="I72" s="30"/>
      <c r="J72" s="30"/>
      <c r="K72" s="30"/>
      <c r="L72" s="30"/>
      <c r="M72" s="30"/>
      <c r="N72" s="30"/>
      <c r="O72" s="163"/>
      <c r="P72" s="163"/>
      <c r="Q72" s="163"/>
      <c r="R72" s="163"/>
      <c r="S72" s="163"/>
      <c r="T72" s="163"/>
      <c r="U72" s="163"/>
      <c r="V72" s="163"/>
      <c r="W72" s="163"/>
      <c r="X72" s="163"/>
      <c r="Y72" s="163"/>
      <c r="Z72" s="163"/>
      <c r="AA72" s="163"/>
      <c r="AB72" s="163"/>
      <c r="AC72" s="163"/>
      <c r="AD72" s="163"/>
      <c r="AE72" s="163"/>
      <c r="AF72" s="163"/>
      <c r="AG72" s="163"/>
      <c r="AH72" s="163"/>
      <c r="AI72" s="163"/>
      <c r="AJ72" s="163"/>
      <c r="AK72" s="163"/>
      <c r="AL72" s="163"/>
      <c r="AM72" s="163"/>
      <c r="AN72" s="163"/>
      <c r="AO72" s="163"/>
      <c r="AP72" s="163"/>
      <c r="AQ72" s="163"/>
      <c r="AR72" s="163"/>
      <c r="AS72" s="163"/>
      <c r="AT72" s="163"/>
      <c r="AU72" s="163"/>
      <c r="AV72" s="163"/>
      <c r="AW72" s="163"/>
      <c r="AX72" s="163"/>
      <c r="AY72" s="163"/>
      <c r="AZ72" s="163"/>
      <c r="BA72" s="163"/>
      <c r="BB72" s="163"/>
      <c r="BC72" s="163"/>
      <c r="BD72" s="163"/>
      <c r="BE72" s="163"/>
      <c r="BF72" s="163"/>
      <c r="BG72" s="163"/>
      <c r="BH72" s="163"/>
      <c r="BI72" s="163"/>
    </row>
    <row r="73" ht="15.75" customHeight="1">
      <c r="A73" s="37"/>
      <c r="B73" s="30"/>
      <c r="C73" s="30"/>
      <c r="D73" s="84"/>
      <c r="E73" s="30"/>
      <c r="F73" s="30"/>
      <c r="G73" s="30"/>
      <c r="H73" s="30"/>
      <c r="I73" s="30"/>
      <c r="J73" s="30"/>
      <c r="K73" s="30"/>
      <c r="L73" s="30"/>
      <c r="M73" s="30"/>
      <c r="N73" s="30"/>
      <c r="O73" s="163"/>
      <c r="P73" s="163"/>
      <c r="Q73" s="163"/>
      <c r="R73" s="163"/>
      <c r="S73" s="163"/>
      <c r="T73" s="163"/>
      <c r="U73" s="163"/>
      <c r="V73" s="163"/>
      <c r="W73" s="163"/>
      <c r="X73" s="163"/>
      <c r="Y73" s="163"/>
      <c r="Z73" s="163"/>
      <c r="AA73" s="163"/>
      <c r="AB73" s="163"/>
      <c r="AC73" s="163"/>
      <c r="AD73" s="163"/>
      <c r="AE73" s="163"/>
      <c r="AF73" s="163"/>
      <c r="AG73" s="163"/>
      <c r="AH73" s="163"/>
      <c r="AI73" s="163"/>
      <c r="AJ73" s="163"/>
      <c r="AK73" s="163"/>
      <c r="AL73" s="163"/>
      <c r="AM73" s="163"/>
      <c r="AN73" s="163"/>
      <c r="AO73" s="163"/>
      <c r="AP73" s="163"/>
      <c r="AQ73" s="163"/>
      <c r="AR73" s="163"/>
      <c r="AS73" s="163"/>
      <c r="AT73" s="163"/>
      <c r="AU73" s="163"/>
      <c r="AV73" s="163"/>
      <c r="AW73" s="163"/>
      <c r="AX73" s="163"/>
      <c r="AY73" s="163"/>
      <c r="AZ73" s="163"/>
      <c r="BA73" s="163"/>
      <c r="BB73" s="163"/>
      <c r="BC73" s="163"/>
      <c r="BD73" s="163"/>
      <c r="BE73" s="163"/>
      <c r="BF73" s="163"/>
      <c r="BG73" s="163"/>
      <c r="BH73" s="163"/>
      <c r="BI73" s="163"/>
    </row>
    <row r="74" ht="15.75" customHeight="1">
      <c r="A74" s="37"/>
      <c r="B74" s="30"/>
      <c r="C74" s="30"/>
      <c r="D74" s="84"/>
      <c r="E74" s="30"/>
      <c r="F74" s="30"/>
      <c r="G74" s="30"/>
      <c r="H74" s="30"/>
      <c r="I74" s="30"/>
      <c r="J74" s="30"/>
      <c r="K74" s="30"/>
      <c r="L74" s="30"/>
      <c r="M74" s="30"/>
      <c r="N74" s="30"/>
      <c r="O74" s="163"/>
      <c r="P74" s="163"/>
      <c r="Q74" s="163"/>
      <c r="R74" s="163"/>
      <c r="S74" s="163"/>
      <c r="T74" s="163"/>
      <c r="U74" s="163"/>
      <c r="V74" s="163"/>
      <c r="W74" s="163"/>
      <c r="X74" s="163"/>
      <c r="Y74" s="163"/>
      <c r="Z74" s="163"/>
      <c r="AA74" s="163"/>
      <c r="AB74" s="163"/>
      <c r="AC74" s="163"/>
      <c r="AD74" s="163"/>
      <c r="AE74" s="163"/>
      <c r="AF74" s="163"/>
      <c r="AG74" s="163"/>
      <c r="AH74" s="163"/>
      <c r="AI74" s="163"/>
      <c r="AJ74" s="163"/>
      <c r="AK74" s="163"/>
      <c r="AL74" s="163"/>
      <c r="AM74" s="163"/>
      <c r="AN74" s="163"/>
      <c r="AO74" s="163"/>
      <c r="AP74" s="163"/>
      <c r="AQ74" s="163"/>
      <c r="AR74" s="163"/>
      <c r="AS74" s="163"/>
      <c r="AT74" s="163"/>
      <c r="AU74" s="163"/>
      <c r="AV74" s="163"/>
      <c r="AW74" s="163"/>
      <c r="AX74" s="163"/>
      <c r="AY74" s="163"/>
      <c r="AZ74" s="163"/>
      <c r="BA74" s="163"/>
      <c r="BB74" s="163"/>
      <c r="BC74" s="163"/>
      <c r="BD74" s="163"/>
      <c r="BE74" s="163"/>
      <c r="BF74" s="163"/>
      <c r="BG74" s="163"/>
      <c r="BH74" s="163"/>
      <c r="BI74" s="163"/>
    </row>
    <row r="75" ht="15.75" customHeight="1">
      <c r="A75" s="37"/>
      <c r="B75" s="30"/>
      <c r="C75" s="30"/>
      <c r="D75" s="84"/>
      <c r="E75" s="30"/>
      <c r="F75" s="30"/>
      <c r="G75" s="30"/>
      <c r="H75" s="30"/>
      <c r="I75" s="30"/>
      <c r="J75" s="30"/>
      <c r="K75" s="30"/>
      <c r="L75" s="30"/>
      <c r="M75" s="30"/>
      <c r="N75" s="30"/>
      <c r="O75" s="163"/>
      <c r="P75" s="163"/>
      <c r="Q75" s="163"/>
      <c r="R75" s="163"/>
      <c r="S75" s="163"/>
      <c r="T75" s="163"/>
      <c r="U75" s="163"/>
      <c r="V75" s="163"/>
      <c r="W75" s="163"/>
      <c r="X75" s="163"/>
      <c r="Y75" s="163"/>
      <c r="Z75" s="163"/>
      <c r="AA75" s="163"/>
      <c r="AB75" s="163"/>
      <c r="AC75" s="163"/>
      <c r="AD75" s="163"/>
      <c r="AE75" s="163"/>
      <c r="AF75" s="163"/>
      <c r="AG75" s="163"/>
      <c r="AH75" s="163"/>
      <c r="AI75" s="163"/>
      <c r="AJ75" s="163"/>
      <c r="AK75" s="163"/>
      <c r="AL75" s="163"/>
      <c r="AM75" s="163"/>
      <c r="AN75" s="163"/>
      <c r="AO75" s="163"/>
      <c r="AP75" s="163"/>
      <c r="AQ75" s="163"/>
      <c r="AR75" s="163"/>
      <c r="AS75" s="163"/>
      <c r="AT75" s="163"/>
      <c r="AU75" s="163"/>
      <c r="AV75" s="163"/>
      <c r="AW75" s="163"/>
      <c r="AX75" s="163"/>
      <c r="AY75" s="163"/>
      <c r="AZ75" s="163"/>
      <c r="BA75" s="163"/>
      <c r="BB75" s="163"/>
      <c r="BC75" s="163"/>
      <c r="BD75" s="163"/>
      <c r="BE75" s="163"/>
      <c r="BF75" s="163"/>
      <c r="BG75" s="163"/>
      <c r="BH75" s="163"/>
      <c r="BI75" s="163"/>
    </row>
    <row r="76" ht="15.75" customHeight="1">
      <c r="A76" s="37"/>
      <c r="B76" s="30"/>
      <c r="C76" s="30"/>
      <c r="D76" s="84"/>
      <c r="E76" s="30"/>
      <c r="F76" s="30"/>
      <c r="G76" s="30"/>
      <c r="H76" s="30"/>
      <c r="I76" s="30"/>
      <c r="J76" s="30"/>
      <c r="K76" s="30"/>
      <c r="L76" s="30"/>
      <c r="M76" s="30"/>
      <c r="N76" s="30"/>
      <c r="O76" s="163"/>
      <c r="P76" s="163"/>
      <c r="Q76" s="163"/>
      <c r="R76" s="163"/>
      <c r="S76" s="163"/>
      <c r="T76" s="163"/>
      <c r="U76" s="163"/>
      <c r="V76" s="163"/>
      <c r="W76" s="163"/>
      <c r="X76" s="163"/>
      <c r="Y76" s="163"/>
      <c r="Z76" s="163"/>
      <c r="AA76" s="163"/>
      <c r="AB76" s="163"/>
      <c r="AC76" s="163"/>
      <c r="AD76" s="163"/>
      <c r="AE76" s="163"/>
      <c r="AF76" s="163"/>
      <c r="AG76" s="163"/>
      <c r="AH76" s="163"/>
      <c r="AI76" s="163"/>
      <c r="AJ76" s="163"/>
      <c r="AK76" s="163"/>
      <c r="AL76" s="163"/>
      <c r="AM76" s="163"/>
      <c r="AN76" s="163"/>
      <c r="AO76" s="163"/>
      <c r="AP76" s="163"/>
      <c r="AQ76" s="163"/>
      <c r="AR76" s="163"/>
      <c r="AS76" s="163"/>
      <c r="AT76" s="163"/>
      <c r="AU76" s="163"/>
      <c r="AV76" s="163"/>
      <c r="AW76" s="163"/>
      <c r="AX76" s="163"/>
      <c r="AY76" s="163"/>
      <c r="AZ76" s="163"/>
      <c r="BA76" s="163"/>
      <c r="BB76" s="163"/>
      <c r="BC76" s="163"/>
      <c r="BD76" s="163"/>
      <c r="BE76" s="163"/>
      <c r="BF76" s="163"/>
      <c r="BG76" s="163"/>
      <c r="BH76" s="163"/>
      <c r="BI76" s="163"/>
    </row>
    <row r="77" ht="15.75" customHeight="1">
      <c r="A77" s="37"/>
      <c r="B77" s="30"/>
      <c r="C77" s="30"/>
      <c r="D77" s="84"/>
      <c r="E77" s="30"/>
      <c r="F77" s="30"/>
      <c r="G77" s="30"/>
      <c r="H77" s="30"/>
      <c r="I77" s="30"/>
      <c r="J77" s="30"/>
      <c r="K77" s="30"/>
      <c r="L77" s="30"/>
      <c r="M77" s="30"/>
      <c r="N77" s="30"/>
      <c r="O77" s="163"/>
      <c r="P77" s="163"/>
      <c r="Q77" s="163"/>
      <c r="R77" s="163"/>
      <c r="S77" s="163"/>
      <c r="T77" s="163"/>
      <c r="U77" s="163"/>
      <c r="V77" s="163"/>
      <c r="W77" s="163"/>
      <c r="X77" s="163"/>
      <c r="Y77" s="163"/>
      <c r="Z77" s="163"/>
      <c r="AA77" s="163"/>
      <c r="AB77" s="163"/>
      <c r="AC77" s="163"/>
      <c r="AD77" s="163"/>
      <c r="AE77" s="163"/>
      <c r="AF77" s="163"/>
      <c r="AG77" s="163"/>
      <c r="AH77" s="163"/>
      <c r="AI77" s="163"/>
      <c r="AJ77" s="163"/>
      <c r="AK77" s="163"/>
      <c r="AL77" s="163"/>
      <c r="AM77" s="163"/>
      <c r="AN77" s="163"/>
      <c r="AO77" s="163"/>
      <c r="AP77" s="163"/>
      <c r="AQ77" s="163"/>
      <c r="AR77" s="163"/>
      <c r="AS77" s="163"/>
      <c r="AT77" s="163"/>
      <c r="AU77" s="163"/>
      <c r="AV77" s="163"/>
      <c r="AW77" s="163"/>
      <c r="AX77" s="163"/>
      <c r="AY77" s="163"/>
      <c r="AZ77" s="163"/>
      <c r="BA77" s="163"/>
      <c r="BB77" s="163"/>
      <c r="BC77" s="163"/>
      <c r="BD77" s="163"/>
      <c r="BE77" s="163"/>
      <c r="BF77" s="163"/>
      <c r="BG77" s="163"/>
      <c r="BH77" s="163"/>
      <c r="BI77" s="163"/>
    </row>
    <row r="78" ht="15.75" customHeight="1">
      <c r="A78" s="37"/>
      <c r="B78" s="30"/>
      <c r="C78" s="30"/>
      <c r="D78" s="84"/>
      <c r="E78" s="30"/>
      <c r="F78" s="30"/>
      <c r="G78" s="30"/>
      <c r="H78" s="30"/>
      <c r="I78" s="30"/>
      <c r="J78" s="30"/>
      <c r="K78" s="30"/>
      <c r="L78" s="30"/>
      <c r="M78" s="30"/>
      <c r="N78" s="30"/>
      <c r="O78" s="163"/>
      <c r="P78" s="163"/>
      <c r="Q78" s="163"/>
      <c r="R78" s="163"/>
      <c r="S78" s="163"/>
      <c r="T78" s="163"/>
      <c r="U78" s="163"/>
      <c r="V78" s="163"/>
      <c r="W78" s="163"/>
      <c r="X78" s="163"/>
      <c r="Y78" s="163"/>
      <c r="Z78" s="163"/>
      <c r="AA78" s="163"/>
      <c r="AB78" s="163"/>
      <c r="AC78" s="163"/>
      <c r="AD78" s="163"/>
      <c r="AE78" s="163"/>
      <c r="AF78" s="163"/>
      <c r="AG78" s="163"/>
      <c r="AH78" s="163"/>
      <c r="AI78" s="163"/>
      <c r="AJ78" s="163"/>
      <c r="AK78" s="163"/>
      <c r="AL78" s="163"/>
      <c r="AM78" s="163"/>
      <c r="AN78" s="163"/>
      <c r="AO78" s="163"/>
      <c r="AP78" s="163"/>
      <c r="AQ78" s="163"/>
      <c r="AR78" s="163"/>
      <c r="AS78" s="163"/>
      <c r="AT78" s="163"/>
      <c r="AU78" s="163"/>
      <c r="AV78" s="163"/>
      <c r="AW78" s="163"/>
      <c r="AX78" s="163"/>
      <c r="AY78" s="163"/>
      <c r="AZ78" s="163"/>
      <c r="BA78" s="163"/>
      <c r="BB78" s="163"/>
      <c r="BC78" s="163"/>
      <c r="BD78" s="163"/>
      <c r="BE78" s="163"/>
      <c r="BF78" s="163"/>
      <c r="BG78" s="163"/>
      <c r="BH78" s="163"/>
      <c r="BI78" s="163"/>
    </row>
    <row r="79" ht="15.75" customHeight="1">
      <c r="A79" s="37"/>
      <c r="B79" s="30"/>
      <c r="C79" s="30"/>
      <c r="D79" s="84"/>
      <c r="E79" s="30"/>
      <c r="F79" s="30"/>
      <c r="G79" s="30"/>
      <c r="H79" s="30"/>
      <c r="I79" s="30"/>
      <c r="J79" s="30"/>
      <c r="K79" s="30"/>
      <c r="L79" s="30"/>
      <c r="M79" s="30"/>
      <c r="N79" s="30"/>
      <c r="O79" s="163"/>
      <c r="P79" s="163"/>
      <c r="Q79" s="163"/>
      <c r="R79" s="163"/>
      <c r="S79" s="163"/>
      <c r="T79" s="163"/>
      <c r="U79" s="163"/>
      <c r="V79" s="163"/>
      <c r="W79" s="163"/>
      <c r="X79" s="163"/>
      <c r="Y79" s="163"/>
      <c r="Z79" s="163"/>
      <c r="AA79" s="163"/>
      <c r="AB79" s="163"/>
      <c r="AC79" s="163"/>
      <c r="AD79" s="163"/>
      <c r="AE79" s="163"/>
      <c r="AF79" s="163"/>
      <c r="AG79" s="163"/>
      <c r="AH79" s="163"/>
      <c r="AI79" s="163"/>
      <c r="AJ79" s="163"/>
      <c r="AK79" s="163"/>
      <c r="AL79" s="163"/>
      <c r="AM79" s="163"/>
      <c r="AN79" s="163"/>
      <c r="AO79" s="163"/>
      <c r="AP79" s="163"/>
      <c r="AQ79" s="163"/>
      <c r="AR79" s="163"/>
      <c r="AS79" s="163"/>
      <c r="AT79" s="163"/>
      <c r="AU79" s="163"/>
      <c r="AV79" s="163"/>
      <c r="AW79" s="163"/>
      <c r="AX79" s="163"/>
      <c r="AY79" s="163"/>
      <c r="AZ79" s="163"/>
      <c r="BA79" s="163"/>
      <c r="BB79" s="163"/>
      <c r="BC79" s="163"/>
      <c r="BD79" s="163"/>
      <c r="BE79" s="163"/>
      <c r="BF79" s="163"/>
      <c r="BG79" s="163"/>
      <c r="BH79" s="163"/>
      <c r="BI79" s="163"/>
    </row>
    <row r="80" ht="15.75" customHeight="1">
      <c r="A80" s="37"/>
      <c r="B80" s="30"/>
      <c r="C80" s="30"/>
      <c r="D80" s="84"/>
      <c r="E80" s="30"/>
      <c r="F80" s="30"/>
      <c r="G80" s="30"/>
      <c r="H80" s="30"/>
      <c r="I80" s="30"/>
      <c r="J80" s="30"/>
      <c r="K80" s="30"/>
      <c r="L80" s="30"/>
      <c r="M80" s="30"/>
      <c r="N80" s="30"/>
      <c r="O80" s="163"/>
      <c r="P80" s="163"/>
      <c r="Q80" s="163"/>
      <c r="R80" s="163"/>
      <c r="S80" s="163"/>
      <c r="T80" s="163"/>
      <c r="U80" s="163"/>
      <c r="V80" s="163"/>
      <c r="W80" s="163"/>
      <c r="X80" s="163"/>
      <c r="Y80" s="163"/>
      <c r="Z80" s="163"/>
      <c r="AA80" s="163"/>
      <c r="AB80" s="163"/>
      <c r="AC80" s="163"/>
      <c r="AD80" s="163"/>
      <c r="AE80" s="163"/>
      <c r="AF80" s="163"/>
      <c r="AG80" s="163"/>
      <c r="AH80" s="163"/>
      <c r="AI80" s="163"/>
      <c r="AJ80" s="163"/>
      <c r="AK80" s="163"/>
      <c r="AL80" s="163"/>
      <c r="AM80" s="163"/>
      <c r="AN80" s="163"/>
      <c r="AO80" s="163"/>
      <c r="AP80" s="163"/>
      <c r="AQ80" s="163"/>
      <c r="AR80" s="163"/>
      <c r="AS80" s="163"/>
      <c r="AT80" s="163"/>
      <c r="AU80" s="163"/>
      <c r="AV80" s="163"/>
      <c r="AW80" s="163"/>
      <c r="AX80" s="163"/>
      <c r="AY80" s="163"/>
      <c r="AZ80" s="163"/>
      <c r="BA80" s="163"/>
      <c r="BB80" s="163"/>
      <c r="BC80" s="163"/>
      <c r="BD80" s="163"/>
      <c r="BE80" s="163"/>
      <c r="BF80" s="163"/>
      <c r="BG80" s="163"/>
      <c r="BH80" s="163"/>
      <c r="BI80" s="163"/>
    </row>
    <row r="81" ht="15.75" customHeight="1">
      <c r="A81" s="37"/>
      <c r="B81" s="30"/>
      <c r="C81" s="30"/>
      <c r="D81" s="84"/>
      <c r="E81" s="30"/>
      <c r="F81" s="30"/>
      <c r="G81" s="30"/>
      <c r="H81" s="30"/>
      <c r="I81" s="30"/>
      <c r="J81" s="30"/>
      <c r="K81" s="30"/>
      <c r="L81" s="30"/>
      <c r="M81" s="30"/>
      <c r="N81" s="30"/>
      <c r="O81" s="163"/>
      <c r="P81" s="163"/>
      <c r="Q81" s="163"/>
      <c r="R81" s="163"/>
      <c r="S81" s="163"/>
      <c r="T81" s="163"/>
      <c r="U81" s="163"/>
      <c r="V81" s="163"/>
      <c r="W81" s="163"/>
      <c r="X81" s="163"/>
      <c r="Y81" s="163"/>
      <c r="Z81" s="163"/>
      <c r="AA81" s="163"/>
      <c r="AB81" s="163"/>
      <c r="AC81" s="163"/>
      <c r="AD81" s="163"/>
      <c r="AE81" s="163"/>
      <c r="AF81" s="163"/>
      <c r="AG81" s="163"/>
      <c r="AH81" s="163"/>
      <c r="AI81" s="163"/>
      <c r="AJ81" s="163"/>
      <c r="AK81" s="163"/>
      <c r="AL81" s="163"/>
      <c r="AM81" s="163"/>
      <c r="AN81" s="163"/>
      <c r="AO81" s="163"/>
      <c r="AP81" s="163"/>
      <c r="AQ81" s="163"/>
      <c r="AR81" s="163"/>
      <c r="AS81" s="163"/>
      <c r="AT81" s="163"/>
      <c r="AU81" s="163"/>
      <c r="AV81" s="163"/>
      <c r="AW81" s="163"/>
      <c r="AX81" s="163"/>
      <c r="AY81" s="163"/>
      <c r="AZ81" s="163"/>
      <c r="BA81" s="163"/>
      <c r="BB81" s="163"/>
      <c r="BC81" s="163"/>
      <c r="BD81" s="163"/>
      <c r="BE81" s="163"/>
      <c r="BF81" s="163"/>
      <c r="BG81" s="163"/>
      <c r="BH81" s="163"/>
      <c r="BI81" s="163"/>
    </row>
    <row r="82" ht="15.75" customHeight="1">
      <c r="A82" s="37"/>
      <c r="B82" s="30"/>
      <c r="C82" s="30"/>
      <c r="D82" s="84"/>
      <c r="E82" s="30"/>
      <c r="F82" s="30"/>
      <c r="G82" s="30"/>
      <c r="H82" s="30"/>
      <c r="I82" s="30"/>
      <c r="J82" s="30"/>
      <c r="K82" s="30"/>
      <c r="L82" s="30"/>
      <c r="M82" s="30"/>
      <c r="N82" s="30"/>
      <c r="O82" s="163"/>
      <c r="P82" s="163"/>
      <c r="Q82" s="163"/>
      <c r="R82" s="163"/>
      <c r="S82" s="163"/>
      <c r="T82" s="163"/>
      <c r="U82" s="163"/>
      <c r="V82" s="163"/>
      <c r="W82" s="163"/>
      <c r="X82" s="163"/>
      <c r="Y82" s="163"/>
      <c r="Z82" s="163"/>
      <c r="AA82" s="163"/>
      <c r="AB82" s="163"/>
      <c r="AC82" s="163"/>
      <c r="AD82" s="163"/>
      <c r="AE82" s="163"/>
      <c r="AF82" s="163"/>
      <c r="AG82" s="163"/>
      <c r="AH82" s="163"/>
      <c r="AI82" s="163"/>
      <c r="AJ82" s="163"/>
      <c r="AK82" s="163"/>
      <c r="AL82" s="163"/>
      <c r="AM82" s="163"/>
      <c r="AN82" s="163"/>
      <c r="AO82" s="163"/>
      <c r="AP82" s="163"/>
      <c r="AQ82" s="163"/>
      <c r="AR82" s="163"/>
      <c r="AS82" s="163"/>
      <c r="AT82" s="163"/>
      <c r="AU82" s="163"/>
      <c r="AV82" s="163"/>
      <c r="AW82" s="163"/>
      <c r="AX82" s="163"/>
      <c r="AY82" s="163"/>
      <c r="AZ82" s="163"/>
      <c r="BA82" s="163"/>
      <c r="BB82" s="163"/>
      <c r="BC82" s="163"/>
      <c r="BD82" s="163"/>
      <c r="BE82" s="163"/>
      <c r="BF82" s="163"/>
      <c r="BG82" s="163"/>
      <c r="BH82" s="163"/>
      <c r="BI82" s="163"/>
    </row>
    <row r="83" ht="15.75" customHeight="1">
      <c r="A83" s="37"/>
      <c r="B83" s="30"/>
      <c r="C83" s="30"/>
      <c r="D83" s="84"/>
      <c r="E83" s="30"/>
      <c r="F83" s="30"/>
      <c r="G83" s="30"/>
      <c r="H83" s="30"/>
      <c r="I83" s="30"/>
      <c r="J83" s="30"/>
      <c r="K83" s="30"/>
      <c r="L83" s="30"/>
      <c r="M83" s="30"/>
      <c r="N83" s="30"/>
      <c r="O83" s="163"/>
      <c r="P83" s="163"/>
      <c r="Q83" s="163"/>
      <c r="R83" s="163"/>
      <c r="S83" s="163"/>
      <c r="T83" s="163"/>
      <c r="U83" s="163"/>
      <c r="V83" s="163"/>
      <c r="W83" s="163"/>
      <c r="X83" s="163"/>
      <c r="Y83" s="163"/>
      <c r="Z83" s="163"/>
      <c r="AA83" s="163"/>
      <c r="AB83" s="163"/>
      <c r="AC83" s="163"/>
      <c r="AD83" s="163"/>
      <c r="AE83" s="163"/>
      <c r="AF83" s="163"/>
      <c r="AG83" s="163"/>
      <c r="AH83" s="163"/>
      <c r="AI83" s="163"/>
      <c r="AJ83" s="163"/>
      <c r="AK83" s="163"/>
      <c r="AL83" s="163"/>
      <c r="AM83" s="163"/>
      <c r="AN83" s="163"/>
      <c r="AO83" s="163"/>
      <c r="AP83" s="163"/>
      <c r="AQ83" s="163"/>
      <c r="AR83" s="163"/>
      <c r="AS83" s="163"/>
      <c r="AT83" s="163"/>
      <c r="AU83" s="163"/>
      <c r="AV83" s="163"/>
      <c r="AW83" s="163"/>
      <c r="AX83" s="163"/>
      <c r="AY83" s="163"/>
      <c r="AZ83" s="163"/>
      <c r="BA83" s="163"/>
      <c r="BB83" s="163"/>
      <c r="BC83" s="163"/>
      <c r="BD83" s="163"/>
      <c r="BE83" s="163"/>
      <c r="BF83" s="163"/>
      <c r="BG83" s="163"/>
      <c r="BH83" s="163"/>
      <c r="BI83" s="163"/>
    </row>
    <row r="84" ht="15.75" customHeight="1">
      <c r="A84" s="37"/>
      <c r="B84" s="30"/>
      <c r="C84" s="30"/>
      <c r="D84" s="84"/>
      <c r="E84" s="30"/>
      <c r="F84" s="30"/>
      <c r="G84" s="30"/>
      <c r="H84" s="30"/>
      <c r="I84" s="30"/>
      <c r="J84" s="30"/>
      <c r="K84" s="30"/>
      <c r="L84" s="30"/>
      <c r="M84" s="30"/>
      <c r="N84" s="30"/>
      <c r="O84" s="163"/>
      <c r="P84" s="163"/>
      <c r="Q84" s="163"/>
      <c r="R84" s="163"/>
      <c r="S84" s="163"/>
      <c r="T84" s="163"/>
      <c r="U84" s="163"/>
      <c r="V84" s="163"/>
      <c r="W84" s="163"/>
      <c r="X84" s="163"/>
      <c r="Y84" s="163"/>
      <c r="Z84" s="163"/>
      <c r="AA84" s="163"/>
      <c r="AB84" s="163"/>
      <c r="AC84" s="163"/>
      <c r="AD84" s="163"/>
      <c r="AE84" s="163"/>
      <c r="AF84" s="163"/>
      <c r="AG84" s="163"/>
      <c r="AH84" s="163"/>
      <c r="AI84" s="163"/>
      <c r="AJ84" s="163"/>
      <c r="AK84" s="163"/>
      <c r="AL84" s="163"/>
      <c r="AM84" s="163"/>
      <c r="AN84" s="163"/>
      <c r="AO84" s="163"/>
      <c r="AP84" s="163"/>
      <c r="AQ84" s="163"/>
      <c r="AR84" s="163"/>
      <c r="AS84" s="163"/>
      <c r="AT84" s="163"/>
      <c r="AU84" s="163"/>
      <c r="AV84" s="163"/>
      <c r="AW84" s="163"/>
      <c r="AX84" s="163"/>
      <c r="AY84" s="163"/>
      <c r="AZ84" s="163"/>
      <c r="BA84" s="163"/>
      <c r="BB84" s="163"/>
      <c r="BC84" s="163"/>
      <c r="BD84" s="163"/>
      <c r="BE84" s="163"/>
      <c r="BF84" s="163"/>
      <c r="BG84" s="163"/>
      <c r="BH84" s="163"/>
      <c r="BI84" s="163"/>
    </row>
    <row r="85" ht="15.75" customHeight="1">
      <c r="A85" s="37"/>
      <c r="B85" s="30"/>
      <c r="C85" s="30"/>
      <c r="D85" s="84"/>
      <c r="E85" s="30"/>
      <c r="F85" s="30"/>
      <c r="G85" s="30"/>
      <c r="H85" s="30"/>
      <c r="I85" s="30"/>
      <c r="J85" s="30"/>
      <c r="K85" s="30"/>
      <c r="L85" s="30"/>
      <c r="M85" s="30"/>
      <c r="N85" s="30"/>
      <c r="O85" s="163"/>
      <c r="P85" s="163"/>
      <c r="Q85" s="163"/>
      <c r="R85" s="163"/>
      <c r="S85" s="163"/>
      <c r="T85" s="163"/>
      <c r="U85" s="163"/>
      <c r="V85" s="163"/>
      <c r="W85" s="163"/>
      <c r="X85" s="163"/>
      <c r="Y85" s="163"/>
      <c r="Z85" s="163"/>
      <c r="AA85" s="163"/>
      <c r="AB85" s="163"/>
      <c r="AC85" s="163"/>
      <c r="AD85" s="163"/>
      <c r="AE85" s="163"/>
      <c r="AF85" s="163"/>
      <c r="AG85" s="163"/>
      <c r="AH85" s="163"/>
      <c r="AI85" s="163"/>
      <c r="AJ85" s="163"/>
      <c r="AK85" s="163"/>
      <c r="AL85" s="163"/>
      <c r="AM85" s="163"/>
      <c r="AN85" s="163"/>
      <c r="AO85" s="163"/>
      <c r="AP85" s="163"/>
      <c r="AQ85" s="163"/>
      <c r="AR85" s="163"/>
      <c r="AS85" s="163"/>
      <c r="AT85" s="163"/>
      <c r="AU85" s="163"/>
      <c r="AV85" s="163"/>
      <c r="AW85" s="163"/>
      <c r="AX85" s="163"/>
      <c r="AY85" s="163"/>
      <c r="AZ85" s="163"/>
      <c r="BA85" s="163"/>
      <c r="BB85" s="163"/>
      <c r="BC85" s="163"/>
      <c r="BD85" s="163"/>
      <c r="BE85" s="163"/>
      <c r="BF85" s="163"/>
      <c r="BG85" s="163"/>
      <c r="BH85" s="163"/>
      <c r="BI85" s="163"/>
    </row>
    <row r="86" ht="15.75" customHeight="1">
      <c r="A86" s="37"/>
      <c r="B86" s="30"/>
      <c r="C86" s="30"/>
      <c r="D86" s="84"/>
      <c r="E86" s="30"/>
      <c r="F86" s="30"/>
      <c r="G86" s="30"/>
      <c r="H86" s="30"/>
      <c r="I86" s="30"/>
      <c r="J86" s="30"/>
      <c r="K86" s="30"/>
      <c r="L86" s="30"/>
      <c r="M86" s="30"/>
      <c r="N86" s="30"/>
      <c r="O86" s="163"/>
      <c r="P86" s="163"/>
      <c r="Q86" s="163"/>
      <c r="R86" s="163"/>
      <c r="S86" s="163"/>
      <c r="T86" s="163"/>
      <c r="U86" s="163"/>
      <c r="V86" s="163"/>
      <c r="W86" s="163"/>
      <c r="X86" s="163"/>
      <c r="Y86" s="163"/>
      <c r="Z86" s="163"/>
      <c r="AA86" s="163"/>
      <c r="AB86" s="163"/>
      <c r="AC86" s="163"/>
      <c r="AD86" s="163"/>
      <c r="AE86" s="163"/>
      <c r="AF86" s="163"/>
      <c r="AG86" s="163"/>
      <c r="AH86" s="163"/>
      <c r="AI86" s="163"/>
      <c r="AJ86" s="163"/>
      <c r="AK86" s="163"/>
      <c r="AL86" s="163"/>
      <c r="AM86" s="163"/>
      <c r="AN86" s="163"/>
      <c r="AO86" s="163"/>
      <c r="AP86" s="163"/>
      <c r="AQ86" s="163"/>
      <c r="AR86" s="163"/>
      <c r="AS86" s="163"/>
      <c r="AT86" s="163"/>
      <c r="AU86" s="163"/>
      <c r="AV86" s="163"/>
      <c r="AW86" s="163"/>
      <c r="AX86" s="163"/>
      <c r="AY86" s="163"/>
      <c r="AZ86" s="163"/>
      <c r="BA86" s="163"/>
      <c r="BB86" s="163"/>
      <c r="BC86" s="163"/>
      <c r="BD86" s="163"/>
      <c r="BE86" s="163"/>
      <c r="BF86" s="163"/>
      <c r="BG86" s="163"/>
      <c r="BH86" s="163"/>
      <c r="BI86" s="163"/>
    </row>
    <row r="87" ht="15.75" customHeight="1">
      <c r="A87" s="37"/>
      <c r="B87" s="30"/>
      <c r="C87" s="30"/>
      <c r="D87" s="84"/>
      <c r="E87" s="30"/>
      <c r="F87" s="30"/>
      <c r="G87" s="30"/>
      <c r="H87" s="30"/>
      <c r="I87" s="30"/>
      <c r="J87" s="30"/>
      <c r="K87" s="30"/>
      <c r="L87" s="30"/>
      <c r="M87" s="30"/>
      <c r="N87" s="30"/>
      <c r="O87" s="163"/>
      <c r="P87" s="163"/>
      <c r="Q87" s="163"/>
      <c r="R87" s="163"/>
      <c r="S87" s="163"/>
      <c r="T87" s="163"/>
      <c r="U87" s="163"/>
      <c r="V87" s="163"/>
      <c r="W87" s="163"/>
      <c r="X87" s="163"/>
      <c r="Y87" s="163"/>
      <c r="Z87" s="163"/>
      <c r="AA87" s="163"/>
      <c r="AB87" s="163"/>
      <c r="AC87" s="163"/>
      <c r="AD87" s="163"/>
      <c r="AE87" s="163"/>
      <c r="AF87" s="163"/>
      <c r="AG87" s="163"/>
      <c r="AH87" s="163"/>
      <c r="AI87" s="163"/>
      <c r="AJ87" s="163"/>
      <c r="AK87" s="163"/>
      <c r="AL87" s="163"/>
      <c r="AM87" s="163"/>
      <c r="AN87" s="163"/>
      <c r="AO87" s="163"/>
      <c r="AP87" s="163"/>
      <c r="AQ87" s="163"/>
      <c r="AR87" s="163"/>
      <c r="AS87" s="163"/>
      <c r="AT87" s="163"/>
      <c r="AU87" s="163"/>
      <c r="AV87" s="163"/>
      <c r="AW87" s="163"/>
      <c r="AX87" s="163"/>
      <c r="AY87" s="163"/>
      <c r="AZ87" s="163"/>
      <c r="BA87" s="163"/>
      <c r="BB87" s="163"/>
      <c r="BC87" s="163"/>
      <c r="BD87" s="163"/>
      <c r="BE87" s="163"/>
      <c r="BF87" s="163"/>
      <c r="BG87" s="163"/>
      <c r="BH87" s="163"/>
      <c r="BI87" s="163"/>
    </row>
    <row r="88" ht="15.75" customHeight="1">
      <c r="A88" s="37"/>
      <c r="B88" s="30"/>
      <c r="C88" s="30"/>
      <c r="D88" s="84"/>
      <c r="E88" s="30"/>
      <c r="F88" s="30"/>
      <c r="G88" s="30"/>
      <c r="H88" s="30"/>
      <c r="I88" s="30"/>
      <c r="J88" s="30"/>
      <c r="K88" s="30"/>
      <c r="L88" s="30"/>
      <c r="M88" s="30"/>
      <c r="N88" s="30"/>
      <c r="O88" s="163"/>
      <c r="P88" s="163"/>
      <c r="Q88" s="163"/>
      <c r="R88" s="163"/>
      <c r="S88" s="163"/>
      <c r="T88" s="163"/>
      <c r="U88" s="163"/>
      <c r="V88" s="163"/>
      <c r="W88" s="163"/>
      <c r="X88" s="163"/>
      <c r="Y88" s="163"/>
      <c r="Z88" s="163"/>
      <c r="AA88" s="163"/>
      <c r="AB88" s="163"/>
      <c r="AC88" s="163"/>
      <c r="AD88" s="163"/>
      <c r="AE88" s="163"/>
      <c r="AF88" s="163"/>
      <c r="AG88" s="163"/>
      <c r="AH88" s="163"/>
      <c r="AI88" s="163"/>
      <c r="AJ88" s="163"/>
      <c r="AK88" s="163"/>
      <c r="AL88" s="163"/>
      <c r="AM88" s="163"/>
      <c r="AN88" s="163"/>
      <c r="AO88" s="163"/>
      <c r="AP88" s="163"/>
      <c r="AQ88" s="163"/>
      <c r="AR88" s="163"/>
      <c r="AS88" s="163"/>
      <c r="AT88" s="163"/>
      <c r="AU88" s="163"/>
      <c r="AV88" s="163"/>
      <c r="AW88" s="163"/>
      <c r="AX88" s="163"/>
      <c r="AY88" s="163"/>
      <c r="AZ88" s="163"/>
      <c r="BA88" s="163"/>
      <c r="BB88" s="163"/>
      <c r="BC88" s="163"/>
      <c r="BD88" s="163"/>
      <c r="BE88" s="163"/>
      <c r="BF88" s="163"/>
      <c r="BG88" s="163"/>
      <c r="BH88" s="163"/>
      <c r="BI88" s="163"/>
    </row>
    <row r="89" ht="15.75" customHeight="1">
      <c r="A89" s="37"/>
      <c r="B89" s="30"/>
      <c r="C89" s="30"/>
      <c r="D89" s="84"/>
      <c r="E89" s="30"/>
      <c r="F89" s="30"/>
      <c r="G89" s="30"/>
      <c r="H89" s="30"/>
      <c r="I89" s="30"/>
      <c r="J89" s="30"/>
      <c r="K89" s="30"/>
      <c r="L89" s="30"/>
      <c r="M89" s="30"/>
      <c r="N89" s="30"/>
      <c r="O89" s="163"/>
      <c r="P89" s="163"/>
      <c r="Q89" s="163"/>
      <c r="R89" s="163"/>
      <c r="S89" s="163"/>
      <c r="T89" s="163"/>
      <c r="U89" s="163"/>
      <c r="V89" s="163"/>
      <c r="W89" s="163"/>
      <c r="X89" s="163"/>
      <c r="Y89" s="163"/>
      <c r="Z89" s="163"/>
      <c r="AA89" s="163"/>
      <c r="AB89" s="163"/>
      <c r="AC89" s="163"/>
      <c r="AD89" s="163"/>
      <c r="AE89" s="163"/>
      <c r="AF89" s="163"/>
      <c r="AG89" s="163"/>
      <c r="AH89" s="163"/>
      <c r="AI89" s="163"/>
      <c r="AJ89" s="163"/>
      <c r="AK89" s="163"/>
      <c r="AL89" s="163"/>
      <c r="AM89" s="163"/>
      <c r="AN89" s="163"/>
      <c r="AO89" s="163"/>
      <c r="AP89" s="163"/>
      <c r="AQ89" s="163"/>
      <c r="AR89" s="163"/>
      <c r="AS89" s="163"/>
      <c r="AT89" s="163"/>
      <c r="AU89" s="163"/>
      <c r="AV89" s="163"/>
      <c r="AW89" s="163"/>
      <c r="AX89" s="163"/>
      <c r="AY89" s="163"/>
      <c r="AZ89" s="163"/>
      <c r="BA89" s="163"/>
      <c r="BB89" s="163"/>
      <c r="BC89" s="163"/>
      <c r="BD89" s="163"/>
      <c r="BE89" s="163"/>
      <c r="BF89" s="163"/>
      <c r="BG89" s="163"/>
      <c r="BH89" s="163"/>
      <c r="BI89" s="163"/>
    </row>
    <row r="90" ht="15.75" customHeight="1">
      <c r="A90" s="37"/>
      <c r="B90" s="30"/>
      <c r="C90" s="30"/>
      <c r="D90" s="84"/>
      <c r="E90" s="30"/>
      <c r="F90" s="30"/>
      <c r="G90" s="30"/>
      <c r="H90" s="30"/>
      <c r="I90" s="30"/>
      <c r="J90" s="30"/>
      <c r="K90" s="30"/>
      <c r="L90" s="30"/>
      <c r="M90" s="30"/>
      <c r="N90" s="30"/>
      <c r="O90" s="163"/>
      <c r="P90" s="163"/>
      <c r="Q90" s="163"/>
      <c r="R90" s="163"/>
      <c r="S90" s="163"/>
      <c r="T90" s="163"/>
      <c r="U90" s="163"/>
      <c r="V90" s="163"/>
      <c r="W90" s="163"/>
      <c r="X90" s="163"/>
      <c r="Y90" s="163"/>
      <c r="Z90" s="163"/>
      <c r="AA90" s="163"/>
      <c r="AB90" s="163"/>
      <c r="AC90" s="163"/>
      <c r="AD90" s="163"/>
      <c r="AE90" s="163"/>
      <c r="AF90" s="163"/>
      <c r="AG90" s="163"/>
      <c r="AH90" s="163"/>
      <c r="AI90" s="163"/>
      <c r="AJ90" s="163"/>
      <c r="AK90" s="163"/>
      <c r="AL90" s="163"/>
      <c r="AM90" s="163"/>
      <c r="AN90" s="163"/>
      <c r="AO90" s="163"/>
      <c r="AP90" s="163"/>
      <c r="AQ90" s="163"/>
      <c r="AR90" s="163"/>
      <c r="AS90" s="163"/>
      <c r="AT90" s="163"/>
      <c r="AU90" s="163"/>
      <c r="AV90" s="163"/>
      <c r="AW90" s="163"/>
      <c r="AX90" s="163"/>
      <c r="AY90" s="163"/>
      <c r="AZ90" s="163"/>
      <c r="BA90" s="163"/>
      <c r="BB90" s="163"/>
      <c r="BC90" s="163"/>
      <c r="BD90" s="163"/>
      <c r="BE90" s="163"/>
      <c r="BF90" s="163"/>
      <c r="BG90" s="163"/>
      <c r="BH90" s="163"/>
      <c r="BI90" s="163"/>
    </row>
    <row r="91" ht="15.75" customHeight="1">
      <c r="A91" s="37"/>
      <c r="B91" s="30"/>
      <c r="C91" s="30"/>
      <c r="D91" s="84"/>
      <c r="E91" s="30"/>
      <c r="F91" s="30"/>
      <c r="G91" s="30"/>
      <c r="H91" s="30"/>
      <c r="I91" s="30"/>
      <c r="J91" s="30"/>
      <c r="K91" s="30"/>
      <c r="L91" s="30"/>
      <c r="M91" s="30"/>
      <c r="N91" s="30"/>
      <c r="O91" s="163"/>
      <c r="P91" s="163"/>
      <c r="Q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c r="AN91" s="163"/>
      <c r="AO91" s="163"/>
      <c r="AP91" s="163"/>
      <c r="AQ91" s="163"/>
      <c r="AR91" s="163"/>
      <c r="AS91" s="163"/>
      <c r="AT91" s="163"/>
      <c r="AU91" s="163"/>
      <c r="AV91" s="163"/>
      <c r="AW91" s="163"/>
      <c r="AX91" s="163"/>
      <c r="AY91" s="163"/>
      <c r="AZ91" s="163"/>
      <c r="BA91" s="163"/>
      <c r="BB91" s="163"/>
      <c r="BC91" s="163"/>
      <c r="BD91" s="163"/>
      <c r="BE91" s="163"/>
      <c r="BF91" s="163"/>
      <c r="BG91" s="163"/>
      <c r="BH91" s="163"/>
      <c r="BI91" s="163"/>
    </row>
    <row r="92" ht="15.75" customHeight="1">
      <c r="A92" s="37"/>
      <c r="B92" s="30"/>
      <c r="C92" s="30"/>
      <c r="D92" s="84"/>
      <c r="E92" s="30"/>
      <c r="F92" s="30"/>
      <c r="G92" s="30"/>
      <c r="H92" s="30"/>
      <c r="I92" s="30"/>
      <c r="J92" s="30"/>
      <c r="K92" s="30"/>
      <c r="L92" s="30"/>
      <c r="M92" s="30"/>
      <c r="N92" s="30"/>
      <c r="O92" s="163"/>
      <c r="P92" s="163"/>
      <c r="Q92" s="163"/>
      <c r="R92" s="163"/>
      <c r="S92" s="163"/>
      <c r="T92" s="163"/>
      <c r="U92" s="163"/>
      <c r="V92" s="163"/>
      <c r="W92" s="163"/>
      <c r="X92" s="163"/>
      <c r="Y92" s="163"/>
      <c r="Z92" s="163"/>
      <c r="AA92" s="163"/>
      <c r="AB92" s="163"/>
      <c r="AC92" s="163"/>
      <c r="AD92" s="163"/>
      <c r="AE92" s="163"/>
      <c r="AF92" s="163"/>
      <c r="AG92" s="163"/>
      <c r="AH92" s="163"/>
      <c r="AI92" s="163"/>
      <c r="AJ92" s="163"/>
      <c r="AK92" s="163"/>
      <c r="AL92" s="163"/>
      <c r="AM92" s="163"/>
      <c r="AN92" s="163"/>
      <c r="AO92" s="163"/>
      <c r="AP92" s="163"/>
      <c r="AQ92" s="163"/>
      <c r="AR92" s="163"/>
      <c r="AS92" s="163"/>
      <c r="AT92" s="163"/>
      <c r="AU92" s="163"/>
      <c r="AV92" s="163"/>
      <c r="AW92" s="163"/>
      <c r="AX92" s="163"/>
      <c r="AY92" s="163"/>
      <c r="AZ92" s="163"/>
      <c r="BA92" s="163"/>
      <c r="BB92" s="163"/>
      <c r="BC92" s="163"/>
      <c r="BD92" s="163"/>
      <c r="BE92" s="163"/>
      <c r="BF92" s="163"/>
      <c r="BG92" s="163"/>
      <c r="BH92" s="163"/>
      <c r="BI92" s="163"/>
    </row>
    <row r="93" ht="15.75" customHeight="1">
      <c r="A93" s="37"/>
      <c r="B93" s="30"/>
      <c r="C93" s="30"/>
      <c r="D93" s="84"/>
      <c r="E93" s="30"/>
      <c r="F93" s="30"/>
      <c r="G93" s="30"/>
      <c r="H93" s="30"/>
      <c r="I93" s="30"/>
      <c r="J93" s="30"/>
      <c r="K93" s="30"/>
      <c r="L93" s="30"/>
      <c r="M93" s="30"/>
      <c r="N93" s="30"/>
      <c r="O93" s="163"/>
      <c r="P93" s="163"/>
      <c r="Q93" s="163"/>
      <c r="R93" s="163"/>
      <c r="S93" s="163"/>
      <c r="T93" s="163"/>
      <c r="U93" s="163"/>
      <c r="V93" s="163"/>
      <c r="W93" s="163"/>
      <c r="X93" s="163"/>
      <c r="Y93" s="163"/>
      <c r="Z93" s="163"/>
      <c r="AA93" s="163"/>
      <c r="AB93" s="163"/>
      <c r="AC93" s="163"/>
      <c r="AD93" s="163"/>
      <c r="AE93" s="163"/>
      <c r="AF93" s="163"/>
      <c r="AG93" s="163"/>
      <c r="AH93" s="163"/>
      <c r="AI93" s="163"/>
      <c r="AJ93" s="163"/>
      <c r="AK93" s="163"/>
      <c r="AL93" s="163"/>
      <c r="AM93" s="163"/>
      <c r="AN93" s="163"/>
      <c r="AO93" s="163"/>
      <c r="AP93" s="163"/>
      <c r="AQ93" s="163"/>
      <c r="AR93" s="163"/>
      <c r="AS93" s="163"/>
      <c r="AT93" s="163"/>
      <c r="AU93" s="163"/>
      <c r="AV93" s="163"/>
      <c r="AW93" s="163"/>
      <c r="AX93" s="163"/>
      <c r="AY93" s="163"/>
      <c r="AZ93" s="163"/>
      <c r="BA93" s="163"/>
      <c r="BB93" s="163"/>
      <c r="BC93" s="163"/>
      <c r="BD93" s="163"/>
      <c r="BE93" s="163"/>
      <c r="BF93" s="163"/>
      <c r="BG93" s="163"/>
      <c r="BH93" s="163"/>
      <c r="BI93" s="163"/>
    </row>
    <row r="94" ht="15.75" customHeight="1">
      <c r="A94" s="37"/>
      <c r="B94" s="30"/>
      <c r="C94" s="30"/>
      <c r="D94" s="84"/>
      <c r="E94" s="30"/>
      <c r="F94" s="30"/>
      <c r="G94" s="30"/>
      <c r="H94" s="30"/>
      <c r="I94" s="30"/>
      <c r="J94" s="30"/>
      <c r="K94" s="30"/>
      <c r="L94" s="30"/>
      <c r="M94" s="30"/>
      <c r="N94" s="30"/>
      <c r="O94" s="163"/>
      <c r="P94" s="163"/>
      <c r="Q94" s="163"/>
      <c r="R94" s="163"/>
      <c r="S94" s="163"/>
      <c r="T94" s="163"/>
      <c r="U94" s="163"/>
      <c r="V94" s="163"/>
      <c r="W94" s="163"/>
      <c r="X94" s="163"/>
      <c r="Y94" s="163"/>
      <c r="Z94" s="163"/>
      <c r="AA94" s="163"/>
      <c r="AB94" s="163"/>
      <c r="AC94" s="163"/>
      <c r="AD94" s="163"/>
      <c r="AE94" s="163"/>
      <c r="AF94" s="163"/>
      <c r="AG94" s="163"/>
      <c r="AH94" s="163"/>
      <c r="AI94" s="163"/>
      <c r="AJ94" s="163"/>
      <c r="AK94" s="163"/>
      <c r="AL94" s="163"/>
      <c r="AM94" s="163"/>
      <c r="AN94" s="163"/>
      <c r="AO94" s="163"/>
      <c r="AP94" s="163"/>
      <c r="AQ94" s="163"/>
      <c r="AR94" s="163"/>
      <c r="AS94" s="163"/>
      <c r="AT94" s="163"/>
      <c r="AU94" s="163"/>
      <c r="AV94" s="163"/>
      <c r="AW94" s="163"/>
      <c r="AX94" s="163"/>
      <c r="AY94" s="163"/>
      <c r="AZ94" s="163"/>
      <c r="BA94" s="163"/>
      <c r="BB94" s="163"/>
      <c r="BC94" s="163"/>
      <c r="BD94" s="163"/>
      <c r="BE94" s="163"/>
      <c r="BF94" s="163"/>
      <c r="BG94" s="163"/>
      <c r="BH94" s="163"/>
      <c r="BI94" s="163"/>
    </row>
    <row r="95" ht="15.75" customHeight="1">
      <c r="A95" s="37"/>
      <c r="B95" s="30"/>
      <c r="C95" s="30"/>
      <c r="D95" s="84"/>
      <c r="E95" s="30"/>
      <c r="F95" s="30"/>
      <c r="G95" s="30"/>
      <c r="H95" s="30"/>
      <c r="I95" s="30"/>
      <c r="J95" s="30"/>
      <c r="K95" s="30"/>
      <c r="L95" s="30"/>
      <c r="M95" s="30"/>
      <c r="N95" s="30"/>
      <c r="O95" s="163"/>
      <c r="P95" s="163"/>
      <c r="Q95" s="163"/>
      <c r="R95" s="163"/>
      <c r="S95" s="163"/>
      <c r="T95" s="163"/>
      <c r="U95" s="163"/>
      <c r="V95" s="163"/>
      <c r="W95" s="163"/>
      <c r="X95" s="163"/>
      <c r="Y95" s="163"/>
      <c r="Z95" s="163"/>
      <c r="AA95" s="163"/>
      <c r="AB95" s="163"/>
      <c r="AC95" s="163"/>
      <c r="AD95" s="163"/>
      <c r="AE95" s="163"/>
      <c r="AF95" s="163"/>
      <c r="AG95" s="163"/>
      <c r="AH95" s="163"/>
      <c r="AI95" s="163"/>
      <c r="AJ95" s="163"/>
      <c r="AK95" s="163"/>
      <c r="AL95" s="163"/>
      <c r="AM95" s="163"/>
      <c r="AN95" s="163"/>
      <c r="AO95" s="163"/>
      <c r="AP95" s="163"/>
      <c r="AQ95" s="163"/>
      <c r="AR95" s="163"/>
      <c r="AS95" s="163"/>
      <c r="AT95" s="163"/>
      <c r="AU95" s="163"/>
      <c r="AV95" s="163"/>
      <c r="AW95" s="163"/>
      <c r="AX95" s="163"/>
      <c r="AY95" s="163"/>
      <c r="AZ95" s="163"/>
      <c r="BA95" s="163"/>
      <c r="BB95" s="163"/>
      <c r="BC95" s="163"/>
      <c r="BD95" s="163"/>
      <c r="BE95" s="163"/>
      <c r="BF95" s="163"/>
      <c r="BG95" s="163"/>
      <c r="BH95" s="163"/>
      <c r="BI95" s="163"/>
    </row>
    <row r="96" ht="15.75" customHeight="1">
      <c r="A96" s="37"/>
      <c r="B96" s="30"/>
      <c r="C96" s="30"/>
      <c r="D96" s="84"/>
      <c r="E96" s="30"/>
      <c r="F96" s="30"/>
      <c r="G96" s="30"/>
      <c r="H96" s="30"/>
      <c r="I96" s="30"/>
      <c r="J96" s="30"/>
      <c r="K96" s="30"/>
      <c r="L96" s="30"/>
      <c r="M96" s="30"/>
      <c r="N96" s="30"/>
      <c r="O96" s="163"/>
      <c r="P96" s="163"/>
      <c r="Q96" s="163"/>
      <c r="R96" s="163"/>
      <c r="S96" s="163"/>
      <c r="T96" s="163"/>
      <c r="U96" s="163"/>
      <c r="V96" s="163"/>
      <c r="W96" s="163"/>
      <c r="X96" s="163"/>
      <c r="Y96" s="163"/>
      <c r="Z96" s="163"/>
      <c r="AA96" s="163"/>
      <c r="AB96" s="163"/>
      <c r="AC96" s="163"/>
      <c r="AD96" s="163"/>
      <c r="AE96" s="163"/>
      <c r="AF96" s="163"/>
      <c r="AG96" s="163"/>
      <c r="AH96" s="163"/>
      <c r="AI96" s="163"/>
      <c r="AJ96" s="163"/>
      <c r="AK96" s="163"/>
      <c r="AL96" s="163"/>
      <c r="AM96" s="163"/>
      <c r="AN96" s="163"/>
      <c r="AO96" s="163"/>
      <c r="AP96" s="163"/>
      <c r="AQ96" s="163"/>
      <c r="AR96" s="163"/>
      <c r="AS96" s="163"/>
      <c r="AT96" s="163"/>
      <c r="AU96" s="163"/>
      <c r="AV96" s="163"/>
      <c r="AW96" s="163"/>
      <c r="AX96" s="163"/>
      <c r="AY96" s="163"/>
      <c r="AZ96" s="163"/>
      <c r="BA96" s="163"/>
      <c r="BB96" s="163"/>
      <c r="BC96" s="163"/>
      <c r="BD96" s="163"/>
      <c r="BE96" s="163"/>
      <c r="BF96" s="163"/>
      <c r="BG96" s="163"/>
      <c r="BH96" s="163"/>
      <c r="BI96" s="163"/>
    </row>
    <row r="97" ht="15.75" customHeight="1">
      <c r="A97" s="37"/>
      <c r="B97" s="30"/>
      <c r="C97" s="30"/>
      <c r="D97" s="84"/>
      <c r="E97" s="30"/>
      <c r="F97" s="30"/>
      <c r="G97" s="30"/>
      <c r="H97" s="30"/>
      <c r="I97" s="30"/>
      <c r="J97" s="30"/>
      <c r="K97" s="30"/>
      <c r="L97" s="30"/>
      <c r="M97" s="30"/>
      <c r="N97" s="30"/>
      <c r="O97" s="163"/>
      <c r="P97" s="163"/>
      <c r="Q97" s="163"/>
      <c r="R97" s="163"/>
      <c r="S97" s="163"/>
      <c r="T97" s="163"/>
      <c r="U97" s="163"/>
      <c r="V97" s="163"/>
      <c r="W97" s="163"/>
      <c r="X97" s="163"/>
      <c r="Y97" s="163"/>
      <c r="Z97" s="163"/>
      <c r="AA97" s="163"/>
      <c r="AB97" s="163"/>
      <c r="AC97" s="163"/>
      <c r="AD97" s="163"/>
      <c r="AE97" s="163"/>
      <c r="AF97" s="163"/>
      <c r="AG97" s="163"/>
      <c r="AH97" s="163"/>
      <c r="AI97" s="163"/>
      <c r="AJ97" s="163"/>
      <c r="AK97" s="163"/>
      <c r="AL97" s="163"/>
      <c r="AM97" s="163"/>
      <c r="AN97" s="163"/>
      <c r="AO97" s="163"/>
      <c r="AP97" s="163"/>
      <c r="AQ97" s="163"/>
      <c r="AR97" s="163"/>
      <c r="AS97" s="163"/>
      <c r="AT97" s="163"/>
      <c r="AU97" s="163"/>
      <c r="AV97" s="163"/>
      <c r="AW97" s="163"/>
      <c r="AX97" s="163"/>
      <c r="AY97" s="163"/>
      <c r="AZ97" s="163"/>
      <c r="BA97" s="163"/>
      <c r="BB97" s="163"/>
      <c r="BC97" s="163"/>
      <c r="BD97" s="163"/>
      <c r="BE97" s="163"/>
      <c r="BF97" s="163"/>
      <c r="BG97" s="163"/>
      <c r="BH97" s="163"/>
      <c r="BI97" s="163"/>
    </row>
    <row r="98" ht="15.75" customHeight="1">
      <c r="A98" s="37"/>
      <c r="B98" s="30"/>
      <c r="C98" s="30"/>
      <c r="D98" s="84"/>
      <c r="E98" s="30"/>
      <c r="F98" s="30"/>
      <c r="G98" s="30"/>
      <c r="H98" s="30"/>
      <c r="I98" s="30"/>
      <c r="J98" s="30"/>
      <c r="K98" s="30"/>
      <c r="L98" s="30"/>
      <c r="M98" s="30"/>
      <c r="N98" s="30"/>
      <c r="O98" s="163"/>
      <c r="P98" s="163"/>
      <c r="Q98" s="163"/>
      <c r="R98" s="163"/>
      <c r="S98" s="163"/>
      <c r="T98" s="163"/>
      <c r="U98" s="163"/>
      <c r="V98" s="163"/>
      <c r="W98" s="163"/>
      <c r="X98" s="163"/>
      <c r="Y98" s="163"/>
      <c r="Z98" s="163"/>
      <c r="AA98" s="163"/>
      <c r="AB98" s="163"/>
      <c r="AC98" s="163"/>
      <c r="AD98" s="163"/>
      <c r="AE98" s="163"/>
      <c r="AF98" s="163"/>
      <c r="AG98" s="163"/>
      <c r="AH98" s="163"/>
      <c r="AI98" s="163"/>
      <c r="AJ98" s="163"/>
      <c r="AK98" s="163"/>
      <c r="AL98" s="163"/>
      <c r="AM98" s="163"/>
      <c r="AN98" s="163"/>
      <c r="AO98" s="163"/>
      <c r="AP98" s="163"/>
      <c r="AQ98" s="163"/>
      <c r="AR98" s="163"/>
      <c r="AS98" s="163"/>
      <c r="AT98" s="163"/>
      <c r="AU98" s="163"/>
      <c r="AV98" s="163"/>
      <c r="AW98" s="163"/>
      <c r="AX98" s="163"/>
      <c r="AY98" s="163"/>
      <c r="AZ98" s="163"/>
      <c r="BA98" s="163"/>
      <c r="BB98" s="163"/>
      <c r="BC98" s="163"/>
      <c r="BD98" s="163"/>
      <c r="BE98" s="163"/>
      <c r="BF98" s="163"/>
      <c r="BG98" s="163"/>
      <c r="BH98" s="163"/>
      <c r="BI98" s="163"/>
    </row>
    <row r="99" ht="15.75" customHeight="1">
      <c r="A99" s="37"/>
      <c r="B99" s="30"/>
      <c r="C99" s="30"/>
      <c r="D99" s="84"/>
      <c r="E99" s="30"/>
      <c r="F99" s="30"/>
      <c r="G99" s="30"/>
      <c r="H99" s="30"/>
      <c r="I99" s="30"/>
      <c r="J99" s="30"/>
      <c r="K99" s="30"/>
      <c r="L99" s="30"/>
      <c r="M99" s="30"/>
      <c r="N99" s="30"/>
      <c r="O99" s="163"/>
      <c r="P99" s="163"/>
      <c r="Q99" s="163"/>
      <c r="R99" s="163"/>
      <c r="S99" s="163"/>
      <c r="T99" s="163"/>
      <c r="U99" s="163"/>
      <c r="V99" s="163"/>
      <c r="W99" s="163"/>
      <c r="X99" s="163"/>
      <c r="Y99" s="163"/>
      <c r="Z99" s="163"/>
      <c r="AA99" s="163"/>
      <c r="AB99" s="163"/>
      <c r="AC99" s="163"/>
      <c r="AD99" s="163"/>
      <c r="AE99" s="163"/>
      <c r="AF99" s="163"/>
      <c r="AG99" s="163"/>
      <c r="AH99" s="163"/>
      <c r="AI99" s="163"/>
      <c r="AJ99" s="163"/>
      <c r="AK99" s="163"/>
      <c r="AL99" s="163"/>
      <c r="AM99" s="163"/>
      <c r="AN99" s="163"/>
      <c r="AO99" s="163"/>
      <c r="AP99" s="163"/>
      <c r="AQ99" s="163"/>
      <c r="AR99" s="163"/>
      <c r="AS99" s="163"/>
      <c r="AT99" s="163"/>
      <c r="AU99" s="163"/>
      <c r="AV99" s="163"/>
      <c r="AW99" s="163"/>
      <c r="AX99" s="163"/>
      <c r="AY99" s="163"/>
      <c r="AZ99" s="163"/>
      <c r="BA99" s="163"/>
      <c r="BB99" s="163"/>
      <c r="BC99" s="163"/>
      <c r="BD99" s="163"/>
      <c r="BE99" s="163"/>
      <c r="BF99" s="163"/>
      <c r="BG99" s="163"/>
      <c r="BH99" s="163"/>
      <c r="BI99" s="163"/>
    </row>
    <row r="100" ht="15.75" customHeight="1">
      <c r="A100" s="37"/>
      <c r="B100" s="30"/>
      <c r="C100" s="30"/>
      <c r="D100" s="84"/>
      <c r="E100" s="30"/>
      <c r="F100" s="30"/>
      <c r="G100" s="30"/>
      <c r="H100" s="30"/>
      <c r="I100" s="30"/>
      <c r="J100" s="30"/>
      <c r="K100" s="30"/>
      <c r="L100" s="30"/>
      <c r="M100" s="30"/>
      <c r="N100" s="30"/>
      <c r="O100" s="163"/>
      <c r="P100" s="163"/>
      <c r="Q100" s="163"/>
      <c r="R100" s="163"/>
      <c r="S100" s="163"/>
      <c r="T100" s="163"/>
      <c r="U100" s="163"/>
      <c r="V100" s="163"/>
      <c r="W100" s="163"/>
      <c r="X100" s="163"/>
      <c r="Y100" s="163"/>
      <c r="Z100" s="163"/>
      <c r="AA100" s="163"/>
      <c r="AB100" s="163"/>
      <c r="AC100" s="163"/>
      <c r="AD100" s="163"/>
      <c r="AE100" s="163"/>
      <c r="AF100" s="163"/>
      <c r="AG100" s="163"/>
      <c r="AH100" s="163"/>
      <c r="AI100" s="163"/>
      <c r="AJ100" s="163"/>
      <c r="AK100" s="163"/>
      <c r="AL100" s="163"/>
      <c r="AM100" s="163"/>
      <c r="AN100" s="163"/>
      <c r="AO100" s="163"/>
      <c r="AP100" s="163"/>
      <c r="AQ100" s="163"/>
      <c r="AR100" s="163"/>
      <c r="AS100" s="163"/>
      <c r="AT100" s="163"/>
      <c r="AU100" s="163"/>
      <c r="AV100" s="163"/>
      <c r="AW100" s="163"/>
      <c r="AX100" s="163"/>
      <c r="AY100" s="163"/>
      <c r="AZ100" s="163"/>
      <c r="BA100" s="163"/>
      <c r="BB100" s="163"/>
      <c r="BC100" s="163"/>
      <c r="BD100" s="163"/>
      <c r="BE100" s="163"/>
      <c r="BF100" s="163"/>
      <c r="BG100" s="163"/>
      <c r="BH100" s="163"/>
      <c r="BI100" s="163"/>
    </row>
    <row r="101" ht="15.75" customHeight="1">
      <c r="A101" s="37"/>
      <c r="B101" s="30"/>
      <c r="C101" s="30"/>
      <c r="D101" s="84"/>
      <c r="E101" s="30"/>
      <c r="F101" s="30"/>
      <c r="G101" s="30"/>
      <c r="H101" s="30"/>
      <c r="I101" s="30"/>
      <c r="J101" s="30"/>
      <c r="K101" s="30"/>
      <c r="L101" s="30"/>
      <c r="M101" s="30"/>
      <c r="N101" s="30"/>
      <c r="O101" s="163"/>
      <c r="P101" s="163"/>
      <c r="Q101" s="163"/>
      <c r="R101" s="163"/>
      <c r="S101" s="163"/>
      <c r="T101" s="163"/>
      <c r="U101" s="163"/>
      <c r="V101" s="163"/>
      <c r="W101" s="163"/>
      <c r="X101" s="163"/>
      <c r="Y101" s="163"/>
      <c r="Z101" s="163"/>
      <c r="AA101" s="163"/>
      <c r="AB101" s="163"/>
      <c r="AC101" s="163"/>
      <c r="AD101" s="163"/>
      <c r="AE101" s="163"/>
      <c r="AF101" s="163"/>
      <c r="AG101" s="163"/>
      <c r="AH101" s="163"/>
      <c r="AI101" s="163"/>
      <c r="AJ101" s="163"/>
      <c r="AK101" s="163"/>
      <c r="AL101" s="163"/>
      <c r="AM101" s="163"/>
      <c r="AN101" s="163"/>
      <c r="AO101" s="163"/>
      <c r="AP101" s="163"/>
      <c r="AQ101" s="163"/>
      <c r="AR101" s="163"/>
      <c r="AS101" s="163"/>
      <c r="AT101" s="163"/>
      <c r="AU101" s="163"/>
      <c r="AV101" s="163"/>
      <c r="AW101" s="163"/>
      <c r="AX101" s="163"/>
      <c r="AY101" s="163"/>
      <c r="AZ101" s="163"/>
      <c r="BA101" s="163"/>
      <c r="BB101" s="163"/>
      <c r="BC101" s="163"/>
      <c r="BD101" s="163"/>
      <c r="BE101" s="163"/>
      <c r="BF101" s="163"/>
      <c r="BG101" s="163"/>
      <c r="BH101" s="163"/>
      <c r="BI101" s="163"/>
    </row>
    <row r="102" ht="15.75" customHeight="1">
      <c r="A102" s="37"/>
      <c r="B102" s="30"/>
      <c r="C102" s="30"/>
      <c r="D102" s="84"/>
      <c r="E102" s="30"/>
      <c r="F102" s="30"/>
      <c r="G102" s="30"/>
      <c r="H102" s="30"/>
      <c r="I102" s="30"/>
      <c r="J102" s="30"/>
      <c r="K102" s="30"/>
      <c r="L102" s="30"/>
      <c r="M102" s="30"/>
      <c r="N102" s="30"/>
      <c r="O102" s="163"/>
      <c r="P102" s="163"/>
      <c r="Q102" s="163"/>
      <c r="R102" s="163"/>
      <c r="S102" s="163"/>
      <c r="T102" s="163"/>
      <c r="U102" s="163"/>
      <c r="V102" s="163"/>
      <c r="W102" s="163"/>
      <c r="X102" s="163"/>
      <c r="Y102" s="163"/>
      <c r="Z102" s="163"/>
      <c r="AA102" s="163"/>
      <c r="AB102" s="163"/>
      <c r="AC102" s="163"/>
      <c r="AD102" s="163"/>
      <c r="AE102" s="163"/>
      <c r="AF102" s="163"/>
      <c r="AG102" s="163"/>
      <c r="AH102" s="163"/>
      <c r="AI102" s="163"/>
      <c r="AJ102" s="163"/>
      <c r="AK102" s="163"/>
      <c r="AL102" s="163"/>
      <c r="AM102" s="163"/>
      <c r="AN102" s="163"/>
      <c r="AO102" s="163"/>
      <c r="AP102" s="163"/>
      <c r="AQ102" s="163"/>
      <c r="AR102" s="163"/>
      <c r="AS102" s="163"/>
      <c r="AT102" s="163"/>
      <c r="AU102" s="163"/>
      <c r="AV102" s="163"/>
      <c r="AW102" s="163"/>
      <c r="AX102" s="163"/>
      <c r="AY102" s="163"/>
      <c r="AZ102" s="163"/>
      <c r="BA102" s="163"/>
      <c r="BB102" s="163"/>
      <c r="BC102" s="163"/>
      <c r="BD102" s="163"/>
      <c r="BE102" s="163"/>
      <c r="BF102" s="163"/>
      <c r="BG102" s="163"/>
      <c r="BH102" s="163"/>
      <c r="BI102" s="163"/>
    </row>
    <row r="103" ht="15.75" customHeight="1">
      <c r="A103" s="37"/>
      <c r="B103" s="30"/>
      <c r="C103" s="30"/>
      <c r="D103" s="84"/>
      <c r="E103" s="30"/>
      <c r="F103" s="30"/>
      <c r="G103" s="30"/>
      <c r="H103" s="30"/>
      <c r="I103" s="30"/>
      <c r="J103" s="30"/>
      <c r="K103" s="30"/>
      <c r="L103" s="30"/>
      <c r="M103" s="30"/>
      <c r="N103" s="30"/>
      <c r="O103" s="163"/>
      <c r="P103" s="163"/>
      <c r="Q103" s="163"/>
      <c r="R103" s="163"/>
      <c r="S103" s="163"/>
      <c r="T103" s="163"/>
      <c r="U103" s="163"/>
      <c r="V103" s="163"/>
      <c r="W103" s="163"/>
      <c r="X103" s="163"/>
      <c r="Y103" s="163"/>
      <c r="Z103" s="163"/>
      <c r="AA103" s="163"/>
      <c r="AB103" s="163"/>
      <c r="AC103" s="163"/>
      <c r="AD103" s="163"/>
      <c r="AE103" s="163"/>
      <c r="AF103" s="163"/>
      <c r="AG103" s="163"/>
      <c r="AH103" s="163"/>
      <c r="AI103" s="163"/>
      <c r="AJ103" s="163"/>
      <c r="AK103" s="163"/>
      <c r="AL103" s="163"/>
      <c r="AM103" s="163"/>
      <c r="AN103" s="163"/>
      <c r="AO103" s="163"/>
      <c r="AP103" s="163"/>
      <c r="AQ103" s="163"/>
      <c r="AR103" s="163"/>
      <c r="AS103" s="163"/>
      <c r="AT103" s="163"/>
      <c r="AU103" s="163"/>
      <c r="AV103" s="163"/>
      <c r="AW103" s="163"/>
      <c r="AX103" s="163"/>
      <c r="AY103" s="163"/>
      <c r="AZ103" s="163"/>
      <c r="BA103" s="163"/>
      <c r="BB103" s="163"/>
      <c r="BC103" s="163"/>
      <c r="BD103" s="163"/>
      <c r="BE103" s="163"/>
      <c r="BF103" s="163"/>
      <c r="BG103" s="163"/>
      <c r="BH103" s="163"/>
      <c r="BI103" s="163"/>
    </row>
    <row r="104" ht="15.75" customHeight="1">
      <c r="A104" s="37"/>
      <c r="B104" s="30"/>
      <c r="C104" s="30"/>
      <c r="D104" s="84"/>
      <c r="E104" s="30"/>
      <c r="F104" s="30"/>
      <c r="G104" s="30"/>
      <c r="H104" s="30"/>
      <c r="I104" s="30"/>
      <c r="J104" s="30"/>
      <c r="K104" s="30"/>
      <c r="L104" s="30"/>
      <c r="M104" s="30"/>
      <c r="N104" s="30"/>
      <c r="O104" s="163"/>
      <c r="P104" s="163"/>
      <c r="Q104" s="163"/>
      <c r="R104" s="163"/>
      <c r="S104" s="163"/>
      <c r="T104" s="163"/>
      <c r="U104" s="163"/>
      <c r="V104" s="163"/>
      <c r="W104" s="163"/>
      <c r="X104" s="163"/>
      <c r="Y104" s="163"/>
      <c r="Z104" s="163"/>
      <c r="AA104" s="163"/>
      <c r="AB104" s="163"/>
      <c r="AC104" s="163"/>
      <c r="AD104" s="163"/>
      <c r="AE104" s="163"/>
      <c r="AF104" s="163"/>
      <c r="AG104" s="163"/>
      <c r="AH104" s="163"/>
      <c r="AI104" s="163"/>
      <c r="AJ104" s="163"/>
      <c r="AK104" s="163"/>
      <c r="AL104" s="163"/>
      <c r="AM104" s="163"/>
      <c r="AN104" s="163"/>
      <c r="AO104" s="163"/>
      <c r="AP104" s="163"/>
      <c r="AQ104" s="163"/>
      <c r="AR104" s="163"/>
      <c r="AS104" s="163"/>
      <c r="AT104" s="163"/>
      <c r="AU104" s="163"/>
      <c r="AV104" s="163"/>
      <c r="AW104" s="163"/>
      <c r="AX104" s="163"/>
      <c r="AY104" s="163"/>
      <c r="AZ104" s="163"/>
      <c r="BA104" s="163"/>
      <c r="BB104" s="163"/>
      <c r="BC104" s="163"/>
      <c r="BD104" s="163"/>
      <c r="BE104" s="163"/>
      <c r="BF104" s="163"/>
      <c r="BG104" s="163"/>
      <c r="BH104" s="163"/>
      <c r="BI104" s="163"/>
    </row>
    <row r="105" ht="15.75" customHeight="1">
      <c r="A105" s="37"/>
      <c r="B105" s="30"/>
      <c r="C105" s="30"/>
      <c r="D105" s="84"/>
      <c r="E105" s="30"/>
      <c r="F105" s="30"/>
      <c r="G105" s="30"/>
      <c r="H105" s="30"/>
      <c r="I105" s="30"/>
      <c r="J105" s="30"/>
      <c r="K105" s="30"/>
      <c r="L105" s="30"/>
      <c r="M105" s="30"/>
      <c r="N105" s="30"/>
      <c r="O105" s="163"/>
      <c r="P105" s="163"/>
      <c r="Q105" s="163"/>
      <c r="R105" s="163"/>
      <c r="S105" s="163"/>
      <c r="T105" s="163"/>
      <c r="U105" s="163"/>
      <c r="V105" s="163"/>
      <c r="W105" s="163"/>
      <c r="X105" s="163"/>
      <c r="Y105" s="163"/>
      <c r="Z105" s="163"/>
      <c r="AA105" s="163"/>
      <c r="AB105" s="163"/>
      <c r="AC105" s="163"/>
      <c r="AD105" s="163"/>
      <c r="AE105" s="163"/>
      <c r="AF105" s="163"/>
      <c r="AG105" s="163"/>
      <c r="AH105" s="163"/>
      <c r="AI105" s="163"/>
      <c r="AJ105" s="163"/>
      <c r="AK105" s="163"/>
      <c r="AL105" s="163"/>
      <c r="AM105" s="163"/>
      <c r="AN105" s="163"/>
      <c r="AO105" s="163"/>
      <c r="AP105" s="163"/>
      <c r="AQ105" s="163"/>
      <c r="AR105" s="163"/>
      <c r="AS105" s="163"/>
      <c r="AT105" s="163"/>
      <c r="AU105" s="163"/>
      <c r="AV105" s="163"/>
      <c r="AW105" s="163"/>
      <c r="AX105" s="163"/>
      <c r="AY105" s="163"/>
      <c r="AZ105" s="163"/>
      <c r="BA105" s="163"/>
      <c r="BB105" s="163"/>
      <c r="BC105" s="163"/>
      <c r="BD105" s="163"/>
      <c r="BE105" s="163"/>
      <c r="BF105" s="163"/>
      <c r="BG105" s="163"/>
      <c r="BH105" s="163"/>
      <c r="BI105" s="163"/>
    </row>
    <row r="106" ht="15.75" customHeight="1">
      <c r="A106" s="37"/>
      <c r="B106" s="30"/>
      <c r="C106" s="30"/>
      <c r="D106" s="84"/>
      <c r="E106" s="30"/>
      <c r="F106" s="30"/>
      <c r="G106" s="30"/>
      <c r="H106" s="30"/>
      <c r="I106" s="30"/>
      <c r="J106" s="30"/>
      <c r="K106" s="30"/>
      <c r="L106" s="30"/>
      <c r="M106" s="30"/>
      <c r="N106" s="30"/>
      <c r="O106" s="163"/>
      <c r="P106" s="163"/>
      <c r="Q106" s="163"/>
      <c r="R106" s="163"/>
      <c r="S106" s="163"/>
      <c r="T106" s="163"/>
      <c r="U106" s="163"/>
      <c r="V106" s="163"/>
      <c r="W106" s="163"/>
      <c r="X106" s="163"/>
      <c r="Y106" s="163"/>
      <c r="Z106" s="163"/>
      <c r="AA106" s="163"/>
      <c r="AB106" s="163"/>
      <c r="AC106" s="163"/>
      <c r="AD106" s="163"/>
      <c r="AE106" s="163"/>
      <c r="AF106" s="163"/>
      <c r="AG106" s="163"/>
      <c r="AH106" s="163"/>
      <c r="AI106" s="163"/>
      <c r="AJ106" s="163"/>
      <c r="AK106" s="163"/>
      <c r="AL106" s="163"/>
      <c r="AM106" s="163"/>
      <c r="AN106" s="163"/>
      <c r="AO106" s="163"/>
      <c r="AP106" s="163"/>
      <c r="AQ106" s="163"/>
      <c r="AR106" s="163"/>
      <c r="AS106" s="163"/>
      <c r="AT106" s="163"/>
      <c r="AU106" s="163"/>
      <c r="AV106" s="163"/>
      <c r="AW106" s="163"/>
      <c r="AX106" s="163"/>
      <c r="AY106" s="163"/>
      <c r="AZ106" s="163"/>
      <c r="BA106" s="163"/>
      <c r="BB106" s="163"/>
      <c r="BC106" s="163"/>
      <c r="BD106" s="163"/>
      <c r="BE106" s="163"/>
      <c r="BF106" s="163"/>
      <c r="BG106" s="163"/>
      <c r="BH106" s="163"/>
      <c r="BI106" s="163"/>
    </row>
    <row r="107" ht="15.75" customHeight="1">
      <c r="A107" s="37"/>
      <c r="B107" s="30"/>
      <c r="C107" s="30"/>
      <c r="D107" s="84"/>
      <c r="E107" s="30"/>
      <c r="F107" s="30"/>
      <c r="G107" s="30"/>
      <c r="H107" s="30"/>
      <c r="I107" s="30"/>
      <c r="J107" s="30"/>
      <c r="K107" s="30"/>
      <c r="L107" s="30"/>
      <c r="M107" s="30"/>
      <c r="N107" s="30"/>
      <c r="O107" s="163"/>
      <c r="P107" s="163"/>
      <c r="Q107" s="163"/>
      <c r="R107" s="163"/>
      <c r="S107" s="163"/>
      <c r="T107" s="163"/>
      <c r="U107" s="163"/>
      <c r="V107" s="163"/>
      <c r="W107" s="163"/>
      <c r="X107" s="163"/>
      <c r="Y107" s="163"/>
      <c r="Z107" s="163"/>
      <c r="AA107" s="163"/>
      <c r="AB107" s="163"/>
      <c r="AC107" s="163"/>
      <c r="AD107" s="163"/>
      <c r="AE107" s="163"/>
      <c r="AF107" s="163"/>
      <c r="AG107" s="163"/>
      <c r="AH107" s="163"/>
      <c r="AI107" s="163"/>
      <c r="AJ107" s="163"/>
      <c r="AK107" s="163"/>
      <c r="AL107" s="163"/>
      <c r="AM107" s="163"/>
      <c r="AN107" s="163"/>
      <c r="AO107" s="163"/>
      <c r="AP107" s="163"/>
      <c r="AQ107" s="163"/>
      <c r="AR107" s="163"/>
      <c r="AS107" s="163"/>
      <c r="AT107" s="163"/>
      <c r="AU107" s="163"/>
      <c r="AV107" s="163"/>
      <c r="AW107" s="163"/>
      <c r="AX107" s="163"/>
      <c r="AY107" s="163"/>
      <c r="AZ107" s="163"/>
      <c r="BA107" s="163"/>
      <c r="BB107" s="163"/>
      <c r="BC107" s="163"/>
      <c r="BD107" s="163"/>
      <c r="BE107" s="163"/>
      <c r="BF107" s="163"/>
      <c r="BG107" s="163"/>
      <c r="BH107" s="163"/>
      <c r="BI107" s="163"/>
    </row>
    <row r="108" ht="15.75" customHeight="1">
      <c r="A108" s="37"/>
      <c r="B108" s="30"/>
      <c r="C108" s="30"/>
      <c r="D108" s="84"/>
      <c r="E108" s="30"/>
      <c r="F108" s="30"/>
      <c r="G108" s="30"/>
      <c r="H108" s="30"/>
      <c r="I108" s="30"/>
      <c r="J108" s="30"/>
      <c r="K108" s="30"/>
      <c r="L108" s="30"/>
      <c r="M108" s="30"/>
      <c r="N108" s="30"/>
      <c r="O108" s="163"/>
      <c r="P108" s="163"/>
      <c r="Q108" s="163"/>
      <c r="R108" s="163"/>
      <c r="S108" s="163"/>
      <c r="T108" s="163"/>
      <c r="U108" s="163"/>
      <c r="V108" s="163"/>
      <c r="W108" s="163"/>
      <c r="X108" s="163"/>
      <c r="Y108" s="163"/>
      <c r="Z108" s="163"/>
      <c r="AA108" s="163"/>
      <c r="AB108" s="163"/>
      <c r="AC108" s="163"/>
      <c r="AD108" s="163"/>
      <c r="AE108" s="163"/>
      <c r="AF108" s="163"/>
      <c r="AG108" s="163"/>
      <c r="AH108" s="163"/>
      <c r="AI108" s="163"/>
      <c r="AJ108" s="163"/>
      <c r="AK108" s="163"/>
      <c r="AL108" s="163"/>
      <c r="AM108" s="163"/>
      <c r="AN108" s="163"/>
      <c r="AO108" s="163"/>
      <c r="AP108" s="163"/>
      <c r="AQ108" s="163"/>
      <c r="AR108" s="163"/>
      <c r="AS108" s="163"/>
      <c r="AT108" s="163"/>
      <c r="AU108" s="163"/>
      <c r="AV108" s="163"/>
      <c r="AW108" s="163"/>
      <c r="AX108" s="163"/>
      <c r="AY108" s="163"/>
      <c r="AZ108" s="163"/>
      <c r="BA108" s="163"/>
      <c r="BB108" s="163"/>
      <c r="BC108" s="163"/>
      <c r="BD108" s="163"/>
      <c r="BE108" s="163"/>
      <c r="BF108" s="163"/>
      <c r="BG108" s="163"/>
      <c r="BH108" s="163"/>
      <c r="BI108" s="163"/>
    </row>
    <row r="109" ht="15.75" customHeight="1">
      <c r="A109" s="37"/>
      <c r="B109" s="30"/>
      <c r="C109" s="30"/>
      <c r="D109" s="84"/>
      <c r="E109" s="30"/>
      <c r="F109" s="30"/>
      <c r="G109" s="30"/>
      <c r="H109" s="30"/>
      <c r="I109" s="30"/>
      <c r="J109" s="30"/>
      <c r="K109" s="30"/>
      <c r="L109" s="30"/>
      <c r="M109" s="30"/>
      <c r="N109" s="30"/>
      <c r="O109" s="163"/>
      <c r="P109" s="163"/>
      <c r="Q109" s="163"/>
      <c r="R109" s="163"/>
      <c r="S109" s="163"/>
      <c r="T109" s="163"/>
      <c r="U109" s="163"/>
      <c r="V109" s="163"/>
      <c r="W109" s="163"/>
      <c r="X109" s="163"/>
      <c r="Y109" s="163"/>
      <c r="Z109" s="163"/>
      <c r="AA109" s="163"/>
      <c r="AB109" s="163"/>
      <c r="AC109" s="163"/>
      <c r="AD109" s="163"/>
      <c r="AE109" s="163"/>
      <c r="AF109" s="163"/>
      <c r="AG109" s="163"/>
      <c r="AH109" s="163"/>
      <c r="AI109" s="163"/>
      <c r="AJ109" s="163"/>
      <c r="AK109" s="163"/>
      <c r="AL109" s="163"/>
      <c r="AM109" s="163"/>
      <c r="AN109" s="163"/>
      <c r="AO109" s="163"/>
      <c r="AP109" s="163"/>
      <c r="AQ109" s="163"/>
      <c r="AR109" s="163"/>
      <c r="AS109" s="163"/>
      <c r="AT109" s="163"/>
      <c r="AU109" s="163"/>
      <c r="AV109" s="163"/>
      <c r="AW109" s="163"/>
      <c r="AX109" s="163"/>
      <c r="AY109" s="163"/>
      <c r="AZ109" s="163"/>
      <c r="BA109" s="163"/>
      <c r="BB109" s="163"/>
      <c r="BC109" s="163"/>
      <c r="BD109" s="163"/>
      <c r="BE109" s="163"/>
      <c r="BF109" s="163"/>
      <c r="BG109" s="163"/>
      <c r="BH109" s="163"/>
      <c r="BI109" s="163"/>
    </row>
    <row r="110" ht="15.75" customHeight="1">
      <c r="A110" s="37"/>
      <c r="B110" s="30"/>
      <c r="C110" s="30"/>
      <c r="D110" s="84"/>
      <c r="E110" s="30"/>
      <c r="F110" s="30"/>
      <c r="G110" s="30"/>
      <c r="H110" s="30"/>
      <c r="I110" s="30"/>
      <c r="J110" s="30"/>
      <c r="K110" s="30"/>
      <c r="L110" s="30"/>
      <c r="M110" s="30"/>
      <c r="N110" s="30"/>
      <c r="O110" s="163"/>
      <c r="P110" s="163"/>
      <c r="Q110" s="163"/>
      <c r="R110" s="163"/>
      <c r="S110" s="163"/>
      <c r="T110" s="163"/>
      <c r="U110" s="163"/>
      <c r="V110" s="163"/>
      <c r="W110" s="163"/>
      <c r="X110" s="163"/>
      <c r="Y110" s="163"/>
      <c r="Z110" s="163"/>
      <c r="AA110" s="163"/>
      <c r="AB110" s="163"/>
      <c r="AC110" s="163"/>
      <c r="AD110" s="163"/>
      <c r="AE110" s="163"/>
      <c r="AF110" s="163"/>
      <c r="AG110" s="163"/>
      <c r="AH110" s="163"/>
      <c r="AI110" s="163"/>
      <c r="AJ110" s="163"/>
      <c r="AK110" s="163"/>
      <c r="AL110" s="163"/>
      <c r="AM110" s="163"/>
      <c r="AN110" s="163"/>
      <c r="AO110" s="163"/>
      <c r="AP110" s="163"/>
      <c r="AQ110" s="163"/>
      <c r="AR110" s="163"/>
      <c r="AS110" s="163"/>
      <c r="AT110" s="163"/>
      <c r="AU110" s="163"/>
      <c r="AV110" s="163"/>
      <c r="AW110" s="163"/>
      <c r="AX110" s="163"/>
      <c r="AY110" s="163"/>
      <c r="AZ110" s="163"/>
      <c r="BA110" s="163"/>
      <c r="BB110" s="163"/>
      <c r="BC110" s="163"/>
      <c r="BD110" s="163"/>
      <c r="BE110" s="163"/>
      <c r="BF110" s="163"/>
      <c r="BG110" s="163"/>
      <c r="BH110" s="163"/>
      <c r="BI110" s="163"/>
    </row>
    <row r="111" ht="15.75" customHeight="1">
      <c r="A111" s="37"/>
      <c r="B111" s="30"/>
      <c r="C111" s="30"/>
      <c r="D111" s="84"/>
      <c r="E111" s="30"/>
      <c r="F111" s="30"/>
      <c r="G111" s="30"/>
      <c r="H111" s="30"/>
      <c r="I111" s="30"/>
      <c r="J111" s="30"/>
      <c r="K111" s="30"/>
      <c r="L111" s="30"/>
      <c r="M111" s="30"/>
      <c r="N111" s="30"/>
      <c r="O111" s="163"/>
      <c r="P111" s="163"/>
      <c r="Q111" s="163"/>
      <c r="R111" s="163"/>
      <c r="S111" s="163"/>
      <c r="T111" s="163"/>
      <c r="U111" s="163"/>
      <c r="V111" s="163"/>
      <c r="W111" s="163"/>
      <c r="X111" s="163"/>
      <c r="Y111" s="163"/>
      <c r="Z111" s="163"/>
      <c r="AA111" s="163"/>
      <c r="AB111" s="163"/>
      <c r="AC111" s="163"/>
      <c r="AD111" s="163"/>
      <c r="AE111" s="163"/>
      <c r="AF111" s="163"/>
      <c r="AG111" s="163"/>
      <c r="AH111" s="163"/>
      <c r="AI111" s="163"/>
      <c r="AJ111" s="163"/>
      <c r="AK111" s="163"/>
      <c r="AL111" s="163"/>
      <c r="AM111" s="163"/>
      <c r="AN111" s="163"/>
      <c r="AO111" s="163"/>
      <c r="AP111" s="163"/>
      <c r="AQ111" s="163"/>
      <c r="AR111" s="163"/>
      <c r="AS111" s="163"/>
      <c r="AT111" s="163"/>
      <c r="AU111" s="163"/>
      <c r="AV111" s="163"/>
      <c r="AW111" s="163"/>
      <c r="AX111" s="163"/>
      <c r="AY111" s="163"/>
      <c r="AZ111" s="163"/>
      <c r="BA111" s="163"/>
      <c r="BB111" s="163"/>
      <c r="BC111" s="163"/>
      <c r="BD111" s="163"/>
      <c r="BE111" s="163"/>
      <c r="BF111" s="163"/>
      <c r="BG111" s="163"/>
      <c r="BH111" s="163"/>
      <c r="BI111" s="163"/>
    </row>
    <row r="112" ht="15.75" customHeight="1">
      <c r="A112" s="37"/>
      <c r="B112" s="30"/>
      <c r="C112" s="30"/>
      <c r="D112" s="84"/>
      <c r="E112" s="30"/>
      <c r="F112" s="30"/>
      <c r="G112" s="30"/>
      <c r="H112" s="30"/>
      <c r="I112" s="30"/>
      <c r="J112" s="30"/>
      <c r="K112" s="30"/>
      <c r="L112" s="30"/>
      <c r="M112" s="30"/>
      <c r="N112" s="30"/>
      <c r="O112" s="163"/>
      <c r="P112" s="163"/>
      <c r="Q112" s="163"/>
      <c r="R112" s="163"/>
      <c r="S112" s="163"/>
      <c r="T112" s="163"/>
      <c r="U112" s="163"/>
      <c r="V112" s="163"/>
      <c r="W112" s="163"/>
      <c r="X112" s="163"/>
      <c r="Y112" s="163"/>
      <c r="Z112" s="163"/>
      <c r="AA112" s="163"/>
      <c r="AB112" s="163"/>
      <c r="AC112" s="163"/>
      <c r="AD112" s="163"/>
      <c r="AE112" s="163"/>
      <c r="AF112" s="163"/>
      <c r="AG112" s="163"/>
      <c r="AH112" s="163"/>
      <c r="AI112" s="163"/>
      <c r="AJ112" s="163"/>
      <c r="AK112" s="163"/>
      <c r="AL112" s="163"/>
      <c r="AM112" s="163"/>
      <c r="AN112" s="163"/>
      <c r="AO112" s="163"/>
      <c r="AP112" s="163"/>
      <c r="AQ112" s="163"/>
      <c r="AR112" s="163"/>
      <c r="AS112" s="163"/>
      <c r="AT112" s="163"/>
      <c r="AU112" s="163"/>
      <c r="AV112" s="163"/>
      <c r="AW112" s="163"/>
      <c r="AX112" s="163"/>
      <c r="AY112" s="163"/>
      <c r="AZ112" s="163"/>
      <c r="BA112" s="163"/>
      <c r="BB112" s="163"/>
      <c r="BC112" s="163"/>
      <c r="BD112" s="163"/>
      <c r="BE112" s="163"/>
      <c r="BF112" s="163"/>
      <c r="BG112" s="163"/>
      <c r="BH112" s="163"/>
      <c r="BI112" s="163"/>
    </row>
    <row r="113" ht="15.75" customHeight="1">
      <c r="A113" s="37"/>
      <c r="B113" s="30"/>
      <c r="C113" s="30"/>
      <c r="D113" s="84"/>
      <c r="E113" s="30"/>
      <c r="F113" s="30"/>
      <c r="G113" s="30"/>
      <c r="H113" s="30"/>
      <c r="I113" s="30"/>
      <c r="J113" s="30"/>
      <c r="K113" s="30"/>
      <c r="L113" s="30"/>
      <c r="M113" s="30"/>
      <c r="N113" s="30"/>
      <c r="O113" s="163"/>
      <c r="P113" s="163"/>
      <c r="Q113" s="163"/>
      <c r="R113" s="163"/>
      <c r="S113" s="163"/>
      <c r="T113" s="163"/>
      <c r="U113" s="163"/>
      <c r="V113" s="163"/>
      <c r="W113" s="163"/>
      <c r="X113" s="163"/>
      <c r="Y113" s="163"/>
      <c r="Z113" s="163"/>
      <c r="AA113" s="163"/>
      <c r="AB113" s="163"/>
      <c r="AC113" s="163"/>
      <c r="AD113" s="163"/>
      <c r="AE113" s="163"/>
      <c r="AF113" s="163"/>
      <c r="AG113" s="163"/>
      <c r="AH113" s="163"/>
      <c r="AI113" s="163"/>
      <c r="AJ113" s="163"/>
      <c r="AK113" s="163"/>
      <c r="AL113" s="163"/>
      <c r="AM113" s="163"/>
      <c r="AN113" s="163"/>
      <c r="AO113" s="163"/>
      <c r="AP113" s="163"/>
      <c r="AQ113" s="163"/>
      <c r="AR113" s="163"/>
      <c r="AS113" s="163"/>
      <c r="AT113" s="163"/>
      <c r="AU113" s="163"/>
      <c r="AV113" s="163"/>
      <c r="AW113" s="163"/>
      <c r="AX113" s="163"/>
      <c r="AY113" s="163"/>
      <c r="AZ113" s="163"/>
      <c r="BA113" s="163"/>
      <c r="BB113" s="163"/>
      <c r="BC113" s="163"/>
      <c r="BD113" s="163"/>
      <c r="BE113" s="163"/>
      <c r="BF113" s="163"/>
      <c r="BG113" s="163"/>
      <c r="BH113" s="163"/>
      <c r="BI113" s="163"/>
    </row>
    <row r="114" ht="15.75" customHeight="1">
      <c r="A114" s="37"/>
      <c r="B114" s="30"/>
      <c r="C114" s="30"/>
      <c r="D114" s="84"/>
      <c r="E114" s="30"/>
      <c r="F114" s="30"/>
      <c r="G114" s="30"/>
      <c r="H114" s="30"/>
      <c r="I114" s="30"/>
      <c r="J114" s="30"/>
      <c r="K114" s="30"/>
      <c r="L114" s="30"/>
      <c r="M114" s="30"/>
      <c r="N114" s="30"/>
      <c r="O114" s="163"/>
      <c r="P114" s="163"/>
      <c r="Q114" s="163"/>
      <c r="R114" s="163"/>
      <c r="S114" s="163"/>
      <c r="T114" s="163"/>
      <c r="U114" s="163"/>
      <c r="V114" s="163"/>
      <c r="W114" s="163"/>
      <c r="X114" s="163"/>
      <c r="Y114" s="163"/>
      <c r="Z114" s="163"/>
      <c r="AA114" s="163"/>
      <c r="AB114" s="163"/>
      <c r="AC114" s="163"/>
      <c r="AD114" s="163"/>
      <c r="AE114" s="163"/>
      <c r="AF114" s="163"/>
      <c r="AG114" s="163"/>
      <c r="AH114" s="163"/>
      <c r="AI114" s="163"/>
      <c r="AJ114" s="163"/>
      <c r="AK114" s="163"/>
      <c r="AL114" s="163"/>
      <c r="AM114" s="163"/>
      <c r="AN114" s="163"/>
      <c r="AO114" s="163"/>
      <c r="AP114" s="163"/>
      <c r="AQ114" s="163"/>
      <c r="AR114" s="163"/>
      <c r="AS114" s="163"/>
      <c r="AT114" s="163"/>
      <c r="AU114" s="163"/>
      <c r="AV114" s="163"/>
      <c r="AW114" s="163"/>
      <c r="AX114" s="163"/>
      <c r="AY114" s="163"/>
      <c r="AZ114" s="163"/>
      <c r="BA114" s="163"/>
      <c r="BB114" s="163"/>
      <c r="BC114" s="163"/>
      <c r="BD114" s="163"/>
      <c r="BE114" s="163"/>
      <c r="BF114" s="163"/>
      <c r="BG114" s="163"/>
      <c r="BH114" s="163"/>
      <c r="BI114" s="163"/>
    </row>
    <row r="115" ht="15.75" customHeight="1">
      <c r="A115" s="37"/>
      <c r="B115" s="30"/>
      <c r="C115" s="30"/>
      <c r="D115" s="84"/>
      <c r="E115" s="30"/>
      <c r="F115" s="30"/>
      <c r="G115" s="30"/>
      <c r="H115" s="30"/>
      <c r="I115" s="30"/>
      <c r="J115" s="30"/>
      <c r="K115" s="30"/>
      <c r="L115" s="30"/>
      <c r="M115" s="30"/>
      <c r="N115" s="30"/>
      <c r="O115" s="163"/>
      <c r="P115" s="163"/>
      <c r="Q115" s="163"/>
      <c r="R115" s="163"/>
      <c r="S115" s="163"/>
      <c r="T115" s="163"/>
      <c r="U115" s="163"/>
      <c r="V115" s="163"/>
      <c r="W115" s="163"/>
      <c r="X115" s="163"/>
      <c r="Y115" s="163"/>
      <c r="Z115" s="163"/>
      <c r="AA115" s="163"/>
      <c r="AB115" s="163"/>
      <c r="AC115" s="163"/>
      <c r="AD115" s="163"/>
      <c r="AE115" s="163"/>
      <c r="AF115" s="163"/>
      <c r="AG115" s="163"/>
      <c r="AH115" s="163"/>
      <c r="AI115" s="163"/>
      <c r="AJ115" s="163"/>
      <c r="AK115" s="163"/>
      <c r="AL115" s="163"/>
      <c r="AM115" s="163"/>
      <c r="AN115" s="163"/>
      <c r="AO115" s="163"/>
      <c r="AP115" s="163"/>
      <c r="AQ115" s="163"/>
      <c r="AR115" s="163"/>
      <c r="AS115" s="163"/>
      <c r="AT115" s="163"/>
      <c r="AU115" s="163"/>
      <c r="AV115" s="163"/>
      <c r="AW115" s="163"/>
      <c r="AX115" s="163"/>
      <c r="AY115" s="163"/>
      <c r="AZ115" s="163"/>
      <c r="BA115" s="163"/>
      <c r="BB115" s="163"/>
      <c r="BC115" s="163"/>
      <c r="BD115" s="163"/>
      <c r="BE115" s="163"/>
      <c r="BF115" s="163"/>
      <c r="BG115" s="163"/>
      <c r="BH115" s="163"/>
      <c r="BI115" s="163"/>
    </row>
    <row r="116" ht="15.75" customHeight="1">
      <c r="A116" s="37"/>
      <c r="B116" s="30"/>
      <c r="C116" s="30"/>
      <c r="D116" s="84"/>
      <c r="E116" s="30"/>
      <c r="F116" s="30"/>
      <c r="G116" s="30"/>
      <c r="H116" s="30"/>
      <c r="I116" s="30"/>
      <c r="J116" s="30"/>
      <c r="K116" s="30"/>
      <c r="L116" s="30"/>
      <c r="M116" s="30"/>
      <c r="N116" s="30"/>
      <c r="O116" s="163"/>
      <c r="P116" s="163"/>
      <c r="Q116" s="163"/>
      <c r="R116" s="163"/>
      <c r="S116" s="163"/>
      <c r="T116" s="163"/>
      <c r="U116" s="163"/>
      <c r="V116" s="163"/>
      <c r="W116" s="163"/>
      <c r="X116" s="163"/>
      <c r="Y116" s="163"/>
      <c r="Z116" s="163"/>
      <c r="AA116" s="163"/>
      <c r="AB116" s="163"/>
      <c r="AC116" s="163"/>
      <c r="AD116" s="163"/>
      <c r="AE116" s="163"/>
      <c r="AF116" s="163"/>
      <c r="AG116" s="163"/>
      <c r="AH116" s="163"/>
      <c r="AI116" s="163"/>
      <c r="AJ116" s="163"/>
      <c r="AK116" s="163"/>
      <c r="AL116" s="163"/>
      <c r="AM116" s="163"/>
      <c r="AN116" s="163"/>
      <c r="AO116" s="163"/>
      <c r="AP116" s="163"/>
      <c r="AQ116" s="163"/>
      <c r="AR116" s="163"/>
      <c r="AS116" s="163"/>
      <c r="AT116" s="163"/>
      <c r="AU116" s="163"/>
      <c r="AV116" s="163"/>
      <c r="AW116" s="163"/>
      <c r="AX116" s="163"/>
      <c r="AY116" s="163"/>
      <c r="AZ116" s="163"/>
      <c r="BA116" s="163"/>
      <c r="BB116" s="163"/>
      <c r="BC116" s="163"/>
      <c r="BD116" s="163"/>
      <c r="BE116" s="163"/>
      <c r="BF116" s="163"/>
      <c r="BG116" s="163"/>
      <c r="BH116" s="163"/>
      <c r="BI116" s="163"/>
    </row>
    <row r="117" ht="15.75" customHeight="1">
      <c r="A117" s="37"/>
      <c r="B117" s="30"/>
      <c r="C117" s="30"/>
      <c r="D117" s="84"/>
      <c r="E117" s="30"/>
      <c r="F117" s="30"/>
      <c r="G117" s="30"/>
      <c r="H117" s="30"/>
      <c r="I117" s="30"/>
      <c r="J117" s="30"/>
      <c r="K117" s="30"/>
      <c r="L117" s="30"/>
      <c r="M117" s="30"/>
      <c r="N117" s="30"/>
      <c r="O117" s="163"/>
      <c r="P117" s="163"/>
      <c r="Q117" s="163"/>
      <c r="R117" s="163"/>
      <c r="S117" s="163"/>
      <c r="T117" s="163"/>
      <c r="U117" s="163"/>
      <c r="V117" s="163"/>
      <c r="W117" s="163"/>
      <c r="X117" s="163"/>
      <c r="Y117" s="163"/>
      <c r="Z117" s="163"/>
      <c r="AA117" s="163"/>
      <c r="AB117" s="163"/>
      <c r="AC117" s="163"/>
      <c r="AD117" s="163"/>
      <c r="AE117" s="163"/>
      <c r="AF117" s="163"/>
      <c r="AG117" s="163"/>
      <c r="AH117" s="163"/>
      <c r="AI117" s="163"/>
      <c r="AJ117" s="163"/>
      <c r="AK117" s="163"/>
      <c r="AL117" s="163"/>
      <c r="AM117" s="163"/>
      <c r="AN117" s="163"/>
      <c r="AO117" s="163"/>
      <c r="AP117" s="163"/>
      <c r="AQ117" s="163"/>
      <c r="AR117" s="163"/>
      <c r="AS117" s="163"/>
      <c r="AT117" s="163"/>
      <c r="AU117" s="163"/>
      <c r="AV117" s="163"/>
      <c r="AW117" s="163"/>
      <c r="AX117" s="163"/>
      <c r="AY117" s="163"/>
      <c r="AZ117" s="163"/>
      <c r="BA117" s="163"/>
      <c r="BB117" s="163"/>
      <c r="BC117" s="163"/>
      <c r="BD117" s="163"/>
      <c r="BE117" s="163"/>
      <c r="BF117" s="163"/>
      <c r="BG117" s="163"/>
      <c r="BH117" s="163"/>
      <c r="BI117" s="163"/>
    </row>
    <row r="118" ht="15.75" customHeight="1">
      <c r="A118" s="37"/>
      <c r="B118" s="30"/>
      <c r="C118" s="30"/>
      <c r="D118" s="84"/>
      <c r="E118" s="30"/>
      <c r="F118" s="30"/>
      <c r="G118" s="30"/>
      <c r="H118" s="30"/>
      <c r="I118" s="30"/>
      <c r="J118" s="30"/>
      <c r="K118" s="30"/>
      <c r="L118" s="30"/>
      <c r="M118" s="30"/>
      <c r="N118" s="30"/>
      <c r="O118" s="163"/>
      <c r="P118" s="163"/>
      <c r="Q118" s="163"/>
      <c r="R118" s="163"/>
      <c r="S118" s="163"/>
      <c r="T118" s="163"/>
      <c r="U118" s="163"/>
      <c r="V118" s="163"/>
      <c r="W118" s="163"/>
      <c r="X118" s="163"/>
      <c r="Y118" s="163"/>
      <c r="Z118" s="163"/>
      <c r="AA118" s="163"/>
      <c r="AB118" s="163"/>
      <c r="AC118" s="163"/>
      <c r="AD118" s="163"/>
      <c r="AE118" s="163"/>
      <c r="AF118" s="163"/>
      <c r="AG118" s="163"/>
      <c r="AH118" s="163"/>
      <c r="AI118" s="163"/>
      <c r="AJ118" s="163"/>
      <c r="AK118" s="163"/>
      <c r="AL118" s="163"/>
      <c r="AM118" s="163"/>
      <c r="AN118" s="163"/>
      <c r="AO118" s="163"/>
      <c r="AP118" s="163"/>
      <c r="AQ118" s="163"/>
      <c r="AR118" s="163"/>
      <c r="AS118" s="163"/>
      <c r="AT118" s="163"/>
      <c r="AU118" s="163"/>
      <c r="AV118" s="163"/>
      <c r="AW118" s="163"/>
      <c r="AX118" s="163"/>
      <c r="AY118" s="163"/>
      <c r="AZ118" s="163"/>
      <c r="BA118" s="163"/>
      <c r="BB118" s="163"/>
      <c r="BC118" s="163"/>
      <c r="BD118" s="163"/>
      <c r="BE118" s="163"/>
      <c r="BF118" s="163"/>
      <c r="BG118" s="163"/>
      <c r="BH118" s="163"/>
      <c r="BI118" s="163"/>
    </row>
    <row r="119" ht="15.75" customHeight="1">
      <c r="A119" s="37"/>
      <c r="B119" s="30"/>
      <c r="C119" s="30"/>
      <c r="D119" s="84"/>
      <c r="E119" s="30"/>
      <c r="F119" s="30"/>
      <c r="G119" s="30"/>
      <c r="H119" s="30"/>
      <c r="I119" s="30"/>
      <c r="J119" s="30"/>
      <c r="K119" s="30"/>
      <c r="L119" s="30"/>
      <c r="M119" s="30"/>
      <c r="N119" s="30"/>
      <c r="O119" s="163"/>
      <c r="P119" s="163"/>
      <c r="Q119" s="163"/>
      <c r="R119" s="163"/>
      <c r="S119" s="163"/>
      <c r="T119" s="163"/>
      <c r="U119" s="163"/>
      <c r="V119" s="163"/>
      <c r="W119" s="163"/>
      <c r="X119" s="163"/>
      <c r="Y119" s="163"/>
      <c r="Z119" s="163"/>
      <c r="AA119" s="163"/>
      <c r="AB119" s="163"/>
      <c r="AC119" s="163"/>
      <c r="AD119" s="163"/>
      <c r="AE119" s="163"/>
      <c r="AF119" s="163"/>
      <c r="AG119" s="163"/>
      <c r="AH119" s="163"/>
      <c r="AI119" s="163"/>
      <c r="AJ119" s="163"/>
      <c r="AK119" s="163"/>
      <c r="AL119" s="163"/>
      <c r="AM119" s="163"/>
      <c r="AN119" s="163"/>
      <c r="AO119" s="163"/>
      <c r="AP119" s="163"/>
      <c r="AQ119" s="163"/>
      <c r="AR119" s="163"/>
      <c r="AS119" s="163"/>
      <c r="AT119" s="163"/>
      <c r="AU119" s="163"/>
      <c r="AV119" s="163"/>
      <c r="AW119" s="163"/>
      <c r="AX119" s="163"/>
      <c r="AY119" s="163"/>
      <c r="AZ119" s="163"/>
      <c r="BA119" s="163"/>
      <c r="BB119" s="163"/>
      <c r="BC119" s="163"/>
      <c r="BD119" s="163"/>
      <c r="BE119" s="163"/>
      <c r="BF119" s="163"/>
      <c r="BG119" s="163"/>
      <c r="BH119" s="163"/>
      <c r="BI119" s="163"/>
    </row>
    <row r="120" ht="15.75" customHeight="1">
      <c r="A120" s="37"/>
      <c r="B120" s="30"/>
      <c r="C120" s="30"/>
      <c r="D120" s="84"/>
      <c r="E120" s="30"/>
      <c r="F120" s="30"/>
      <c r="G120" s="30"/>
      <c r="H120" s="30"/>
      <c r="I120" s="30"/>
      <c r="J120" s="30"/>
      <c r="K120" s="30"/>
      <c r="L120" s="30"/>
      <c r="M120" s="30"/>
      <c r="N120" s="30"/>
      <c r="O120" s="163"/>
      <c r="P120" s="163"/>
      <c r="Q120" s="163"/>
      <c r="R120" s="163"/>
      <c r="S120" s="163"/>
      <c r="T120" s="163"/>
      <c r="U120" s="163"/>
      <c r="V120" s="163"/>
      <c r="W120" s="163"/>
      <c r="X120" s="163"/>
      <c r="Y120" s="163"/>
      <c r="Z120" s="163"/>
      <c r="AA120" s="163"/>
      <c r="AB120" s="163"/>
      <c r="AC120" s="163"/>
      <c r="AD120" s="163"/>
      <c r="AE120" s="163"/>
      <c r="AF120" s="163"/>
      <c r="AG120" s="163"/>
      <c r="AH120" s="163"/>
      <c r="AI120" s="163"/>
      <c r="AJ120" s="163"/>
      <c r="AK120" s="163"/>
      <c r="AL120" s="163"/>
      <c r="AM120" s="163"/>
      <c r="AN120" s="163"/>
      <c r="AO120" s="163"/>
      <c r="AP120" s="163"/>
      <c r="AQ120" s="163"/>
      <c r="AR120" s="163"/>
      <c r="AS120" s="163"/>
      <c r="AT120" s="163"/>
      <c r="AU120" s="163"/>
      <c r="AV120" s="163"/>
      <c r="AW120" s="163"/>
      <c r="AX120" s="163"/>
      <c r="AY120" s="163"/>
      <c r="AZ120" s="163"/>
      <c r="BA120" s="163"/>
      <c r="BB120" s="163"/>
      <c r="BC120" s="163"/>
      <c r="BD120" s="163"/>
      <c r="BE120" s="163"/>
      <c r="BF120" s="163"/>
      <c r="BG120" s="163"/>
      <c r="BH120" s="163"/>
      <c r="BI120" s="163"/>
    </row>
    <row r="121" ht="15.75" customHeight="1">
      <c r="A121" s="37"/>
      <c r="B121" s="30"/>
      <c r="C121" s="30"/>
      <c r="D121" s="84"/>
      <c r="E121" s="30"/>
      <c r="F121" s="30"/>
      <c r="G121" s="30"/>
      <c r="H121" s="30"/>
      <c r="I121" s="30"/>
      <c r="J121" s="30"/>
      <c r="K121" s="30"/>
      <c r="L121" s="30"/>
      <c r="M121" s="30"/>
      <c r="N121" s="30"/>
      <c r="O121" s="163"/>
      <c r="P121" s="163"/>
      <c r="Q121" s="163"/>
      <c r="R121" s="163"/>
      <c r="S121" s="163"/>
      <c r="T121" s="163"/>
      <c r="U121" s="163"/>
      <c r="V121" s="163"/>
      <c r="W121" s="163"/>
      <c r="X121" s="163"/>
      <c r="Y121" s="163"/>
      <c r="Z121" s="163"/>
      <c r="AA121" s="163"/>
      <c r="AB121" s="163"/>
      <c r="AC121" s="163"/>
      <c r="AD121" s="163"/>
      <c r="AE121" s="163"/>
      <c r="AF121" s="163"/>
      <c r="AG121" s="163"/>
      <c r="AH121" s="163"/>
      <c r="AI121" s="163"/>
      <c r="AJ121" s="163"/>
      <c r="AK121" s="163"/>
      <c r="AL121" s="163"/>
      <c r="AM121" s="163"/>
      <c r="AN121" s="163"/>
      <c r="AO121" s="163"/>
      <c r="AP121" s="163"/>
      <c r="AQ121" s="163"/>
      <c r="AR121" s="163"/>
      <c r="AS121" s="163"/>
      <c r="AT121" s="163"/>
      <c r="AU121" s="163"/>
      <c r="AV121" s="163"/>
      <c r="AW121" s="163"/>
      <c r="AX121" s="163"/>
      <c r="AY121" s="163"/>
      <c r="AZ121" s="163"/>
      <c r="BA121" s="163"/>
      <c r="BB121" s="163"/>
      <c r="BC121" s="163"/>
      <c r="BD121" s="163"/>
      <c r="BE121" s="163"/>
      <c r="BF121" s="163"/>
      <c r="BG121" s="163"/>
      <c r="BH121" s="163"/>
      <c r="BI121" s="163"/>
    </row>
    <row r="122" ht="15.75" customHeight="1">
      <c r="A122" s="37"/>
      <c r="B122" s="30"/>
      <c r="C122" s="30"/>
      <c r="D122" s="84"/>
      <c r="E122" s="30"/>
      <c r="F122" s="30"/>
      <c r="G122" s="30"/>
      <c r="H122" s="30"/>
      <c r="I122" s="30"/>
      <c r="J122" s="30"/>
      <c r="K122" s="30"/>
      <c r="L122" s="30"/>
      <c r="M122" s="30"/>
      <c r="N122" s="30"/>
      <c r="O122" s="163"/>
      <c r="P122" s="163"/>
      <c r="Q122" s="163"/>
      <c r="R122" s="163"/>
      <c r="S122" s="163"/>
      <c r="T122" s="163"/>
      <c r="U122" s="163"/>
      <c r="V122" s="163"/>
      <c r="W122" s="163"/>
      <c r="X122" s="163"/>
      <c r="Y122" s="163"/>
      <c r="Z122" s="163"/>
      <c r="AA122" s="163"/>
      <c r="AB122" s="163"/>
      <c r="AC122" s="163"/>
      <c r="AD122" s="163"/>
      <c r="AE122" s="163"/>
      <c r="AF122" s="163"/>
      <c r="AG122" s="163"/>
      <c r="AH122" s="163"/>
      <c r="AI122" s="163"/>
      <c r="AJ122" s="163"/>
      <c r="AK122" s="163"/>
      <c r="AL122" s="163"/>
      <c r="AM122" s="163"/>
      <c r="AN122" s="163"/>
      <c r="AO122" s="163"/>
      <c r="AP122" s="163"/>
      <c r="AQ122" s="163"/>
      <c r="AR122" s="163"/>
      <c r="AS122" s="163"/>
      <c r="AT122" s="163"/>
      <c r="AU122" s="163"/>
      <c r="AV122" s="163"/>
      <c r="AW122" s="163"/>
      <c r="AX122" s="163"/>
      <c r="AY122" s="163"/>
      <c r="AZ122" s="163"/>
      <c r="BA122" s="163"/>
      <c r="BB122" s="163"/>
      <c r="BC122" s="163"/>
      <c r="BD122" s="163"/>
      <c r="BE122" s="163"/>
      <c r="BF122" s="163"/>
      <c r="BG122" s="163"/>
      <c r="BH122" s="163"/>
      <c r="BI122" s="163"/>
    </row>
    <row r="123" ht="15.75" customHeight="1">
      <c r="A123" s="37"/>
      <c r="B123" s="30"/>
      <c r="C123" s="30"/>
      <c r="D123" s="84"/>
      <c r="E123" s="30"/>
      <c r="F123" s="30"/>
      <c r="G123" s="30"/>
      <c r="H123" s="30"/>
      <c r="I123" s="30"/>
      <c r="J123" s="30"/>
      <c r="K123" s="30"/>
      <c r="L123" s="30"/>
      <c r="M123" s="30"/>
      <c r="N123" s="30"/>
      <c r="O123" s="163"/>
      <c r="P123" s="163"/>
      <c r="Q123" s="163"/>
      <c r="R123" s="163"/>
      <c r="S123" s="163"/>
      <c r="T123" s="163"/>
      <c r="U123" s="163"/>
      <c r="V123" s="163"/>
      <c r="W123" s="163"/>
      <c r="X123" s="163"/>
      <c r="Y123" s="163"/>
      <c r="Z123" s="163"/>
      <c r="AA123" s="163"/>
      <c r="AB123" s="163"/>
      <c r="AC123" s="163"/>
      <c r="AD123" s="163"/>
      <c r="AE123" s="163"/>
      <c r="AF123" s="163"/>
      <c r="AG123" s="163"/>
      <c r="AH123" s="163"/>
      <c r="AI123" s="163"/>
      <c r="AJ123" s="163"/>
      <c r="AK123" s="163"/>
      <c r="AL123" s="163"/>
      <c r="AM123" s="163"/>
      <c r="AN123" s="163"/>
      <c r="AO123" s="163"/>
      <c r="AP123" s="163"/>
      <c r="AQ123" s="163"/>
      <c r="AR123" s="163"/>
      <c r="AS123" s="163"/>
      <c r="AT123" s="163"/>
      <c r="AU123" s="163"/>
      <c r="AV123" s="163"/>
      <c r="AW123" s="163"/>
      <c r="AX123" s="163"/>
      <c r="AY123" s="163"/>
      <c r="AZ123" s="163"/>
      <c r="BA123" s="163"/>
      <c r="BB123" s="163"/>
      <c r="BC123" s="163"/>
      <c r="BD123" s="163"/>
      <c r="BE123" s="163"/>
      <c r="BF123" s="163"/>
      <c r="BG123" s="163"/>
      <c r="BH123" s="163"/>
      <c r="BI123" s="163"/>
    </row>
    <row r="124" ht="15.75" customHeight="1">
      <c r="A124" s="37"/>
      <c r="B124" s="30"/>
      <c r="C124" s="30"/>
      <c r="D124" s="84"/>
      <c r="E124" s="30"/>
      <c r="F124" s="30"/>
      <c r="G124" s="30"/>
      <c r="H124" s="30"/>
      <c r="I124" s="30"/>
      <c r="J124" s="30"/>
      <c r="K124" s="30"/>
      <c r="L124" s="30"/>
      <c r="M124" s="30"/>
      <c r="N124" s="30"/>
      <c r="O124" s="163"/>
      <c r="P124" s="163"/>
      <c r="Q124" s="163"/>
      <c r="R124" s="163"/>
      <c r="S124" s="163"/>
      <c r="T124" s="163"/>
      <c r="U124" s="163"/>
      <c r="V124" s="163"/>
      <c r="W124" s="163"/>
      <c r="X124" s="163"/>
      <c r="Y124" s="163"/>
      <c r="Z124" s="163"/>
      <c r="AA124" s="163"/>
      <c r="AB124" s="163"/>
      <c r="AC124" s="163"/>
      <c r="AD124" s="163"/>
      <c r="AE124" s="163"/>
      <c r="AF124" s="163"/>
      <c r="AG124" s="163"/>
      <c r="AH124" s="163"/>
      <c r="AI124" s="163"/>
      <c r="AJ124" s="163"/>
      <c r="AK124" s="163"/>
      <c r="AL124" s="163"/>
      <c r="AM124" s="163"/>
      <c r="AN124" s="163"/>
      <c r="AO124" s="163"/>
      <c r="AP124" s="163"/>
      <c r="AQ124" s="163"/>
      <c r="AR124" s="163"/>
      <c r="AS124" s="163"/>
      <c r="AT124" s="163"/>
      <c r="AU124" s="163"/>
      <c r="AV124" s="163"/>
      <c r="AW124" s="163"/>
      <c r="AX124" s="163"/>
      <c r="AY124" s="163"/>
      <c r="AZ124" s="163"/>
      <c r="BA124" s="163"/>
      <c r="BB124" s="163"/>
      <c r="BC124" s="163"/>
      <c r="BD124" s="163"/>
      <c r="BE124" s="163"/>
      <c r="BF124" s="163"/>
      <c r="BG124" s="163"/>
      <c r="BH124" s="163"/>
      <c r="BI124" s="163"/>
    </row>
    <row r="125" ht="15.75" customHeight="1">
      <c r="A125" s="37"/>
      <c r="B125" s="30"/>
      <c r="C125" s="30"/>
      <c r="D125" s="84"/>
      <c r="E125" s="30"/>
      <c r="F125" s="30"/>
      <c r="G125" s="30"/>
      <c r="H125" s="30"/>
      <c r="I125" s="30"/>
      <c r="J125" s="30"/>
      <c r="K125" s="30"/>
      <c r="L125" s="30"/>
      <c r="M125" s="30"/>
      <c r="N125" s="30"/>
      <c r="O125" s="163"/>
      <c r="P125" s="163"/>
      <c r="Q125" s="163"/>
      <c r="R125" s="163"/>
      <c r="S125" s="163"/>
      <c r="T125" s="163"/>
      <c r="U125" s="163"/>
      <c r="V125" s="163"/>
      <c r="W125" s="163"/>
      <c r="X125" s="163"/>
      <c r="Y125" s="163"/>
      <c r="Z125" s="163"/>
      <c r="AA125" s="163"/>
      <c r="AB125" s="163"/>
      <c r="AC125" s="163"/>
      <c r="AD125" s="163"/>
      <c r="AE125" s="163"/>
      <c r="AF125" s="163"/>
      <c r="AG125" s="163"/>
      <c r="AH125" s="163"/>
      <c r="AI125" s="163"/>
      <c r="AJ125" s="163"/>
      <c r="AK125" s="163"/>
      <c r="AL125" s="163"/>
      <c r="AM125" s="163"/>
      <c r="AN125" s="163"/>
      <c r="AO125" s="163"/>
      <c r="AP125" s="163"/>
      <c r="AQ125" s="163"/>
      <c r="AR125" s="163"/>
      <c r="AS125" s="163"/>
      <c r="AT125" s="163"/>
      <c r="AU125" s="163"/>
      <c r="AV125" s="163"/>
      <c r="AW125" s="163"/>
      <c r="AX125" s="163"/>
      <c r="AY125" s="163"/>
      <c r="AZ125" s="163"/>
      <c r="BA125" s="163"/>
      <c r="BB125" s="163"/>
      <c r="BC125" s="163"/>
      <c r="BD125" s="163"/>
      <c r="BE125" s="163"/>
      <c r="BF125" s="163"/>
      <c r="BG125" s="163"/>
      <c r="BH125" s="163"/>
      <c r="BI125" s="163"/>
    </row>
    <row r="126" ht="15.75" customHeight="1">
      <c r="A126" s="37"/>
      <c r="B126" s="30"/>
      <c r="C126" s="30"/>
      <c r="D126" s="84"/>
      <c r="E126" s="30"/>
      <c r="F126" s="30"/>
      <c r="G126" s="30"/>
      <c r="H126" s="30"/>
      <c r="I126" s="30"/>
      <c r="J126" s="30"/>
      <c r="K126" s="30"/>
      <c r="L126" s="30"/>
      <c r="M126" s="30"/>
      <c r="N126" s="30"/>
      <c r="O126" s="163"/>
      <c r="P126" s="163"/>
      <c r="Q126" s="163"/>
      <c r="R126" s="163"/>
      <c r="S126" s="163"/>
      <c r="T126" s="163"/>
      <c r="U126" s="163"/>
      <c r="V126" s="163"/>
      <c r="W126" s="163"/>
      <c r="X126" s="163"/>
      <c r="Y126" s="163"/>
      <c r="Z126" s="163"/>
      <c r="AA126" s="163"/>
      <c r="AB126" s="163"/>
      <c r="AC126" s="163"/>
      <c r="AD126" s="163"/>
      <c r="AE126" s="163"/>
      <c r="AF126" s="163"/>
      <c r="AG126" s="163"/>
      <c r="AH126" s="163"/>
      <c r="AI126" s="163"/>
      <c r="AJ126" s="163"/>
      <c r="AK126" s="163"/>
      <c r="AL126" s="163"/>
      <c r="AM126" s="163"/>
      <c r="AN126" s="163"/>
      <c r="AO126" s="163"/>
      <c r="AP126" s="163"/>
      <c r="AQ126" s="163"/>
      <c r="AR126" s="163"/>
      <c r="AS126" s="163"/>
      <c r="AT126" s="163"/>
      <c r="AU126" s="163"/>
      <c r="AV126" s="163"/>
      <c r="AW126" s="163"/>
      <c r="AX126" s="163"/>
      <c r="AY126" s="163"/>
      <c r="AZ126" s="163"/>
      <c r="BA126" s="163"/>
      <c r="BB126" s="163"/>
      <c r="BC126" s="163"/>
      <c r="BD126" s="163"/>
      <c r="BE126" s="163"/>
      <c r="BF126" s="163"/>
      <c r="BG126" s="163"/>
      <c r="BH126" s="163"/>
      <c r="BI126" s="163"/>
    </row>
    <row r="127" ht="15.75" customHeight="1">
      <c r="A127" s="37"/>
      <c r="B127" s="30"/>
      <c r="C127" s="30"/>
      <c r="D127" s="84"/>
      <c r="E127" s="30"/>
      <c r="F127" s="30"/>
      <c r="G127" s="30"/>
      <c r="H127" s="30"/>
      <c r="I127" s="30"/>
      <c r="J127" s="30"/>
      <c r="K127" s="30"/>
      <c r="L127" s="30"/>
      <c r="M127" s="30"/>
      <c r="N127" s="30"/>
      <c r="O127" s="163"/>
      <c r="P127" s="163"/>
      <c r="Q127" s="163"/>
      <c r="R127" s="163"/>
      <c r="S127" s="163"/>
      <c r="T127" s="163"/>
      <c r="U127" s="163"/>
      <c r="V127" s="163"/>
      <c r="W127" s="163"/>
      <c r="X127" s="163"/>
      <c r="Y127" s="163"/>
      <c r="Z127" s="163"/>
      <c r="AA127" s="163"/>
      <c r="AB127" s="163"/>
      <c r="AC127" s="163"/>
      <c r="AD127" s="163"/>
      <c r="AE127" s="163"/>
      <c r="AF127" s="163"/>
      <c r="AG127" s="163"/>
      <c r="AH127" s="163"/>
      <c r="AI127" s="163"/>
      <c r="AJ127" s="163"/>
      <c r="AK127" s="163"/>
      <c r="AL127" s="163"/>
      <c r="AM127" s="163"/>
      <c r="AN127" s="163"/>
      <c r="AO127" s="163"/>
      <c r="AP127" s="163"/>
      <c r="AQ127" s="163"/>
      <c r="AR127" s="163"/>
      <c r="AS127" s="163"/>
      <c r="AT127" s="163"/>
      <c r="AU127" s="163"/>
      <c r="AV127" s="163"/>
      <c r="AW127" s="163"/>
      <c r="AX127" s="163"/>
      <c r="AY127" s="163"/>
      <c r="AZ127" s="163"/>
      <c r="BA127" s="163"/>
      <c r="BB127" s="163"/>
      <c r="BC127" s="163"/>
      <c r="BD127" s="163"/>
      <c r="BE127" s="163"/>
      <c r="BF127" s="163"/>
      <c r="BG127" s="163"/>
      <c r="BH127" s="163"/>
      <c r="BI127" s="163"/>
    </row>
    <row r="128" ht="15.75" customHeight="1">
      <c r="A128" s="37"/>
      <c r="B128" s="30"/>
      <c r="C128" s="30"/>
      <c r="D128" s="84"/>
      <c r="E128" s="30"/>
      <c r="F128" s="30"/>
      <c r="G128" s="30"/>
      <c r="H128" s="30"/>
      <c r="I128" s="30"/>
      <c r="J128" s="30"/>
      <c r="K128" s="30"/>
      <c r="L128" s="30"/>
      <c r="M128" s="30"/>
      <c r="N128" s="30"/>
      <c r="O128" s="163"/>
      <c r="P128" s="163"/>
      <c r="Q128" s="163"/>
      <c r="R128" s="163"/>
      <c r="S128" s="163"/>
      <c r="T128" s="163"/>
      <c r="U128" s="163"/>
      <c r="V128" s="163"/>
      <c r="W128" s="163"/>
      <c r="X128" s="163"/>
      <c r="Y128" s="163"/>
      <c r="Z128" s="163"/>
      <c r="AA128" s="163"/>
      <c r="AB128" s="163"/>
      <c r="AC128" s="163"/>
      <c r="AD128" s="163"/>
      <c r="AE128" s="163"/>
      <c r="AF128" s="163"/>
      <c r="AG128" s="163"/>
      <c r="AH128" s="163"/>
      <c r="AI128" s="163"/>
      <c r="AJ128" s="163"/>
      <c r="AK128" s="163"/>
      <c r="AL128" s="163"/>
      <c r="AM128" s="163"/>
      <c r="AN128" s="163"/>
      <c r="AO128" s="163"/>
      <c r="AP128" s="163"/>
      <c r="AQ128" s="163"/>
      <c r="AR128" s="163"/>
      <c r="AS128" s="163"/>
      <c r="AT128" s="163"/>
      <c r="AU128" s="163"/>
      <c r="AV128" s="163"/>
      <c r="AW128" s="163"/>
      <c r="AX128" s="163"/>
      <c r="AY128" s="163"/>
      <c r="AZ128" s="163"/>
      <c r="BA128" s="163"/>
      <c r="BB128" s="163"/>
      <c r="BC128" s="163"/>
      <c r="BD128" s="163"/>
      <c r="BE128" s="163"/>
      <c r="BF128" s="163"/>
      <c r="BG128" s="163"/>
      <c r="BH128" s="163"/>
      <c r="BI128" s="163"/>
    </row>
    <row r="129" ht="15.75" customHeight="1">
      <c r="A129" s="37"/>
      <c r="B129" s="30"/>
      <c r="C129" s="30"/>
      <c r="D129" s="84"/>
      <c r="E129" s="30"/>
      <c r="F129" s="30"/>
      <c r="G129" s="30"/>
      <c r="H129" s="30"/>
      <c r="I129" s="30"/>
      <c r="J129" s="30"/>
      <c r="K129" s="30"/>
      <c r="L129" s="30"/>
      <c r="M129" s="30"/>
      <c r="N129" s="30"/>
      <c r="O129" s="163"/>
      <c r="P129" s="163"/>
      <c r="Q129" s="163"/>
      <c r="R129" s="163"/>
      <c r="S129" s="163"/>
      <c r="T129" s="163"/>
      <c r="U129" s="163"/>
      <c r="V129" s="163"/>
      <c r="W129" s="163"/>
      <c r="X129" s="163"/>
      <c r="Y129" s="163"/>
      <c r="Z129" s="163"/>
      <c r="AA129" s="163"/>
      <c r="AB129" s="163"/>
      <c r="AC129" s="163"/>
      <c r="AD129" s="163"/>
      <c r="AE129" s="163"/>
      <c r="AF129" s="163"/>
      <c r="AG129" s="163"/>
      <c r="AH129" s="163"/>
      <c r="AI129" s="163"/>
      <c r="AJ129" s="163"/>
      <c r="AK129" s="163"/>
      <c r="AL129" s="163"/>
      <c r="AM129" s="163"/>
      <c r="AN129" s="163"/>
      <c r="AO129" s="163"/>
      <c r="AP129" s="163"/>
      <c r="AQ129" s="163"/>
      <c r="AR129" s="163"/>
      <c r="AS129" s="163"/>
      <c r="AT129" s="163"/>
      <c r="AU129" s="163"/>
      <c r="AV129" s="163"/>
      <c r="AW129" s="163"/>
      <c r="AX129" s="163"/>
      <c r="AY129" s="163"/>
      <c r="AZ129" s="163"/>
      <c r="BA129" s="163"/>
      <c r="BB129" s="163"/>
      <c r="BC129" s="163"/>
      <c r="BD129" s="163"/>
      <c r="BE129" s="163"/>
      <c r="BF129" s="163"/>
      <c r="BG129" s="163"/>
      <c r="BH129" s="163"/>
      <c r="BI129" s="163"/>
    </row>
    <row r="130" ht="15.75" customHeight="1">
      <c r="A130" s="37"/>
      <c r="B130" s="30"/>
      <c r="C130" s="30"/>
      <c r="D130" s="84"/>
      <c r="E130" s="30"/>
      <c r="F130" s="30"/>
      <c r="G130" s="30"/>
      <c r="H130" s="30"/>
      <c r="I130" s="30"/>
      <c r="J130" s="30"/>
      <c r="K130" s="30"/>
      <c r="L130" s="30"/>
      <c r="M130" s="30"/>
      <c r="N130" s="30"/>
      <c r="O130" s="163"/>
      <c r="P130" s="163"/>
      <c r="Q130" s="163"/>
      <c r="R130" s="163"/>
      <c r="S130" s="163"/>
      <c r="T130" s="163"/>
      <c r="U130" s="163"/>
      <c r="V130" s="163"/>
      <c r="W130" s="163"/>
      <c r="X130" s="163"/>
      <c r="Y130" s="163"/>
      <c r="Z130" s="163"/>
      <c r="AA130" s="163"/>
      <c r="AB130" s="163"/>
      <c r="AC130" s="163"/>
      <c r="AD130" s="163"/>
      <c r="AE130" s="163"/>
      <c r="AF130" s="163"/>
      <c r="AG130" s="163"/>
      <c r="AH130" s="163"/>
      <c r="AI130" s="163"/>
      <c r="AJ130" s="163"/>
      <c r="AK130" s="163"/>
      <c r="AL130" s="163"/>
      <c r="AM130" s="163"/>
      <c r="AN130" s="163"/>
      <c r="AO130" s="163"/>
      <c r="AP130" s="163"/>
      <c r="AQ130" s="163"/>
      <c r="AR130" s="163"/>
      <c r="AS130" s="163"/>
      <c r="AT130" s="163"/>
      <c r="AU130" s="163"/>
      <c r="AV130" s="163"/>
      <c r="AW130" s="163"/>
      <c r="AX130" s="163"/>
      <c r="AY130" s="163"/>
      <c r="AZ130" s="163"/>
      <c r="BA130" s="163"/>
      <c r="BB130" s="163"/>
      <c r="BC130" s="163"/>
      <c r="BD130" s="163"/>
      <c r="BE130" s="163"/>
      <c r="BF130" s="163"/>
      <c r="BG130" s="163"/>
      <c r="BH130" s="163"/>
      <c r="BI130" s="163"/>
    </row>
    <row r="131" ht="15.75" customHeight="1">
      <c r="A131" s="37"/>
      <c r="B131" s="30"/>
      <c r="C131" s="30"/>
      <c r="D131" s="84"/>
      <c r="E131" s="30"/>
      <c r="F131" s="30"/>
      <c r="G131" s="30"/>
      <c r="H131" s="30"/>
      <c r="I131" s="30"/>
      <c r="J131" s="30"/>
      <c r="K131" s="30"/>
      <c r="L131" s="30"/>
      <c r="M131" s="30"/>
      <c r="N131" s="30"/>
      <c r="O131" s="163"/>
      <c r="P131" s="163"/>
      <c r="Q131" s="163"/>
      <c r="R131" s="163"/>
      <c r="S131" s="163"/>
      <c r="T131" s="163"/>
      <c r="U131" s="163"/>
      <c r="V131" s="163"/>
      <c r="W131" s="163"/>
      <c r="X131" s="163"/>
      <c r="Y131" s="163"/>
      <c r="Z131" s="163"/>
      <c r="AA131" s="163"/>
      <c r="AB131" s="163"/>
      <c r="AC131" s="163"/>
      <c r="AD131" s="163"/>
      <c r="AE131" s="163"/>
      <c r="AF131" s="163"/>
      <c r="AG131" s="163"/>
      <c r="AH131" s="163"/>
      <c r="AI131" s="163"/>
      <c r="AJ131" s="163"/>
      <c r="AK131" s="163"/>
      <c r="AL131" s="163"/>
      <c r="AM131" s="163"/>
      <c r="AN131" s="163"/>
      <c r="AO131" s="163"/>
      <c r="AP131" s="163"/>
      <c r="AQ131" s="163"/>
      <c r="AR131" s="163"/>
      <c r="AS131" s="163"/>
      <c r="AT131" s="163"/>
      <c r="AU131" s="163"/>
      <c r="AV131" s="163"/>
      <c r="AW131" s="163"/>
      <c r="AX131" s="163"/>
      <c r="AY131" s="163"/>
      <c r="AZ131" s="163"/>
      <c r="BA131" s="163"/>
      <c r="BB131" s="163"/>
      <c r="BC131" s="163"/>
      <c r="BD131" s="163"/>
      <c r="BE131" s="163"/>
      <c r="BF131" s="163"/>
      <c r="BG131" s="163"/>
      <c r="BH131" s="163"/>
      <c r="BI131" s="163"/>
    </row>
    <row r="132" ht="15.75" customHeight="1">
      <c r="A132" s="37"/>
      <c r="B132" s="30"/>
      <c r="C132" s="30"/>
      <c r="D132" s="84"/>
      <c r="E132" s="30"/>
      <c r="F132" s="30"/>
      <c r="G132" s="30"/>
      <c r="H132" s="30"/>
      <c r="I132" s="30"/>
      <c r="J132" s="30"/>
      <c r="K132" s="30"/>
      <c r="L132" s="30"/>
      <c r="M132" s="30"/>
      <c r="N132" s="30"/>
      <c r="O132" s="163"/>
      <c r="P132" s="163"/>
      <c r="Q132" s="163"/>
      <c r="R132" s="163"/>
      <c r="S132" s="163"/>
      <c r="T132" s="163"/>
      <c r="U132" s="163"/>
      <c r="V132" s="163"/>
      <c r="W132" s="163"/>
      <c r="X132" s="163"/>
      <c r="Y132" s="163"/>
      <c r="Z132" s="163"/>
      <c r="AA132" s="163"/>
      <c r="AB132" s="163"/>
      <c r="AC132" s="163"/>
      <c r="AD132" s="163"/>
      <c r="AE132" s="163"/>
      <c r="AF132" s="163"/>
      <c r="AG132" s="163"/>
      <c r="AH132" s="163"/>
      <c r="AI132" s="163"/>
      <c r="AJ132" s="163"/>
      <c r="AK132" s="163"/>
      <c r="AL132" s="163"/>
      <c r="AM132" s="163"/>
      <c r="AN132" s="163"/>
      <c r="AO132" s="163"/>
      <c r="AP132" s="163"/>
      <c r="AQ132" s="163"/>
      <c r="AR132" s="163"/>
      <c r="AS132" s="163"/>
      <c r="AT132" s="163"/>
      <c r="AU132" s="163"/>
      <c r="AV132" s="163"/>
      <c r="AW132" s="163"/>
      <c r="AX132" s="163"/>
      <c r="AY132" s="163"/>
      <c r="AZ132" s="163"/>
      <c r="BA132" s="163"/>
      <c r="BB132" s="163"/>
      <c r="BC132" s="163"/>
      <c r="BD132" s="163"/>
      <c r="BE132" s="163"/>
      <c r="BF132" s="163"/>
      <c r="BG132" s="163"/>
      <c r="BH132" s="163"/>
      <c r="BI132" s="163"/>
    </row>
    <row r="133" ht="15.75" customHeight="1">
      <c r="A133" s="37"/>
      <c r="B133" s="30"/>
      <c r="C133" s="30"/>
      <c r="D133" s="84"/>
      <c r="E133" s="30"/>
      <c r="F133" s="30"/>
      <c r="G133" s="30"/>
      <c r="H133" s="30"/>
      <c r="I133" s="30"/>
      <c r="J133" s="30"/>
      <c r="K133" s="30"/>
      <c r="L133" s="30"/>
      <c r="M133" s="30"/>
      <c r="N133" s="30"/>
      <c r="O133" s="163"/>
      <c r="P133" s="163"/>
      <c r="Q133" s="163"/>
      <c r="R133" s="163"/>
      <c r="S133" s="163"/>
      <c r="T133" s="163"/>
      <c r="U133" s="163"/>
      <c r="V133" s="163"/>
      <c r="W133" s="163"/>
      <c r="X133" s="163"/>
      <c r="Y133" s="163"/>
      <c r="Z133" s="163"/>
      <c r="AA133" s="163"/>
      <c r="AB133" s="163"/>
      <c r="AC133" s="163"/>
      <c r="AD133" s="163"/>
      <c r="AE133" s="163"/>
      <c r="AF133" s="163"/>
      <c r="AG133" s="163"/>
      <c r="AH133" s="163"/>
      <c r="AI133" s="163"/>
      <c r="AJ133" s="163"/>
      <c r="AK133" s="163"/>
      <c r="AL133" s="163"/>
      <c r="AM133" s="163"/>
      <c r="AN133" s="163"/>
      <c r="AO133" s="163"/>
      <c r="AP133" s="163"/>
      <c r="AQ133" s="163"/>
      <c r="AR133" s="163"/>
      <c r="AS133" s="163"/>
      <c r="AT133" s="163"/>
      <c r="AU133" s="163"/>
      <c r="AV133" s="163"/>
      <c r="AW133" s="163"/>
      <c r="AX133" s="163"/>
      <c r="AY133" s="163"/>
      <c r="AZ133" s="163"/>
      <c r="BA133" s="163"/>
      <c r="BB133" s="163"/>
      <c r="BC133" s="163"/>
      <c r="BD133" s="163"/>
      <c r="BE133" s="163"/>
      <c r="BF133" s="163"/>
      <c r="BG133" s="163"/>
      <c r="BH133" s="163"/>
      <c r="BI133" s="163"/>
    </row>
    <row r="134" ht="15.75" customHeight="1">
      <c r="A134" s="37"/>
      <c r="B134" s="30"/>
      <c r="C134" s="30"/>
      <c r="D134" s="84"/>
      <c r="E134" s="30"/>
      <c r="F134" s="30"/>
      <c r="G134" s="30"/>
      <c r="H134" s="30"/>
      <c r="I134" s="30"/>
      <c r="J134" s="30"/>
      <c r="K134" s="30"/>
      <c r="L134" s="30"/>
      <c r="M134" s="30"/>
      <c r="N134" s="30"/>
      <c r="O134" s="163"/>
      <c r="P134" s="163"/>
      <c r="Q134" s="163"/>
      <c r="R134" s="163"/>
      <c r="S134" s="163"/>
      <c r="T134" s="163"/>
      <c r="U134" s="163"/>
      <c r="V134" s="163"/>
      <c r="W134" s="163"/>
      <c r="X134" s="163"/>
      <c r="Y134" s="163"/>
      <c r="Z134" s="163"/>
      <c r="AA134" s="163"/>
      <c r="AB134" s="163"/>
      <c r="AC134" s="163"/>
      <c r="AD134" s="163"/>
      <c r="AE134" s="163"/>
      <c r="AF134" s="163"/>
      <c r="AG134" s="163"/>
      <c r="AH134" s="163"/>
      <c r="AI134" s="163"/>
      <c r="AJ134" s="163"/>
      <c r="AK134" s="163"/>
      <c r="AL134" s="163"/>
      <c r="AM134" s="163"/>
      <c r="AN134" s="163"/>
      <c r="AO134" s="163"/>
      <c r="AP134" s="163"/>
      <c r="AQ134" s="163"/>
      <c r="AR134" s="163"/>
      <c r="AS134" s="163"/>
      <c r="AT134" s="163"/>
      <c r="AU134" s="163"/>
      <c r="AV134" s="163"/>
      <c r="AW134" s="163"/>
      <c r="AX134" s="163"/>
      <c r="AY134" s="163"/>
      <c r="AZ134" s="163"/>
      <c r="BA134" s="163"/>
      <c r="BB134" s="163"/>
      <c r="BC134" s="163"/>
      <c r="BD134" s="163"/>
      <c r="BE134" s="163"/>
      <c r="BF134" s="163"/>
      <c r="BG134" s="163"/>
      <c r="BH134" s="163"/>
      <c r="BI134" s="163"/>
    </row>
    <row r="135" ht="15.75" customHeight="1">
      <c r="A135" s="37"/>
      <c r="B135" s="30"/>
      <c r="C135" s="30"/>
      <c r="D135" s="84"/>
      <c r="E135" s="30"/>
      <c r="F135" s="30"/>
      <c r="G135" s="30"/>
      <c r="H135" s="30"/>
      <c r="I135" s="30"/>
      <c r="J135" s="30"/>
      <c r="K135" s="30"/>
      <c r="L135" s="30"/>
      <c r="M135" s="30"/>
      <c r="N135" s="30"/>
      <c r="O135" s="163"/>
      <c r="P135" s="163"/>
      <c r="Q135" s="163"/>
      <c r="R135" s="163"/>
      <c r="S135" s="163"/>
      <c r="T135" s="163"/>
      <c r="U135" s="163"/>
      <c r="V135" s="163"/>
      <c r="W135" s="163"/>
      <c r="X135" s="163"/>
      <c r="Y135" s="163"/>
      <c r="Z135" s="163"/>
      <c r="AA135" s="163"/>
      <c r="AB135" s="163"/>
      <c r="AC135" s="163"/>
      <c r="AD135" s="163"/>
      <c r="AE135" s="163"/>
      <c r="AF135" s="163"/>
      <c r="AG135" s="163"/>
      <c r="AH135" s="163"/>
      <c r="AI135" s="163"/>
      <c r="AJ135" s="163"/>
      <c r="AK135" s="163"/>
      <c r="AL135" s="163"/>
      <c r="AM135" s="163"/>
      <c r="AN135" s="163"/>
      <c r="AO135" s="163"/>
      <c r="AP135" s="163"/>
      <c r="AQ135" s="163"/>
      <c r="AR135" s="163"/>
      <c r="AS135" s="163"/>
      <c r="AT135" s="163"/>
      <c r="AU135" s="163"/>
      <c r="AV135" s="163"/>
      <c r="AW135" s="163"/>
      <c r="AX135" s="163"/>
      <c r="AY135" s="163"/>
      <c r="AZ135" s="163"/>
      <c r="BA135" s="163"/>
      <c r="BB135" s="163"/>
      <c r="BC135" s="163"/>
      <c r="BD135" s="163"/>
      <c r="BE135" s="163"/>
      <c r="BF135" s="163"/>
      <c r="BG135" s="163"/>
      <c r="BH135" s="163"/>
      <c r="BI135" s="163"/>
    </row>
    <row r="136" ht="15.75" customHeight="1">
      <c r="A136" s="37"/>
      <c r="B136" s="30"/>
      <c r="C136" s="30"/>
      <c r="D136" s="84"/>
      <c r="E136" s="30"/>
      <c r="F136" s="30"/>
      <c r="G136" s="30"/>
      <c r="H136" s="30"/>
      <c r="I136" s="30"/>
      <c r="J136" s="30"/>
      <c r="K136" s="30"/>
      <c r="L136" s="30"/>
      <c r="M136" s="30"/>
      <c r="N136" s="30"/>
      <c r="O136" s="163"/>
      <c r="P136" s="163"/>
      <c r="Q136" s="163"/>
      <c r="R136" s="163"/>
      <c r="S136" s="163"/>
      <c r="T136" s="163"/>
      <c r="U136" s="163"/>
      <c r="V136" s="163"/>
      <c r="W136" s="163"/>
      <c r="X136" s="163"/>
      <c r="Y136" s="163"/>
      <c r="Z136" s="163"/>
      <c r="AA136" s="163"/>
      <c r="AB136" s="163"/>
      <c r="AC136" s="163"/>
      <c r="AD136" s="163"/>
      <c r="AE136" s="163"/>
      <c r="AF136" s="163"/>
      <c r="AG136" s="163"/>
      <c r="AH136" s="163"/>
      <c r="AI136" s="163"/>
      <c r="AJ136" s="163"/>
      <c r="AK136" s="163"/>
      <c r="AL136" s="163"/>
      <c r="AM136" s="163"/>
      <c r="AN136" s="163"/>
      <c r="AO136" s="163"/>
      <c r="AP136" s="163"/>
      <c r="AQ136" s="163"/>
      <c r="AR136" s="163"/>
      <c r="AS136" s="163"/>
      <c r="AT136" s="163"/>
      <c r="AU136" s="163"/>
      <c r="AV136" s="163"/>
      <c r="AW136" s="163"/>
      <c r="AX136" s="163"/>
      <c r="AY136" s="163"/>
      <c r="AZ136" s="163"/>
      <c r="BA136" s="163"/>
      <c r="BB136" s="163"/>
      <c r="BC136" s="163"/>
      <c r="BD136" s="163"/>
      <c r="BE136" s="163"/>
      <c r="BF136" s="163"/>
      <c r="BG136" s="163"/>
      <c r="BH136" s="163"/>
      <c r="BI136" s="163"/>
    </row>
    <row r="137" ht="15.75" customHeight="1">
      <c r="A137" s="37"/>
      <c r="B137" s="30"/>
      <c r="C137" s="30"/>
      <c r="D137" s="84"/>
      <c r="E137" s="30"/>
      <c r="F137" s="30"/>
      <c r="G137" s="30"/>
      <c r="H137" s="30"/>
      <c r="I137" s="30"/>
      <c r="J137" s="30"/>
      <c r="K137" s="30"/>
      <c r="L137" s="30"/>
      <c r="M137" s="30"/>
      <c r="N137" s="30"/>
      <c r="O137" s="163"/>
      <c r="P137" s="163"/>
      <c r="Q137" s="163"/>
      <c r="R137" s="163"/>
      <c r="S137" s="163"/>
      <c r="T137" s="163"/>
      <c r="U137" s="163"/>
      <c r="V137" s="163"/>
      <c r="W137" s="163"/>
      <c r="X137" s="163"/>
      <c r="Y137" s="163"/>
      <c r="Z137" s="163"/>
      <c r="AA137" s="163"/>
      <c r="AB137" s="163"/>
      <c r="AC137" s="163"/>
      <c r="AD137" s="163"/>
      <c r="AE137" s="163"/>
      <c r="AF137" s="163"/>
      <c r="AG137" s="163"/>
      <c r="AH137" s="163"/>
      <c r="AI137" s="163"/>
      <c r="AJ137" s="163"/>
      <c r="AK137" s="163"/>
      <c r="AL137" s="163"/>
      <c r="AM137" s="163"/>
      <c r="AN137" s="163"/>
      <c r="AO137" s="163"/>
      <c r="AP137" s="163"/>
      <c r="AQ137" s="163"/>
      <c r="AR137" s="163"/>
      <c r="AS137" s="163"/>
      <c r="AT137" s="163"/>
      <c r="AU137" s="163"/>
      <c r="AV137" s="163"/>
      <c r="AW137" s="163"/>
      <c r="AX137" s="163"/>
      <c r="AY137" s="163"/>
      <c r="AZ137" s="163"/>
      <c r="BA137" s="163"/>
      <c r="BB137" s="163"/>
      <c r="BC137" s="163"/>
      <c r="BD137" s="163"/>
      <c r="BE137" s="163"/>
      <c r="BF137" s="163"/>
      <c r="BG137" s="163"/>
      <c r="BH137" s="163"/>
      <c r="BI137" s="163"/>
    </row>
    <row r="138" ht="15.75" customHeight="1">
      <c r="A138" s="37"/>
      <c r="B138" s="30"/>
      <c r="C138" s="30"/>
      <c r="D138" s="84"/>
      <c r="E138" s="30"/>
      <c r="F138" s="30"/>
      <c r="G138" s="30"/>
      <c r="H138" s="30"/>
      <c r="I138" s="30"/>
      <c r="J138" s="30"/>
      <c r="K138" s="30"/>
      <c r="L138" s="30"/>
      <c r="M138" s="30"/>
      <c r="N138" s="30"/>
      <c r="O138" s="163"/>
      <c r="P138" s="163"/>
      <c r="Q138" s="163"/>
      <c r="R138" s="163"/>
      <c r="S138" s="163"/>
      <c r="T138" s="163"/>
      <c r="U138" s="163"/>
      <c r="V138" s="163"/>
      <c r="W138" s="163"/>
      <c r="X138" s="163"/>
      <c r="Y138" s="163"/>
      <c r="Z138" s="163"/>
      <c r="AA138" s="163"/>
      <c r="AB138" s="163"/>
      <c r="AC138" s="163"/>
      <c r="AD138" s="163"/>
      <c r="AE138" s="163"/>
      <c r="AF138" s="163"/>
      <c r="AG138" s="163"/>
      <c r="AH138" s="163"/>
      <c r="AI138" s="163"/>
      <c r="AJ138" s="163"/>
      <c r="AK138" s="163"/>
      <c r="AL138" s="163"/>
      <c r="AM138" s="163"/>
      <c r="AN138" s="163"/>
      <c r="AO138" s="163"/>
      <c r="AP138" s="163"/>
      <c r="AQ138" s="163"/>
      <c r="AR138" s="163"/>
      <c r="AS138" s="163"/>
      <c r="AT138" s="163"/>
      <c r="AU138" s="163"/>
      <c r="AV138" s="163"/>
      <c r="AW138" s="163"/>
      <c r="AX138" s="163"/>
      <c r="AY138" s="163"/>
      <c r="AZ138" s="163"/>
      <c r="BA138" s="163"/>
      <c r="BB138" s="163"/>
      <c r="BC138" s="163"/>
      <c r="BD138" s="163"/>
      <c r="BE138" s="163"/>
      <c r="BF138" s="163"/>
      <c r="BG138" s="163"/>
      <c r="BH138" s="163"/>
      <c r="BI138" s="163"/>
    </row>
    <row r="139" ht="15.75" customHeight="1">
      <c r="A139" s="37"/>
      <c r="B139" s="30"/>
      <c r="C139" s="30"/>
      <c r="D139" s="84"/>
      <c r="E139" s="30"/>
      <c r="F139" s="30"/>
      <c r="G139" s="30"/>
      <c r="H139" s="30"/>
      <c r="I139" s="30"/>
      <c r="J139" s="30"/>
      <c r="K139" s="30"/>
      <c r="L139" s="30"/>
      <c r="M139" s="30"/>
      <c r="N139" s="30"/>
      <c r="O139" s="163"/>
      <c r="P139" s="163"/>
      <c r="Q139" s="163"/>
      <c r="R139" s="163"/>
      <c r="S139" s="163"/>
      <c r="T139" s="163"/>
      <c r="U139" s="163"/>
      <c r="V139" s="163"/>
      <c r="W139" s="163"/>
      <c r="X139" s="163"/>
      <c r="Y139" s="163"/>
      <c r="Z139" s="163"/>
      <c r="AA139" s="163"/>
      <c r="AB139" s="163"/>
      <c r="AC139" s="163"/>
      <c r="AD139" s="163"/>
      <c r="AE139" s="163"/>
      <c r="AF139" s="163"/>
      <c r="AG139" s="163"/>
      <c r="AH139" s="163"/>
      <c r="AI139" s="163"/>
      <c r="AJ139" s="163"/>
      <c r="AK139" s="163"/>
      <c r="AL139" s="163"/>
      <c r="AM139" s="163"/>
      <c r="AN139" s="163"/>
      <c r="AO139" s="163"/>
      <c r="AP139" s="163"/>
      <c r="AQ139" s="163"/>
      <c r="AR139" s="163"/>
      <c r="AS139" s="163"/>
      <c r="AT139" s="163"/>
      <c r="AU139" s="163"/>
      <c r="AV139" s="163"/>
      <c r="AW139" s="163"/>
      <c r="AX139" s="163"/>
      <c r="AY139" s="163"/>
      <c r="AZ139" s="163"/>
      <c r="BA139" s="163"/>
      <c r="BB139" s="163"/>
      <c r="BC139" s="163"/>
      <c r="BD139" s="163"/>
      <c r="BE139" s="163"/>
      <c r="BF139" s="163"/>
      <c r="BG139" s="163"/>
      <c r="BH139" s="163"/>
      <c r="BI139" s="163"/>
    </row>
    <row r="140" ht="15.75" customHeight="1">
      <c r="A140" s="37"/>
      <c r="B140" s="30"/>
      <c r="C140" s="30"/>
      <c r="D140" s="84"/>
      <c r="E140" s="30"/>
      <c r="F140" s="30"/>
      <c r="G140" s="30"/>
      <c r="H140" s="30"/>
      <c r="I140" s="30"/>
      <c r="J140" s="30"/>
      <c r="K140" s="30"/>
      <c r="L140" s="30"/>
      <c r="M140" s="30"/>
      <c r="N140" s="30"/>
      <c r="O140" s="163"/>
      <c r="P140" s="163"/>
      <c r="Q140" s="163"/>
      <c r="R140" s="163"/>
      <c r="S140" s="163"/>
      <c r="T140" s="163"/>
      <c r="U140" s="163"/>
      <c r="V140" s="163"/>
      <c r="W140" s="163"/>
      <c r="X140" s="163"/>
      <c r="Y140" s="163"/>
      <c r="Z140" s="163"/>
      <c r="AA140" s="163"/>
      <c r="AB140" s="163"/>
      <c r="AC140" s="163"/>
      <c r="AD140" s="163"/>
      <c r="AE140" s="163"/>
      <c r="AF140" s="163"/>
      <c r="AG140" s="163"/>
      <c r="AH140" s="163"/>
      <c r="AI140" s="163"/>
      <c r="AJ140" s="163"/>
      <c r="AK140" s="163"/>
      <c r="AL140" s="163"/>
      <c r="AM140" s="163"/>
      <c r="AN140" s="163"/>
      <c r="AO140" s="163"/>
      <c r="AP140" s="163"/>
      <c r="AQ140" s="163"/>
      <c r="AR140" s="163"/>
      <c r="AS140" s="163"/>
      <c r="AT140" s="163"/>
      <c r="AU140" s="163"/>
      <c r="AV140" s="163"/>
      <c r="AW140" s="163"/>
      <c r="AX140" s="163"/>
      <c r="AY140" s="163"/>
      <c r="AZ140" s="163"/>
      <c r="BA140" s="163"/>
      <c r="BB140" s="163"/>
      <c r="BC140" s="163"/>
      <c r="BD140" s="163"/>
      <c r="BE140" s="163"/>
      <c r="BF140" s="163"/>
      <c r="BG140" s="163"/>
      <c r="BH140" s="163"/>
      <c r="BI140" s="163"/>
    </row>
    <row r="141" ht="15.75" customHeight="1">
      <c r="A141" s="37"/>
      <c r="B141" s="30"/>
      <c r="C141" s="30"/>
      <c r="D141" s="84"/>
      <c r="E141" s="30"/>
      <c r="F141" s="30"/>
      <c r="G141" s="30"/>
      <c r="H141" s="30"/>
      <c r="I141" s="30"/>
      <c r="J141" s="30"/>
      <c r="K141" s="30"/>
      <c r="L141" s="30"/>
      <c r="M141" s="30"/>
      <c r="N141" s="30"/>
      <c r="O141" s="163"/>
      <c r="P141" s="163"/>
      <c r="Q141" s="163"/>
      <c r="R141" s="163"/>
      <c r="S141" s="163"/>
      <c r="T141" s="163"/>
      <c r="U141" s="163"/>
      <c r="V141" s="163"/>
      <c r="W141" s="163"/>
      <c r="X141" s="163"/>
      <c r="Y141" s="163"/>
      <c r="Z141" s="163"/>
      <c r="AA141" s="163"/>
      <c r="AB141" s="163"/>
      <c r="AC141" s="163"/>
      <c r="AD141" s="163"/>
      <c r="AE141" s="163"/>
      <c r="AF141" s="163"/>
      <c r="AG141" s="163"/>
      <c r="AH141" s="163"/>
      <c r="AI141" s="163"/>
      <c r="AJ141" s="163"/>
      <c r="AK141" s="163"/>
      <c r="AL141" s="163"/>
      <c r="AM141" s="163"/>
      <c r="AN141" s="163"/>
      <c r="AO141" s="163"/>
      <c r="AP141" s="163"/>
      <c r="AQ141" s="163"/>
      <c r="AR141" s="163"/>
      <c r="AS141" s="163"/>
      <c r="AT141" s="163"/>
      <c r="AU141" s="163"/>
      <c r="AV141" s="163"/>
      <c r="AW141" s="163"/>
      <c r="AX141" s="163"/>
      <c r="AY141" s="163"/>
      <c r="AZ141" s="163"/>
      <c r="BA141" s="163"/>
      <c r="BB141" s="163"/>
      <c r="BC141" s="163"/>
      <c r="BD141" s="163"/>
      <c r="BE141" s="163"/>
      <c r="BF141" s="163"/>
      <c r="BG141" s="163"/>
      <c r="BH141" s="163"/>
      <c r="BI141" s="163"/>
    </row>
    <row r="142" ht="15.75" customHeight="1">
      <c r="A142" s="37"/>
      <c r="B142" s="30"/>
      <c r="C142" s="30"/>
      <c r="D142" s="84"/>
      <c r="E142" s="30"/>
      <c r="F142" s="30"/>
      <c r="G142" s="30"/>
      <c r="H142" s="30"/>
      <c r="I142" s="30"/>
      <c r="J142" s="30"/>
      <c r="K142" s="30"/>
      <c r="L142" s="30"/>
      <c r="M142" s="30"/>
      <c r="N142" s="30"/>
      <c r="O142" s="163"/>
      <c r="P142" s="163"/>
      <c r="Q142" s="163"/>
      <c r="R142" s="163"/>
      <c r="S142" s="163"/>
      <c r="T142" s="163"/>
      <c r="U142" s="163"/>
      <c r="V142" s="163"/>
      <c r="W142" s="163"/>
      <c r="X142" s="163"/>
      <c r="Y142" s="163"/>
      <c r="Z142" s="163"/>
      <c r="AA142" s="163"/>
      <c r="AB142" s="163"/>
      <c r="AC142" s="163"/>
      <c r="AD142" s="163"/>
      <c r="AE142" s="163"/>
      <c r="AF142" s="163"/>
      <c r="AG142" s="163"/>
      <c r="AH142" s="163"/>
      <c r="AI142" s="163"/>
      <c r="AJ142" s="163"/>
      <c r="AK142" s="163"/>
      <c r="AL142" s="163"/>
      <c r="AM142" s="163"/>
      <c r="AN142" s="163"/>
      <c r="AO142" s="163"/>
      <c r="AP142" s="163"/>
      <c r="AQ142" s="163"/>
      <c r="AR142" s="163"/>
      <c r="AS142" s="163"/>
      <c r="AT142" s="163"/>
      <c r="AU142" s="163"/>
      <c r="AV142" s="163"/>
      <c r="AW142" s="163"/>
      <c r="AX142" s="163"/>
      <c r="AY142" s="163"/>
      <c r="AZ142" s="163"/>
      <c r="BA142" s="163"/>
      <c r="BB142" s="163"/>
      <c r="BC142" s="163"/>
      <c r="BD142" s="163"/>
      <c r="BE142" s="163"/>
      <c r="BF142" s="163"/>
      <c r="BG142" s="163"/>
      <c r="BH142" s="163"/>
      <c r="BI142" s="163"/>
    </row>
    <row r="143" ht="15.75" customHeight="1">
      <c r="A143" s="37"/>
      <c r="B143" s="30"/>
      <c r="C143" s="30"/>
      <c r="D143" s="84"/>
      <c r="E143" s="30"/>
      <c r="F143" s="30"/>
      <c r="G143" s="30"/>
      <c r="H143" s="30"/>
      <c r="I143" s="30"/>
      <c r="J143" s="30"/>
      <c r="K143" s="30"/>
      <c r="L143" s="30"/>
      <c r="M143" s="30"/>
      <c r="N143" s="30"/>
      <c r="O143" s="163"/>
      <c r="P143" s="163"/>
      <c r="Q143" s="163"/>
      <c r="R143" s="163"/>
      <c r="S143" s="163"/>
      <c r="T143" s="163"/>
      <c r="U143" s="163"/>
      <c r="V143" s="163"/>
      <c r="W143" s="163"/>
      <c r="X143" s="163"/>
      <c r="Y143" s="163"/>
      <c r="Z143" s="163"/>
      <c r="AA143" s="163"/>
      <c r="AB143" s="163"/>
      <c r="AC143" s="163"/>
      <c r="AD143" s="163"/>
      <c r="AE143" s="163"/>
      <c r="AF143" s="163"/>
      <c r="AG143" s="163"/>
      <c r="AH143" s="163"/>
      <c r="AI143" s="163"/>
      <c r="AJ143" s="163"/>
      <c r="AK143" s="163"/>
      <c r="AL143" s="163"/>
      <c r="AM143" s="163"/>
      <c r="AN143" s="163"/>
      <c r="AO143" s="163"/>
      <c r="AP143" s="163"/>
      <c r="AQ143" s="163"/>
      <c r="AR143" s="163"/>
      <c r="AS143" s="163"/>
      <c r="AT143" s="163"/>
      <c r="AU143" s="163"/>
      <c r="AV143" s="163"/>
      <c r="AW143" s="163"/>
      <c r="AX143" s="163"/>
      <c r="AY143" s="163"/>
      <c r="AZ143" s="163"/>
      <c r="BA143" s="163"/>
      <c r="BB143" s="163"/>
      <c r="BC143" s="163"/>
      <c r="BD143" s="163"/>
      <c r="BE143" s="163"/>
      <c r="BF143" s="163"/>
      <c r="BG143" s="163"/>
      <c r="BH143" s="163"/>
      <c r="BI143" s="163"/>
    </row>
    <row r="144" ht="15.75" customHeight="1">
      <c r="A144" s="37"/>
      <c r="B144" s="30"/>
      <c r="C144" s="30"/>
      <c r="D144" s="84"/>
      <c r="E144" s="30"/>
      <c r="F144" s="30"/>
      <c r="G144" s="30"/>
      <c r="H144" s="30"/>
      <c r="I144" s="30"/>
      <c r="J144" s="30"/>
      <c r="K144" s="30"/>
      <c r="L144" s="30"/>
      <c r="M144" s="30"/>
      <c r="N144" s="30"/>
      <c r="O144" s="163"/>
      <c r="P144" s="163"/>
      <c r="Q144" s="163"/>
      <c r="R144" s="163"/>
      <c r="S144" s="163"/>
      <c r="T144" s="163"/>
      <c r="U144" s="163"/>
      <c r="V144" s="163"/>
      <c r="W144" s="163"/>
      <c r="X144" s="163"/>
      <c r="Y144" s="163"/>
      <c r="Z144" s="163"/>
      <c r="AA144" s="163"/>
      <c r="AB144" s="163"/>
      <c r="AC144" s="163"/>
      <c r="AD144" s="163"/>
      <c r="AE144" s="163"/>
      <c r="AF144" s="163"/>
      <c r="AG144" s="163"/>
      <c r="AH144" s="163"/>
      <c r="AI144" s="163"/>
      <c r="AJ144" s="163"/>
      <c r="AK144" s="163"/>
      <c r="AL144" s="163"/>
      <c r="AM144" s="163"/>
      <c r="AN144" s="163"/>
      <c r="AO144" s="163"/>
      <c r="AP144" s="163"/>
      <c r="AQ144" s="163"/>
      <c r="AR144" s="163"/>
      <c r="AS144" s="163"/>
      <c r="AT144" s="163"/>
      <c r="AU144" s="163"/>
      <c r="AV144" s="163"/>
      <c r="AW144" s="163"/>
      <c r="AX144" s="163"/>
      <c r="AY144" s="163"/>
      <c r="AZ144" s="163"/>
      <c r="BA144" s="163"/>
      <c r="BB144" s="163"/>
      <c r="BC144" s="163"/>
      <c r="BD144" s="163"/>
      <c r="BE144" s="163"/>
      <c r="BF144" s="163"/>
      <c r="BG144" s="163"/>
      <c r="BH144" s="163"/>
      <c r="BI144" s="163"/>
    </row>
    <row r="145" ht="15.75" customHeight="1">
      <c r="A145" s="37"/>
      <c r="B145" s="30"/>
      <c r="C145" s="30"/>
      <c r="D145" s="84"/>
      <c r="E145" s="30"/>
      <c r="F145" s="30"/>
      <c r="G145" s="30"/>
      <c r="H145" s="30"/>
      <c r="I145" s="30"/>
      <c r="J145" s="30"/>
      <c r="K145" s="30"/>
      <c r="L145" s="30"/>
      <c r="M145" s="30"/>
      <c r="N145" s="30"/>
      <c r="O145" s="163"/>
      <c r="P145" s="163"/>
      <c r="Q145" s="163"/>
      <c r="R145" s="163"/>
      <c r="S145" s="163"/>
      <c r="T145" s="163"/>
      <c r="U145" s="163"/>
      <c r="V145" s="163"/>
      <c r="W145" s="163"/>
      <c r="X145" s="163"/>
      <c r="Y145" s="163"/>
      <c r="Z145" s="163"/>
      <c r="AA145" s="163"/>
      <c r="AB145" s="163"/>
      <c r="AC145" s="163"/>
      <c r="AD145" s="163"/>
      <c r="AE145" s="163"/>
      <c r="AF145" s="163"/>
      <c r="AG145" s="163"/>
      <c r="AH145" s="163"/>
      <c r="AI145" s="163"/>
      <c r="AJ145" s="163"/>
      <c r="AK145" s="163"/>
      <c r="AL145" s="163"/>
      <c r="AM145" s="163"/>
      <c r="AN145" s="163"/>
      <c r="AO145" s="163"/>
      <c r="AP145" s="163"/>
      <c r="AQ145" s="163"/>
      <c r="AR145" s="163"/>
      <c r="AS145" s="163"/>
      <c r="AT145" s="163"/>
      <c r="AU145" s="163"/>
      <c r="AV145" s="163"/>
      <c r="AW145" s="163"/>
      <c r="AX145" s="163"/>
      <c r="AY145" s="163"/>
      <c r="AZ145" s="163"/>
      <c r="BA145" s="163"/>
      <c r="BB145" s="163"/>
      <c r="BC145" s="163"/>
      <c r="BD145" s="163"/>
      <c r="BE145" s="163"/>
      <c r="BF145" s="163"/>
      <c r="BG145" s="163"/>
      <c r="BH145" s="163"/>
      <c r="BI145" s="163"/>
    </row>
    <row r="146" ht="15.75" customHeight="1">
      <c r="A146" s="37"/>
      <c r="B146" s="30"/>
      <c r="C146" s="30"/>
      <c r="D146" s="84"/>
      <c r="E146" s="30"/>
      <c r="F146" s="30"/>
      <c r="G146" s="30"/>
      <c r="H146" s="30"/>
      <c r="I146" s="30"/>
      <c r="J146" s="30"/>
      <c r="K146" s="30"/>
      <c r="L146" s="30"/>
      <c r="M146" s="30"/>
      <c r="N146" s="30"/>
      <c r="O146" s="163"/>
      <c r="P146" s="163"/>
      <c r="Q146" s="163"/>
      <c r="R146" s="163"/>
      <c r="S146" s="163"/>
      <c r="T146" s="163"/>
      <c r="U146" s="163"/>
      <c r="V146" s="163"/>
      <c r="W146" s="163"/>
      <c r="X146" s="163"/>
      <c r="Y146" s="163"/>
      <c r="Z146" s="163"/>
      <c r="AA146" s="163"/>
      <c r="AB146" s="163"/>
      <c r="AC146" s="163"/>
      <c r="AD146" s="163"/>
      <c r="AE146" s="163"/>
      <c r="AF146" s="163"/>
      <c r="AG146" s="163"/>
      <c r="AH146" s="163"/>
      <c r="AI146" s="163"/>
      <c r="AJ146" s="163"/>
      <c r="AK146" s="163"/>
      <c r="AL146" s="163"/>
      <c r="AM146" s="163"/>
      <c r="AN146" s="163"/>
      <c r="AO146" s="163"/>
      <c r="AP146" s="163"/>
      <c r="AQ146" s="163"/>
      <c r="AR146" s="163"/>
      <c r="AS146" s="163"/>
      <c r="AT146" s="163"/>
      <c r="AU146" s="163"/>
      <c r="AV146" s="163"/>
      <c r="AW146" s="163"/>
      <c r="AX146" s="163"/>
      <c r="AY146" s="163"/>
      <c r="AZ146" s="163"/>
      <c r="BA146" s="163"/>
      <c r="BB146" s="163"/>
      <c r="BC146" s="163"/>
      <c r="BD146" s="163"/>
      <c r="BE146" s="163"/>
      <c r="BF146" s="163"/>
      <c r="BG146" s="163"/>
      <c r="BH146" s="163"/>
      <c r="BI146" s="163"/>
    </row>
    <row r="147" ht="15.75" customHeight="1">
      <c r="A147" s="37"/>
      <c r="B147" s="30"/>
      <c r="C147" s="30"/>
      <c r="D147" s="84"/>
      <c r="E147" s="30"/>
      <c r="F147" s="30"/>
      <c r="G147" s="30"/>
      <c r="H147" s="30"/>
      <c r="I147" s="30"/>
      <c r="J147" s="30"/>
      <c r="K147" s="30"/>
      <c r="L147" s="30"/>
      <c r="M147" s="30"/>
      <c r="N147" s="30"/>
      <c r="O147" s="163"/>
      <c r="P147" s="163"/>
      <c r="Q147" s="163"/>
      <c r="R147" s="163"/>
      <c r="S147" s="163"/>
      <c r="T147" s="163"/>
      <c r="U147" s="163"/>
      <c r="V147" s="163"/>
      <c r="W147" s="163"/>
      <c r="X147" s="163"/>
      <c r="Y147" s="163"/>
      <c r="Z147" s="163"/>
      <c r="AA147" s="163"/>
      <c r="AB147" s="163"/>
      <c r="AC147" s="163"/>
      <c r="AD147" s="163"/>
      <c r="AE147" s="163"/>
      <c r="AF147" s="163"/>
      <c r="AG147" s="163"/>
      <c r="AH147" s="163"/>
      <c r="AI147" s="163"/>
      <c r="AJ147" s="163"/>
      <c r="AK147" s="163"/>
      <c r="AL147" s="163"/>
      <c r="AM147" s="163"/>
      <c r="AN147" s="163"/>
      <c r="AO147" s="163"/>
      <c r="AP147" s="163"/>
      <c r="AQ147" s="163"/>
      <c r="AR147" s="163"/>
      <c r="AS147" s="163"/>
      <c r="AT147" s="163"/>
      <c r="AU147" s="163"/>
      <c r="AV147" s="163"/>
      <c r="AW147" s="163"/>
      <c r="AX147" s="163"/>
      <c r="AY147" s="163"/>
      <c r="AZ147" s="163"/>
      <c r="BA147" s="163"/>
      <c r="BB147" s="163"/>
      <c r="BC147" s="163"/>
      <c r="BD147" s="163"/>
      <c r="BE147" s="163"/>
      <c r="BF147" s="163"/>
      <c r="BG147" s="163"/>
      <c r="BH147" s="163"/>
      <c r="BI147" s="163"/>
    </row>
    <row r="148" ht="15.75" customHeight="1">
      <c r="A148" s="37"/>
      <c r="B148" s="30"/>
      <c r="C148" s="30"/>
      <c r="D148" s="84"/>
      <c r="E148" s="30"/>
      <c r="F148" s="30"/>
      <c r="G148" s="30"/>
      <c r="H148" s="30"/>
      <c r="I148" s="30"/>
      <c r="J148" s="30"/>
      <c r="K148" s="30"/>
      <c r="L148" s="30"/>
      <c r="M148" s="30"/>
      <c r="N148" s="30"/>
      <c r="O148" s="163"/>
      <c r="P148" s="163"/>
      <c r="Q148" s="163"/>
      <c r="R148" s="163"/>
      <c r="S148" s="163"/>
      <c r="T148" s="163"/>
      <c r="U148" s="163"/>
      <c r="V148" s="163"/>
      <c r="W148" s="163"/>
      <c r="X148" s="163"/>
      <c r="Y148" s="163"/>
      <c r="Z148" s="163"/>
      <c r="AA148" s="163"/>
      <c r="AB148" s="163"/>
      <c r="AC148" s="163"/>
      <c r="AD148" s="163"/>
      <c r="AE148" s="163"/>
      <c r="AF148" s="163"/>
      <c r="AG148" s="163"/>
      <c r="AH148" s="163"/>
      <c r="AI148" s="163"/>
      <c r="AJ148" s="163"/>
      <c r="AK148" s="163"/>
      <c r="AL148" s="163"/>
      <c r="AM148" s="163"/>
      <c r="AN148" s="163"/>
      <c r="AO148" s="163"/>
      <c r="AP148" s="163"/>
      <c r="AQ148" s="163"/>
      <c r="AR148" s="163"/>
      <c r="AS148" s="163"/>
      <c r="AT148" s="163"/>
      <c r="AU148" s="163"/>
      <c r="AV148" s="163"/>
      <c r="AW148" s="163"/>
      <c r="AX148" s="163"/>
      <c r="AY148" s="163"/>
      <c r="AZ148" s="163"/>
      <c r="BA148" s="163"/>
      <c r="BB148" s="163"/>
      <c r="BC148" s="163"/>
      <c r="BD148" s="163"/>
      <c r="BE148" s="163"/>
      <c r="BF148" s="163"/>
      <c r="BG148" s="163"/>
      <c r="BH148" s="163"/>
      <c r="BI148" s="163"/>
    </row>
    <row r="149" ht="15.75" customHeight="1">
      <c r="A149" s="37"/>
      <c r="B149" s="30"/>
      <c r="C149" s="30"/>
      <c r="D149" s="84"/>
      <c r="E149" s="30"/>
      <c r="F149" s="30"/>
      <c r="G149" s="30"/>
      <c r="H149" s="30"/>
      <c r="I149" s="30"/>
      <c r="J149" s="30"/>
      <c r="K149" s="30"/>
      <c r="L149" s="30"/>
      <c r="M149" s="30"/>
      <c r="N149" s="30"/>
      <c r="O149" s="163"/>
      <c r="P149" s="163"/>
      <c r="Q149" s="163"/>
      <c r="R149" s="163"/>
      <c r="S149" s="163"/>
      <c r="T149" s="163"/>
      <c r="U149" s="163"/>
      <c r="V149" s="163"/>
      <c r="W149" s="163"/>
      <c r="X149" s="163"/>
      <c r="Y149" s="163"/>
      <c r="Z149" s="163"/>
      <c r="AA149" s="163"/>
      <c r="AB149" s="163"/>
      <c r="AC149" s="163"/>
      <c r="AD149" s="163"/>
      <c r="AE149" s="163"/>
      <c r="AF149" s="163"/>
      <c r="AG149" s="163"/>
      <c r="AH149" s="163"/>
      <c r="AI149" s="163"/>
      <c r="AJ149" s="163"/>
      <c r="AK149" s="163"/>
      <c r="AL149" s="163"/>
      <c r="AM149" s="163"/>
      <c r="AN149" s="163"/>
      <c r="AO149" s="163"/>
      <c r="AP149" s="163"/>
      <c r="AQ149" s="163"/>
      <c r="AR149" s="163"/>
      <c r="AS149" s="163"/>
      <c r="AT149" s="163"/>
      <c r="AU149" s="163"/>
      <c r="AV149" s="163"/>
      <c r="AW149" s="163"/>
      <c r="AX149" s="163"/>
      <c r="AY149" s="163"/>
      <c r="AZ149" s="163"/>
      <c r="BA149" s="163"/>
      <c r="BB149" s="163"/>
      <c r="BC149" s="163"/>
      <c r="BD149" s="163"/>
      <c r="BE149" s="163"/>
      <c r="BF149" s="163"/>
      <c r="BG149" s="163"/>
      <c r="BH149" s="163"/>
      <c r="BI149" s="163"/>
    </row>
    <row r="150" ht="15.75" customHeight="1">
      <c r="A150" s="37"/>
      <c r="B150" s="30"/>
      <c r="C150" s="30"/>
      <c r="D150" s="84"/>
      <c r="E150" s="30"/>
      <c r="F150" s="30"/>
      <c r="G150" s="30"/>
      <c r="H150" s="30"/>
      <c r="I150" s="30"/>
      <c r="J150" s="30"/>
      <c r="K150" s="30"/>
      <c r="L150" s="30"/>
      <c r="M150" s="30"/>
      <c r="N150" s="30"/>
      <c r="O150" s="163"/>
      <c r="P150" s="163"/>
      <c r="Q150" s="163"/>
      <c r="R150" s="163"/>
      <c r="S150" s="163"/>
      <c r="T150" s="163"/>
      <c r="U150" s="163"/>
      <c r="V150" s="163"/>
      <c r="W150" s="163"/>
      <c r="X150" s="163"/>
      <c r="Y150" s="163"/>
      <c r="Z150" s="163"/>
      <c r="AA150" s="163"/>
      <c r="AB150" s="163"/>
      <c r="AC150" s="163"/>
      <c r="AD150" s="163"/>
      <c r="AE150" s="163"/>
      <c r="AF150" s="163"/>
      <c r="AG150" s="163"/>
      <c r="AH150" s="163"/>
      <c r="AI150" s="163"/>
      <c r="AJ150" s="163"/>
      <c r="AK150" s="163"/>
      <c r="AL150" s="163"/>
      <c r="AM150" s="163"/>
      <c r="AN150" s="163"/>
      <c r="AO150" s="163"/>
      <c r="AP150" s="163"/>
      <c r="AQ150" s="163"/>
      <c r="AR150" s="163"/>
      <c r="AS150" s="163"/>
      <c r="AT150" s="163"/>
      <c r="AU150" s="163"/>
      <c r="AV150" s="163"/>
      <c r="AW150" s="163"/>
      <c r="AX150" s="163"/>
      <c r="AY150" s="163"/>
      <c r="AZ150" s="163"/>
      <c r="BA150" s="163"/>
      <c r="BB150" s="163"/>
      <c r="BC150" s="163"/>
      <c r="BD150" s="163"/>
      <c r="BE150" s="163"/>
      <c r="BF150" s="163"/>
      <c r="BG150" s="163"/>
      <c r="BH150" s="163"/>
      <c r="BI150" s="163"/>
    </row>
    <row r="151" ht="15.75" customHeight="1">
      <c r="A151" s="37"/>
      <c r="B151" s="30"/>
      <c r="C151" s="30"/>
      <c r="D151" s="84"/>
      <c r="E151" s="30"/>
      <c r="F151" s="30"/>
      <c r="G151" s="30"/>
      <c r="H151" s="30"/>
      <c r="I151" s="30"/>
      <c r="J151" s="30"/>
      <c r="K151" s="30"/>
      <c r="L151" s="30"/>
      <c r="M151" s="30"/>
      <c r="N151" s="30"/>
      <c r="O151" s="163"/>
      <c r="P151" s="163"/>
      <c r="Q151" s="163"/>
      <c r="R151" s="163"/>
      <c r="S151" s="163"/>
      <c r="T151" s="163"/>
      <c r="U151" s="163"/>
      <c r="V151" s="163"/>
      <c r="W151" s="163"/>
      <c r="X151" s="163"/>
      <c r="Y151" s="163"/>
      <c r="Z151" s="163"/>
      <c r="AA151" s="163"/>
      <c r="AB151" s="163"/>
      <c r="AC151" s="163"/>
      <c r="AD151" s="163"/>
      <c r="AE151" s="163"/>
      <c r="AF151" s="163"/>
      <c r="AG151" s="163"/>
      <c r="AH151" s="163"/>
      <c r="AI151" s="163"/>
      <c r="AJ151" s="163"/>
      <c r="AK151" s="163"/>
      <c r="AL151" s="163"/>
      <c r="AM151" s="163"/>
      <c r="AN151" s="163"/>
      <c r="AO151" s="163"/>
      <c r="AP151" s="163"/>
      <c r="AQ151" s="163"/>
      <c r="AR151" s="163"/>
      <c r="AS151" s="163"/>
      <c r="AT151" s="163"/>
      <c r="AU151" s="163"/>
      <c r="AV151" s="163"/>
      <c r="AW151" s="163"/>
      <c r="AX151" s="163"/>
      <c r="AY151" s="163"/>
      <c r="AZ151" s="163"/>
      <c r="BA151" s="163"/>
      <c r="BB151" s="163"/>
      <c r="BC151" s="163"/>
      <c r="BD151" s="163"/>
      <c r="BE151" s="163"/>
      <c r="BF151" s="163"/>
      <c r="BG151" s="163"/>
      <c r="BH151" s="163"/>
      <c r="BI151" s="163"/>
    </row>
    <row r="152" ht="15.75" customHeight="1">
      <c r="A152" s="37"/>
      <c r="B152" s="30"/>
      <c r="C152" s="30"/>
      <c r="D152" s="84"/>
      <c r="E152" s="30"/>
      <c r="F152" s="30"/>
      <c r="G152" s="30"/>
      <c r="H152" s="30"/>
      <c r="I152" s="30"/>
      <c r="J152" s="30"/>
      <c r="K152" s="30"/>
      <c r="L152" s="30"/>
      <c r="M152" s="30"/>
      <c r="N152" s="30"/>
      <c r="O152" s="163"/>
      <c r="P152" s="163"/>
      <c r="Q152" s="163"/>
      <c r="R152" s="163"/>
      <c r="S152" s="163"/>
      <c r="T152" s="163"/>
      <c r="U152" s="163"/>
      <c r="V152" s="163"/>
      <c r="W152" s="163"/>
      <c r="X152" s="163"/>
      <c r="Y152" s="163"/>
      <c r="Z152" s="163"/>
      <c r="AA152" s="163"/>
      <c r="AB152" s="163"/>
      <c r="AC152" s="163"/>
      <c r="AD152" s="163"/>
      <c r="AE152" s="163"/>
      <c r="AF152" s="163"/>
      <c r="AG152" s="163"/>
      <c r="AH152" s="163"/>
      <c r="AI152" s="163"/>
      <c r="AJ152" s="163"/>
      <c r="AK152" s="163"/>
      <c r="AL152" s="163"/>
      <c r="AM152" s="163"/>
      <c r="AN152" s="163"/>
      <c r="AO152" s="163"/>
      <c r="AP152" s="163"/>
      <c r="AQ152" s="163"/>
      <c r="AR152" s="163"/>
      <c r="AS152" s="163"/>
      <c r="AT152" s="163"/>
      <c r="AU152" s="163"/>
      <c r="AV152" s="163"/>
      <c r="AW152" s="163"/>
      <c r="AX152" s="163"/>
      <c r="AY152" s="163"/>
      <c r="AZ152" s="163"/>
      <c r="BA152" s="163"/>
      <c r="BB152" s="163"/>
      <c r="BC152" s="163"/>
      <c r="BD152" s="163"/>
      <c r="BE152" s="163"/>
      <c r="BF152" s="163"/>
      <c r="BG152" s="163"/>
      <c r="BH152" s="163"/>
      <c r="BI152" s="163"/>
    </row>
    <row r="153" ht="15.75" customHeight="1">
      <c r="A153" s="37"/>
      <c r="B153" s="30"/>
      <c r="C153" s="30"/>
      <c r="D153" s="84"/>
      <c r="E153" s="30"/>
      <c r="F153" s="30"/>
      <c r="G153" s="30"/>
      <c r="H153" s="30"/>
      <c r="I153" s="30"/>
      <c r="J153" s="30"/>
      <c r="K153" s="30"/>
      <c r="L153" s="30"/>
      <c r="M153" s="30"/>
      <c r="N153" s="30"/>
      <c r="O153" s="163"/>
      <c r="P153" s="163"/>
      <c r="Q153" s="163"/>
      <c r="R153" s="163"/>
      <c r="S153" s="163"/>
      <c r="T153" s="163"/>
      <c r="U153" s="163"/>
      <c r="V153" s="163"/>
      <c r="W153" s="163"/>
      <c r="X153" s="163"/>
      <c r="Y153" s="163"/>
      <c r="Z153" s="163"/>
      <c r="AA153" s="163"/>
      <c r="AB153" s="163"/>
      <c r="AC153" s="163"/>
      <c r="AD153" s="163"/>
      <c r="AE153" s="163"/>
      <c r="AF153" s="163"/>
      <c r="AG153" s="163"/>
      <c r="AH153" s="163"/>
      <c r="AI153" s="163"/>
      <c r="AJ153" s="163"/>
      <c r="AK153" s="163"/>
      <c r="AL153" s="163"/>
      <c r="AM153" s="163"/>
      <c r="AN153" s="163"/>
      <c r="AO153" s="163"/>
      <c r="AP153" s="163"/>
      <c r="AQ153" s="163"/>
      <c r="AR153" s="163"/>
      <c r="AS153" s="163"/>
      <c r="AT153" s="163"/>
      <c r="AU153" s="163"/>
      <c r="AV153" s="163"/>
      <c r="AW153" s="163"/>
      <c r="AX153" s="163"/>
      <c r="AY153" s="163"/>
      <c r="AZ153" s="163"/>
      <c r="BA153" s="163"/>
      <c r="BB153" s="163"/>
      <c r="BC153" s="163"/>
      <c r="BD153" s="163"/>
      <c r="BE153" s="163"/>
      <c r="BF153" s="163"/>
      <c r="BG153" s="163"/>
      <c r="BH153" s="163"/>
      <c r="BI153" s="163"/>
    </row>
    <row r="154" ht="15.75" customHeight="1">
      <c r="A154" s="37"/>
      <c r="B154" s="30"/>
      <c r="C154" s="30"/>
      <c r="D154" s="84"/>
      <c r="E154" s="30"/>
      <c r="F154" s="30"/>
      <c r="G154" s="30"/>
      <c r="H154" s="30"/>
      <c r="I154" s="30"/>
      <c r="J154" s="30"/>
      <c r="K154" s="30"/>
      <c r="L154" s="30"/>
      <c r="M154" s="30"/>
      <c r="N154" s="30"/>
      <c r="O154" s="163"/>
      <c r="P154" s="163"/>
      <c r="Q154" s="163"/>
      <c r="R154" s="163"/>
      <c r="S154" s="163"/>
      <c r="T154" s="163"/>
      <c r="U154" s="163"/>
      <c r="V154" s="163"/>
      <c r="W154" s="163"/>
      <c r="X154" s="163"/>
      <c r="Y154" s="163"/>
      <c r="Z154" s="163"/>
      <c r="AA154" s="163"/>
      <c r="AB154" s="163"/>
      <c r="AC154" s="163"/>
      <c r="AD154" s="163"/>
      <c r="AE154" s="163"/>
      <c r="AF154" s="163"/>
      <c r="AG154" s="163"/>
      <c r="AH154" s="163"/>
      <c r="AI154" s="163"/>
      <c r="AJ154" s="163"/>
      <c r="AK154" s="163"/>
      <c r="AL154" s="163"/>
      <c r="AM154" s="163"/>
      <c r="AN154" s="163"/>
      <c r="AO154" s="163"/>
      <c r="AP154" s="163"/>
      <c r="AQ154" s="163"/>
      <c r="AR154" s="163"/>
      <c r="AS154" s="163"/>
      <c r="AT154" s="163"/>
      <c r="AU154" s="163"/>
      <c r="AV154" s="163"/>
      <c r="AW154" s="163"/>
      <c r="AX154" s="163"/>
      <c r="AY154" s="163"/>
      <c r="AZ154" s="163"/>
      <c r="BA154" s="163"/>
      <c r="BB154" s="163"/>
      <c r="BC154" s="163"/>
      <c r="BD154" s="163"/>
      <c r="BE154" s="163"/>
      <c r="BF154" s="163"/>
      <c r="BG154" s="163"/>
      <c r="BH154" s="163"/>
      <c r="BI154" s="163"/>
    </row>
    <row r="155" ht="15.75" customHeight="1">
      <c r="A155" s="37"/>
      <c r="B155" s="30"/>
      <c r="C155" s="30"/>
      <c r="D155" s="84"/>
      <c r="E155" s="30"/>
      <c r="F155" s="30"/>
      <c r="G155" s="30"/>
      <c r="H155" s="30"/>
      <c r="I155" s="30"/>
      <c r="J155" s="30"/>
      <c r="K155" s="30"/>
      <c r="L155" s="30"/>
      <c r="M155" s="30"/>
      <c r="N155" s="30"/>
      <c r="O155" s="163"/>
      <c r="P155" s="163"/>
      <c r="Q155" s="163"/>
      <c r="R155" s="163"/>
      <c r="S155" s="163"/>
      <c r="T155" s="163"/>
      <c r="U155" s="163"/>
      <c r="V155" s="163"/>
      <c r="W155" s="163"/>
      <c r="X155" s="163"/>
      <c r="Y155" s="163"/>
      <c r="Z155" s="163"/>
      <c r="AA155" s="163"/>
      <c r="AB155" s="163"/>
      <c r="AC155" s="163"/>
      <c r="AD155" s="163"/>
      <c r="AE155" s="163"/>
      <c r="AF155" s="163"/>
      <c r="AG155" s="163"/>
      <c r="AH155" s="163"/>
      <c r="AI155" s="163"/>
      <c r="AJ155" s="163"/>
      <c r="AK155" s="163"/>
      <c r="AL155" s="163"/>
      <c r="AM155" s="163"/>
      <c r="AN155" s="163"/>
      <c r="AO155" s="163"/>
      <c r="AP155" s="163"/>
      <c r="AQ155" s="163"/>
      <c r="AR155" s="163"/>
      <c r="AS155" s="163"/>
      <c r="AT155" s="163"/>
      <c r="AU155" s="163"/>
      <c r="AV155" s="163"/>
      <c r="AW155" s="163"/>
      <c r="AX155" s="163"/>
      <c r="AY155" s="163"/>
      <c r="AZ155" s="163"/>
      <c r="BA155" s="163"/>
      <c r="BB155" s="163"/>
      <c r="BC155" s="163"/>
      <c r="BD155" s="163"/>
      <c r="BE155" s="163"/>
      <c r="BF155" s="163"/>
      <c r="BG155" s="163"/>
      <c r="BH155" s="163"/>
      <c r="BI155" s="163"/>
    </row>
    <row r="156" ht="15.75" customHeight="1">
      <c r="A156" s="37"/>
      <c r="B156" s="30"/>
      <c r="C156" s="30"/>
      <c r="D156" s="84"/>
      <c r="E156" s="30"/>
      <c r="F156" s="30"/>
      <c r="G156" s="30"/>
      <c r="H156" s="30"/>
      <c r="I156" s="30"/>
      <c r="J156" s="30"/>
      <c r="K156" s="30"/>
      <c r="L156" s="30"/>
      <c r="M156" s="30"/>
      <c r="N156" s="30"/>
      <c r="O156" s="163"/>
      <c r="P156" s="163"/>
      <c r="Q156" s="163"/>
      <c r="R156" s="163"/>
      <c r="S156" s="163"/>
      <c r="T156" s="163"/>
      <c r="U156" s="163"/>
      <c r="V156" s="163"/>
      <c r="W156" s="163"/>
      <c r="X156" s="163"/>
      <c r="Y156" s="163"/>
      <c r="Z156" s="163"/>
      <c r="AA156" s="163"/>
      <c r="AB156" s="163"/>
      <c r="AC156" s="163"/>
      <c r="AD156" s="163"/>
      <c r="AE156" s="163"/>
      <c r="AF156" s="163"/>
      <c r="AG156" s="163"/>
      <c r="AH156" s="163"/>
      <c r="AI156" s="163"/>
      <c r="AJ156" s="163"/>
      <c r="AK156" s="163"/>
      <c r="AL156" s="163"/>
      <c r="AM156" s="163"/>
      <c r="AN156" s="163"/>
      <c r="AO156" s="163"/>
      <c r="AP156" s="163"/>
      <c r="AQ156" s="163"/>
      <c r="AR156" s="163"/>
      <c r="AS156" s="163"/>
      <c r="AT156" s="163"/>
      <c r="AU156" s="163"/>
      <c r="AV156" s="163"/>
      <c r="AW156" s="163"/>
      <c r="AX156" s="163"/>
      <c r="AY156" s="163"/>
      <c r="AZ156" s="163"/>
      <c r="BA156" s="163"/>
      <c r="BB156" s="163"/>
      <c r="BC156" s="163"/>
      <c r="BD156" s="163"/>
      <c r="BE156" s="163"/>
      <c r="BF156" s="163"/>
      <c r="BG156" s="163"/>
      <c r="BH156" s="163"/>
      <c r="BI156" s="163"/>
    </row>
    <row r="157" ht="15.75" customHeight="1">
      <c r="A157" s="37"/>
      <c r="B157" s="30"/>
      <c r="C157" s="30"/>
      <c r="D157" s="84"/>
      <c r="E157" s="30"/>
      <c r="F157" s="30"/>
      <c r="G157" s="30"/>
      <c r="H157" s="30"/>
      <c r="I157" s="30"/>
      <c r="J157" s="30"/>
      <c r="K157" s="30"/>
      <c r="L157" s="30"/>
      <c r="M157" s="30"/>
      <c r="N157" s="30"/>
      <c r="O157" s="163"/>
      <c r="P157" s="163"/>
      <c r="Q157" s="163"/>
      <c r="R157" s="163"/>
      <c r="S157" s="163"/>
      <c r="T157" s="163"/>
      <c r="U157" s="163"/>
      <c r="V157" s="163"/>
      <c r="W157" s="163"/>
      <c r="X157" s="163"/>
      <c r="Y157" s="163"/>
      <c r="Z157" s="163"/>
      <c r="AA157" s="163"/>
      <c r="AB157" s="163"/>
      <c r="AC157" s="163"/>
      <c r="AD157" s="163"/>
      <c r="AE157" s="163"/>
      <c r="AF157" s="163"/>
      <c r="AG157" s="163"/>
      <c r="AH157" s="163"/>
      <c r="AI157" s="163"/>
      <c r="AJ157" s="163"/>
      <c r="AK157" s="163"/>
      <c r="AL157" s="163"/>
      <c r="AM157" s="163"/>
      <c r="AN157" s="163"/>
      <c r="AO157" s="163"/>
      <c r="AP157" s="163"/>
      <c r="AQ157" s="163"/>
      <c r="AR157" s="163"/>
      <c r="AS157" s="163"/>
      <c r="AT157" s="163"/>
      <c r="AU157" s="163"/>
      <c r="AV157" s="163"/>
      <c r="AW157" s="163"/>
      <c r="AX157" s="163"/>
      <c r="AY157" s="163"/>
      <c r="AZ157" s="163"/>
      <c r="BA157" s="163"/>
      <c r="BB157" s="163"/>
      <c r="BC157" s="163"/>
      <c r="BD157" s="163"/>
      <c r="BE157" s="163"/>
      <c r="BF157" s="163"/>
      <c r="BG157" s="163"/>
      <c r="BH157" s="163"/>
      <c r="BI157" s="163"/>
    </row>
    <row r="158" ht="15.75" customHeight="1">
      <c r="A158" s="37"/>
      <c r="B158" s="30"/>
      <c r="C158" s="30"/>
      <c r="D158" s="84"/>
      <c r="E158" s="30"/>
      <c r="F158" s="30"/>
      <c r="G158" s="30"/>
      <c r="H158" s="30"/>
      <c r="I158" s="30"/>
      <c r="J158" s="30"/>
      <c r="K158" s="30"/>
      <c r="L158" s="30"/>
      <c r="M158" s="30"/>
      <c r="N158" s="30"/>
      <c r="O158" s="163"/>
      <c r="P158" s="163"/>
      <c r="Q158" s="163"/>
      <c r="R158" s="163"/>
      <c r="S158" s="163"/>
      <c r="T158" s="163"/>
      <c r="U158" s="163"/>
      <c r="V158" s="163"/>
      <c r="W158" s="163"/>
      <c r="X158" s="163"/>
      <c r="Y158" s="163"/>
      <c r="Z158" s="163"/>
      <c r="AA158" s="163"/>
      <c r="AB158" s="163"/>
      <c r="AC158" s="163"/>
      <c r="AD158" s="163"/>
      <c r="AE158" s="163"/>
      <c r="AF158" s="163"/>
      <c r="AG158" s="163"/>
      <c r="AH158" s="163"/>
      <c r="AI158" s="163"/>
      <c r="AJ158" s="163"/>
      <c r="AK158" s="163"/>
      <c r="AL158" s="163"/>
      <c r="AM158" s="163"/>
      <c r="AN158" s="163"/>
      <c r="AO158" s="163"/>
      <c r="AP158" s="163"/>
      <c r="AQ158" s="163"/>
      <c r="AR158" s="163"/>
      <c r="AS158" s="163"/>
      <c r="AT158" s="163"/>
      <c r="AU158" s="163"/>
      <c r="AV158" s="163"/>
      <c r="AW158" s="163"/>
      <c r="AX158" s="163"/>
      <c r="AY158" s="163"/>
      <c r="AZ158" s="163"/>
      <c r="BA158" s="163"/>
      <c r="BB158" s="163"/>
      <c r="BC158" s="163"/>
      <c r="BD158" s="163"/>
      <c r="BE158" s="163"/>
      <c r="BF158" s="163"/>
      <c r="BG158" s="163"/>
      <c r="BH158" s="163"/>
      <c r="BI158" s="163"/>
    </row>
    <row r="159" ht="15.75" customHeight="1">
      <c r="A159" s="37"/>
      <c r="B159" s="30"/>
      <c r="C159" s="30"/>
      <c r="D159" s="84"/>
      <c r="E159" s="30"/>
      <c r="F159" s="30"/>
      <c r="G159" s="30"/>
      <c r="H159" s="30"/>
      <c r="I159" s="30"/>
      <c r="J159" s="30"/>
      <c r="K159" s="30"/>
      <c r="L159" s="30"/>
      <c r="M159" s="30"/>
      <c r="N159" s="30"/>
      <c r="O159" s="163"/>
      <c r="P159" s="163"/>
      <c r="Q159" s="163"/>
      <c r="R159" s="163"/>
      <c r="S159" s="163"/>
      <c r="T159" s="163"/>
      <c r="U159" s="163"/>
      <c r="V159" s="163"/>
      <c r="W159" s="163"/>
      <c r="X159" s="163"/>
      <c r="Y159" s="163"/>
      <c r="Z159" s="163"/>
      <c r="AA159" s="163"/>
      <c r="AB159" s="163"/>
      <c r="AC159" s="163"/>
      <c r="AD159" s="163"/>
      <c r="AE159" s="163"/>
      <c r="AF159" s="163"/>
      <c r="AG159" s="163"/>
      <c r="AH159" s="163"/>
      <c r="AI159" s="163"/>
      <c r="AJ159" s="163"/>
      <c r="AK159" s="163"/>
      <c r="AL159" s="163"/>
      <c r="AM159" s="163"/>
      <c r="AN159" s="163"/>
      <c r="AO159" s="163"/>
      <c r="AP159" s="163"/>
      <c r="AQ159" s="163"/>
      <c r="AR159" s="163"/>
      <c r="AS159" s="163"/>
      <c r="AT159" s="163"/>
      <c r="AU159" s="163"/>
      <c r="AV159" s="163"/>
      <c r="AW159" s="163"/>
      <c r="AX159" s="163"/>
      <c r="AY159" s="163"/>
      <c r="AZ159" s="163"/>
      <c r="BA159" s="163"/>
      <c r="BB159" s="163"/>
      <c r="BC159" s="163"/>
      <c r="BD159" s="163"/>
      <c r="BE159" s="163"/>
      <c r="BF159" s="163"/>
      <c r="BG159" s="163"/>
      <c r="BH159" s="163"/>
      <c r="BI159" s="163"/>
    </row>
    <row r="160" ht="15.75" customHeight="1">
      <c r="A160" s="37"/>
      <c r="B160" s="30"/>
      <c r="C160" s="30"/>
      <c r="D160" s="84"/>
      <c r="E160" s="30"/>
      <c r="F160" s="30"/>
      <c r="G160" s="30"/>
      <c r="H160" s="30"/>
      <c r="I160" s="30"/>
      <c r="J160" s="30"/>
      <c r="K160" s="30"/>
      <c r="L160" s="30"/>
      <c r="M160" s="30"/>
      <c r="N160" s="30"/>
      <c r="O160" s="163"/>
      <c r="P160" s="163"/>
      <c r="Q160" s="163"/>
      <c r="R160" s="163"/>
      <c r="S160" s="163"/>
      <c r="T160" s="163"/>
      <c r="U160" s="163"/>
      <c r="V160" s="163"/>
      <c r="W160" s="163"/>
      <c r="X160" s="163"/>
      <c r="Y160" s="163"/>
      <c r="Z160" s="163"/>
      <c r="AA160" s="163"/>
      <c r="AB160" s="163"/>
      <c r="AC160" s="163"/>
      <c r="AD160" s="163"/>
      <c r="AE160" s="163"/>
      <c r="AF160" s="163"/>
      <c r="AG160" s="163"/>
      <c r="AH160" s="163"/>
      <c r="AI160" s="163"/>
      <c r="AJ160" s="163"/>
      <c r="AK160" s="163"/>
      <c r="AL160" s="163"/>
      <c r="AM160" s="163"/>
      <c r="AN160" s="163"/>
      <c r="AO160" s="163"/>
      <c r="AP160" s="163"/>
      <c r="AQ160" s="163"/>
      <c r="AR160" s="163"/>
      <c r="AS160" s="163"/>
      <c r="AT160" s="163"/>
      <c r="AU160" s="163"/>
      <c r="AV160" s="163"/>
      <c r="AW160" s="163"/>
      <c r="AX160" s="163"/>
      <c r="AY160" s="163"/>
      <c r="AZ160" s="163"/>
      <c r="BA160" s="163"/>
      <c r="BB160" s="163"/>
      <c r="BC160" s="163"/>
      <c r="BD160" s="163"/>
      <c r="BE160" s="163"/>
      <c r="BF160" s="163"/>
      <c r="BG160" s="163"/>
      <c r="BH160" s="163"/>
      <c r="BI160" s="163"/>
    </row>
    <row r="161" ht="15.75" customHeight="1">
      <c r="A161" s="37"/>
      <c r="B161" s="30"/>
      <c r="C161" s="30"/>
      <c r="D161" s="84"/>
      <c r="E161" s="30"/>
      <c r="F161" s="30"/>
      <c r="G161" s="30"/>
      <c r="H161" s="30"/>
      <c r="I161" s="30"/>
      <c r="J161" s="30"/>
      <c r="K161" s="30"/>
      <c r="L161" s="30"/>
      <c r="M161" s="30"/>
      <c r="N161" s="30"/>
      <c r="O161" s="163"/>
      <c r="P161" s="163"/>
      <c r="Q161" s="163"/>
      <c r="R161" s="163"/>
      <c r="S161" s="163"/>
      <c r="T161" s="163"/>
      <c r="U161" s="163"/>
      <c r="V161" s="163"/>
      <c r="W161" s="163"/>
      <c r="X161" s="163"/>
      <c r="Y161" s="163"/>
      <c r="Z161" s="163"/>
      <c r="AA161" s="163"/>
      <c r="AB161" s="163"/>
      <c r="AC161" s="163"/>
      <c r="AD161" s="163"/>
      <c r="AE161" s="163"/>
      <c r="AF161" s="163"/>
      <c r="AG161" s="163"/>
      <c r="AH161" s="163"/>
      <c r="AI161" s="163"/>
      <c r="AJ161" s="163"/>
      <c r="AK161" s="163"/>
      <c r="AL161" s="163"/>
      <c r="AM161" s="163"/>
      <c r="AN161" s="163"/>
      <c r="AO161" s="163"/>
      <c r="AP161" s="163"/>
      <c r="AQ161" s="163"/>
      <c r="AR161" s="163"/>
      <c r="AS161" s="163"/>
      <c r="AT161" s="163"/>
      <c r="AU161" s="163"/>
      <c r="AV161" s="163"/>
      <c r="AW161" s="163"/>
      <c r="AX161" s="163"/>
      <c r="AY161" s="163"/>
      <c r="AZ161" s="163"/>
      <c r="BA161" s="163"/>
      <c r="BB161" s="163"/>
      <c r="BC161" s="163"/>
      <c r="BD161" s="163"/>
      <c r="BE161" s="163"/>
      <c r="BF161" s="163"/>
      <c r="BG161" s="163"/>
      <c r="BH161" s="163"/>
      <c r="BI161" s="163"/>
    </row>
    <row r="162" ht="15.75" customHeight="1">
      <c r="A162" s="37"/>
      <c r="B162" s="30"/>
      <c r="C162" s="30"/>
      <c r="D162" s="84"/>
      <c r="E162" s="30"/>
      <c r="F162" s="30"/>
      <c r="G162" s="30"/>
      <c r="H162" s="30"/>
      <c r="I162" s="30"/>
      <c r="J162" s="30"/>
      <c r="K162" s="30"/>
      <c r="L162" s="30"/>
      <c r="M162" s="30"/>
      <c r="N162" s="30"/>
      <c r="O162" s="163"/>
      <c r="P162" s="163"/>
      <c r="Q162" s="163"/>
      <c r="R162" s="163"/>
      <c r="S162" s="163"/>
      <c r="T162" s="163"/>
      <c r="U162" s="163"/>
      <c r="V162" s="163"/>
      <c r="W162" s="163"/>
      <c r="X162" s="163"/>
      <c r="Y162" s="163"/>
      <c r="Z162" s="163"/>
      <c r="AA162" s="163"/>
      <c r="AB162" s="163"/>
      <c r="AC162" s="163"/>
      <c r="AD162" s="163"/>
      <c r="AE162" s="163"/>
      <c r="AF162" s="163"/>
      <c r="AG162" s="163"/>
      <c r="AH162" s="163"/>
      <c r="AI162" s="163"/>
      <c r="AJ162" s="163"/>
      <c r="AK162" s="163"/>
      <c r="AL162" s="163"/>
      <c r="AM162" s="163"/>
      <c r="AN162" s="163"/>
      <c r="AO162" s="163"/>
      <c r="AP162" s="163"/>
      <c r="AQ162" s="163"/>
      <c r="AR162" s="163"/>
      <c r="AS162" s="163"/>
      <c r="AT162" s="163"/>
      <c r="AU162" s="163"/>
      <c r="AV162" s="163"/>
      <c r="AW162" s="163"/>
      <c r="AX162" s="163"/>
      <c r="AY162" s="163"/>
      <c r="AZ162" s="163"/>
      <c r="BA162" s="163"/>
      <c r="BB162" s="163"/>
      <c r="BC162" s="163"/>
      <c r="BD162" s="163"/>
      <c r="BE162" s="163"/>
      <c r="BF162" s="163"/>
      <c r="BG162" s="163"/>
      <c r="BH162" s="163"/>
      <c r="BI162" s="163"/>
    </row>
    <row r="163" ht="15.75" customHeight="1">
      <c r="A163" s="37"/>
      <c r="B163" s="30"/>
      <c r="C163" s="30"/>
      <c r="D163" s="84"/>
      <c r="E163" s="30"/>
      <c r="F163" s="30"/>
      <c r="G163" s="30"/>
      <c r="H163" s="30"/>
      <c r="I163" s="30"/>
      <c r="J163" s="30"/>
      <c r="K163" s="30"/>
      <c r="L163" s="30"/>
      <c r="M163" s="30"/>
      <c r="N163" s="30"/>
      <c r="O163" s="163"/>
      <c r="P163" s="163"/>
      <c r="Q163" s="163"/>
      <c r="R163" s="163"/>
      <c r="S163" s="163"/>
      <c r="T163" s="163"/>
      <c r="U163" s="163"/>
      <c r="V163" s="163"/>
      <c r="W163" s="163"/>
      <c r="X163" s="163"/>
      <c r="Y163" s="163"/>
      <c r="Z163" s="163"/>
      <c r="AA163" s="163"/>
      <c r="AB163" s="163"/>
      <c r="AC163" s="163"/>
      <c r="AD163" s="163"/>
      <c r="AE163" s="163"/>
      <c r="AF163" s="163"/>
      <c r="AG163" s="163"/>
      <c r="AH163" s="163"/>
      <c r="AI163" s="163"/>
      <c r="AJ163" s="163"/>
      <c r="AK163" s="163"/>
      <c r="AL163" s="163"/>
      <c r="AM163" s="163"/>
      <c r="AN163" s="163"/>
      <c r="AO163" s="163"/>
      <c r="AP163" s="163"/>
      <c r="AQ163" s="163"/>
      <c r="AR163" s="163"/>
      <c r="AS163" s="163"/>
      <c r="AT163" s="163"/>
      <c r="AU163" s="163"/>
      <c r="AV163" s="163"/>
      <c r="AW163" s="163"/>
      <c r="AX163" s="163"/>
      <c r="AY163" s="163"/>
      <c r="AZ163" s="163"/>
      <c r="BA163" s="163"/>
      <c r="BB163" s="163"/>
      <c r="BC163" s="163"/>
      <c r="BD163" s="163"/>
      <c r="BE163" s="163"/>
      <c r="BF163" s="163"/>
      <c r="BG163" s="163"/>
      <c r="BH163" s="163"/>
      <c r="BI163" s="163"/>
    </row>
    <row r="164" ht="15.75" customHeight="1">
      <c r="A164" s="37"/>
      <c r="B164" s="30"/>
      <c r="C164" s="30"/>
      <c r="D164" s="84"/>
      <c r="E164" s="30"/>
      <c r="F164" s="30"/>
      <c r="G164" s="30"/>
      <c r="H164" s="30"/>
      <c r="I164" s="30"/>
      <c r="J164" s="30"/>
      <c r="K164" s="30"/>
      <c r="L164" s="30"/>
      <c r="M164" s="30"/>
      <c r="N164" s="30"/>
      <c r="O164" s="163"/>
      <c r="P164" s="163"/>
      <c r="Q164" s="163"/>
      <c r="R164" s="163"/>
      <c r="S164" s="163"/>
      <c r="T164" s="163"/>
      <c r="U164" s="163"/>
      <c r="V164" s="163"/>
      <c r="W164" s="163"/>
      <c r="X164" s="163"/>
      <c r="Y164" s="163"/>
      <c r="Z164" s="163"/>
      <c r="AA164" s="163"/>
      <c r="AB164" s="163"/>
      <c r="AC164" s="163"/>
      <c r="AD164" s="163"/>
      <c r="AE164" s="163"/>
      <c r="AF164" s="163"/>
      <c r="AG164" s="163"/>
      <c r="AH164" s="163"/>
      <c r="AI164" s="163"/>
      <c r="AJ164" s="163"/>
      <c r="AK164" s="163"/>
      <c r="AL164" s="163"/>
      <c r="AM164" s="163"/>
      <c r="AN164" s="163"/>
      <c r="AO164" s="163"/>
      <c r="AP164" s="163"/>
      <c r="AQ164" s="163"/>
      <c r="AR164" s="163"/>
      <c r="AS164" s="163"/>
      <c r="AT164" s="163"/>
      <c r="AU164" s="163"/>
      <c r="AV164" s="163"/>
      <c r="AW164" s="163"/>
      <c r="AX164" s="163"/>
      <c r="AY164" s="163"/>
      <c r="AZ164" s="163"/>
      <c r="BA164" s="163"/>
      <c r="BB164" s="163"/>
      <c r="BC164" s="163"/>
      <c r="BD164" s="163"/>
      <c r="BE164" s="163"/>
      <c r="BF164" s="163"/>
      <c r="BG164" s="163"/>
      <c r="BH164" s="163"/>
      <c r="BI164" s="163"/>
    </row>
    <row r="165" ht="15.75" customHeight="1">
      <c r="A165" s="37"/>
      <c r="B165" s="30"/>
      <c r="C165" s="30"/>
      <c r="D165" s="84"/>
      <c r="E165" s="30"/>
      <c r="F165" s="30"/>
      <c r="G165" s="30"/>
      <c r="H165" s="30"/>
      <c r="I165" s="30"/>
      <c r="J165" s="30"/>
      <c r="K165" s="30"/>
      <c r="L165" s="30"/>
      <c r="M165" s="30"/>
      <c r="N165" s="30"/>
      <c r="O165" s="163"/>
      <c r="P165" s="163"/>
      <c r="Q165" s="163"/>
      <c r="R165" s="163"/>
      <c r="S165" s="163"/>
      <c r="T165" s="163"/>
      <c r="U165" s="163"/>
      <c r="V165" s="163"/>
      <c r="W165" s="163"/>
      <c r="X165" s="163"/>
      <c r="Y165" s="163"/>
      <c r="Z165" s="163"/>
      <c r="AA165" s="163"/>
      <c r="AB165" s="163"/>
      <c r="AC165" s="163"/>
      <c r="AD165" s="163"/>
      <c r="AE165" s="163"/>
      <c r="AF165" s="163"/>
      <c r="AG165" s="163"/>
      <c r="AH165" s="163"/>
      <c r="AI165" s="163"/>
      <c r="AJ165" s="163"/>
      <c r="AK165" s="163"/>
      <c r="AL165" s="163"/>
      <c r="AM165" s="163"/>
      <c r="AN165" s="163"/>
      <c r="AO165" s="163"/>
      <c r="AP165" s="163"/>
      <c r="AQ165" s="163"/>
      <c r="AR165" s="163"/>
      <c r="AS165" s="163"/>
      <c r="AT165" s="163"/>
      <c r="AU165" s="163"/>
      <c r="AV165" s="163"/>
      <c r="AW165" s="163"/>
      <c r="AX165" s="163"/>
      <c r="AY165" s="163"/>
      <c r="AZ165" s="163"/>
      <c r="BA165" s="163"/>
      <c r="BB165" s="163"/>
      <c r="BC165" s="163"/>
      <c r="BD165" s="163"/>
      <c r="BE165" s="163"/>
      <c r="BF165" s="163"/>
      <c r="BG165" s="163"/>
      <c r="BH165" s="163"/>
      <c r="BI165" s="163"/>
    </row>
    <row r="166" ht="15.75" customHeight="1">
      <c r="A166" s="37"/>
      <c r="B166" s="30"/>
      <c r="C166" s="30"/>
      <c r="D166" s="84"/>
      <c r="E166" s="30"/>
      <c r="F166" s="30"/>
      <c r="G166" s="30"/>
      <c r="H166" s="30"/>
      <c r="I166" s="30"/>
      <c r="J166" s="30"/>
      <c r="K166" s="30"/>
      <c r="L166" s="30"/>
      <c r="M166" s="30"/>
      <c r="N166" s="30"/>
      <c r="O166" s="163"/>
      <c r="P166" s="163"/>
      <c r="Q166" s="163"/>
      <c r="R166" s="163"/>
      <c r="S166" s="163"/>
      <c r="T166" s="163"/>
      <c r="U166" s="163"/>
      <c r="V166" s="163"/>
      <c r="W166" s="163"/>
      <c r="X166" s="163"/>
      <c r="Y166" s="163"/>
      <c r="Z166" s="163"/>
      <c r="AA166" s="163"/>
      <c r="AB166" s="163"/>
      <c r="AC166" s="163"/>
      <c r="AD166" s="163"/>
      <c r="AE166" s="163"/>
      <c r="AF166" s="163"/>
      <c r="AG166" s="163"/>
      <c r="AH166" s="163"/>
      <c r="AI166" s="163"/>
      <c r="AJ166" s="163"/>
      <c r="AK166" s="163"/>
      <c r="AL166" s="163"/>
      <c r="AM166" s="163"/>
      <c r="AN166" s="163"/>
      <c r="AO166" s="163"/>
      <c r="AP166" s="163"/>
      <c r="AQ166" s="163"/>
      <c r="AR166" s="163"/>
      <c r="AS166" s="163"/>
      <c r="AT166" s="163"/>
      <c r="AU166" s="163"/>
      <c r="AV166" s="163"/>
      <c r="AW166" s="163"/>
      <c r="AX166" s="163"/>
      <c r="AY166" s="163"/>
      <c r="AZ166" s="163"/>
      <c r="BA166" s="163"/>
      <c r="BB166" s="163"/>
      <c r="BC166" s="163"/>
      <c r="BD166" s="163"/>
      <c r="BE166" s="163"/>
      <c r="BF166" s="163"/>
      <c r="BG166" s="163"/>
      <c r="BH166" s="163"/>
      <c r="BI166" s="163"/>
    </row>
    <row r="167" ht="15.75" customHeight="1">
      <c r="A167" s="37"/>
      <c r="B167" s="30"/>
      <c r="C167" s="30"/>
      <c r="D167" s="84"/>
      <c r="E167" s="30"/>
      <c r="F167" s="30"/>
      <c r="G167" s="30"/>
      <c r="H167" s="30"/>
      <c r="I167" s="30"/>
      <c r="J167" s="30"/>
      <c r="K167" s="30"/>
      <c r="L167" s="30"/>
      <c r="M167" s="30"/>
      <c r="N167" s="30"/>
      <c r="O167" s="163"/>
      <c r="P167" s="163"/>
      <c r="Q167" s="163"/>
      <c r="R167" s="163"/>
      <c r="S167" s="163"/>
      <c r="T167" s="163"/>
      <c r="U167" s="163"/>
      <c r="V167" s="163"/>
      <c r="W167" s="163"/>
      <c r="X167" s="163"/>
      <c r="Y167" s="163"/>
      <c r="Z167" s="163"/>
      <c r="AA167" s="163"/>
      <c r="AB167" s="163"/>
      <c r="AC167" s="163"/>
      <c r="AD167" s="163"/>
      <c r="AE167" s="163"/>
      <c r="AF167" s="163"/>
      <c r="AG167" s="163"/>
      <c r="AH167" s="163"/>
      <c r="AI167" s="163"/>
      <c r="AJ167" s="163"/>
      <c r="AK167" s="163"/>
      <c r="AL167" s="163"/>
      <c r="AM167" s="163"/>
      <c r="AN167" s="163"/>
      <c r="AO167" s="163"/>
      <c r="AP167" s="163"/>
      <c r="AQ167" s="163"/>
      <c r="AR167" s="163"/>
      <c r="AS167" s="163"/>
      <c r="AT167" s="163"/>
      <c r="AU167" s="163"/>
      <c r="AV167" s="163"/>
      <c r="AW167" s="163"/>
      <c r="AX167" s="163"/>
      <c r="AY167" s="163"/>
      <c r="AZ167" s="163"/>
      <c r="BA167" s="163"/>
      <c r="BB167" s="163"/>
      <c r="BC167" s="163"/>
      <c r="BD167" s="163"/>
      <c r="BE167" s="163"/>
      <c r="BF167" s="163"/>
      <c r="BG167" s="163"/>
      <c r="BH167" s="163"/>
      <c r="BI167" s="163"/>
    </row>
    <row r="168" ht="15.75" customHeight="1">
      <c r="A168" s="37"/>
      <c r="B168" s="30"/>
      <c r="C168" s="30"/>
      <c r="D168" s="84"/>
      <c r="E168" s="30"/>
      <c r="F168" s="30"/>
      <c r="G168" s="30"/>
      <c r="H168" s="30"/>
      <c r="I168" s="30"/>
      <c r="J168" s="30"/>
      <c r="K168" s="30"/>
      <c r="L168" s="30"/>
      <c r="M168" s="30"/>
      <c r="N168" s="30"/>
      <c r="O168" s="163"/>
      <c r="P168" s="163"/>
      <c r="Q168" s="163"/>
      <c r="R168" s="163"/>
      <c r="S168" s="163"/>
      <c r="T168" s="163"/>
      <c r="U168" s="163"/>
      <c r="V168" s="163"/>
      <c r="W168" s="163"/>
      <c r="X168" s="163"/>
      <c r="Y168" s="163"/>
      <c r="Z168" s="163"/>
      <c r="AA168" s="163"/>
      <c r="AB168" s="163"/>
      <c r="AC168" s="163"/>
      <c r="AD168" s="163"/>
      <c r="AE168" s="163"/>
      <c r="AF168" s="163"/>
      <c r="AG168" s="163"/>
      <c r="AH168" s="163"/>
      <c r="AI168" s="163"/>
      <c r="AJ168" s="163"/>
      <c r="AK168" s="163"/>
      <c r="AL168" s="163"/>
      <c r="AM168" s="163"/>
      <c r="AN168" s="163"/>
      <c r="AO168" s="163"/>
      <c r="AP168" s="163"/>
      <c r="AQ168" s="163"/>
      <c r="AR168" s="163"/>
      <c r="AS168" s="163"/>
      <c r="AT168" s="163"/>
      <c r="AU168" s="163"/>
      <c r="AV168" s="163"/>
      <c r="AW168" s="163"/>
      <c r="AX168" s="163"/>
      <c r="AY168" s="163"/>
      <c r="AZ168" s="163"/>
      <c r="BA168" s="163"/>
      <c r="BB168" s="163"/>
      <c r="BC168" s="163"/>
      <c r="BD168" s="163"/>
      <c r="BE168" s="163"/>
      <c r="BF168" s="163"/>
      <c r="BG168" s="163"/>
      <c r="BH168" s="163"/>
      <c r="BI168" s="163"/>
    </row>
    <row r="169" ht="15.75" customHeight="1">
      <c r="A169" s="37"/>
      <c r="B169" s="30"/>
      <c r="C169" s="30"/>
      <c r="D169" s="84"/>
      <c r="E169" s="30"/>
      <c r="F169" s="30"/>
      <c r="G169" s="30"/>
      <c r="H169" s="30"/>
      <c r="I169" s="30"/>
      <c r="J169" s="30"/>
      <c r="K169" s="30"/>
      <c r="L169" s="30"/>
      <c r="M169" s="30"/>
      <c r="N169" s="30"/>
      <c r="O169" s="163"/>
      <c r="P169" s="163"/>
      <c r="Q169" s="163"/>
      <c r="R169" s="163"/>
      <c r="S169" s="163"/>
      <c r="T169" s="163"/>
      <c r="U169" s="163"/>
      <c r="V169" s="163"/>
      <c r="W169" s="163"/>
      <c r="X169" s="163"/>
      <c r="Y169" s="163"/>
      <c r="Z169" s="163"/>
      <c r="AA169" s="163"/>
      <c r="AB169" s="163"/>
      <c r="AC169" s="163"/>
      <c r="AD169" s="163"/>
      <c r="AE169" s="163"/>
      <c r="AF169" s="163"/>
      <c r="AG169" s="163"/>
      <c r="AH169" s="163"/>
      <c r="AI169" s="163"/>
      <c r="AJ169" s="163"/>
      <c r="AK169" s="163"/>
      <c r="AL169" s="163"/>
      <c r="AM169" s="163"/>
      <c r="AN169" s="163"/>
      <c r="AO169" s="163"/>
      <c r="AP169" s="163"/>
      <c r="AQ169" s="163"/>
      <c r="AR169" s="163"/>
      <c r="AS169" s="163"/>
      <c r="AT169" s="163"/>
      <c r="AU169" s="163"/>
      <c r="AV169" s="163"/>
      <c r="AW169" s="163"/>
      <c r="AX169" s="163"/>
      <c r="AY169" s="163"/>
      <c r="AZ169" s="163"/>
      <c r="BA169" s="163"/>
      <c r="BB169" s="163"/>
      <c r="BC169" s="163"/>
      <c r="BD169" s="163"/>
      <c r="BE169" s="163"/>
      <c r="BF169" s="163"/>
      <c r="BG169" s="163"/>
      <c r="BH169" s="163"/>
      <c r="BI169" s="163"/>
    </row>
    <row r="170" ht="15.75" customHeight="1">
      <c r="A170" s="37"/>
      <c r="B170" s="30"/>
      <c r="C170" s="30"/>
      <c r="D170" s="84"/>
      <c r="E170" s="30"/>
      <c r="F170" s="30"/>
      <c r="G170" s="30"/>
      <c r="H170" s="30"/>
      <c r="I170" s="30"/>
      <c r="J170" s="30"/>
      <c r="K170" s="30"/>
      <c r="L170" s="30"/>
      <c r="M170" s="30"/>
      <c r="N170" s="30"/>
      <c r="O170" s="163"/>
      <c r="P170" s="163"/>
      <c r="Q170" s="163"/>
      <c r="R170" s="163"/>
      <c r="S170" s="163"/>
      <c r="T170" s="163"/>
      <c r="U170" s="163"/>
      <c r="V170" s="163"/>
      <c r="W170" s="163"/>
      <c r="X170" s="163"/>
      <c r="Y170" s="163"/>
      <c r="Z170" s="163"/>
      <c r="AA170" s="163"/>
      <c r="AB170" s="163"/>
      <c r="AC170" s="163"/>
      <c r="AD170" s="163"/>
      <c r="AE170" s="163"/>
      <c r="AF170" s="163"/>
      <c r="AG170" s="163"/>
      <c r="AH170" s="163"/>
      <c r="AI170" s="163"/>
      <c r="AJ170" s="163"/>
      <c r="AK170" s="163"/>
      <c r="AL170" s="163"/>
      <c r="AM170" s="163"/>
      <c r="AN170" s="163"/>
      <c r="AO170" s="163"/>
      <c r="AP170" s="163"/>
      <c r="AQ170" s="163"/>
      <c r="AR170" s="163"/>
      <c r="AS170" s="163"/>
      <c r="AT170" s="163"/>
      <c r="AU170" s="163"/>
      <c r="AV170" s="163"/>
      <c r="AW170" s="163"/>
      <c r="AX170" s="163"/>
      <c r="AY170" s="163"/>
      <c r="AZ170" s="163"/>
      <c r="BA170" s="163"/>
      <c r="BB170" s="163"/>
      <c r="BC170" s="163"/>
      <c r="BD170" s="163"/>
      <c r="BE170" s="163"/>
      <c r="BF170" s="163"/>
      <c r="BG170" s="163"/>
      <c r="BH170" s="163"/>
      <c r="BI170" s="163"/>
    </row>
    <row r="171" ht="15.75" customHeight="1">
      <c r="A171" s="37"/>
      <c r="B171" s="30"/>
      <c r="C171" s="30"/>
      <c r="D171" s="84"/>
      <c r="E171" s="30"/>
      <c r="F171" s="30"/>
      <c r="G171" s="30"/>
      <c r="H171" s="30"/>
      <c r="I171" s="30"/>
      <c r="J171" s="30"/>
      <c r="K171" s="30"/>
      <c r="L171" s="30"/>
      <c r="M171" s="30"/>
      <c r="N171" s="30"/>
      <c r="O171" s="163"/>
      <c r="P171" s="163"/>
      <c r="Q171" s="163"/>
      <c r="R171" s="163"/>
      <c r="S171" s="163"/>
      <c r="T171" s="163"/>
      <c r="U171" s="163"/>
      <c r="V171" s="163"/>
      <c r="W171" s="163"/>
      <c r="X171" s="163"/>
      <c r="Y171" s="163"/>
      <c r="Z171" s="163"/>
      <c r="AA171" s="163"/>
      <c r="AB171" s="163"/>
      <c r="AC171" s="163"/>
      <c r="AD171" s="163"/>
      <c r="AE171" s="163"/>
      <c r="AF171" s="163"/>
      <c r="AG171" s="163"/>
      <c r="AH171" s="163"/>
      <c r="AI171" s="163"/>
      <c r="AJ171" s="163"/>
      <c r="AK171" s="163"/>
      <c r="AL171" s="163"/>
      <c r="AM171" s="163"/>
      <c r="AN171" s="163"/>
      <c r="AO171" s="163"/>
      <c r="AP171" s="163"/>
      <c r="AQ171" s="163"/>
      <c r="AR171" s="163"/>
      <c r="AS171" s="163"/>
      <c r="AT171" s="163"/>
      <c r="AU171" s="163"/>
      <c r="AV171" s="163"/>
      <c r="AW171" s="163"/>
      <c r="AX171" s="163"/>
      <c r="AY171" s="163"/>
      <c r="AZ171" s="163"/>
      <c r="BA171" s="163"/>
      <c r="BB171" s="163"/>
      <c r="BC171" s="163"/>
      <c r="BD171" s="163"/>
      <c r="BE171" s="163"/>
      <c r="BF171" s="163"/>
      <c r="BG171" s="163"/>
      <c r="BH171" s="163"/>
      <c r="BI171" s="163"/>
    </row>
    <row r="172" ht="15.75" customHeight="1">
      <c r="A172" s="37"/>
      <c r="B172" s="30"/>
      <c r="C172" s="30"/>
      <c r="D172" s="84"/>
      <c r="E172" s="30"/>
      <c r="F172" s="30"/>
      <c r="G172" s="30"/>
      <c r="H172" s="30"/>
      <c r="I172" s="30"/>
      <c r="J172" s="30"/>
      <c r="K172" s="30"/>
      <c r="L172" s="30"/>
      <c r="M172" s="30"/>
      <c r="N172" s="30"/>
      <c r="O172" s="163"/>
      <c r="P172" s="163"/>
      <c r="Q172" s="163"/>
      <c r="R172" s="163"/>
      <c r="S172" s="163"/>
      <c r="T172" s="163"/>
      <c r="U172" s="163"/>
      <c r="V172" s="163"/>
      <c r="W172" s="163"/>
      <c r="X172" s="163"/>
      <c r="Y172" s="163"/>
      <c r="Z172" s="163"/>
      <c r="AA172" s="163"/>
      <c r="AB172" s="163"/>
      <c r="AC172" s="163"/>
      <c r="AD172" s="163"/>
      <c r="AE172" s="163"/>
      <c r="AF172" s="163"/>
      <c r="AG172" s="163"/>
      <c r="AH172" s="163"/>
      <c r="AI172" s="163"/>
      <c r="AJ172" s="163"/>
      <c r="AK172" s="163"/>
      <c r="AL172" s="163"/>
      <c r="AM172" s="163"/>
      <c r="AN172" s="163"/>
      <c r="AO172" s="163"/>
      <c r="AP172" s="163"/>
      <c r="AQ172" s="163"/>
      <c r="AR172" s="163"/>
      <c r="AS172" s="163"/>
      <c r="AT172" s="163"/>
      <c r="AU172" s="163"/>
      <c r="AV172" s="163"/>
      <c r="AW172" s="163"/>
      <c r="AX172" s="163"/>
      <c r="AY172" s="163"/>
      <c r="AZ172" s="163"/>
      <c r="BA172" s="163"/>
      <c r="BB172" s="163"/>
      <c r="BC172" s="163"/>
      <c r="BD172" s="163"/>
      <c r="BE172" s="163"/>
      <c r="BF172" s="163"/>
      <c r="BG172" s="163"/>
      <c r="BH172" s="163"/>
      <c r="BI172" s="163"/>
    </row>
    <row r="173" ht="15.75" customHeight="1">
      <c r="A173" s="37"/>
      <c r="B173" s="30"/>
      <c r="C173" s="30"/>
      <c r="D173" s="84"/>
      <c r="E173" s="30"/>
      <c r="F173" s="30"/>
      <c r="G173" s="30"/>
      <c r="H173" s="30"/>
      <c r="I173" s="30"/>
      <c r="J173" s="30"/>
      <c r="K173" s="30"/>
      <c r="L173" s="30"/>
      <c r="M173" s="30"/>
      <c r="N173" s="30"/>
      <c r="O173" s="163"/>
      <c r="P173" s="163"/>
      <c r="Q173" s="163"/>
      <c r="R173" s="163"/>
      <c r="S173" s="163"/>
      <c r="T173" s="163"/>
      <c r="U173" s="163"/>
      <c r="V173" s="163"/>
      <c r="W173" s="163"/>
      <c r="X173" s="163"/>
      <c r="Y173" s="163"/>
      <c r="Z173" s="163"/>
      <c r="AA173" s="163"/>
      <c r="AB173" s="163"/>
      <c r="AC173" s="163"/>
      <c r="AD173" s="163"/>
      <c r="AE173" s="163"/>
      <c r="AF173" s="163"/>
      <c r="AG173" s="163"/>
      <c r="AH173" s="163"/>
      <c r="AI173" s="163"/>
      <c r="AJ173" s="163"/>
      <c r="AK173" s="163"/>
      <c r="AL173" s="163"/>
      <c r="AM173" s="163"/>
      <c r="AN173" s="163"/>
      <c r="AO173" s="163"/>
      <c r="AP173" s="163"/>
      <c r="AQ173" s="163"/>
      <c r="AR173" s="163"/>
      <c r="AS173" s="163"/>
      <c r="AT173" s="163"/>
      <c r="AU173" s="163"/>
      <c r="AV173" s="163"/>
      <c r="AW173" s="163"/>
      <c r="AX173" s="163"/>
      <c r="AY173" s="163"/>
      <c r="AZ173" s="163"/>
      <c r="BA173" s="163"/>
      <c r="BB173" s="163"/>
      <c r="BC173" s="163"/>
      <c r="BD173" s="163"/>
      <c r="BE173" s="163"/>
      <c r="BF173" s="163"/>
      <c r="BG173" s="163"/>
      <c r="BH173" s="163"/>
      <c r="BI173" s="163"/>
    </row>
    <row r="174" ht="15.75" customHeight="1">
      <c r="A174" s="37"/>
      <c r="B174" s="30"/>
      <c r="C174" s="30"/>
      <c r="D174" s="84"/>
      <c r="E174" s="30"/>
      <c r="F174" s="30"/>
      <c r="G174" s="30"/>
      <c r="H174" s="30"/>
      <c r="I174" s="30"/>
      <c r="J174" s="30"/>
      <c r="K174" s="30"/>
      <c r="L174" s="30"/>
      <c r="M174" s="30"/>
      <c r="N174" s="30"/>
      <c r="O174" s="163"/>
      <c r="P174" s="163"/>
      <c r="Q174" s="163"/>
      <c r="R174" s="163"/>
      <c r="S174" s="163"/>
      <c r="T174" s="163"/>
      <c r="U174" s="163"/>
      <c r="V174" s="163"/>
      <c r="W174" s="163"/>
      <c r="X174" s="163"/>
      <c r="Y174" s="163"/>
      <c r="Z174" s="163"/>
      <c r="AA174" s="163"/>
      <c r="AB174" s="163"/>
      <c r="AC174" s="163"/>
      <c r="AD174" s="163"/>
      <c r="AE174" s="163"/>
      <c r="AF174" s="163"/>
      <c r="AG174" s="163"/>
      <c r="AH174" s="163"/>
      <c r="AI174" s="163"/>
      <c r="AJ174" s="163"/>
      <c r="AK174" s="163"/>
      <c r="AL174" s="163"/>
      <c r="AM174" s="163"/>
      <c r="AN174" s="163"/>
      <c r="AO174" s="163"/>
      <c r="AP174" s="163"/>
      <c r="AQ174" s="163"/>
      <c r="AR174" s="163"/>
      <c r="AS174" s="163"/>
      <c r="AT174" s="163"/>
      <c r="AU174" s="163"/>
      <c r="AV174" s="163"/>
      <c r="AW174" s="163"/>
      <c r="AX174" s="163"/>
      <c r="AY174" s="163"/>
      <c r="AZ174" s="163"/>
      <c r="BA174" s="163"/>
      <c r="BB174" s="163"/>
      <c r="BC174" s="163"/>
      <c r="BD174" s="163"/>
      <c r="BE174" s="163"/>
      <c r="BF174" s="163"/>
      <c r="BG174" s="163"/>
      <c r="BH174" s="163"/>
      <c r="BI174" s="163"/>
    </row>
    <row r="175" ht="15.75" customHeight="1">
      <c r="A175" s="37"/>
      <c r="B175" s="30"/>
      <c r="C175" s="30"/>
      <c r="D175" s="84"/>
      <c r="E175" s="30"/>
      <c r="F175" s="30"/>
      <c r="G175" s="30"/>
      <c r="H175" s="30"/>
      <c r="I175" s="30"/>
      <c r="J175" s="30"/>
      <c r="K175" s="30"/>
      <c r="L175" s="30"/>
      <c r="M175" s="30"/>
      <c r="N175" s="30"/>
      <c r="O175" s="163"/>
      <c r="P175" s="163"/>
      <c r="Q175" s="163"/>
      <c r="R175" s="163"/>
      <c r="S175" s="163"/>
      <c r="T175" s="163"/>
      <c r="U175" s="163"/>
      <c r="V175" s="163"/>
      <c r="W175" s="163"/>
      <c r="X175" s="163"/>
      <c r="Y175" s="163"/>
      <c r="Z175" s="163"/>
      <c r="AA175" s="163"/>
      <c r="AB175" s="163"/>
      <c r="AC175" s="163"/>
      <c r="AD175" s="163"/>
      <c r="AE175" s="163"/>
      <c r="AF175" s="163"/>
      <c r="AG175" s="163"/>
      <c r="AH175" s="163"/>
      <c r="AI175" s="163"/>
      <c r="AJ175" s="163"/>
      <c r="AK175" s="163"/>
      <c r="AL175" s="163"/>
      <c r="AM175" s="163"/>
      <c r="AN175" s="163"/>
      <c r="AO175" s="163"/>
      <c r="AP175" s="163"/>
      <c r="AQ175" s="163"/>
      <c r="AR175" s="163"/>
      <c r="AS175" s="163"/>
      <c r="AT175" s="163"/>
      <c r="AU175" s="163"/>
      <c r="AV175" s="163"/>
      <c r="AW175" s="163"/>
      <c r="AX175" s="163"/>
      <c r="AY175" s="163"/>
      <c r="AZ175" s="163"/>
      <c r="BA175" s="163"/>
      <c r="BB175" s="163"/>
      <c r="BC175" s="163"/>
      <c r="BD175" s="163"/>
      <c r="BE175" s="163"/>
      <c r="BF175" s="163"/>
      <c r="BG175" s="163"/>
      <c r="BH175" s="163"/>
      <c r="BI175" s="163"/>
    </row>
    <row r="176" ht="15.75" customHeight="1">
      <c r="A176" s="37"/>
      <c r="B176" s="30"/>
      <c r="C176" s="30"/>
      <c r="D176" s="84"/>
      <c r="E176" s="30"/>
      <c r="F176" s="30"/>
      <c r="G176" s="30"/>
      <c r="H176" s="30"/>
      <c r="I176" s="30"/>
      <c r="J176" s="30"/>
      <c r="K176" s="30"/>
      <c r="L176" s="30"/>
      <c r="M176" s="30"/>
      <c r="N176" s="30"/>
      <c r="O176" s="163"/>
      <c r="P176" s="163"/>
      <c r="Q176" s="163"/>
      <c r="R176" s="163"/>
      <c r="S176" s="163"/>
      <c r="T176" s="163"/>
      <c r="U176" s="163"/>
      <c r="V176" s="163"/>
      <c r="W176" s="163"/>
      <c r="X176" s="163"/>
      <c r="Y176" s="163"/>
      <c r="Z176" s="163"/>
      <c r="AA176" s="163"/>
      <c r="AB176" s="163"/>
      <c r="AC176" s="163"/>
      <c r="AD176" s="163"/>
      <c r="AE176" s="163"/>
      <c r="AF176" s="163"/>
      <c r="AG176" s="163"/>
      <c r="AH176" s="163"/>
      <c r="AI176" s="163"/>
      <c r="AJ176" s="163"/>
      <c r="AK176" s="163"/>
      <c r="AL176" s="163"/>
      <c r="AM176" s="163"/>
      <c r="AN176" s="163"/>
      <c r="AO176" s="163"/>
      <c r="AP176" s="163"/>
      <c r="AQ176" s="163"/>
      <c r="AR176" s="163"/>
      <c r="AS176" s="163"/>
      <c r="AT176" s="163"/>
      <c r="AU176" s="163"/>
      <c r="AV176" s="163"/>
      <c r="AW176" s="163"/>
      <c r="AX176" s="163"/>
      <c r="AY176" s="163"/>
      <c r="AZ176" s="163"/>
      <c r="BA176" s="163"/>
      <c r="BB176" s="163"/>
      <c r="BC176" s="163"/>
      <c r="BD176" s="163"/>
      <c r="BE176" s="163"/>
      <c r="BF176" s="163"/>
      <c r="BG176" s="163"/>
      <c r="BH176" s="163"/>
      <c r="BI176" s="163"/>
    </row>
    <row r="177" ht="15.75" customHeight="1">
      <c r="A177" s="37"/>
      <c r="B177" s="30"/>
      <c r="C177" s="30"/>
      <c r="D177" s="84"/>
      <c r="E177" s="30"/>
      <c r="F177" s="30"/>
      <c r="G177" s="30"/>
      <c r="H177" s="30"/>
      <c r="I177" s="30"/>
      <c r="J177" s="30"/>
      <c r="K177" s="30"/>
      <c r="L177" s="30"/>
      <c r="M177" s="30"/>
      <c r="N177" s="30"/>
      <c r="O177" s="163"/>
      <c r="P177" s="163"/>
      <c r="Q177" s="163"/>
      <c r="R177" s="163"/>
      <c r="S177" s="163"/>
      <c r="T177" s="163"/>
      <c r="U177" s="163"/>
      <c r="V177" s="163"/>
      <c r="W177" s="163"/>
      <c r="X177" s="163"/>
      <c r="Y177" s="163"/>
      <c r="Z177" s="163"/>
      <c r="AA177" s="163"/>
      <c r="AB177" s="163"/>
      <c r="AC177" s="163"/>
      <c r="AD177" s="163"/>
      <c r="AE177" s="163"/>
      <c r="AF177" s="163"/>
      <c r="AG177" s="163"/>
      <c r="AH177" s="163"/>
      <c r="AI177" s="163"/>
      <c r="AJ177" s="163"/>
      <c r="AK177" s="163"/>
      <c r="AL177" s="163"/>
      <c r="AM177" s="163"/>
      <c r="AN177" s="163"/>
      <c r="AO177" s="163"/>
      <c r="AP177" s="163"/>
      <c r="AQ177" s="163"/>
      <c r="AR177" s="163"/>
      <c r="AS177" s="163"/>
      <c r="AT177" s="163"/>
      <c r="AU177" s="163"/>
      <c r="AV177" s="163"/>
      <c r="AW177" s="163"/>
      <c r="AX177" s="163"/>
      <c r="AY177" s="163"/>
      <c r="AZ177" s="163"/>
      <c r="BA177" s="163"/>
      <c r="BB177" s="163"/>
      <c r="BC177" s="163"/>
      <c r="BD177" s="163"/>
      <c r="BE177" s="163"/>
      <c r="BF177" s="163"/>
      <c r="BG177" s="163"/>
      <c r="BH177" s="163"/>
      <c r="BI177" s="163"/>
    </row>
    <row r="178" ht="15.75" customHeight="1">
      <c r="A178" s="37"/>
      <c r="B178" s="30"/>
      <c r="C178" s="30"/>
      <c r="D178" s="84"/>
      <c r="E178" s="30"/>
      <c r="F178" s="30"/>
      <c r="G178" s="30"/>
      <c r="H178" s="30"/>
      <c r="I178" s="30"/>
      <c r="J178" s="30"/>
      <c r="K178" s="30"/>
      <c r="L178" s="30"/>
      <c r="M178" s="30"/>
      <c r="N178" s="30"/>
      <c r="O178" s="163"/>
      <c r="P178" s="163"/>
      <c r="Q178" s="163"/>
      <c r="R178" s="163"/>
      <c r="S178" s="163"/>
      <c r="T178" s="163"/>
      <c r="U178" s="163"/>
      <c r="V178" s="163"/>
      <c r="W178" s="163"/>
      <c r="X178" s="163"/>
      <c r="Y178" s="163"/>
      <c r="Z178" s="163"/>
      <c r="AA178" s="163"/>
      <c r="AB178" s="163"/>
      <c r="AC178" s="163"/>
      <c r="AD178" s="163"/>
      <c r="AE178" s="163"/>
      <c r="AF178" s="163"/>
      <c r="AG178" s="163"/>
      <c r="AH178" s="163"/>
      <c r="AI178" s="163"/>
      <c r="AJ178" s="163"/>
      <c r="AK178" s="163"/>
      <c r="AL178" s="163"/>
      <c r="AM178" s="163"/>
      <c r="AN178" s="163"/>
      <c r="AO178" s="163"/>
      <c r="AP178" s="163"/>
      <c r="AQ178" s="163"/>
      <c r="AR178" s="163"/>
      <c r="AS178" s="163"/>
      <c r="AT178" s="163"/>
      <c r="AU178" s="163"/>
      <c r="AV178" s="163"/>
      <c r="AW178" s="163"/>
      <c r="AX178" s="163"/>
      <c r="AY178" s="163"/>
      <c r="AZ178" s="163"/>
      <c r="BA178" s="163"/>
      <c r="BB178" s="163"/>
      <c r="BC178" s="163"/>
      <c r="BD178" s="163"/>
      <c r="BE178" s="163"/>
      <c r="BF178" s="163"/>
      <c r="BG178" s="163"/>
      <c r="BH178" s="163"/>
      <c r="BI178" s="163"/>
    </row>
    <row r="179" ht="15.75" customHeight="1">
      <c r="A179" s="37"/>
      <c r="B179" s="30"/>
      <c r="C179" s="30"/>
      <c r="D179" s="84"/>
      <c r="E179" s="30"/>
      <c r="F179" s="30"/>
      <c r="G179" s="30"/>
      <c r="H179" s="30"/>
      <c r="I179" s="30"/>
      <c r="J179" s="30"/>
      <c r="K179" s="30"/>
      <c r="L179" s="30"/>
      <c r="M179" s="30"/>
      <c r="N179" s="30"/>
      <c r="O179" s="163"/>
      <c r="P179" s="163"/>
      <c r="Q179" s="163"/>
      <c r="R179" s="163"/>
      <c r="S179" s="163"/>
      <c r="T179" s="163"/>
      <c r="U179" s="163"/>
      <c r="V179" s="163"/>
      <c r="W179" s="163"/>
      <c r="X179" s="163"/>
      <c r="Y179" s="163"/>
      <c r="Z179" s="163"/>
      <c r="AA179" s="163"/>
      <c r="AB179" s="163"/>
      <c r="AC179" s="163"/>
      <c r="AD179" s="163"/>
      <c r="AE179" s="163"/>
      <c r="AF179" s="163"/>
      <c r="AG179" s="163"/>
      <c r="AH179" s="163"/>
      <c r="AI179" s="163"/>
      <c r="AJ179" s="163"/>
      <c r="AK179" s="163"/>
      <c r="AL179" s="163"/>
      <c r="AM179" s="163"/>
      <c r="AN179" s="163"/>
      <c r="AO179" s="163"/>
      <c r="AP179" s="163"/>
      <c r="AQ179" s="163"/>
      <c r="AR179" s="163"/>
      <c r="AS179" s="163"/>
      <c r="AT179" s="163"/>
      <c r="AU179" s="163"/>
      <c r="AV179" s="163"/>
      <c r="AW179" s="163"/>
      <c r="AX179" s="163"/>
      <c r="AY179" s="163"/>
      <c r="AZ179" s="163"/>
      <c r="BA179" s="163"/>
      <c r="BB179" s="163"/>
      <c r="BC179" s="163"/>
      <c r="BD179" s="163"/>
      <c r="BE179" s="163"/>
      <c r="BF179" s="163"/>
      <c r="BG179" s="163"/>
      <c r="BH179" s="163"/>
      <c r="BI179" s="163"/>
    </row>
    <row r="180" ht="15.75" customHeight="1">
      <c r="A180" s="37"/>
      <c r="B180" s="30"/>
      <c r="C180" s="30"/>
      <c r="D180" s="84"/>
      <c r="E180" s="30"/>
      <c r="F180" s="30"/>
      <c r="G180" s="30"/>
      <c r="H180" s="30"/>
      <c r="I180" s="30"/>
      <c r="J180" s="30"/>
      <c r="K180" s="30"/>
      <c r="L180" s="30"/>
      <c r="M180" s="30"/>
      <c r="N180" s="30"/>
      <c r="O180" s="163"/>
      <c r="P180" s="163"/>
      <c r="Q180" s="163"/>
      <c r="R180" s="163"/>
      <c r="S180" s="163"/>
      <c r="T180" s="163"/>
      <c r="U180" s="163"/>
      <c r="V180" s="163"/>
      <c r="W180" s="163"/>
      <c r="X180" s="163"/>
      <c r="Y180" s="163"/>
      <c r="Z180" s="163"/>
      <c r="AA180" s="163"/>
      <c r="AB180" s="163"/>
      <c r="AC180" s="163"/>
      <c r="AD180" s="163"/>
      <c r="AE180" s="163"/>
      <c r="AF180" s="163"/>
      <c r="AG180" s="163"/>
      <c r="AH180" s="163"/>
      <c r="AI180" s="163"/>
      <c r="AJ180" s="163"/>
      <c r="AK180" s="163"/>
      <c r="AL180" s="163"/>
      <c r="AM180" s="163"/>
      <c r="AN180" s="163"/>
      <c r="AO180" s="163"/>
      <c r="AP180" s="163"/>
      <c r="AQ180" s="163"/>
      <c r="AR180" s="163"/>
      <c r="AS180" s="163"/>
      <c r="AT180" s="163"/>
      <c r="AU180" s="163"/>
      <c r="AV180" s="163"/>
      <c r="AW180" s="163"/>
      <c r="AX180" s="163"/>
      <c r="AY180" s="163"/>
      <c r="AZ180" s="163"/>
      <c r="BA180" s="163"/>
      <c r="BB180" s="163"/>
      <c r="BC180" s="163"/>
      <c r="BD180" s="163"/>
      <c r="BE180" s="163"/>
      <c r="BF180" s="163"/>
      <c r="BG180" s="163"/>
      <c r="BH180" s="163"/>
      <c r="BI180" s="163"/>
    </row>
    <row r="181" ht="15.75" customHeight="1">
      <c r="A181" s="37"/>
      <c r="B181" s="30"/>
      <c r="C181" s="30"/>
      <c r="D181" s="84"/>
      <c r="E181" s="30"/>
      <c r="F181" s="30"/>
      <c r="G181" s="30"/>
      <c r="H181" s="30"/>
      <c r="I181" s="30"/>
      <c r="J181" s="30"/>
      <c r="K181" s="30"/>
      <c r="L181" s="30"/>
      <c r="M181" s="30"/>
      <c r="N181" s="30"/>
      <c r="O181" s="163"/>
      <c r="P181" s="163"/>
      <c r="Q181" s="163"/>
      <c r="R181" s="163"/>
      <c r="S181" s="163"/>
      <c r="T181" s="163"/>
      <c r="U181" s="163"/>
      <c r="V181" s="163"/>
      <c r="W181" s="163"/>
      <c r="X181" s="163"/>
      <c r="Y181" s="163"/>
      <c r="Z181" s="163"/>
      <c r="AA181" s="163"/>
      <c r="AB181" s="163"/>
      <c r="AC181" s="163"/>
      <c r="AD181" s="163"/>
      <c r="AE181" s="163"/>
      <c r="AF181" s="163"/>
      <c r="AG181" s="163"/>
      <c r="AH181" s="163"/>
      <c r="AI181" s="163"/>
      <c r="AJ181" s="163"/>
      <c r="AK181" s="163"/>
      <c r="AL181" s="163"/>
      <c r="AM181" s="163"/>
      <c r="AN181" s="163"/>
      <c r="AO181" s="163"/>
      <c r="AP181" s="163"/>
      <c r="AQ181" s="163"/>
      <c r="AR181" s="163"/>
      <c r="AS181" s="163"/>
      <c r="AT181" s="163"/>
      <c r="AU181" s="163"/>
      <c r="AV181" s="163"/>
      <c r="AW181" s="163"/>
      <c r="AX181" s="163"/>
      <c r="AY181" s="163"/>
      <c r="AZ181" s="163"/>
      <c r="BA181" s="163"/>
      <c r="BB181" s="163"/>
      <c r="BC181" s="163"/>
      <c r="BD181" s="163"/>
      <c r="BE181" s="163"/>
      <c r="BF181" s="163"/>
      <c r="BG181" s="163"/>
      <c r="BH181" s="163"/>
      <c r="BI181" s="163"/>
    </row>
    <row r="182" ht="15.75" customHeight="1">
      <c r="A182" s="37"/>
      <c r="B182" s="30"/>
      <c r="C182" s="30"/>
      <c r="D182" s="84"/>
      <c r="E182" s="30"/>
      <c r="F182" s="30"/>
      <c r="G182" s="30"/>
      <c r="H182" s="30"/>
      <c r="I182" s="30"/>
      <c r="J182" s="30"/>
      <c r="K182" s="30"/>
      <c r="L182" s="30"/>
      <c r="M182" s="30"/>
      <c r="N182" s="30"/>
      <c r="O182" s="163"/>
      <c r="P182" s="163"/>
      <c r="Q182" s="163"/>
      <c r="R182" s="163"/>
      <c r="S182" s="163"/>
      <c r="T182" s="163"/>
      <c r="U182" s="163"/>
      <c r="V182" s="163"/>
      <c r="W182" s="163"/>
      <c r="X182" s="163"/>
      <c r="Y182" s="163"/>
      <c r="Z182" s="163"/>
      <c r="AA182" s="163"/>
      <c r="AB182" s="163"/>
      <c r="AC182" s="163"/>
      <c r="AD182" s="163"/>
      <c r="AE182" s="163"/>
      <c r="AF182" s="163"/>
      <c r="AG182" s="163"/>
      <c r="AH182" s="163"/>
      <c r="AI182" s="163"/>
      <c r="AJ182" s="163"/>
      <c r="AK182" s="163"/>
      <c r="AL182" s="163"/>
      <c r="AM182" s="163"/>
      <c r="AN182" s="163"/>
      <c r="AO182" s="163"/>
      <c r="AP182" s="163"/>
      <c r="AQ182" s="163"/>
      <c r="AR182" s="163"/>
      <c r="AS182" s="163"/>
      <c r="AT182" s="163"/>
      <c r="AU182" s="163"/>
      <c r="AV182" s="163"/>
      <c r="AW182" s="163"/>
      <c r="AX182" s="163"/>
      <c r="AY182" s="163"/>
      <c r="AZ182" s="163"/>
      <c r="BA182" s="163"/>
      <c r="BB182" s="163"/>
      <c r="BC182" s="163"/>
      <c r="BD182" s="163"/>
      <c r="BE182" s="163"/>
      <c r="BF182" s="163"/>
      <c r="BG182" s="163"/>
      <c r="BH182" s="163"/>
      <c r="BI182" s="163"/>
    </row>
    <row r="183" ht="15.75" customHeight="1">
      <c r="A183" s="37"/>
      <c r="B183" s="30"/>
      <c r="C183" s="30"/>
      <c r="D183" s="84"/>
      <c r="E183" s="30"/>
      <c r="F183" s="30"/>
      <c r="G183" s="30"/>
      <c r="H183" s="30"/>
      <c r="I183" s="30"/>
      <c r="J183" s="30"/>
      <c r="K183" s="30"/>
      <c r="L183" s="30"/>
      <c r="M183" s="30"/>
      <c r="N183" s="30"/>
      <c r="O183" s="163"/>
      <c r="P183" s="163"/>
      <c r="Q183" s="163"/>
      <c r="R183" s="163"/>
      <c r="S183" s="163"/>
      <c r="T183" s="163"/>
      <c r="U183" s="163"/>
      <c r="V183" s="163"/>
      <c r="W183" s="163"/>
      <c r="X183" s="163"/>
      <c r="Y183" s="163"/>
      <c r="Z183" s="163"/>
      <c r="AA183" s="163"/>
      <c r="AB183" s="163"/>
      <c r="AC183" s="163"/>
      <c r="AD183" s="163"/>
      <c r="AE183" s="163"/>
      <c r="AF183" s="163"/>
      <c r="AG183" s="163"/>
      <c r="AH183" s="163"/>
      <c r="AI183" s="163"/>
      <c r="AJ183" s="163"/>
      <c r="AK183" s="163"/>
      <c r="AL183" s="163"/>
      <c r="AM183" s="163"/>
      <c r="AN183" s="163"/>
      <c r="AO183" s="163"/>
      <c r="AP183" s="163"/>
      <c r="AQ183" s="163"/>
      <c r="AR183" s="163"/>
      <c r="AS183" s="163"/>
      <c r="AT183" s="163"/>
      <c r="AU183" s="163"/>
      <c r="AV183" s="163"/>
      <c r="AW183" s="163"/>
      <c r="AX183" s="163"/>
      <c r="AY183" s="163"/>
      <c r="AZ183" s="163"/>
      <c r="BA183" s="163"/>
      <c r="BB183" s="163"/>
      <c r="BC183" s="163"/>
      <c r="BD183" s="163"/>
      <c r="BE183" s="163"/>
      <c r="BF183" s="163"/>
      <c r="BG183" s="163"/>
      <c r="BH183" s="163"/>
      <c r="BI183" s="163"/>
    </row>
    <row r="184" ht="15.75" customHeight="1">
      <c r="A184" s="37"/>
      <c r="B184" s="30"/>
      <c r="C184" s="30"/>
      <c r="D184" s="84"/>
      <c r="E184" s="30"/>
      <c r="F184" s="30"/>
      <c r="G184" s="30"/>
      <c r="H184" s="30"/>
      <c r="I184" s="30"/>
      <c r="J184" s="30"/>
      <c r="K184" s="30"/>
      <c r="L184" s="30"/>
      <c r="M184" s="30"/>
      <c r="N184" s="30"/>
      <c r="O184" s="163"/>
      <c r="P184" s="163"/>
      <c r="Q184" s="163"/>
      <c r="R184" s="163"/>
      <c r="S184" s="163"/>
      <c r="T184" s="163"/>
      <c r="U184" s="163"/>
      <c r="V184" s="163"/>
      <c r="W184" s="163"/>
      <c r="X184" s="163"/>
      <c r="Y184" s="163"/>
      <c r="Z184" s="163"/>
      <c r="AA184" s="163"/>
      <c r="AB184" s="163"/>
      <c r="AC184" s="163"/>
      <c r="AD184" s="163"/>
      <c r="AE184" s="163"/>
      <c r="AF184" s="163"/>
      <c r="AG184" s="163"/>
      <c r="AH184" s="163"/>
      <c r="AI184" s="163"/>
      <c r="AJ184" s="163"/>
      <c r="AK184" s="163"/>
      <c r="AL184" s="163"/>
      <c r="AM184" s="163"/>
      <c r="AN184" s="163"/>
      <c r="AO184" s="163"/>
      <c r="AP184" s="163"/>
      <c r="AQ184" s="163"/>
      <c r="AR184" s="163"/>
      <c r="AS184" s="163"/>
      <c r="AT184" s="163"/>
      <c r="AU184" s="163"/>
      <c r="AV184" s="163"/>
      <c r="AW184" s="163"/>
      <c r="AX184" s="163"/>
      <c r="AY184" s="163"/>
      <c r="AZ184" s="163"/>
      <c r="BA184" s="163"/>
      <c r="BB184" s="163"/>
      <c r="BC184" s="163"/>
      <c r="BD184" s="163"/>
      <c r="BE184" s="163"/>
      <c r="BF184" s="163"/>
      <c r="BG184" s="163"/>
      <c r="BH184" s="163"/>
      <c r="BI184" s="163"/>
    </row>
    <row r="185" ht="15.75" customHeight="1">
      <c r="A185" s="37"/>
      <c r="B185" s="30"/>
      <c r="C185" s="30"/>
      <c r="D185" s="84"/>
      <c r="E185" s="30"/>
      <c r="F185" s="30"/>
      <c r="G185" s="30"/>
      <c r="H185" s="30"/>
      <c r="I185" s="30"/>
      <c r="J185" s="30"/>
      <c r="K185" s="30"/>
      <c r="L185" s="30"/>
      <c r="M185" s="30"/>
      <c r="N185" s="30"/>
      <c r="O185" s="163"/>
      <c r="P185" s="163"/>
      <c r="Q185" s="163"/>
      <c r="R185" s="163"/>
      <c r="S185" s="163"/>
      <c r="T185" s="163"/>
      <c r="U185" s="163"/>
      <c r="V185" s="163"/>
      <c r="W185" s="163"/>
      <c r="X185" s="163"/>
      <c r="Y185" s="163"/>
      <c r="Z185" s="163"/>
      <c r="AA185" s="163"/>
      <c r="AB185" s="163"/>
      <c r="AC185" s="163"/>
      <c r="AD185" s="163"/>
      <c r="AE185" s="163"/>
      <c r="AF185" s="163"/>
      <c r="AG185" s="163"/>
      <c r="AH185" s="163"/>
      <c r="AI185" s="163"/>
      <c r="AJ185" s="163"/>
      <c r="AK185" s="163"/>
      <c r="AL185" s="163"/>
      <c r="AM185" s="163"/>
      <c r="AN185" s="163"/>
      <c r="AO185" s="163"/>
      <c r="AP185" s="163"/>
      <c r="AQ185" s="163"/>
      <c r="AR185" s="163"/>
      <c r="AS185" s="163"/>
      <c r="AT185" s="163"/>
      <c r="AU185" s="163"/>
      <c r="AV185" s="163"/>
      <c r="AW185" s="163"/>
      <c r="AX185" s="163"/>
      <c r="AY185" s="163"/>
      <c r="AZ185" s="163"/>
      <c r="BA185" s="163"/>
      <c r="BB185" s="163"/>
      <c r="BC185" s="163"/>
      <c r="BD185" s="163"/>
      <c r="BE185" s="163"/>
      <c r="BF185" s="163"/>
      <c r="BG185" s="163"/>
      <c r="BH185" s="163"/>
      <c r="BI185" s="163"/>
    </row>
    <row r="186" ht="15.75" customHeight="1">
      <c r="A186" s="37"/>
      <c r="B186" s="30"/>
      <c r="C186" s="30"/>
      <c r="D186" s="84"/>
      <c r="E186" s="30"/>
      <c r="F186" s="30"/>
      <c r="G186" s="30"/>
      <c r="H186" s="30"/>
      <c r="I186" s="30"/>
      <c r="J186" s="30"/>
      <c r="K186" s="30"/>
      <c r="L186" s="30"/>
      <c r="M186" s="30"/>
      <c r="N186" s="30"/>
      <c r="O186" s="163"/>
      <c r="P186" s="163"/>
      <c r="Q186" s="163"/>
      <c r="R186" s="163"/>
      <c r="S186" s="163"/>
      <c r="T186" s="163"/>
      <c r="U186" s="163"/>
      <c r="V186" s="163"/>
      <c r="W186" s="163"/>
      <c r="X186" s="163"/>
      <c r="Y186" s="163"/>
      <c r="Z186" s="163"/>
      <c r="AA186" s="163"/>
      <c r="AB186" s="163"/>
      <c r="AC186" s="163"/>
      <c r="AD186" s="163"/>
      <c r="AE186" s="163"/>
      <c r="AF186" s="163"/>
      <c r="AG186" s="163"/>
      <c r="AH186" s="163"/>
      <c r="AI186" s="163"/>
      <c r="AJ186" s="163"/>
      <c r="AK186" s="163"/>
      <c r="AL186" s="163"/>
      <c r="AM186" s="163"/>
      <c r="AN186" s="163"/>
      <c r="AO186" s="163"/>
      <c r="AP186" s="163"/>
      <c r="AQ186" s="163"/>
      <c r="AR186" s="163"/>
      <c r="AS186" s="163"/>
      <c r="AT186" s="163"/>
      <c r="AU186" s="163"/>
      <c r="AV186" s="163"/>
      <c r="AW186" s="163"/>
      <c r="AX186" s="163"/>
      <c r="AY186" s="163"/>
      <c r="AZ186" s="163"/>
      <c r="BA186" s="163"/>
      <c r="BB186" s="163"/>
      <c r="BC186" s="163"/>
      <c r="BD186" s="163"/>
      <c r="BE186" s="163"/>
      <c r="BF186" s="163"/>
      <c r="BG186" s="163"/>
      <c r="BH186" s="163"/>
      <c r="BI186" s="163"/>
    </row>
    <row r="187" ht="15.75" customHeight="1">
      <c r="A187" s="37"/>
      <c r="B187" s="30"/>
      <c r="C187" s="30"/>
      <c r="D187" s="84"/>
      <c r="E187" s="30"/>
      <c r="F187" s="30"/>
      <c r="G187" s="30"/>
      <c r="H187" s="30"/>
      <c r="I187" s="30"/>
      <c r="J187" s="30"/>
      <c r="K187" s="30"/>
      <c r="L187" s="30"/>
      <c r="M187" s="30"/>
      <c r="N187" s="30"/>
      <c r="O187" s="163"/>
      <c r="P187" s="163"/>
      <c r="Q187" s="163"/>
      <c r="R187" s="163"/>
      <c r="S187" s="163"/>
      <c r="T187" s="163"/>
      <c r="U187" s="163"/>
      <c r="V187" s="163"/>
      <c r="W187" s="163"/>
      <c r="X187" s="163"/>
      <c r="Y187" s="163"/>
      <c r="Z187" s="163"/>
      <c r="AA187" s="163"/>
      <c r="AB187" s="163"/>
      <c r="AC187" s="163"/>
      <c r="AD187" s="163"/>
      <c r="AE187" s="163"/>
      <c r="AF187" s="163"/>
      <c r="AG187" s="163"/>
      <c r="AH187" s="163"/>
      <c r="AI187" s="163"/>
      <c r="AJ187" s="163"/>
      <c r="AK187" s="163"/>
      <c r="AL187" s="163"/>
      <c r="AM187" s="163"/>
      <c r="AN187" s="163"/>
      <c r="AO187" s="163"/>
      <c r="AP187" s="163"/>
      <c r="AQ187" s="163"/>
      <c r="AR187" s="163"/>
      <c r="AS187" s="163"/>
      <c r="AT187" s="163"/>
      <c r="AU187" s="163"/>
      <c r="AV187" s="163"/>
      <c r="AW187" s="163"/>
      <c r="AX187" s="163"/>
      <c r="AY187" s="163"/>
      <c r="AZ187" s="163"/>
      <c r="BA187" s="163"/>
      <c r="BB187" s="163"/>
      <c r="BC187" s="163"/>
      <c r="BD187" s="163"/>
      <c r="BE187" s="163"/>
      <c r="BF187" s="163"/>
      <c r="BG187" s="163"/>
      <c r="BH187" s="163"/>
      <c r="BI187" s="163"/>
    </row>
    <row r="188" ht="15.75" customHeight="1">
      <c r="A188" s="37"/>
      <c r="B188" s="30"/>
      <c r="C188" s="30"/>
      <c r="D188" s="84"/>
      <c r="E188" s="30"/>
      <c r="F188" s="30"/>
      <c r="G188" s="30"/>
      <c r="H188" s="30"/>
      <c r="I188" s="30"/>
      <c r="J188" s="30"/>
      <c r="K188" s="30"/>
      <c r="L188" s="30"/>
      <c r="M188" s="30"/>
      <c r="N188" s="30"/>
      <c r="O188" s="163"/>
      <c r="P188" s="163"/>
      <c r="Q188" s="163"/>
      <c r="R188" s="163"/>
      <c r="S188" s="163"/>
      <c r="T188" s="163"/>
      <c r="U188" s="163"/>
      <c r="V188" s="163"/>
      <c r="W188" s="163"/>
      <c r="X188" s="163"/>
      <c r="Y188" s="163"/>
      <c r="Z188" s="163"/>
      <c r="AA188" s="163"/>
      <c r="AB188" s="163"/>
      <c r="AC188" s="163"/>
      <c r="AD188" s="163"/>
      <c r="AE188" s="163"/>
      <c r="AF188" s="163"/>
      <c r="AG188" s="163"/>
      <c r="AH188" s="163"/>
      <c r="AI188" s="163"/>
      <c r="AJ188" s="163"/>
      <c r="AK188" s="163"/>
      <c r="AL188" s="163"/>
      <c r="AM188" s="163"/>
      <c r="AN188" s="163"/>
      <c r="AO188" s="163"/>
      <c r="AP188" s="163"/>
      <c r="AQ188" s="163"/>
      <c r="AR188" s="163"/>
      <c r="AS188" s="163"/>
      <c r="AT188" s="163"/>
      <c r="AU188" s="163"/>
      <c r="AV188" s="163"/>
      <c r="AW188" s="163"/>
      <c r="AX188" s="163"/>
      <c r="AY188" s="163"/>
      <c r="AZ188" s="163"/>
      <c r="BA188" s="163"/>
      <c r="BB188" s="163"/>
      <c r="BC188" s="163"/>
      <c r="BD188" s="163"/>
      <c r="BE188" s="163"/>
      <c r="BF188" s="163"/>
      <c r="BG188" s="163"/>
      <c r="BH188" s="163"/>
      <c r="BI188" s="163"/>
    </row>
    <row r="189" ht="15.75" customHeight="1">
      <c r="A189" s="37"/>
      <c r="B189" s="30"/>
      <c r="C189" s="30"/>
      <c r="D189" s="84"/>
      <c r="E189" s="30"/>
      <c r="F189" s="30"/>
      <c r="G189" s="30"/>
      <c r="H189" s="30"/>
      <c r="I189" s="30"/>
      <c r="J189" s="30"/>
      <c r="K189" s="30"/>
      <c r="L189" s="30"/>
      <c r="M189" s="30"/>
      <c r="N189" s="30"/>
      <c r="O189" s="163"/>
      <c r="P189" s="163"/>
      <c r="Q189" s="163"/>
      <c r="R189" s="163"/>
      <c r="S189" s="163"/>
      <c r="T189" s="163"/>
      <c r="U189" s="163"/>
      <c r="V189" s="163"/>
      <c r="W189" s="163"/>
      <c r="X189" s="163"/>
      <c r="Y189" s="163"/>
      <c r="Z189" s="163"/>
      <c r="AA189" s="163"/>
      <c r="AB189" s="163"/>
      <c r="AC189" s="163"/>
      <c r="AD189" s="163"/>
      <c r="AE189" s="163"/>
      <c r="AF189" s="163"/>
      <c r="AG189" s="163"/>
      <c r="AH189" s="163"/>
      <c r="AI189" s="163"/>
      <c r="AJ189" s="163"/>
      <c r="AK189" s="163"/>
      <c r="AL189" s="163"/>
      <c r="AM189" s="163"/>
      <c r="AN189" s="163"/>
      <c r="AO189" s="163"/>
      <c r="AP189" s="163"/>
      <c r="AQ189" s="163"/>
      <c r="AR189" s="163"/>
      <c r="AS189" s="163"/>
      <c r="AT189" s="163"/>
      <c r="AU189" s="163"/>
      <c r="AV189" s="163"/>
      <c r="AW189" s="163"/>
      <c r="AX189" s="163"/>
      <c r="AY189" s="163"/>
      <c r="AZ189" s="163"/>
      <c r="BA189" s="163"/>
      <c r="BB189" s="163"/>
      <c r="BC189" s="163"/>
      <c r="BD189" s="163"/>
      <c r="BE189" s="163"/>
      <c r="BF189" s="163"/>
      <c r="BG189" s="163"/>
      <c r="BH189" s="163"/>
      <c r="BI189" s="163"/>
    </row>
    <row r="190" ht="15.75" customHeight="1">
      <c r="A190" s="37"/>
      <c r="B190" s="30"/>
      <c r="C190" s="30"/>
      <c r="D190" s="84"/>
      <c r="E190" s="30"/>
      <c r="F190" s="30"/>
      <c r="G190" s="30"/>
      <c r="H190" s="30"/>
      <c r="I190" s="30"/>
      <c r="J190" s="30"/>
      <c r="K190" s="30"/>
      <c r="L190" s="30"/>
      <c r="M190" s="30"/>
      <c r="N190" s="30"/>
      <c r="O190" s="163"/>
      <c r="P190" s="163"/>
      <c r="Q190" s="163"/>
      <c r="R190" s="163"/>
      <c r="S190" s="163"/>
      <c r="T190" s="163"/>
      <c r="U190" s="163"/>
      <c r="V190" s="163"/>
      <c r="W190" s="163"/>
      <c r="X190" s="163"/>
      <c r="Y190" s="163"/>
      <c r="Z190" s="163"/>
      <c r="AA190" s="163"/>
      <c r="AB190" s="163"/>
      <c r="AC190" s="163"/>
      <c r="AD190" s="163"/>
      <c r="AE190" s="163"/>
      <c r="AF190" s="163"/>
      <c r="AG190" s="163"/>
      <c r="AH190" s="163"/>
      <c r="AI190" s="163"/>
      <c r="AJ190" s="163"/>
      <c r="AK190" s="163"/>
      <c r="AL190" s="163"/>
      <c r="AM190" s="163"/>
      <c r="AN190" s="163"/>
      <c r="AO190" s="163"/>
      <c r="AP190" s="163"/>
      <c r="AQ190" s="163"/>
      <c r="AR190" s="163"/>
      <c r="AS190" s="163"/>
      <c r="AT190" s="163"/>
      <c r="AU190" s="163"/>
      <c r="AV190" s="163"/>
      <c r="AW190" s="163"/>
      <c r="AX190" s="163"/>
      <c r="AY190" s="163"/>
      <c r="AZ190" s="163"/>
      <c r="BA190" s="163"/>
      <c r="BB190" s="163"/>
      <c r="BC190" s="163"/>
      <c r="BD190" s="163"/>
      <c r="BE190" s="163"/>
      <c r="BF190" s="163"/>
      <c r="BG190" s="163"/>
      <c r="BH190" s="163"/>
      <c r="BI190" s="163"/>
    </row>
    <row r="191" ht="15.75" customHeight="1">
      <c r="A191" s="37"/>
      <c r="B191" s="30"/>
      <c r="C191" s="30"/>
      <c r="D191" s="84"/>
      <c r="E191" s="30"/>
      <c r="F191" s="30"/>
      <c r="G191" s="30"/>
      <c r="H191" s="30"/>
      <c r="I191" s="30"/>
      <c r="J191" s="30"/>
      <c r="K191" s="30"/>
      <c r="L191" s="30"/>
      <c r="M191" s="30"/>
      <c r="N191" s="30"/>
      <c r="O191" s="163"/>
      <c r="P191" s="163"/>
      <c r="Q191" s="163"/>
      <c r="R191" s="163"/>
      <c r="S191" s="163"/>
      <c r="T191" s="163"/>
      <c r="U191" s="163"/>
      <c r="V191" s="163"/>
      <c r="W191" s="163"/>
      <c r="X191" s="163"/>
      <c r="Y191" s="163"/>
      <c r="Z191" s="163"/>
      <c r="AA191" s="163"/>
      <c r="AB191" s="163"/>
      <c r="AC191" s="163"/>
      <c r="AD191" s="163"/>
      <c r="AE191" s="163"/>
      <c r="AF191" s="163"/>
      <c r="AG191" s="163"/>
      <c r="AH191" s="163"/>
      <c r="AI191" s="163"/>
      <c r="AJ191" s="163"/>
      <c r="AK191" s="163"/>
      <c r="AL191" s="163"/>
      <c r="AM191" s="163"/>
      <c r="AN191" s="163"/>
      <c r="AO191" s="163"/>
      <c r="AP191" s="163"/>
      <c r="AQ191" s="163"/>
      <c r="AR191" s="163"/>
      <c r="AS191" s="163"/>
      <c r="AT191" s="163"/>
      <c r="AU191" s="163"/>
      <c r="AV191" s="163"/>
      <c r="AW191" s="163"/>
      <c r="AX191" s="163"/>
      <c r="AY191" s="163"/>
      <c r="AZ191" s="163"/>
      <c r="BA191" s="163"/>
      <c r="BB191" s="163"/>
      <c r="BC191" s="163"/>
      <c r="BD191" s="163"/>
      <c r="BE191" s="163"/>
      <c r="BF191" s="163"/>
      <c r="BG191" s="163"/>
      <c r="BH191" s="163"/>
      <c r="BI191" s="163"/>
    </row>
    <row r="192" ht="15.75" customHeight="1">
      <c r="A192" s="37"/>
      <c r="B192" s="30"/>
      <c r="C192" s="30"/>
      <c r="D192" s="84"/>
      <c r="E192" s="30"/>
      <c r="F192" s="30"/>
      <c r="G192" s="30"/>
      <c r="H192" s="30"/>
      <c r="I192" s="30"/>
      <c r="J192" s="30"/>
      <c r="K192" s="30"/>
      <c r="L192" s="30"/>
      <c r="M192" s="30"/>
      <c r="N192" s="30"/>
      <c r="O192" s="163"/>
      <c r="P192" s="163"/>
      <c r="Q192" s="163"/>
      <c r="R192" s="163"/>
      <c r="S192" s="163"/>
      <c r="T192" s="163"/>
      <c r="U192" s="163"/>
      <c r="V192" s="163"/>
      <c r="W192" s="163"/>
      <c r="X192" s="163"/>
      <c r="Y192" s="163"/>
      <c r="Z192" s="163"/>
      <c r="AA192" s="163"/>
      <c r="AB192" s="163"/>
      <c r="AC192" s="163"/>
      <c r="AD192" s="163"/>
      <c r="AE192" s="163"/>
      <c r="AF192" s="163"/>
      <c r="AG192" s="163"/>
      <c r="AH192" s="163"/>
      <c r="AI192" s="163"/>
      <c r="AJ192" s="163"/>
      <c r="AK192" s="163"/>
      <c r="AL192" s="163"/>
      <c r="AM192" s="163"/>
      <c r="AN192" s="163"/>
      <c r="AO192" s="163"/>
      <c r="AP192" s="163"/>
      <c r="AQ192" s="163"/>
      <c r="AR192" s="163"/>
      <c r="AS192" s="163"/>
      <c r="AT192" s="163"/>
      <c r="AU192" s="163"/>
      <c r="AV192" s="163"/>
      <c r="AW192" s="163"/>
      <c r="AX192" s="163"/>
      <c r="AY192" s="163"/>
      <c r="AZ192" s="163"/>
      <c r="BA192" s="163"/>
      <c r="BB192" s="163"/>
      <c r="BC192" s="163"/>
      <c r="BD192" s="163"/>
      <c r="BE192" s="163"/>
      <c r="BF192" s="163"/>
      <c r="BG192" s="163"/>
      <c r="BH192" s="163"/>
      <c r="BI192" s="163"/>
    </row>
    <row r="193" ht="15.75" customHeight="1">
      <c r="A193" s="37"/>
      <c r="B193" s="30"/>
      <c r="C193" s="30"/>
      <c r="D193" s="84"/>
      <c r="E193" s="30"/>
      <c r="F193" s="30"/>
      <c r="G193" s="30"/>
      <c r="H193" s="30"/>
      <c r="I193" s="30"/>
      <c r="J193" s="30"/>
      <c r="K193" s="30"/>
      <c r="L193" s="30"/>
      <c r="M193" s="30"/>
      <c r="N193" s="30"/>
      <c r="O193" s="163"/>
      <c r="P193" s="163"/>
      <c r="Q193" s="163"/>
      <c r="R193" s="163"/>
      <c r="S193" s="163"/>
      <c r="T193" s="163"/>
      <c r="U193" s="163"/>
      <c r="V193" s="163"/>
      <c r="W193" s="163"/>
      <c r="X193" s="163"/>
      <c r="Y193" s="163"/>
      <c r="Z193" s="163"/>
      <c r="AA193" s="163"/>
      <c r="AB193" s="163"/>
      <c r="AC193" s="163"/>
      <c r="AD193" s="163"/>
      <c r="AE193" s="163"/>
      <c r="AF193" s="163"/>
      <c r="AG193" s="163"/>
      <c r="AH193" s="163"/>
      <c r="AI193" s="163"/>
      <c r="AJ193" s="163"/>
      <c r="AK193" s="163"/>
      <c r="AL193" s="163"/>
      <c r="AM193" s="163"/>
      <c r="AN193" s="163"/>
      <c r="AO193" s="163"/>
      <c r="AP193" s="163"/>
      <c r="AQ193" s="163"/>
      <c r="AR193" s="163"/>
      <c r="AS193" s="163"/>
      <c r="AT193" s="163"/>
      <c r="AU193" s="163"/>
      <c r="AV193" s="163"/>
      <c r="AW193" s="163"/>
      <c r="AX193" s="163"/>
      <c r="AY193" s="163"/>
      <c r="AZ193" s="163"/>
      <c r="BA193" s="163"/>
      <c r="BB193" s="163"/>
      <c r="BC193" s="163"/>
      <c r="BD193" s="163"/>
      <c r="BE193" s="163"/>
      <c r="BF193" s="163"/>
      <c r="BG193" s="163"/>
      <c r="BH193" s="163"/>
      <c r="BI193" s="163"/>
    </row>
    <row r="194" ht="15.75" customHeight="1">
      <c r="A194" s="37"/>
      <c r="B194" s="30"/>
      <c r="C194" s="30"/>
      <c r="D194" s="84"/>
      <c r="E194" s="30"/>
      <c r="F194" s="30"/>
      <c r="G194" s="30"/>
      <c r="H194" s="30"/>
      <c r="I194" s="30"/>
      <c r="J194" s="30"/>
      <c r="K194" s="30"/>
      <c r="L194" s="30"/>
      <c r="M194" s="30"/>
      <c r="N194" s="30"/>
      <c r="O194" s="163"/>
      <c r="P194" s="163"/>
      <c r="Q194" s="163"/>
      <c r="R194" s="163"/>
      <c r="S194" s="163"/>
      <c r="T194" s="163"/>
      <c r="U194" s="163"/>
      <c r="V194" s="163"/>
      <c r="W194" s="163"/>
      <c r="X194" s="163"/>
      <c r="Y194" s="163"/>
      <c r="Z194" s="163"/>
      <c r="AA194" s="163"/>
      <c r="AB194" s="163"/>
      <c r="AC194" s="163"/>
      <c r="AD194" s="163"/>
      <c r="AE194" s="163"/>
      <c r="AF194" s="163"/>
      <c r="AG194" s="163"/>
      <c r="AH194" s="163"/>
      <c r="AI194" s="163"/>
      <c r="AJ194" s="163"/>
      <c r="AK194" s="163"/>
      <c r="AL194" s="163"/>
      <c r="AM194" s="163"/>
      <c r="AN194" s="163"/>
      <c r="AO194" s="163"/>
      <c r="AP194" s="163"/>
      <c r="AQ194" s="163"/>
      <c r="AR194" s="163"/>
      <c r="AS194" s="163"/>
      <c r="AT194" s="163"/>
      <c r="AU194" s="163"/>
      <c r="AV194" s="163"/>
      <c r="AW194" s="163"/>
      <c r="AX194" s="163"/>
      <c r="AY194" s="163"/>
      <c r="AZ194" s="163"/>
      <c r="BA194" s="163"/>
      <c r="BB194" s="163"/>
      <c r="BC194" s="163"/>
      <c r="BD194" s="163"/>
      <c r="BE194" s="163"/>
      <c r="BF194" s="163"/>
      <c r="BG194" s="163"/>
      <c r="BH194" s="163"/>
      <c r="BI194" s="163"/>
    </row>
    <row r="195" ht="15.75" customHeight="1">
      <c r="A195" s="37"/>
      <c r="B195" s="30"/>
      <c r="C195" s="30"/>
      <c r="D195" s="84"/>
      <c r="E195" s="30"/>
      <c r="F195" s="30"/>
      <c r="G195" s="30"/>
      <c r="H195" s="30"/>
      <c r="I195" s="30"/>
      <c r="J195" s="30"/>
      <c r="K195" s="30"/>
      <c r="L195" s="30"/>
      <c r="M195" s="30"/>
      <c r="N195" s="30"/>
      <c r="O195" s="163"/>
      <c r="P195" s="163"/>
      <c r="Q195" s="163"/>
      <c r="R195" s="163"/>
      <c r="S195" s="163"/>
      <c r="T195" s="163"/>
      <c r="U195" s="163"/>
      <c r="V195" s="163"/>
      <c r="W195" s="163"/>
      <c r="X195" s="163"/>
      <c r="Y195" s="163"/>
      <c r="Z195" s="163"/>
      <c r="AA195" s="163"/>
      <c r="AB195" s="163"/>
      <c r="AC195" s="163"/>
      <c r="AD195" s="163"/>
      <c r="AE195" s="163"/>
      <c r="AF195" s="163"/>
      <c r="AG195" s="163"/>
      <c r="AH195" s="163"/>
      <c r="AI195" s="163"/>
      <c r="AJ195" s="163"/>
      <c r="AK195" s="163"/>
      <c r="AL195" s="163"/>
      <c r="AM195" s="163"/>
      <c r="AN195" s="163"/>
      <c r="AO195" s="163"/>
      <c r="AP195" s="163"/>
      <c r="AQ195" s="163"/>
      <c r="AR195" s="163"/>
      <c r="AS195" s="163"/>
      <c r="AT195" s="163"/>
      <c r="AU195" s="163"/>
      <c r="AV195" s="163"/>
      <c r="AW195" s="163"/>
      <c r="AX195" s="163"/>
      <c r="AY195" s="163"/>
      <c r="AZ195" s="163"/>
      <c r="BA195" s="163"/>
      <c r="BB195" s="163"/>
      <c r="BC195" s="163"/>
      <c r="BD195" s="163"/>
      <c r="BE195" s="163"/>
      <c r="BF195" s="163"/>
      <c r="BG195" s="163"/>
      <c r="BH195" s="163"/>
      <c r="BI195" s="163"/>
    </row>
    <row r="196" ht="15.75" customHeight="1">
      <c r="A196" s="37"/>
      <c r="B196" s="30"/>
      <c r="C196" s="30"/>
      <c r="D196" s="84"/>
      <c r="E196" s="30"/>
      <c r="F196" s="30"/>
      <c r="G196" s="30"/>
      <c r="H196" s="30"/>
      <c r="I196" s="30"/>
      <c r="J196" s="30"/>
      <c r="K196" s="30"/>
      <c r="L196" s="30"/>
      <c r="M196" s="30"/>
      <c r="N196" s="30"/>
      <c r="O196" s="163"/>
      <c r="P196" s="163"/>
      <c r="Q196" s="163"/>
      <c r="R196" s="163"/>
      <c r="S196" s="163"/>
      <c r="T196" s="163"/>
      <c r="U196" s="163"/>
      <c r="V196" s="163"/>
      <c r="W196" s="163"/>
      <c r="X196" s="163"/>
      <c r="Y196" s="163"/>
      <c r="Z196" s="163"/>
      <c r="AA196" s="163"/>
      <c r="AB196" s="163"/>
      <c r="AC196" s="163"/>
      <c r="AD196" s="163"/>
      <c r="AE196" s="163"/>
      <c r="AF196" s="163"/>
      <c r="AG196" s="163"/>
      <c r="AH196" s="163"/>
      <c r="AI196" s="163"/>
      <c r="AJ196" s="163"/>
      <c r="AK196" s="163"/>
      <c r="AL196" s="163"/>
      <c r="AM196" s="163"/>
      <c r="AN196" s="163"/>
      <c r="AO196" s="163"/>
      <c r="AP196" s="163"/>
      <c r="AQ196" s="163"/>
      <c r="AR196" s="163"/>
      <c r="AS196" s="163"/>
      <c r="AT196" s="163"/>
      <c r="AU196" s="163"/>
      <c r="AV196" s="163"/>
      <c r="AW196" s="163"/>
      <c r="AX196" s="163"/>
      <c r="AY196" s="163"/>
      <c r="AZ196" s="163"/>
      <c r="BA196" s="163"/>
      <c r="BB196" s="163"/>
      <c r="BC196" s="163"/>
      <c r="BD196" s="163"/>
      <c r="BE196" s="163"/>
      <c r="BF196" s="163"/>
      <c r="BG196" s="163"/>
      <c r="BH196" s="163"/>
      <c r="BI196" s="163"/>
    </row>
    <row r="197" ht="15.75" customHeight="1">
      <c r="A197" s="37"/>
      <c r="B197" s="30"/>
      <c r="C197" s="30"/>
      <c r="D197" s="84"/>
      <c r="E197" s="30"/>
      <c r="F197" s="30"/>
      <c r="G197" s="30"/>
      <c r="H197" s="30"/>
      <c r="I197" s="30"/>
      <c r="J197" s="30"/>
      <c r="K197" s="30"/>
      <c r="L197" s="30"/>
      <c r="M197" s="30"/>
      <c r="N197" s="30"/>
      <c r="O197" s="163"/>
      <c r="P197" s="163"/>
      <c r="Q197" s="163"/>
      <c r="R197" s="163"/>
      <c r="S197" s="163"/>
      <c r="T197" s="163"/>
      <c r="U197" s="163"/>
      <c r="V197" s="163"/>
      <c r="W197" s="163"/>
      <c r="X197" s="163"/>
      <c r="Y197" s="163"/>
      <c r="Z197" s="163"/>
      <c r="AA197" s="163"/>
      <c r="AB197" s="163"/>
      <c r="AC197" s="163"/>
      <c r="AD197" s="163"/>
      <c r="AE197" s="163"/>
      <c r="AF197" s="163"/>
      <c r="AG197" s="163"/>
      <c r="AH197" s="163"/>
      <c r="AI197" s="163"/>
      <c r="AJ197" s="163"/>
      <c r="AK197" s="163"/>
      <c r="AL197" s="163"/>
      <c r="AM197" s="163"/>
      <c r="AN197" s="163"/>
      <c r="AO197" s="163"/>
      <c r="AP197" s="163"/>
      <c r="AQ197" s="163"/>
      <c r="AR197" s="163"/>
      <c r="AS197" s="163"/>
      <c r="AT197" s="163"/>
      <c r="AU197" s="163"/>
      <c r="AV197" s="163"/>
      <c r="AW197" s="163"/>
      <c r="AX197" s="163"/>
      <c r="AY197" s="163"/>
      <c r="AZ197" s="163"/>
      <c r="BA197" s="163"/>
      <c r="BB197" s="163"/>
      <c r="BC197" s="163"/>
      <c r="BD197" s="163"/>
      <c r="BE197" s="163"/>
      <c r="BF197" s="163"/>
      <c r="BG197" s="163"/>
      <c r="BH197" s="163"/>
      <c r="BI197" s="163"/>
    </row>
    <row r="198" ht="15.75" customHeight="1">
      <c r="A198" s="37"/>
      <c r="B198" s="30"/>
      <c r="C198" s="30"/>
      <c r="D198" s="84"/>
      <c r="E198" s="30"/>
      <c r="F198" s="30"/>
      <c r="G198" s="30"/>
      <c r="H198" s="30"/>
      <c r="I198" s="30"/>
      <c r="J198" s="30"/>
      <c r="K198" s="30"/>
      <c r="L198" s="30"/>
      <c r="M198" s="30"/>
      <c r="N198" s="30"/>
      <c r="O198" s="163"/>
      <c r="P198" s="163"/>
      <c r="Q198" s="163"/>
      <c r="R198" s="163"/>
      <c r="S198" s="163"/>
      <c r="T198" s="163"/>
      <c r="U198" s="163"/>
      <c r="V198" s="163"/>
      <c r="W198" s="163"/>
      <c r="X198" s="163"/>
      <c r="Y198" s="163"/>
      <c r="Z198" s="163"/>
      <c r="AA198" s="163"/>
      <c r="AB198" s="163"/>
      <c r="AC198" s="163"/>
      <c r="AD198" s="163"/>
      <c r="AE198" s="163"/>
      <c r="AF198" s="163"/>
      <c r="AG198" s="163"/>
      <c r="AH198" s="163"/>
      <c r="AI198" s="163"/>
      <c r="AJ198" s="163"/>
      <c r="AK198" s="163"/>
      <c r="AL198" s="163"/>
      <c r="AM198" s="163"/>
      <c r="AN198" s="163"/>
      <c r="AO198" s="163"/>
      <c r="AP198" s="163"/>
      <c r="AQ198" s="163"/>
      <c r="AR198" s="163"/>
      <c r="AS198" s="163"/>
      <c r="AT198" s="163"/>
      <c r="AU198" s="163"/>
      <c r="AV198" s="163"/>
      <c r="AW198" s="163"/>
      <c r="AX198" s="163"/>
      <c r="AY198" s="163"/>
      <c r="AZ198" s="163"/>
      <c r="BA198" s="163"/>
      <c r="BB198" s="163"/>
      <c r="BC198" s="163"/>
      <c r="BD198" s="163"/>
      <c r="BE198" s="163"/>
      <c r="BF198" s="163"/>
      <c r="BG198" s="163"/>
      <c r="BH198" s="163"/>
      <c r="BI198" s="163"/>
    </row>
    <row r="199" ht="15.75" customHeight="1">
      <c r="A199" s="37"/>
      <c r="B199" s="30"/>
      <c r="C199" s="30"/>
      <c r="D199" s="84"/>
      <c r="E199" s="30"/>
      <c r="F199" s="30"/>
      <c r="G199" s="30"/>
      <c r="H199" s="30"/>
      <c r="I199" s="30"/>
      <c r="J199" s="30"/>
      <c r="K199" s="30"/>
      <c r="L199" s="30"/>
      <c r="M199" s="30"/>
      <c r="N199" s="30"/>
      <c r="O199" s="163"/>
      <c r="P199" s="163"/>
      <c r="Q199" s="163"/>
      <c r="R199" s="163"/>
      <c r="S199" s="163"/>
      <c r="T199" s="163"/>
      <c r="U199" s="163"/>
      <c r="V199" s="163"/>
      <c r="W199" s="163"/>
      <c r="X199" s="163"/>
      <c r="Y199" s="163"/>
      <c r="Z199" s="163"/>
      <c r="AA199" s="163"/>
      <c r="AB199" s="163"/>
      <c r="AC199" s="163"/>
      <c r="AD199" s="163"/>
      <c r="AE199" s="163"/>
      <c r="AF199" s="163"/>
      <c r="AG199" s="163"/>
      <c r="AH199" s="163"/>
      <c r="AI199" s="163"/>
      <c r="AJ199" s="163"/>
      <c r="AK199" s="163"/>
      <c r="AL199" s="163"/>
      <c r="AM199" s="163"/>
      <c r="AN199" s="163"/>
      <c r="AO199" s="163"/>
      <c r="AP199" s="163"/>
      <c r="AQ199" s="163"/>
      <c r="AR199" s="163"/>
      <c r="AS199" s="163"/>
      <c r="AT199" s="163"/>
      <c r="AU199" s="163"/>
      <c r="AV199" s="163"/>
      <c r="AW199" s="163"/>
      <c r="AX199" s="163"/>
      <c r="AY199" s="163"/>
      <c r="AZ199" s="163"/>
      <c r="BA199" s="163"/>
      <c r="BB199" s="163"/>
      <c r="BC199" s="163"/>
      <c r="BD199" s="163"/>
      <c r="BE199" s="163"/>
      <c r="BF199" s="163"/>
      <c r="BG199" s="163"/>
      <c r="BH199" s="163"/>
      <c r="BI199" s="163"/>
    </row>
    <row r="200" ht="15.75" customHeight="1">
      <c r="A200" s="37"/>
      <c r="B200" s="30"/>
      <c r="C200" s="30"/>
      <c r="D200" s="84"/>
      <c r="E200" s="30"/>
      <c r="F200" s="30"/>
      <c r="G200" s="30"/>
      <c r="H200" s="30"/>
      <c r="I200" s="30"/>
      <c r="J200" s="30"/>
      <c r="K200" s="30"/>
      <c r="L200" s="30"/>
      <c r="M200" s="30"/>
      <c r="N200" s="30"/>
      <c r="O200" s="163"/>
      <c r="P200" s="163"/>
      <c r="Q200" s="163"/>
      <c r="R200" s="163"/>
      <c r="S200" s="163"/>
      <c r="T200" s="163"/>
      <c r="U200" s="163"/>
      <c r="V200" s="163"/>
      <c r="W200" s="163"/>
      <c r="X200" s="163"/>
      <c r="Y200" s="163"/>
      <c r="Z200" s="163"/>
      <c r="AA200" s="163"/>
      <c r="AB200" s="163"/>
      <c r="AC200" s="163"/>
      <c r="AD200" s="163"/>
      <c r="AE200" s="163"/>
      <c r="AF200" s="163"/>
      <c r="AG200" s="163"/>
      <c r="AH200" s="163"/>
      <c r="AI200" s="163"/>
      <c r="AJ200" s="163"/>
      <c r="AK200" s="163"/>
      <c r="AL200" s="163"/>
      <c r="AM200" s="163"/>
      <c r="AN200" s="163"/>
      <c r="AO200" s="163"/>
      <c r="AP200" s="163"/>
      <c r="AQ200" s="163"/>
      <c r="AR200" s="163"/>
      <c r="AS200" s="163"/>
      <c r="AT200" s="163"/>
      <c r="AU200" s="163"/>
      <c r="AV200" s="163"/>
      <c r="AW200" s="163"/>
      <c r="AX200" s="163"/>
      <c r="AY200" s="163"/>
      <c r="AZ200" s="163"/>
      <c r="BA200" s="163"/>
      <c r="BB200" s="163"/>
      <c r="BC200" s="163"/>
      <c r="BD200" s="163"/>
      <c r="BE200" s="163"/>
      <c r="BF200" s="163"/>
      <c r="BG200" s="163"/>
      <c r="BH200" s="163"/>
      <c r="BI200" s="163"/>
    </row>
    <row r="201" ht="15.75" customHeight="1">
      <c r="A201" s="37"/>
      <c r="B201" s="30"/>
      <c r="C201" s="30"/>
      <c r="D201" s="84"/>
      <c r="E201" s="30"/>
      <c r="F201" s="30"/>
      <c r="G201" s="30"/>
      <c r="H201" s="30"/>
      <c r="I201" s="30"/>
      <c r="J201" s="30"/>
      <c r="K201" s="30"/>
      <c r="L201" s="30"/>
      <c r="M201" s="30"/>
      <c r="N201" s="30"/>
      <c r="O201" s="163"/>
      <c r="P201" s="163"/>
      <c r="Q201" s="163"/>
      <c r="R201" s="163"/>
      <c r="S201" s="163"/>
      <c r="T201" s="163"/>
      <c r="U201" s="163"/>
      <c r="V201" s="163"/>
      <c r="W201" s="163"/>
      <c r="X201" s="163"/>
      <c r="Y201" s="163"/>
      <c r="Z201" s="163"/>
      <c r="AA201" s="163"/>
      <c r="AB201" s="163"/>
      <c r="AC201" s="163"/>
      <c r="AD201" s="163"/>
      <c r="AE201" s="163"/>
      <c r="AF201" s="163"/>
      <c r="AG201" s="163"/>
      <c r="AH201" s="163"/>
      <c r="AI201" s="163"/>
      <c r="AJ201" s="163"/>
      <c r="AK201" s="163"/>
      <c r="AL201" s="163"/>
      <c r="AM201" s="163"/>
      <c r="AN201" s="163"/>
      <c r="AO201" s="163"/>
      <c r="AP201" s="163"/>
      <c r="AQ201" s="163"/>
      <c r="AR201" s="163"/>
      <c r="AS201" s="163"/>
      <c r="AT201" s="163"/>
      <c r="AU201" s="163"/>
      <c r="AV201" s="163"/>
      <c r="AW201" s="163"/>
      <c r="AX201" s="163"/>
      <c r="AY201" s="163"/>
      <c r="AZ201" s="163"/>
      <c r="BA201" s="163"/>
      <c r="BB201" s="163"/>
      <c r="BC201" s="163"/>
      <c r="BD201" s="163"/>
      <c r="BE201" s="163"/>
      <c r="BF201" s="163"/>
      <c r="BG201" s="163"/>
      <c r="BH201" s="163"/>
      <c r="BI201" s="163"/>
    </row>
    <row r="202" ht="15.75" customHeight="1">
      <c r="A202" s="37"/>
      <c r="B202" s="30"/>
      <c r="C202" s="30"/>
      <c r="D202" s="84"/>
      <c r="E202" s="30"/>
      <c r="F202" s="30"/>
      <c r="G202" s="30"/>
      <c r="H202" s="30"/>
      <c r="I202" s="30"/>
      <c r="J202" s="30"/>
      <c r="K202" s="30"/>
      <c r="L202" s="30"/>
      <c r="M202" s="30"/>
      <c r="N202" s="30"/>
      <c r="O202" s="163"/>
      <c r="P202" s="163"/>
      <c r="Q202" s="163"/>
      <c r="R202" s="163"/>
      <c r="S202" s="163"/>
      <c r="T202" s="163"/>
      <c r="U202" s="163"/>
      <c r="V202" s="163"/>
      <c r="W202" s="163"/>
      <c r="X202" s="163"/>
      <c r="Y202" s="163"/>
      <c r="Z202" s="163"/>
      <c r="AA202" s="163"/>
      <c r="AB202" s="163"/>
      <c r="AC202" s="163"/>
      <c r="AD202" s="163"/>
      <c r="AE202" s="163"/>
      <c r="AF202" s="163"/>
      <c r="AG202" s="163"/>
      <c r="AH202" s="163"/>
      <c r="AI202" s="163"/>
      <c r="AJ202" s="163"/>
      <c r="AK202" s="163"/>
      <c r="AL202" s="163"/>
      <c r="AM202" s="163"/>
      <c r="AN202" s="163"/>
      <c r="AO202" s="163"/>
      <c r="AP202" s="163"/>
      <c r="AQ202" s="163"/>
      <c r="AR202" s="163"/>
      <c r="AS202" s="163"/>
      <c r="AT202" s="163"/>
      <c r="AU202" s="163"/>
      <c r="AV202" s="163"/>
      <c r="AW202" s="163"/>
      <c r="AX202" s="163"/>
      <c r="AY202" s="163"/>
      <c r="AZ202" s="163"/>
      <c r="BA202" s="163"/>
      <c r="BB202" s="163"/>
      <c r="BC202" s="163"/>
      <c r="BD202" s="163"/>
      <c r="BE202" s="163"/>
      <c r="BF202" s="163"/>
      <c r="BG202" s="163"/>
      <c r="BH202" s="163"/>
      <c r="BI202" s="163"/>
    </row>
    <row r="203" ht="15.75" customHeight="1">
      <c r="A203" s="37"/>
      <c r="B203" s="30"/>
      <c r="C203" s="30"/>
      <c r="D203" s="84"/>
      <c r="E203" s="30"/>
      <c r="F203" s="30"/>
      <c r="G203" s="30"/>
      <c r="H203" s="30"/>
      <c r="I203" s="30"/>
      <c r="J203" s="30"/>
      <c r="K203" s="30"/>
      <c r="L203" s="30"/>
      <c r="M203" s="30"/>
      <c r="N203" s="30"/>
      <c r="O203" s="163"/>
      <c r="P203" s="163"/>
      <c r="Q203" s="163"/>
      <c r="R203" s="163"/>
      <c r="S203" s="163"/>
      <c r="T203" s="163"/>
      <c r="U203" s="163"/>
      <c r="V203" s="163"/>
      <c r="W203" s="163"/>
      <c r="X203" s="163"/>
      <c r="Y203" s="163"/>
      <c r="Z203" s="163"/>
      <c r="AA203" s="163"/>
      <c r="AB203" s="163"/>
      <c r="AC203" s="163"/>
      <c r="AD203" s="163"/>
      <c r="AE203" s="163"/>
      <c r="AF203" s="163"/>
      <c r="AG203" s="163"/>
      <c r="AH203" s="163"/>
      <c r="AI203" s="163"/>
      <c r="AJ203" s="163"/>
      <c r="AK203" s="163"/>
      <c r="AL203" s="163"/>
      <c r="AM203" s="163"/>
      <c r="AN203" s="163"/>
      <c r="AO203" s="163"/>
      <c r="AP203" s="163"/>
      <c r="AQ203" s="163"/>
      <c r="AR203" s="163"/>
      <c r="AS203" s="163"/>
      <c r="AT203" s="163"/>
      <c r="AU203" s="163"/>
      <c r="AV203" s="163"/>
      <c r="AW203" s="163"/>
      <c r="AX203" s="163"/>
      <c r="AY203" s="163"/>
      <c r="AZ203" s="163"/>
      <c r="BA203" s="163"/>
      <c r="BB203" s="163"/>
      <c r="BC203" s="163"/>
      <c r="BD203" s="163"/>
      <c r="BE203" s="163"/>
      <c r="BF203" s="163"/>
      <c r="BG203" s="163"/>
      <c r="BH203" s="163"/>
      <c r="BI203" s="163"/>
    </row>
    <row r="204" ht="15.75" customHeight="1">
      <c r="A204" s="37"/>
      <c r="B204" s="30"/>
      <c r="C204" s="30"/>
      <c r="D204" s="84"/>
      <c r="E204" s="30"/>
      <c r="F204" s="30"/>
      <c r="G204" s="30"/>
      <c r="H204" s="30"/>
      <c r="I204" s="30"/>
      <c r="J204" s="30"/>
      <c r="K204" s="30"/>
      <c r="L204" s="30"/>
      <c r="M204" s="30"/>
      <c r="N204" s="30"/>
      <c r="O204" s="163"/>
      <c r="P204" s="163"/>
      <c r="Q204" s="163"/>
      <c r="R204" s="163"/>
      <c r="S204" s="163"/>
      <c r="T204" s="163"/>
      <c r="U204" s="163"/>
      <c r="V204" s="163"/>
      <c r="W204" s="163"/>
      <c r="X204" s="163"/>
      <c r="Y204" s="163"/>
      <c r="Z204" s="163"/>
      <c r="AA204" s="163"/>
      <c r="AB204" s="163"/>
      <c r="AC204" s="163"/>
      <c r="AD204" s="163"/>
      <c r="AE204" s="163"/>
      <c r="AF204" s="163"/>
      <c r="AG204" s="163"/>
      <c r="AH204" s="163"/>
      <c r="AI204" s="163"/>
      <c r="AJ204" s="163"/>
      <c r="AK204" s="163"/>
      <c r="AL204" s="163"/>
      <c r="AM204" s="163"/>
      <c r="AN204" s="163"/>
      <c r="AO204" s="163"/>
      <c r="AP204" s="163"/>
      <c r="AQ204" s="163"/>
      <c r="AR204" s="163"/>
      <c r="AS204" s="163"/>
      <c r="AT204" s="163"/>
      <c r="AU204" s="163"/>
      <c r="AV204" s="163"/>
      <c r="AW204" s="163"/>
      <c r="AX204" s="163"/>
      <c r="AY204" s="163"/>
      <c r="AZ204" s="163"/>
      <c r="BA204" s="163"/>
      <c r="BB204" s="163"/>
      <c r="BC204" s="163"/>
      <c r="BD204" s="163"/>
      <c r="BE204" s="163"/>
      <c r="BF204" s="163"/>
      <c r="BG204" s="163"/>
      <c r="BH204" s="163"/>
      <c r="BI204" s="163"/>
    </row>
    <row r="205" ht="15.75" customHeight="1">
      <c r="A205" s="37"/>
      <c r="B205" s="30"/>
      <c r="C205" s="30"/>
      <c r="D205" s="84"/>
      <c r="E205" s="30"/>
      <c r="F205" s="30"/>
      <c r="G205" s="30"/>
      <c r="H205" s="30"/>
      <c r="I205" s="30"/>
      <c r="J205" s="30"/>
      <c r="K205" s="30"/>
      <c r="L205" s="30"/>
      <c r="M205" s="30"/>
      <c r="N205" s="30"/>
      <c r="O205" s="163"/>
      <c r="P205" s="163"/>
      <c r="Q205" s="163"/>
      <c r="R205" s="163"/>
      <c r="S205" s="163"/>
      <c r="T205" s="163"/>
      <c r="U205" s="163"/>
      <c r="V205" s="163"/>
      <c r="W205" s="163"/>
      <c r="X205" s="163"/>
      <c r="Y205" s="163"/>
      <c r="Z205" s="163"/>
      <c r="AA205" s="163"/>
      <c r="AB205" s="163"/>
      <c r="AC205" s="163"/>
      <c r="AD205" s="163"/>
      <c r="AE205" s="163"/>
      <c r="AF205" s="163"/>
      <c r="AG205" s="163"/>
      <c r="AH205" s="163"/>
      <c r="AI205" s="163"/>
      <c r="AJ205" s="163"/>
      <c r="AK205" s="163"/>
      <c r="AL205" s="163"/>
      <c r="AM205" s="163"/>
      <c r="AN205" s="163"/>
      <c r="AO205" s="163"/>
      <c r="AP205" s="163"/>
      <c r="AQ205" s="163"/>
      <c r="AR205" s="163"/>
      <c r="AS205" s="163"/>
      <c r="AT205" s="163"/>
      <c r="AU205" s="163"/>
      <c r="AV205" s="163"/>
      <c r="AW205" s="163"/>
      <c r="AX205" s="163"/>
      <c r="AY205" s="163"/>
      <c r="AZ205" s="163"/>
      <c r="BA205" s="163"/>
      <c r="BB205" s="163"/>
      <c r="BC205" s="163"/>
      <c r="BD205" s="163"/>
      <c r="BE205" s="163"/>
      <c r="BF205" s="163"/>
      <c r="BG205" s="163"/>
      <c r="BH205" s="163"/>
      <c r="BI205" s="163"/>
    </row>
    <row r="206" ht="15.75" customHeight="1">
      <c r="A206" s="37"/>
      <c r="B206" s="30"/>
      <c r="C206" s="30"/>
      <c r="D206" s="84"/>
      <c r="E206" s="30"/>
      <c r="F206" s="30"/>
      <c r="G206" s="30"/>
      <c r="H206" s="30"/>
      <c r="I206" s="30"/>
      <c r="J206" s="30"/>
      <c r="K206" s="30"/>
      <c r="L206" s="30"/>
      <c r="M206" s="30"/>
      <c r="N206" s="30"/>
      <c r="O206" s="163"/>
      <c r="P206" s="163"/>
      <c r="Q206" s="163"/>
      <c r="R206" s="163"/>
      <c r="S206" s="163"/>
      <c r="T206" s="163"/>
      <c r="U206" s="163"/>
      <c r="V206" s="163"/>
      <c r="W206" s="163"/>
      <c r="X206" s="163"/>
      <c r="Y206" s="163"/>
      <c r="Z206" s="163"/>
      <c r="AA206" s="163"/>
      <c r="AB206" s="163"/>
      <c r="AC206" s="163"/>
      <c r="AD206" s="163"/>
      <c r="AE206" s="163"/>
      <c r="AF206" s="163"/>
      <c r="AG206" s="163"/>
      <c r="AH206" s="163"/>
      <c r="AI206" s="163"/>
      <c r="AJ206" s="163"/>
      <c r="AK206" s="163"/>
      <c r="AL206" s="163"/>
      <c r="AM206" s="163"/>
      <c r="AN206" s="163"/>
      <c r="AO206" s="163"/>
      <c r="AP206" s="163"/>
      <c r="AQ206" s="163"/>
      <c r="AR206" s="163"/>
      <c r="AS206" s="163"/>
      <c r="AT206" s="163"/>
      <c r="AU206" s="163"/>
      <c r="AV206" s="163"/>
      <c r="AW206" s="163"/>
      <c r="AX206" s="163"/>
      <c r="AY206" s="163"/>
      <c r="AZ206" s="163"/>
      <c r="BA206" s="163"/>
      <c r="BB206" s="163"/>
      <c r="BC206" s="163"/>
      <c r="BD206" s="163"/>
      <c r="BE206" s="163"/>
      <c r="BF206" s="163"/>
      <c r="BG206" s="163"/>
      <c r="BH206" s="163"/>
      <c r="BI206" s="163"/>
    </row>
    <row r="207" ht="15.75" customHeight="1">
      <c r="A207" s="37"/>
      <c r="B207" s="30"/>
      <c r="C207" s="30"/>
      <c r="D207" s="84"/>
      <c r="E207" s="30"/>
      <c r="F207" s="30"/>
      <c r="G207" s="30"/>
      <c r="H207" s="30"/>
      <c r="I207" s="30"/>
      <c r="J207" s="30"/>
      <c r="K207" s="30"/>
      <c r="L207" s="30"/>
      <c r="M207" s="30"/>
      <c r="N207" s="30"/>
      <c r="O207" s="163"/>
      <c r="P207" s="163"/>
      <c r="Q207" s="163"/>
      <c r="R207" s="163"/>
      <c r="S207" s="163"/>
      <c r="T207" s="163"/>
      <c r="U207" s="163"/>
      <c r="V207" s="163"/>
      <c r="W207" s="163"/>
      <c r="X207" s="163"/>
      <c r="Y207" s="163"/>
      <c r="Z207" s="163"/>
      <c r="AA207" s="163"/>
      <c r="AB207" s="163"/>
      <c r="AC207" s="163"/>
      <c r="AD207" s="163"/>
      <c r="AE207" s="163"/>
      <c r="AF207" s="163"/>
      <c r="AG207" s="163"/>
      <c r="AH207" s="163"/>
      <c r="AI207" s="163"/>
      <c r="AJ207" s="163"/>
      <c r="AK207" s="163"/>
      <c r="AL207" s="163"/>
      <c r="AM207" s="163"/>
      <c r="AN207" s="163"/>
      <c r="AO207" s="163"/>
      <c r="AP207" s="163"/>
      <c r="AQ207" s="163"/>
      <c r="AR207" s="163"/>
      <c r="AS207" s="163"/>
      <c r="AT207" s="163"/>
      <c r="AU207" s="163"/>
      <c r="AV207" s="163"/>
      <c r="AW207" s="163"/>
      <c r="AX207" s="163"/>
      <c r="AY207" s="163"/>
      <c r="AZ207" s="163"/>
      <c r="BA207" s="163"/>
      <c r="BB207" s="163"/>
      <c r="BC207" s="163"/>
      <c r="BD207" s="163"/>
      <c r="BE207" s="163"/>
      <c r="BF207" s="163"/>
      <c r="BG207" s="163"/>
      <c r="BH207" s="163"/>
      <c r="BI207" s="163"/>
    </row>
    <row r="208" ht="15.75" customHeight="1">
      <c r="A208" s="37"/>
      <c r="B208" s="30"/>
      <c r="C208" s="30"/>
      <c r="D208" s="84"/>
      <c r="E208" s="30"/>
      <c r="F208" s="30"/>
      <c r="G208" s="30"/>
      <c r="H208" s="30"/>
      <c r="I208" s="30"/>
      <c r="J208" s="30"/>
      <c r="K208" s="30"/>
      <c r="L208" s="30"/>
      <c r="M208" s="30"/>
      <c r="N208" s="30"/>
      <c r="O208" s="163"/>
      <c r="P208" s="163"/>
      <c r="Q208" s="163"/>
      <c r="R208" s="163"/>
      <c r="S208" s="163"/>
      <c r="T208" s="163"/>
      <c r="U208" s="163"/>
      <c r="V208" s="163"/>
      <c r="W208" s="163"/>
      <c r="X208" s="163"/>
      <c r="Y208" s="163"/>
      <c r="Z208" s="163"/>
      <c r="AA208" s="163"/>
      <c r="AB208" s="163"/>
      <c r="AC208" s="163"/>
      <c r="AD208" s="163"/>
      <c r="AE208" s="163"/>
      <c r="AF208" s="163"/>
      <c r="AG208" s="163"/>
      <c r="AH208" s="163"/>
      <c r="AI208" s="163"/>
      <c r="AJ208" s="163"/>
      <c r="AK208" s="163"/>
      <c r="AL208" s="163"/>
      <c r="AM208" s="163"/>
      <c r="AN208" s="163"/>
      <c r="AO208" s="163"/>
      <c r="AP208" s="163"/>
      <c r="AQ208" s="163"/>
      <c r="AR208" s="163"/>
      <c r="AS208" s="163"/>
      <c r="AT208" s="163"/>
      <c r="AU208" s="163"/>
      <c r="AV208" s="163"/>
      <c r="AW208" s="163"/>
      <c r="AX208" s="163"/>
      <c r="AY208" s="163"/>
      <c r="AZ208" s="163"/>
      <c r="BA208" s="163"/>
      <c r="BB208" s="163"/>
      <c r="BC208" s="163"/>
      <c r="BD208" s="163"/>
      <c r="BE208" s="163"/>
      <c r="BF208" s="163"/>
      <c r="BG208" s="163"/>
      <c r="BH208" s="163"/>
      <c r="BI208" s="163"/>
    </row>
    <row r="209" ht="15.75" customHeight="1">
      <c r="A209" s="37"/>
      <c r="B209" s="30"/>
      <c r="C209" s="30"/>
      <c r="D209" s="84"/>
      <c r="E209" s="30"/>
      <c r="F209" s="30"/>
      <c r="G209" s="30"/>
      <c r="H209" s="30"/>
      <c r="I209" s="30"/>
      <c r="J209" s="30"/>
      <c r="K209" s="30"/>
      <c r="L209" s="30"/>
      <c r="M209" s="30"/>
      <c r="N209" s="30"/>
      <c r="O209" s="163"/>
      <c r="P209" s="163"/>
      <c r="Q209" s="163"/>
      <c r="R209" s="163"/>
      <c r="S209" s="163"/>
      <c r="T209" s="163"/>
      <c r="U209" s="163"/>
      <c r="V209" s="163"/>
      <c r="W209" s="163"/>
      <c r="X209" s="163"/>
      <c r="Y209" s="163"/>
      <c r="Z209" s="163"/>
      <c r="AA209" s="163"/>
      <c r="AB209" s="163"/>
      <c r="AC209" s="163"/>
      <c r="AD209" s="163"/>
      <c r="AE209" s="163"/>
      <c r="AF209" s="163"/>
      <c r="AG209" s="163"/>
      <c r="AH209" s="163"/>
      <c r="AI209" s="163"/>
      <c r="AJ209" s="163"/>
      <c r="AK209" s="163"/>
      <c r="AL209" s="163"/>
      <c r="AM209" s="163"/>
      <c r="AN209" s="163"/>
      <c r="AO209" s="163"/>
      <c r="AP209" s="163"/>
      <c r="AQ209" s="163"/>
      <c r="AR209" s="163"/>
      <c r="AS209" s="163"/>
      <c r="AT209" s="163"/>
      <c r="AU209" s="163"/>
      <c r="AV209" s="163"/>
      <c r="AW209" s="163"/>
      <c r="AX209" s="163"/>
      <c r="AY209" s="163"/>
      <c r="AZ209" s="163"/>
      <c r="BA209" s="163"/>
      <c r="BB209" s="163"/>
      <c r="BC209" s="163"/>
      <c r="BD209" s="163"/>
      <c r="BE209" s="163"/>
      <c r="BF209" s="163"/>
      <c r="BG209" s="163"/>
      <c r="BH209" s="163"/>
      <c r="BI209" s="163"/>
    </row>
    <row r="210" ht="15.75" customHeight="1">
      <c r="A210" s="37"/>
      <c r="B210" s="30"/>
      <c r="C210" s="30"/>
      <c r="D210" s="84"/>
      <c r="E210" s="30"/>
      <c r="F210" s="30"/>
      <c r="G210" s="30"/>
      <c r="H210" s="30"/>
      <c r="I210" s="30"/>
      <c r="J210" s="30"/>
      <c r="K210" s="30"/>
      <c r="L210" s="30"/>
      <c r="M210" s="30"/>
      <c r="N210" s="30"/>
      <c r="O210" s="163"/>
      <c r="P210" s="163"/>
      <c r="Q210" s="163"/>
      <c r="R210" s="163"/>
      <c r="S210" s="163"/>
      <c r="T210" s="163"/>
      <c r="U210" s="163"/>
      <c r="V210" s="163"/>
      <c r="W210" s="163"/>
      <c r="X210" s="163"/>
      <c r="Y210" s="163"/>
      <c r="Z210" s="163"/>
      <c r="AA210" s="163"/>
      <c r="AB210" s="163"/>
      <c r="AC210" s="163"/>
      <c r="AD210" s="163"/>
      <c r="AE210" s="163"/>
      <c r="AF210" s="163"/>
      <c r="AG210" s="163"/>
      <c r="AH210" s="163"/>
      <c r="AI210" s="163"/>
      <c r="AJ210" s="163"/>
      <c r="AK210" s="163"/>
      <c r="AL210" s="163"/>
      <c r="AM210" s="163"/>
      <c r="AN210" s="163"/>
      <c r="AO210" s="163"/>
      <c r="AP210" s="163"/>
      <c r="AQ210" s="163"/>
      <c r="AR210" s="163"/>
      <c r="AS210" s="163"/>
      <c r="AT210" s="163"/>
      <c r="AU210" s="163"/>
      <c r="AV210" s="163"/>
      <c r="AW210" s="163"/>
      <c r="AX210" s="163"/>
      <c r="AY210" s="163"/>
      <c r="AZ210" s="163"/>
      <c r="BA210" s="163"/>
      <c r="BB210" s="163"/>
      <c r="BC210" s="163"/>
      <c r="BD210" s="163"/>
      <c r="BE210" s="163"/>
      <c r="BF210" s="163"/>
      <c r="BG210" s="163"/>
      <c r="BH210" s="163"/>
      <c r="BI210" s="163"/>
    </row>
    <row r="211" ht="15.75" customHeight="1">
      <c r="A211" s="37"/>
      <c r="B211" s="30"/>
      <c r="C211" s="30"/>
      <c r="D211" s="84"/>
      <c r="E211" s="30"/>
      <c r="F211" s="30"/>
      <c r="G211" s="30"/>
      <c r="H211" s="30"/>
      <c r="I211" s="30"/>
      <c r="J211" s="30"/>
      <c r="K211" s="30"/>
      <c r="L211" s="30"/>
      <c r="M211" s="30"/>
      <c r="N211" s="30"/>
      <c r="O211" s="163"/>
      <c r="P211" s="163"/>
      <c r="Q211" s="163"/>
      <c r="R211" s="163"/>
      <c r="S211" s="163"/>
      <c r="T211" s="163"/>
      <c r="U211" s="163"/>
      <c r="V211" s="163"/>
      <c r="W211" s="163"/>
      <c r="X211" s="163"/>
      <c r="Y211" s="163"/>
      <c r="Z211" s="163"/>
      <c r="AA211" s="163"/>
      <c r="AB211" s="163"/>
      <c r="AC211" s="163"/>
      <c r="AD211" s="163"/>
      <c r="AE211" s="163"/>
      <c r="AF211" s="163"/>
      <c r="AG211" s="163"/>
      <c r="AH211" s="163"/>
      <c r="AI211" s="163"/>
      <c r="AJ211" s="163"/>
      <c r="AK211" s="163"/>
      <c r="AL211" s="163"/>
      <c r="AM211" s="163"/>
      <c r="AN211" s="163"/>
      <c r="AO211" s="163"/>
      <c r="AP211" s="163"/>
      <c r="AQ211" s="163"/>
      <c r="AR211" s="163"/>
      <c r="AS211" s="163"/>
      <c r="AT211" s="163"/>
      <c r="AU211" s="163"/>
      <c r="AV211" s="163"/>
      <c r="AW211" s="163"/>
      <c r="AX211" s="163"/>
      <c r="AY211" s="163"/>
      <c r="AZ211" s="163"/>
      <c r="BA211" s="163"/>
      <c r="BB211" s="163"/>
      <c r="BC211" s="163"/>
      <c r="BD211" s="163"/>
      <c r="BE211" s="163"/>
      <c r="BF211" s="163"/>
      <c r="BG211" s="163"/>
      <c r="BH211" s="163"/>
      <c r="BI211" s="163"/>
    </row>
    <row r="212" ht="15.75" customHeight="1">
      <c r="A212" s="37"/>
      <c r="B212" s="30"/>
      <c r="C212" s="30"/>
      <c r="D212" s="84"/>
      <c r="E212" s="30"/>
      <c r="F212" s="30"/>
      <c r="G212" s="30"/>
      <c r="H212" s="30"/>
      <c r="I212" s="30"/>
      <c r="J212" s="30"/>
      <c r="K212" s="30"/>
      <c r="L212" s="30"/>
      <c r="M212" s="30"/>
      <c r="N212" s="30"/>
      <c r="O212" s="163"/>
      <c r="P212" s="163"/>
      <c r="Q212" s="163"/>
      <c r="R212" s="163"/>
      <c r="S212" s="163"/>
      <c r="T212" s="163"/>
      <c r="U212" s="163"/>
      <c r="V212" s="163"/>
      <c r="W212" s="163"/>
      <c r="X212" s="163"/>
      <c r="Y212" s="163"/>
      <c r="Z212" s="163"/>
      <c r="AA212" s="163"/>
      <c r="AB212" s="163"/>
      <c r="AC212" s="163"/>
      <c r="AD212" s="163"/>
      <c r="AE212" s="163"/>
      <c r="AF212" s="163"/>
      <c r="AG212" s="163"/>
      <c r="AH212" s="163"/>
      <c r="AI212" s="163"/>
      <c r="AJ212" s="163"/>
      <c r="AK212" s="163"/>
      <c r="AL212" s="163"/>
      <c r="AM212" s="163"/>
      <c r="AN212" s="163"/>
      <c r="AO212" s="163"/>
      <c r="AP212" s="163"/>
      <c r="AQ212" s="163"/>
      <c r="AR212" s="163"/>
      <c r="AS212" s="163"/>
      <c r="AT212" s="163"/>
      <c r="AU212" s="163"/>
      <c r="AV212" s="163"/>
      <c r="AW212" s="163"/>
      <c r="AX212" s="163"/>
      <c r="AY212" s="163"/>
      <c r="AZ212" s="163"/>
      <c r="BA212" s="163"/>
      <c r="BB212" s="163"/>
      <c r="BC212" s="163"/>
      <c r="BD212" s="163"/>
      <c r="BE212" s="163"/>
      <c r="BF212" s="163"/>
      <c r="BG212" s="163"/>
      <c r="BH212" s="163"/>
      <c r="BI212" s="163"/>
    </row>
    <row r="213" ht="15.75" customHeight="1">
      <c r="A213" s="37"/>
      <c r="B213" s="30"/>
      <c r="C213" s="30"/>
      <c r="D213" s="84"/>
      <c r="E213" s="30"/>
      <c r="F213" s="30"/>
      <c r="G213" s="30"/>
      <c r="H213" s="30"/>
      <c r="I213" s="30"/>
      <c r="J213" s="30"/>
      <c r="K213" s="30"/>
      <c r="L213" s="30"/>
      <c r="M213" s="30"/>
      <c r="N213" s="30"/>
      <c r="O213" s="163"/>
      <c r="P213" s="163"/>
      <c r="Q213" s="163"/>
      <c r="R213" s="163"/>
      <c r="S213" s="163"/>
      <c r="T213" s="163"/>
      <c r="U213" s="163"/>
      <c r="V213" s="163"/>
      <c r="W213" s="163"/>
      <c r="X213" s="163"/>
      <c r="Y213" s="163"/>
      <c r="Z213" s="163"/>
      <c r="AA213" s="163"/>
      <c r="AB213" s="163"/>
      <c r="AC213" s="163"/>
      <c r="AD213" s="163"/>
      <c r="AE213" s="163"/>
      <c r="AF213" s="163"/>
      <c r="AG213" s="163"/>
      <c r="AH213" s="163"/>
      <c r="AI213" s="163"/>
      <c r="AJ213" s="163"/>
      <c r="AK213" s="163"/>
      <c r="AL213" s="163"/>
      <c r="AM213" s="163"/>
      <c r="AN213" s="163"/>
      <c r="AO213" s="163"/>
      <c r="AP213" s="163"/>
      <c r="AQ213" s="163"/>
      <c r="AR213" s="163"/>
      <c r="AS213" s="163"/>
      <c r="AT213" s="163"/>
      <c r="AU213" s="163"/>
      <c r="AV213" s="163"/>
      <c r="AW213" s="163"/>
      <c r="AX213" s="163"/>
      <c r="AY213" s="163"/>
      <c r="AZ213" s="163"/>
      <c r="BA213" s="163"/>
      <c r="BB213" s="163"/>
      <c r="BC213" s="163"/>
      <c r="BD213" s="163"/>
      <c r="BE213" s="163"/>
      <c r="BF213" s="163"/>
      <c r="BG213" s="163"/>
      <c r="BH213" s="163"/>
      <c r="BI213" s="163"/>
    </row>
    <row r="214" ht="15.75" customHeight="1">
      <c r="A214" s="37"/>
      <c r="B214" s="30"/>
      <c r="C214" s="30"/>
      <c r="D214" s="84"/>
      <c r="E214" s="30"/>
      <c r="F214" s="30"/>
      <c r="G214" s="30"/>
      <c r="H214" s="30"/>
      <c r="I214" s="30"/>
      <c r="J214" s="30"/>
      <c r="K214" s="30"/>
      <c r="L214" s="30"/>
      <c r="M214" s="30"/>
      <c r="N214" s="30"/>
      <c r="O214" s="163"/>
      <c r="P214" s="163"/>
      <c r="Q214" s="163"/>
      <c r="R214" s="163"/>
      <c r="S214" s="163"/>
      <c r="T214" s="163"/>
      <c r="U214" s="163"/>
      <c r="V214" s="163"/>
      <c r="W214" s="163"/>
      <c r="X214" s="163"/>
      <c r="Y214" s="163"/>
      <c r="Z214" s="163"/>
      <c r="AA214" s="163"/>
      <c r="AB214" s="163"/>
      <c r="AC214" s="163"/>
      <c r="AD214" s="163"/>
      <c r="AE214" s="163"/>
      <c r="AF214" s="163"/>
      <c r="AG214" s="163"/>
      <c r="AH214" s="163"/>
      <c r="AI214" s="163"/>
      <c r="AJ214" s="163"/>
      <c r="AK214" s="163"/>
      <c r="AL214" s="163"/>
      <c r="AM214" s="163"/>
      <c r="AN214" s="163"/>
      <c r="AO214" s="163"/>
      <c r="AP214" s="163"/>
      <c r="AQ214" s="163"/>
      <c r="AR214" s="163"/>
      <c r="AS214" s="163"/>
      <c r="AT214" s="163"/>
      <c r="AU214" s="163"/>
      <c r="AV214" s="163"/>
      <c r="AW214" s="163"/>
      <c r="AX214" s="163"/>
      <c r="AY214" s="163"/>
      <c r="AZ214" s="163"/>
      <c r="BA214" s="163"/>
      <c r="BB214" s="163"/>
      <c r="BC214" s="163"/>
      <c r="BD214" s="163"/>
      <c r="BE214" s="163"/>
      <c r="BF214" s="163"/>
      <c r="BG214" s="163"/>
      <c r="BH214" s="163"/>
      <c r="BI214" s="163"/>
    </row>
    <row r="215" ht="15.75" customHeight="1">
      <c r="A215" s="37"/>
      <c r="B215" s="30"/>
      <c r="C215" s="30"/>
      <c r="D215" s="84"/>
      <c r="E215" s="30"/>
      <c r="F215" s="30"/>
      <c r="G215" s="30"/>
      <c r="H215" s="30"/>
      <c r="I215" s="30"/>
      <c r="J215" s="30"/>
      <c r="K215" s="30"/>
      <c r="L215" s="30"/>
      <c r="M215" s="30"/>
      <c r="N215" s="30"/>
      <c r="O215" s="163"/>
      <c r="P215" s="163"/>
      <c r="Q215" s="163"/>
      <c r="R215" s="163"/>
      <c r="S215" s="163"/>
      <c r="T215" s="163"/>
      <c r="U215" s="163"/>
      <c r="V215" s="163"/>
      <c r="W215" s="163"/>
      <c r="X215" s="163"/>
      <c r="Y215" s="163"/>
      <c r="Z215" s="163"/>
      <c r="AA215" s="163"/>
      <c r="AB215" s="163"/>
      <c r="AC215" s="163"/>
      <c r="AD215" s="163"/>
      <c r="AE215" s="163"/>
      <c r="AF215" s="163"/>
      <c r="AG215" s="163"/>
      <c r="AH215" s="163"/>
      <c r="AI215" s="163"/>
      <c r="AJ215" s="163"/>
      <c r="AK215" s="163"/>
      <c r="AL215" s="163"/>
      <c r="AM215" s="163"/>
      <c r="AN215" s="163"/>
      <c r="AO215" s="163"/>
      <c r="AP215" s="163"/>
      <c r="AQ215" s="163"/>
      <c r="AR215" s="163"/>
      <c r="AS215" s="163"/>
      <c r="AT215" s="163"/>
      <c r="AU215" s="163"/>
      <c r="AV215" s="163"/>
      <c r="AW215" s="163"/>
      <c r="AX215" s="163"/>
      <c r="AY215" s="163"/>
      <c r="AZ215" s="163"/>
      <c r="BA215" s="163"/>
      <c r="BB215" s="163"/>
      <c r="BC215" s="163"/>
      <c r="BD215" s="163"/>
      <c r="BE215" s="163"/>
      <c r="BF215" s="163"/>
      <c r="BG215" s="163"/>
      <c r="BH215" s="163"/>
      <c r="BI215" s="163"/>
    </row>
    <row r="216" ht="15.75" customHeight="1">
      <c r="A216" s="37"/>
      <c r="B216" s="30"/>
      <c r="C216" s="30"/>
      <c r="D216" s="84"/>
      <c r="E216" s="30"/>
      <c r="F216" s="30"/>
      <c r="G216" s="30"/>
      <c r="H216" s="30"/>
      <c r="I216" s="30"/>
      <c r="J216" s="30"/>
      <c r="K216" s="30"/>
      <c r="L216" s="30"/>
      <c r="M216" s="30"/>
      <c r="N216" s="30"/>
      <c r="O216" s="163"/>
      <c r="P216" s="163"/>
      <c r="Q216" s="163"/>
      <c r="R216" s="163"/>
      <c r="S216" s="163"/>
      <c r="T216" s="163"/>
      <c r="U216" s="163"/>
      <c r="V216" s="163"/>
      <c r="W216" s="163"/>
      <c r="X216" s="163"/>
      <c r="Y216" s="163"/>
      <c r="Z216" s="163"/>
      <c r="AA216" s="163"/>
      <c r="AB216" s="163"/>
      <c r="AC216" s="163"/>
      <c r="AD216" s="163"/>
      <c r="AE216" s="163"/>
      <c r="AF216" s="163"/>
      <c r="AG216" s="163"/>
      <c r="AH216" s="163"/>
      <c r="AI216" s="163"/>
      <c r="AJ216" s="163"/>
      <c r="AK216" s="163"/>
      <c r="AL216" s="163"/>
      <c r="AM216" s="163"/>
      <c r="AN216" s="163"/>
      <c r="AO216" s="163"/>
      <c r="AP216" s="163"/>
      <c r="AQ216" s="163"/>
      <c r="AR216" s="163"/>
      <c r="AS216" s="163"/>
      <c r="AT216" s="163"/>
      <c r="AU216" s="163"/>
      <c r="AV216" s="163"/>
      <c r="AW216" s="163"/>
      <c r="AX216" s="163"/>
      <c r="AY216" s="163"/>
      <c r="AZ216" s="163"/>
      <c r="BA216" s="163"/>
      <c r="BB216" s="163"/>
      <c r="BC216" s="163"/>
      <c r="BD216" s="163"/>
      <c r="BE216" s="163"/>
      <c r="BF216" s="163"/>
      <c r="BG216" s="163"/>
      <c r="BH216" s="163"/>
      <c r="BI216" s="163"/>
    </row>
    <row r="217" ht="15.75" customHeight="1">
      <c r="A217" s="37"/>
      <c r="B217" s="30"/>
      <c r="C217" s="30"/>
      <c r="D217" s="84"/>
      <c r="E217" s="30"/>
      <c r="F217" s="30"/>
      <c r="G217" s="30"/>
      <c r="H217" s="30"/>
      <c r="I217" s="30"/>
      <c r="J217" s="30"/>
      <c r="K217" s="30"/>
      <c r="L217" s="30"/>
      <c r="M217" s="30"/>
      <c r="N217" s="30"/>
      <c r="O217" s="163"/>
      <c r="P217" s="163"/>
      <c r="Q217" s="163"/>
      <c r="R217" s="163"/>
      <c r="S217" s="163"/>
      <c r="T217" s="163"/>
      <c r="U217" s="163"/>
      <c r="V217" s="163"/>
      <c r="W217" s="163"/>
      <c r="X217" s="163"/>
      <c r="Y217" s="163"/>
      <c r="Z217" s="163"/>
      <c r="AA217" s="163"/>
      <c r="AB217" s="163"/>
      <c r="AC217" s="163"/>
      <c r="AD217" s="163"/>
      <c r="AE217" s="163"/>
      <c r="AF217" s="163"/>
      <c r="AG217" s="163"/>
      <c r="AH217" s="163"/>
      <c r="AI217" s="163"/>
      <c r="AJ217" s="163"/>
      <c r="AK217" s="163"/>
      <c r="AL217" s="163"/>
      <c r="AM217" s="163"/>
      <c r="AN217" s="163"/>
      <c r="AO217" s="163"/>
      <c r="AP217" s="163"/>
      <c r="AQ217" s="163"/>
      <c r="AR217" s="163"/>
      <c r="AS217" s="163"/>
      <c r="AT217" s="163"/>
      <c r="AU217" s="163"/>
      <c r="AV217" s="163"/>
      <c r="AW217" s="163"/>
      <c r="AX217" s="163"/>
      <c r="AY217" s="163"/>
      <c r="AZ217" s="163"/>
      <c r="BA217" s="163"/>
      <c r="BB217" s="163"/>
      <c r="BC217" s="163"/>
      <c r="BD217" s="163"/>
      <c r="BE217" s="163"/>
      <c r="BF217" s="163"/>
      <c r="BG217" s="163"/>
      <c r="BH217" s="163"/>
      <c r="BI217" s="163"/>
    </row>
    <row r="218" ht="15.75" customHeight="1">
      <c r="A218" s="37"/>
      <c r="B218" s="30"/>
      <c r="C218" s="30"/>
      <c r="D218" s="84"/>
      <c r="E218" s="30"/>
      <c r="F218" s="30"/>
      <c r="G218" s="30"/>
      <c r="H218" s="30"/>
      <c r="I218" s="30"/>
      <c r="J218" s="30"/>
      <c r="K218" s="30"/>
      <c r="L218" s="30"/>
      <c r="M218" s="30"/>
      <c r="N218" s="30"/>
      <c r="O218" s="163"/>
      <c r="P218" s="163"/>
      <c r="Q218" s="163"/>
      <c r="R218" s="163"/>
      <c r="S218" s="163"/>
      <c r="T218" s="163"/>
      <c r="U218" s="163"/>
      <c r="V218" s="163"/>
      <c r="W218" s="163"/>
      <c r="X218" s="163"/>
      <c r="Y218" s="163"/>
      <c r="Z218" s="163"/>
      <c r="AA218" s="163"/>
      <c r="AB218" s="163"/>
      <c r="AC218" s="163"/>
      <c r="AD218" s="163"/>
      <c r="AE218" s="163"/>
      <c r="AF218" s="163"/>
      <c r="AG218" s="163"/>
      <c r="AH218" s="163"/>
      <c r="AI218" s="163"/>
      <c r="AJ218" s="163"/>
      <c r="AK218" s="163"/>
      <c r="AL218" s="163"/>
      <c r="AM218" s="163"/>
      <c r="AN218" s="163"/>
      <c r="AO218" s="163"/>
      <c r="AP218" s="163"/>
      <c r="AQ218" s="163"/>
      <c r="AR218" s="163"/>
      <c r="AS218" s="163"/>
      <c r="AT218" s="163"/>
      <c r="AU218" s="163"/>
      <c r="AV218" s="163"/>
      <c r="AW218" s="163"/>
      <c r="AX218" s="163"/>
      <c r="AY218" s="163"/>
      <c r="AZ218" s="163"/>
      <c r="BA218" s="163"/>
      <c r="BB218" s="163"/>
      <c r="BC218" s="163"/>
      <c r="BD218" s="163"/>
      <c r="BE218" s="163"/>
      <c r="BF218" s="163"/>
      <c r="BG218" s="163"/>
      <c r="BH218" s="163"/>
      <c r="BI218" s="163"/>
    </row>
    <row r="219" ht="15.75" customHeight="1">
      <c r="A219" s="37"/>
      <c r="B219" s="30"/>
      <c r="C219" s="30"/>
      <c r="D219" s="84"/>
      <c r="E219" s="30"/>
      <c r="F219" s="30"/>
      <c r="G219" s="30"/>
      <c r="H219" s="30"/>
      <c r="I219" s="30"/>
      <c r="J219" s="30"/>
      <c r="K219" s="30"/>
      <c r="L219" s="30"/>
      <c r="M219" s="30"/>
      <c r="N219" s="30"/>
      <c r="O219" s="163"/>
      <c r="P219" s="163"/>
      <c r="Q219" s="163"/>
      <c r="R219" s="163"/>
      <c r="S219" s="163"/>
      <c r="T219" s="163"/>
      <c r="U219" s="163"/>
      <c r="V219" s="163"/>
      <c r="W219" s="163"/>
      <c r="X219" s="163"/>
      <c r="Y219" s="163"/>
      <c r="Z219" s="163"/>
      <c r="AA219" s="163"/>
      <c r="AB219" s="163"/>
      <c r="AC219" s="163"/>
      <c r="AD219" s="163"/>
      <c r="AE219" s="163"/>
      <c r="AF219" s="163"/>
      <c r="AG219" s="163"/>
      <c r="AH219" s="163"/>
      <c r="AI219" s="163"/>
      <c r="AJ219" s="163"/>
      <c r="AK219" s="163"/>
      <c r="AL219" s="163"/>
      <c r="AM219" s="163"/>
      <c r="AN219" s="163"/>
      <c r="AO219" s="163"/>
      <c r="AP219" s="163"/>
      <c r="AQ219" s="163"/>
      <c r="AR219" s="163"/>
      <c r="AS219" s="163"/>
      <c r="AT219" s="163"/>
      <c r="AU219" s="163"/>
      <c r="AV219" s="163"/>
      <c r="AW219" s="163"/>
      <c r="AX219" s="163"/>
      <c r="AY219" s="163"/>
      <c r="AZ219" s="163"/>
      <c r="BA219" s="163"/>
      <c r="BB219" s="163"/>
      <c r="BC219" s="163"/>
      <c r="BD219" s="163"/>
      <c r="BE219" s="163"/>
      <c r="BF219" s="163"/>
      <c r="BG219" s="163"/>
      <c r="BH219" s="163"/>
      <c r="BI219" s="163"/>
    </row>
    <row r="220" ht="15.75" customHeight="1">
      <c r="A220" s="37"/>
      <c r="B220" s="30"/>
      <c r="C220" s="30"/>
      <c r="D220" s="84"/>
      <c r="E220" s="30"/>
      <c r="F220" s="30"/>
      <c r="G220" s="30"/>
      <c r="H220" s="30"/>
      <c r="I220" s="30"/>
      <c r="J220" s="30"/>
      <c r="K220" s="30"/>
      <c r="L220" s="30"/>
      <c r="M220" s="30"/>
      <c r="N220" s="30"/>
      <c r="O220" s="163"/>
      <c r="P220" s="163"/>
      <c r="Q220" s="163"/>
      <c r="R220" s="163"/>
      <c r="S220" s="163"/>
      <c r="T220" s="163"/>
      <c r="U220" s="163"/>
      <c r="V220" s="163"/>
      <c r="W220" s="163"/>
      <c r="X220" s="163"/>
      <c r="Y220" s="163"/>
      <c r="Z220" s="163"/>
      <c r="AA220" s="163"/>
      <c r="AB220" s="163"/>
      <c r="AC220" s="163"/>
      <c r="AD220" s="163"/>
      <c r="AE220" s="163"/>
      <c r="AF220" s="163"/>
      <c r="AG220" s="163"/>
      <c r="AH220" s="163"/>
      <c r="AI220" s="163"/>
      <c r="AJ220" s="163"/>
      <c r="AK220" s="163"/>
      <c r="AL220" s="163"/>
      <c r="AM220" s="163"/>
      <c r="AN220" s="163"/>
      <c r="AO220" s="163"/>
      <c r="AP220" s="163"/>
      <c r="AQ220" s="163"/>
      <c r="AR220" s="163"/>
      <c r="AS220" s="163"/>
      <c r="AT220" s="163"/>
      <c r="AU220" s="163"/>
      <c r="AV220" s="163"/>
      <c r="AW220" s="163"/>
      <c r="AX220" s="163"/>
      <c r="AY220" s="163"/>
      <c r="AZ220" s="163"/>
      <c r="BA220" s="163"/>
      <c r="BB220" s="163"/>
      <c r="BC220" s="163"/>
      <c r="BD220" s="163"/>
      <c r="BE220" s="163"/>
      <c r="BF220" s="163"/>
      <c r="BG220" s="163"/>
      <c r="BH220" s="163"/>
      <c r="BI220" s="163"/>
    </row>
    <row r="221" ht="15.75" customHeight="1">
      <c r="A221" s="37"/>
      <c r="B221" s="30"/>
      <c r="C221" s="30"/>
      <c r="D221" s="84"/>
      <c r="E221" s="30"/>
      <c r="F221" s="30"/>
      <c r="G221" s="30"/>
      <c r="H221" s="30"/>
      <c r="I221" s="30"/>
      <c r="J221" s="30"/>
      <c r="K221" s="30"/>
      <c r="L221" s="30"/>
      <c r="M221" s="30"/>
      <c r="N221" s="30"/>
      <c r="O221" s="163"/>
      <c r="P221" s="163"/>
      <c r="Q221" s="163"/>
      <c r="R221" s="163"/>
      <c r="S221" s="163"/>
      <c r="T221" s="163"/>
      <c r="U221" s="163"/>
      <c r="V221" s="163"/>
      <c r="W221" s="163"/>
      <c r="X221" s="163"/>
      <c r="Y221" s="163"/>
      <c r="Z221" s="163"/>
      <c r="AA221" s="163"/>
      <c r="AB221" s="163"/>
      <c r="AC221" s="163"/>
      <c r="AD221" s="163"/>
      <c r="AE221" s="163"/>
      <c r="AF221" s="163"/>
      <c r="AG221" s="163"/>
      <c r="AH221" s="163"/>
      <c r="AI221" s="163"/>
      <c r="AJ221" s="163"/>
      <c r="AK221" s="163"/>
      <c r="AL221" s="163"/>
      <c r="AM221" s="163"/>
      <c r="AN221" s="163"/>
      <c r="AO221" s="163"/>
      <c r="AP221" s="163"/>
      <c r="AQ221" s="163"/>
      <c r="AR221" s="163"/>
      <c r="AS221" s="163"/>
      <c r="AT221" s="163"/>
      <c r="AU221" s="163"/>
      <c r="AV221" s="163"/>
      <c r="AW221" s="163"/>
      <c r="AX221" s="163"/>
      <c r="AY221" s="163"/>
      <c r="AZ221" s="163"/>
      <c r="BA221" s="163"/>
      <c r="BB221" s="163"/>
      <c r="BC221" s="163"/>
      <c r="BD221" s="163"/>
      <c r="BE221" s="163"/>
      <c r="BF221" s="163"/>
      <c r="BG221" s="163"/>
      <c r="BH221" s="163"/>
      <c r="BI221" s="163"/>
    </row>
    <row r="222" ht="15.75" customHeight="1">
      <c r="A222" s="37"/>
      <c r="B222" s="30"/>
      <c r="C222" s="30"/>
      <c r="D222" s="84"/>
      <c r="E222" s="30"/>
      <c r="F222" s="30"/>
      <c r="G222" s="30"/>
      <c r="H222" s="30"/>
      <c r="I222" s="30"/>
      <c r="J222" s="30"/>
      <c r="K222" s="30"/>
      <c r="L222" s="30"/>
      <c r="M222" s="30"/>
      <c r="N222" s="30"/>
      <c r="O222" s="163"/>
      <c r="P222" s="163"/>
      <c r="Q222" s="163"/>
      <c r="R222" s="163"/>
      <c r="S222" s="163"/>
      <c r="T222" s="163"/>
      <c r="U222" s="163"/>
      <c r="V222" s="163"/>
      <c r="W222" s="163"/>
      <c r="X222" s="163"/>
      <c r="Y222" s="163"/>
      <c r="Z222" s="163"/>
      <c r="AA222" s="163"/>
      <c r="AB222" s="163"/>
      <c r="AC222" s="163"/>
      <c r="AD222" s="163"/>
      <c r="AE222" s="163"/>
      <c r="AF222" s="163"/>
      <c r="AG222" s="163"/>
      <c r="AH222" s="163"/>
      <c r="AI222" s="163"/>
      <c r="AJ222" s="163"/>
      <c r="AK222" s="163"/>
      <c r="AL222" s="163"/>
      <c r="AM222" s="163"/>
      <c r="AN222" s="163"/>
      <c r="AO222" s="163"/>
      <c r="AP222" s="163"/>
      <c r="AQ222" s="163"/>
      <c r="AR222" s="163"/>
      <c r="AS222" s="163"/>
      <c r="AT222" s="163"/>
      <c r="AU222" s="163"/>
      <c r="AV222" s="163"/>
      <c r="AW222" s="163"/>
      <c r="AX222" s="163"/>
      <c r="AY222" s="163"/>
      <c r="AZ222" s="163"/>
      <c r="BA222" s="163"/>
      <c r="BB222" s="163"/>
      <c r="BC222" s="163"/>
      <c r="BD222" s="163"/>
      <c r="BE222" s="163"/>
      <c r="BF222" s="163"/>
      <c r="BG222" s="163"/>
      <c r="BH222" s="163"/>
      <c r="BI222" s="163"/>
    </row>
    <row r="223" ht="15.75" customHeight="1">
      <c r="A223" s="37"/>
      <c r="B223" s="30"/>
      <c r="C223" s="30"/>
      <c r="D223" s="84"/>
      <c r="E223" s="30"/>
      <c r="F223" s="30"/>
      <c r="G223" s="30"/>
      <c r="H223" s="30"/>
      <c r="I223" s="30"/>
      <c r="J223" s="30"/>
      <c r="K223" s="30"/>
      <c r="L223" s="30"/>
      <c r="M223" s="30"/>
      <c r="N223" s="30"/>
      <c r="O223" s="163"/>
      <c r="P223" s="163"/>
      <c r="Q223" s="163"/>
      <c r="R223" s="163"/>
      <c r="S223" s="163"/>
      <c r="T223" s="163"/>
      <c r="U223" s="163"/>
      <c r="V223" s="163"/>
      <c r="W223" s="163"/>
      <c r="X223" s="163"/>
      <c r="Y223" s="163"/>
      <c r="Z223" s="163"/>
      <c r="AA223" s="163"/>
      <c r="AB223" s="163"/>
      <c r="AC223" s="163"/>
      <c r="AD223" s="163"/>
      <c r="AE223" s="163"/>
      <c r="AF223" s="163"/>
      <c r="AG223" s="163"/>
      <c r="AH223" s="163"/>
      <c r="AI223" s="163"/>
      <c r="AJ223" s="163"/>
      <c r="AK223" s="163"/>
      <c r="AL223" s="163"/>
      <c r="AM223" s="163"/>
      <c r="AN223" s="163"/>
      <c r="AO223" s="163"/>
      <c r="AP223" s="163"/>
      <c r="AQ223" s="163"/>
      <c r="AR223" s="163"/>
      <c r="AS223" s="163"/>
      <c r="AT223" s="163"/>
      <c r="AU223" s="163"/>
      <c r="AV223" s="163"/>
      <c r="AW223" s="163"/>
      <c r="AX223" s="163"/>
      <c r="AY223" s="163"/>
      <c r="AZ223" s="163"/>
      <c r="BA223" s="163"/>
      <c r="BB223" s="163"/>
      <c r="BC223" s="163"/>
      <c r="BD223" s="163"/>
      <c r="BE223" s="163"/>
      <c r="BF223" s="163"/>
      <c r="BG223" s="163"/>
      <c r="BH223" s="163"/>
      <c r="BI223" s="163"/>
    </row>
    <row r="224" ht="15.75" customHeight="1">
      <c r="A224" s="37"/>
      <c r="B224" s="30"/>
      <c r="C224" s="30"/>
      <c r="D224" s="84"/>
      <c r="E224" s="30"/>
      <c r="F224" s="30"/>
      <c r="G224" s="30"/>
      <c r="H224" s="30"/>
      <c r="I224" s="30"/>
      <c r="J224" s="30"/>
      <c r="K224" s="30"/>
      <c r="L224" s="30"/>
      <c r="M224" s="30"/>
      <c r="N224" s="30"/>
      <c r="O224" s="163"/>
      <c r="P224" s="163"/>
      <c r="Q224" s="163"/>
      <c r="R224" s="163"/>
      <c r="S224" s="163"/>
      <c r="T224" s="163"/>
      <c r="U224" s="163"/>
      <c r="V224" s="163"/>
      <c r="W224" s="163"/>
      <c r="X224" s="163"/>
      <c r="Y224" s="163"/>
      <c r="Z224" s="163"/>
      <c r="AA224" s="163"/>
      <c r="AB224" s="163"/>
      <c r="AC224" s="163"/>
      <c r="AD224" s="163"/>
      <c r="AE224" s="163"/>
      <c r="AF224" s="163"/>
      <c r="AG224" s="163"/>
      <c r="AH224" s="163"/>
      <c r="AI224" s="163"/>
      <c r="AJ224" s="163"/>
      <c r="AK224" s="163"/>
      <c r="AL224" s="163"/>
      <c r="AM224" s="163"/>
      <c r="AN224" s="163"/>
      <c r="AO224" s="163"/>
      <c r="AP224" s="163"/>
      <c r="AQ224" s="163"/>
      <c r="AR224" s="163"/>
      <c r="AS224" s="163"/>
      <c r="AT224" s="163"/>
      <c r="AU224" s="163"/>
      <c r="AV224" s="163"/>
      <c r="AW224" s="163"/>
      <c r="AX224" s="163"/>
      <c r="AY224" s="163"/>
      <c r="AZ224" s="163"/>
      <c r="BA224" s="163"/>
      <c r="BB224" s="163"/>
      <c r="BC224" s="163"/>
      <c r="BD224" s="163"/>
      <c r="BE224" s="163"/>
      <c r="BF224" s="163"/>
      <c r="BG224" s="163"/>
      <c r="BH224" s="163"/>
      <c r="BI224" s="163"/>
    </row>
    <row r="225" ht="15.75" customHeight="1">
      <c r="A225" s="37"/>
      <c r="B225" s="30"/>
      <c r="C225" s="30"/>
      <c r="D225" s="84"/>
      <c r="E225" s="30"/>
      <c r="F225" s="30"/>
      <c r="G225" s="30"/>
      <c r="H225" s="30"/>
      <c r="I225" s="30"/>
      <c r="J225" s="30"/>
      <c r="K225" s="30"/>
      <c r="L225" s="30"/>
      <c r="M225" s="30"/>
      <c r="N225" s="30"/>
      <c r="O225" s="163"/>
      <c r="P225" s="163"/>
      <c r="Q225" s="163"/>
      <c r="R225" s="163"/>
      <c r="S225" s="163"/>
      <c r="T225" s="163"/>
      <c r="U225" s="163"/>
      <c r="V225" s="163"/>
      <c r="W225" s="163"/>
      <c r="X225" s="163"/>
      <c r="Y225" s="163"/>
      <c r="Z225" s="163"/>
      <c r="AA225" s="163"/>
      <c r="AB225" s="163"/>
      <c r="AC225" s="163"/>
      <c r="AD225" s="163"/>
      <c r="AE225" s="163"/>
      <c r="AF225" s="163"/>
      <c r="AG225" s="163"/>
      <c r="AH225" s="163"/>
      <c r="AI225" s="163"/>
      <c r="AJ225" s="163"/>
      <c r="AK225" s="163"/>
      <c r="AL225" s="163"/>
      <c r="AM225" s="163"/>
      <c r="AN225" s="163"/>
      <c r="AO225" s="163"/>
      <c r="AP225" s="163"/>
      <c r="AQ225" s="163"/>
      <c r="AR225" s="163"/>
      <c r="AS225" s="163"/>
      <c r="AT225" s="163"/>
      <c r="AU225" s="163"/>
      <c r="AV225" s="163"/>
      <c r="AW225" s="163"/>
      <c r="AX225" s="163"/>
      <c r="AY225" s="163"/>
      <c r="AZ225" s="163"/>
      <c r="BA225" s="163"/>
      <c r="BB225" s="163"/>
      <c r="BC225" s="163"/>
      <c r="BD225" s="163"/>
      <c r="BE225" s="163"/>
      <c r="BF225" s="163"/>
      <c r="BG225" s="163"/>
      <c r="BH225" s="163"/>
      <c r="BI225" s="163"/>
    </row>
    <row r="226" ht="15.75" customHeight="1">
      <c r="A226" s="37"/>
      <c r="B226" s="30"/>
      <c r="C226" s="30"/>
      <c r="D226" s="84"/>
      <c r="E226" s="30"/>
      <c r="F226" s="30"/>
      <c r="G226" s="30"/>
      <c r="H226" s="30"/>
      <c r="I226" s="30"/>
      <c r="J226" s="30"/>
      <c r="K226" s="30"/>
      <c r="L226" s="30"/>
      <c r="M226" s="30"/>
      <c r="N226" s="30"/>
      <c r="O226" s="163"/>
      <c r="P226" s="163"/>
      <c r="Q226" s="163"/>
      <c r="R226" s="163"/>
      <c r="S226" s="163"/>
      <c r="T226" s="163"/>
      <c r="U226" s="163"/>
      <c r="V226" s="163"/>
      <c r="W226" s="163"/>
      <c r="X226" s="163"/>
      <c r="Y226" s="163"/>
      <c r="Z226" s="163"/>
      <c r="AA226" s="163"/>
      <c r="AB226" s="163"/>
      <c r="AC226" s="163"/>
      <c r="AD226" s="163"/>
      <c r="AE226" s="163"/>
      <c r="AF226" s="163"/>
      <c r="AG226" s="163"/>
      <c r="AH226" s="163"/>
      <c r="AI226" s="163"/>
      <c r="AJ226" s="163"/>
      <c r="AK226" s="163"/>
      <c r="AL226" s="163"/>
      <c r="AM226" s="163"/>
      <c r="AN226" s="163"/>
      <c r="AO226" s="163"/>
      <c r="AP226" s="163"/>
      <c r="AQ226" s="163"/>
      <c r="AR226" s="163"/>
      <c r="AS226" s="163"/>
      <c r="AT226" s="163"/>
      <c r="AU226" s="163"/>
      <c r="AV226" s="163"/>
      <c r="AW226" s="163"/>
      <c r="AX226" s="163"/>
      <c r="AY226" s="163"/>
      <c r="AZ226" s="163"/>
      <c r="BA226" s="163"/>
      <c r="BB226" s="163"/>
      <c r="BC226" s="163"/>
      <c r="BD226" s="163"/>
      <c r="BE226" s="163"/>
      <c r="BF226" s="163"/>
      <c r="BG226" s="163"/>
      <c r="BH226" s="163"/>
      <c r="BI226" s="163"/>
    </row>
    <row r="227" ht="15.75" customHeight="1">
      <c r="A227" s="37"/>
      <c r="B227" s="30"/>
      <c r="C227" s="30"/>
      <c r="D227" s="84"/>
      <c r="E227" s="30"/>
      <c r="F227" s="30"/>
      <c r="G227" s="30"/>
      <c r="H227" s="30"/>
      <c r="I227" s="30"/>
      <c r="J227" s="30"/>
      <c r="K227" s="30"/>
      <c r="L227" s="30"/>
      <c r="M227" s="30"/>
      <c r="N227" s="30"/>
      <c r="O227" s="163"/>
      <c r="P227" s="163"/>
      <c r="Q227" s="163"/>
      <c r="R227" s="163"/>
      <c r="S227" s="163"/>
      <c r="T227" s="163"/>
      <c r="U227" s="163"/>
      <c r="V227" s="163"/>
      <c r="W227" s="163"/>
      <c r="X227" s="163"/>
      <c r="Y227" s="163"/>
      <c r="Z227" s="163"/>
      <c r="AA227" s="163"/>
      <c r="AB227" s="163"/>
      <c r="AC227" s="163"/>
      <c r="AD227" s="163"/>
      <c r="AE227" s="163"/>
      <c r="AF227" s="163"/>
      <c r="AG227" s="163"/>
      <c r="AH227" s="163"/>
      <c r="AI227" s="163"/>
      <c r="AJ227" s="163"/>
      <c r="AK227" s="163"/>
      <c r="AL227" s="163"/>
      <c r="AM227" s="163"/>
      <c r="AN227" s="163"/>
      <c r="AO227" s="163"/>
      <c r="AP227" s="163"/>
      <c r="AQ227" s="163"/>
      <c r="AR227" s="163"/>
      <c r="AS227" s="163"/>
      <c r="AT227" s="163"/>
      <c r="AU227" s="163"/>
      <c r="AV227" s="163"/>
      <c r="AW227" s="163"/>
      <c r="AX227" s="163"/>
      <c r="AY227" s="163"/>
      <c r="AZ227" s="163"/>
      <c r="BA227" s="163"/>
      <c r="BB227" s="163"/>
      <c r="BC227" s="163"/>
      <c r="BD227" s="163"/>
      <c r="BE227" s="163"/>
      <c r="BF227" s="163"/>
      <c r="BG227" s="163"/>
      <c r="BH227" s="163"/>
      <c r="BI227" s="163"/>
    </row>
    <row r="228" ht="15.75" customHeight="1">
      <c r="A228" s="37"/>
      <c r="B228" s="30"/>
      <c r="C228" s="30"/>
      <c r="D228" s="84"/>
      <c r="E228" s="30"/>
      <c r="F228" s="30"/>
      <c r="G228" s="30"/>
      <c r="H228" s="30"/>
      <c r="I228" s="30"/>
      <c r="J228" s="30"/>
      <c r="K228" s="30"/>
      <c r="L228" s="30"/>
      <c r="M228" s="30"/>
      <c r="N228" s="30"/>
      <c r="O228" s="163"/>
      <c r="P228" s="163"/>
      <c r="Q228" s="163"/>
      <c r="R228" s="163"/>
      <c r="S228" s="163"/>
      <c r="T228" s="163"/>
      <c r="U228" s="163"/>
      <c r="V228" s="163"/>
      <c r="W228" s="163"/>
      <c r="X228" s="163"/>
      <c r="Y228" s="163"/>
      <c r="Z228" s="163"/>
      <c r="AA228" s="163"/>
      <c r="AB228" s="163"/>
      <c r="AC228" s="163"/>
      <c r="AD228" s="163"/>
      <c r="AE228" s="163"/>
      <c r="AF228" s="163"/>
      <c r="AG228" s="163"/>
      <c r="AH228" s="163"/>
      <c r="AI228" s="163"/>
      <c r="AJ228" s="163"/>
      <c r="AK228" s="163"/>
      <c r="AL228" s="163"/>
      <c r="AM228" s="163"/>
      <c r="AN228" s="163"/>
      <c r="AO228" s="163"/>
      <c r="AP228" s="163"/>
      <c r="AQ228" s="163"/>
      <c r="AR228" s="163"/>
      <c r="AS228" s="163"/>
      <c r="AT228" s="163"/>
      <c r="AU228" s="163"/>
      <c r="AV228" s="163"/>
      <c r="AW228" s="163"/>
      <c r="AX228" s="163"/>
      <c r="AY228" s="163"/>
      <c r="AZ228" s="163"/>
      <c r="BA228" s="163"/>
      <c r="BB228" s="163"/>
      <c r="BC228" s="163"/>
      <c r="BD228" s="163"/>
      <c r="BE228" s="163"/>
      <c r="BF228" s="163"/>
      <c r="BG228" s="163"/>
      <c r="BH228" s="163"/>
      <c r="BI228" s="163"/>
    </row>
    <row r="229" ht="15.75" customHeight="1">
      <c r="A229" s="37"/>
      <c r="B229" s="30"/>
      <c r="C229" s="30"/>
      <c r="D229" s="84"/>
      <c r="E229" s="30"/>
      <c r="F229" s="30"/>
      <c r="G229" s="30"/>
      <c r="H229" s="30"/>
      <c r="I229" s="30"/>
      <c r="J229" s="30"/>
      <c r="K229" s="30"/>
      <c r="L229" s="30"/>
      <c r="M229" s="30"/>
      <c r="N229" s="30"/>
      <c r="O229" s="163"/>
      <c r="P229" s="163"/>
      <c r="Q229" s="163"/>
      <c r="R229" s="163"/>
      <c r="S229" s="163"/>
      <c r="T229" s="163"/>
      <c r="U229" s="163"/>
      <c r="V229" s="163"/>
      <c r="W229" s="163"/>
      <c r="X229" s="163"/>
      <c r="Y229" s="163"/>
      <c r="Z229" s="163"/>
      <c r="AA229" s="163"/>
      <c r="AB229" s="163"/>
      <c r="AC229" s="163"/>
      <c r="AD229" s="163"/>
      <c r="AE229" s="163"/>
      <c r="AF229" s="163"/>
      <c r="AG229" s="163"/>
      <c r="AH229" s="163"/>
      <c r="AI229" s="163"/>
      <c r="AJ229" s="163"/>
      <c r="AK229" s="163"/>
      <c r="AL229" s="163"/>
      <c r="AM229" s="163"/>
      <c r="AN229" s="163"/>
      <c r="AO229" s="163"/>
      <c r="AP229" s="163"/>
      <c r="AQ229" s="163"/>
      <c r="AR229" s="163"/>
      <c r="AS229" s="163"/>
      <c r="AT229" s="163"/>
      <c r="AU229" s="163"/>
      <c r="AV229" s="163"/>
      <c r="AW229" s="163"/>
      <c r="AX229" s="163"/>
      <c r="AY229" s="163"/>
      <c r="AZ229" s="163"/>
      <c r="BA229" s="163"/>
      <c r="BB229" s="163"/>
      <c r="BC229" s="163"/>
      <c r="BD229" s="163"/>
      <c r="BE229" s="163"/>
      <c r="BF229" s="163"/>
      <c r="BG229" s="163"/>
      <c r="BH229" s="163"/>
      <c r="BI229" s="163"/>
    </row>
    <row r="230" ht="15.75" customHeight="1">
      <c r="A230" s="37"/>
      <c r="B230" s="30"/>
      <c r="C230" s="30"/>
      <c r="D230" s="84"/>
      <c r="E230" s="30"/>
      <c r="F230" s="30"/>
      <c r="G230" s="30"/>
      <c r="H230" s="30"/>
      <c r="I230" s="30"/>
      <c r="J230" s="30"/>
      <c r="K230" s="30"/>
      <c r="L230" s="30"/>
      <c r="M230" s="30"/>
      <c r="N230" s="30"/>
      <c r="O230" s="163"/>
      <c r="P230" s="163"/>
      <c r="Q230" s="163"/>
      <c r="R230" s="163"/>
      <c r="S230" s="163"/>
      <c r="T230" s="163"/>
      <c r="U230" s="163"/>
      <c r="V230" s="163"/>
      <c r="W230" s="163"/>
      <c r="X230" s="163"/>
      <c r="Y230" s="163"/>
      <c r="Z230" s="163"/>
      <c r="AA230" s="163"/>
      <c r="AB230" s="163"/>
      <c r="AC230" s="163"/>
      <c r="AD230" s="163"/>
      <c r="AE230" s="163"/>
      <c r="AF230" s="163"/>
      <c r="AG230" s="163"/>
      <c r="AH230" s="163"/>
      <c r="AI230" s="163"/>
      <c r="AJ230" s="163"/>
      <c r="AK230" s="163"/>
      <c r="AL230" s="163"/>
      <c r="AM230" s="163"/>
      <c r="AN230" s="163"/>
      <c r="AO230" s="163"/>
      <c r="AP230" s="163"/>
      <c r="AQ230" s="163"/>
      <c r="AR230" s="163"/>
      <c r="AS230" s="163"/>
      <c r="AT230" s="163"/>
      <c r="AU230" s="163"/>
      <c r="AV230" s="163"/>
      <c r="AW230" s="163"/>
      <c r="AX230" s="163"/>
      <c r="AY230" s="163"/>
      <c r="AZ230" s="163"/>
      <c r="BA230" s="163"/>
      <c r="BB230" s="163"/>
      <c r="BC230" s="163"/>
      <c r="BD230" s="163"/>
      <c r="BE230" s="163"/>
      <c r="BF230" s="163"/>
      <c r="BG230" s="163"/>
      <c r="BH230" s="163"/>
      <c r="BI230" s="163"/>
    </row>
    <row r="231" ht="15.75" customHeight="1">
      <c r="A231" s="37"/>
      <c r="B231" s="30"/>
      <c r="C231" s="30"/>
      <c r="D231" s="84"/>
      <c r="E231" s="30"/>
      <c r="F231" s="30"/>
      <c r="G231" s="30"/>
      <c r="H231" s="30"/>
      <c r="I231" s="30"/>
      <c r="J231" s="30"/>
      <c r="K231" s="30"/>
      <c r="L231" s="30"/>
      <c r="M231" s="30"/>
      <c r="N231" s="30"/>
      <c r="O231" s="163"/>
      <c r="P231" s="163"/>
      <c r="Q231" s="163"/>
      <c r="R231" s="163"/>
      <c r="S231" s="163"/>
      <c r="T231" s="163"/>
      <c r="U231" s="163"/>
      <c r="V231" s="163"/>
      <c r="W231" s="163"/>
      <c r="X231" s="163"/>
      <c r="Y231" s="163"/>
      <c r="Z231" s="163"/>
      <c r="AA231" s="163"/>
      <c r="AB231" s="163"/>
      <c r="AC231" s="163"/>
      <c r="AD231" s="163"/>
      <c r="AE231" s="163"/>
      <c r="AF231" s="163"/>
      <c r="AG231" s="163"/>
      <c r="AH231" s="163"/>
      <c r="AI231" s="163"/>
      <c r="AJ231" s="163"/>
      <c r="AK231" s="163"/>
      <c r="AL231" s="163"/>
      <c r="AM231" s="163"/>
      <c r="AN231" s="163"/>
      <c r="AO231" s="163"/>
      <c r="AP231" s="163"/>
      <c r="AQ231" s="163"/>
      <c r="AR231" s="163"/>
      <c r="AS231" s="163"/>
      <c r="AT231" s="163"/>
      <c r="AU231" s="163"/>
      <c r="AV231" s="163"/>
      <c r="AW231" s="163"/>
      <c r="AX231" s="163"/>
      <c r="AY231" s="163"/>
      <c r="AZ231" s="163"/>
      <c r="BA231" s="163"/>
      <c r="BB231" s="163"/>
      <c r="BC231" s="163"/>
      <c r="BD231" s="163"/>
      <c r="BE231" s="163"/>
      <c r="BF231" s="163"/>
      <c r="BG231" s="163"/>
      <c r="BH231" s="163"/>
      <c r="BI231" s="163"/>
    </row>
    <row r="232" ht="15.75" customHeight="1">
      <c r="A232" s="37"/>
      <c r="B232" s="30"/>
      <c r="C232" s="30"/>
      <c r="D232" s="84"/>
      <c r="E232" s="30"/>
      <c r="F232" s="30"/>
      <c r="G232" s="30"/>
      <c r="H232" s="30"/>
      <c r="I232" s="30"/>
      <c r="J232" s="30"/>
      <c r="K232" s="30"/>
      <c r="L232" s="30"/>
      <c r="M232" s="30"/>
      <c r="N232" s="30"/>
      <c r="O232" s="163"/>
      <c r="P232" s="163"/>
      <c r="Q232" s="163"/>
      <c r="R232" s="163"/>
      <c r="S232" s="163"/>
      <c r="T232" s="163"/>
      <c r="U232" s="163"/>
      <c r="V232" s="163"/>
      <c r="W232" s="163"/>
      <c r="X232" s="163"/>
      <c r="Y232" s="163"/>
      <c r="Z232" s="163"/>
      <c r="AA232" s="163"/>
      <c r="AB232" s="163"/>
      <c r="AC232" s="163"/>
      <c r="AD232" s="163"/>
      <c r="AE232" s="163"/>
      <c r="AF232" s="163"/>
      <c r="AG232" s="163"/>
      <c r="AH232" s="163"/>
      <c r="AI232" s="163"/>
      <c r="AJ232" s="163"/>
      <c r="AK232" s="163"/>
      <c r="AL232" s="163"/>
      <c r="AM232" s="163"/>
      <c r="AN232" s="163"/>
      <c r="AO232" s="163"/>
      <c r="AP232" s="163"/>
      <c r="AQ232" s="163"/>
      <c r="AR232" s="163"/>
      <c r="AS232" s="163"/>
      <c r="AT232" s="163"/>
      <c r="AU232" s="163"/>
      <c r="AV232" s="163"/>
      <c r="AW232" s="163"/>
      <c r="AX232" s="163"/>
      <c r="AY232" s="163"/>
      <c r="AZ232" s="163"/>
      <c r="BA232" s="163"/>
      <c r="BB232" s="163"/>
      <c r="BC232" s="163"/>
      <c r="BD232" s="163"/>
      <c r="BE232" s="163"/>
      <c r="BF232" s="163"/>
      <c r="BG232" s="163"/>
      <c r="BH232" s="163"/>
      <c r="BI232" s="163"/>
    </row>
    <row r="233" ht="15.75" customHeight="1">
      <c r="A233" s="37"/>
      <c r="B233" s="30"/>
      <c r="C233" s="30"/>
      <c r="D233" s="84"/>
      <c r="E233" s="30"/>
      <c r="F233" s="30"/>
      <c r="G233" s="30"/>
      <c r="H233" s="30"/>
      <c r="I233" s="30"/>
      <c r="J233" s="30"/>
      <c r="K233" s="30"/>
      <c r="L233" s="30"/>
      <c r="M233" s="30"/>
      <c r="N233" s="30"/>
      <c r="O233" s="163"/>
      <c r="P233" s="163"/>
      <c r="Q233" s="163"/>
      <c r="R233" s="163"/>
      <c r="S233" s="163"/>
      <c r="T233" s="163"/>
      <c r="U233" s="163"/>
      <c r="V233" s="163"/>
      <c r="W233" s="163"/>
      <c r="X233" s="163"/>
      <c r="Y233" s="163"/>
      <c r="Z233" s="163"/>
      <c r="AA233" s="163"/>
      <c r="AB233" s="163"/>
      <c r="AC233" s="163"/>
      <c r="AD233" s="163"/>
      <c r="AE233" s="163"/>
      <c r="AF233" s="163"/>
      <c r="AG233" s="163"/>
      <c r="AH233" s="163"/>
      <c r="AI233" s="163"/>
      <c r="AJ233" s="163"/>
      <c r="AK233" s="163"/>
      <c r="AL233" s="163"/>
      <c r="AM233" s="163"/>
      <c r="AN233" s="163"/>
      <c r="AO233" s="163"/>
      <c r="AP233" s="163"/>
      <c r="AQ233" s="163"/>
      <c r="AR233" s="163"/>
      <c r="AS233" s="163"/>
      <c r="AT233" s="163"/>
      <c r="AU233" s="163"/>
      <c r="AV233" s="163"/>
      <c r="AW233" s="163"/>
      <c r="AX233" s="163"/>
      <c r="AY233" s="163"/>
      <c r="AZ233" s="163"/>
      <c r="BA233" s="163"/>
      <c r="BB233" s="163"/>
      <c r="BC233" s="163"/>
      <c r="BD233" s="163"/>
      <c r="BE233" s="163"/>
      <c r="BF233" s="163"/>
      <c r="BG233" s="163"/>
      <c r="BH233" s="163"/>
      <c r="BI233" s="163"/>
    </row>
    <row r="234" ht="15.75" customHeight="1">
      <c r="A234" s="37"/>
      <c r="B234" s="30"/>
      <c r="C234" s="30"/>
      <c r="D234" s="84"/>
      <c r="E234" s="30"/>
      <c r="F234" s="30"/>
      <c r="G234" s="30"/>
      <c r="H234" s="30"/>
      <c r="I234" s="30"/>
      <c r="J234" s="30"/>
      <c r="K234" s="30"/>
      <c r="L234" s="30"/>
      <c r="M234" s="30"/>
      <c r="N234" s="30"/>
      <c r="O234" s="163"/>
      <c r="P234" s="163"/>
      <c r="Q234" s="163"/>
      <c r="R234" s="163"/>
      <c r="S234" s="163"/>
      <c r="T234" s="163"/>
      <c r="U234" s="163"/>
      <c r="V234" s="163"/>
      <c r="W234" s="163"/>
      <c r="X234" s="163"/>
      <c r="Y234" s="163"/>
      <c r="Z234" s="163"/>
      <c r="AA234" s="163"/>
      <c r="AB234" s="163"/>
      <c r="AC234" s="163"/>
      <c r="AD234" s="163"/>
      <c r="AE234" s="163"/>
      <c r="AF234" s="163"/>
      <c r="AG234" s="163"/>
      <c r="AH234" s="163"/>
      <c r="AI234" s="163"/>
      <c r="AJ234" s="163"/>
      <c r="AK234" s="163"/>
      <c r="AL234" s="163"/>
      <c r="AM234" s="163"/>
      <c r="AN234" s="163"/>
      <c r="AO234" s="163"/>
      <c r="AP234" s="163"/>
      <c r="AQ234" s="163"/>
      <c r="AR234" s="163"/>
      <c r="AS234" s="163"/>
      <c r="AT234" s="163"/>
      <c r="AU234" s="163"/>
      <c r="AV234" s="163"/>
      <c r="AW234" s="163"/>
      <c r="AX234" s="163"/>
      <c r="AY234" s="163"/>
      <c r="AZ234" s="163"/>
      <c r="BA234" s="163"/>
      <c r="BB234" s="163"/>
      <c r="BC234" s="163"/>
      <c r="BD234" s="163"/>
      <c r="BE234" s="163"/>
      <c r="BF234" s="163"/>
      <c r="BG234" s="163"/>
      <c r="BH234" s="163"/>
      <c r="BI234" s="163"/>
    </row>
    <row r="235" ht="15.75" customHeight="1">
      <c r="A235" s="37"/>
      <c r="B235" s="30"/>
      <c r="C235" s="30"/>
      <c r="D235" s="84"/>
      <c r="E235" s="30"/>
      <c r="F235" s="30"/>
      <c r="G235" s="30"/>
      <c r="H235" s="30"/>
      <c r="I235" s="30"/>
      <c r="J235" s="30"/>
      <c r="K235" s="30"/>
      <c r="L235" s="30"/>
      <c r="M235" s="30"/>
      <c r="N235" s="30"/>
      <c r="O235" s="163"/>
      <c r="P235" s="163"/>
      <c r="Q235" s="163"/>
      <c r="R235" s="163"/>
      <c r="S235" s="163"/>
      <c r="T235" s="163"/>
      <c r="U235" s="163"/>
      <c r="V235" s="163"/>
      <c r="W235" s="163"/>
      <c r="X235" s="163"/>
      <c r="Y235" s="163"/>
      <c r="Z235" s="163"/>
      <c r="AA235" s="163"/>
      <c r="AB235" s="163"/>
      <c r="AC235" s="163"/>
      <c r="AD235" s="163"/>
      <c r="AE235" s="163"/>
      <c r="AF235" s="163"/>
      <c r="AG235" s="163"/>
      <c r="AH235" s="163"/>
      <c r="AI235" s="163"/>
      <c r="AJ235" s="163"/>
      <c r="AK235" s="163"/>
      <c r="AL235" s="163"/>
      <c r="AM235" s="163"/>
      <c r="AN235" s="163"/>
      <c r="AO235" s="163"/>
      <c r="AP235" s="163"/>
      <c r="AQ235" s="163"/>
      <c r="AR235" s="163"/>
      <c r="AS235" s="163"/>
      <c r="AT235" s="163"/>
      <c r="AU235" s="163"/>
      <c r="AV235" s="163"/>
      <c r="AW235" s="163"/>
      <c r="AX235" s="163"/>
      <c r="AY235" s="163"/>
      <c r="AZ235" s="163"/>
      <c r="BA235" s="163"/>
      <c r="BB235" s="163"/>
      <c r="BC235" s="163"/>
      <c r="BD235" s="163"/>
      <c r="BE235" s="163"/>
      <c r="BF235" s="163"/>
      <c r="BG235" s="163"/>
      <c r="BH235" s="163"/>
      <c r="BI235" s="163"/>
    </row>
    <row r="236" ht="15.75" customHeight="1">
      <c r="A236" s="37"/>
      <c r="B236" s="30"/>
      <c r="C236" s="30"/>
      <c r="D236" s="84"/>
      <c r="E236" s="30"/>
      <c r="F236" s="30"/>
      <c r="G236" s="30"/>
      <c r="H236" s="30"/>
      <c r="I236" s="30"/>
      <c r="J236" s="30"/>
      <c r="K236" s="30"/>
      <c r="L236" s="30"/>
      <c r="M236" s="30"/>
      <c r="N236" s="30"/>
      <c r="O236" s="163"/>
      <c r="P236" s="163"/>
      <c r="Q236" s="163"/>
      <c r="R236" s="163"/>
      <c r="S236" s="163"/>
      <c r="T236" s="163"/>
      <c r="U236" s="163"/>
      <c r="V236" s="163"/>
      <c r="W236" s="163"/>
      <c r="X236" s="163"/>
      <c r="Y236" s="163"/>
      <c r="Z236" s="163"/>
      <c r="AA236" s="163"/>
      <c r="AB236" s="163"/>
      <c r="AC236" s="163"/>
      <c r="AD236" s="163"/>
      <c r="AE236" s="163"/>
      <c r="AF236" s="163"/>
      <c r="AG236" s="163"/>
      <c r="AH236" s="163"/>
      <c r="AI236" s="163"/>
      <c r="AJ236" s="163"/>
      <c r="AK236" s="163"/>
      <c r="AL236" s="163"/>
      <c r="AM236" s="163"/>
      <c r="AN236" s="163"/>
      <c r="AO236" s="163"/>
      <c r="AP236" s="163"/>
      <c r="AQ236" s="163"/>
      <c r="AR236" s="163"/>
      <c r="AS236" s="163"/>
      <c r="AT236" s="163"/>
      <c r="AU236" s="163"/>
      <c r="AV236" s="163"/>
      <c r="AW236" s="163"/>
      <c r="AX236" s="163"/>
      <c r="AY236" s="163"/>
      <c r="AZ236" s="163"/>
      <c r="BA236" s="163"/>
      <c r="BB236" s="163"/>
      <c r="BC236" s="163"/>
      <c r="BD236" s="163"/>
      <c r="BE236" s="163"/>
      <c r="BF236" s="163"/>
      <c r="BG236" s="163"/>
      <c r="BH236" s="163"/>
      <c r="BI236" s="163"/>
    </row>
    <row r="237" ht="15.75" customHeight="1">
      <c r="A237" s="37"/>
      <c r="B237" s="30"/>
      <c r="C237" s="30"/>
      <c r="D237" s="84"/>
      <c r="E237" s="30"/>
      <c r="F237" s="30"/>
      <c r="G237" s="30"/>
      <c r="H237" s="30"/>
      <c r="I237" s="30"/>
      <c r="J237" s="30"/>
      <c r="K237" s="30"/>
      <c r="L237" s="30"/>
      <c r="M237" s="30"/>
      <c r="N237" s="30"/>
      <c r="O237" s="163"/>
      <c r="P237" s="163"/>
      <c r="Q237" s="163"/>
      <c r="R237" s="163"/>
      <c r="S237" s="163"/>
      <c r="T237" s="163"/>
      <c r="U237" s="163"/>
      <c r="V237" s="163"/>
      <c r="W237" s="163"/>
      <c r="X237" s="163"/>
      <c r="Y237" s="163"/>
      <c r="Z237" s="163"/>
      <c r="AA237" s="163"/>
      <c r="AB237" s="163"/>
      <c r="AC237" s="163"/>
      <c r="AD237" s="163"/>
      <c r="AE237" s="163"/>
      <c r="AF237" s="163"/>
      <c r="AG237" s="163"/>
      <c r="AH237" s="163"/>
      <c r="AI237" s="163"/>
      <c r="AJ237" s="163"/>
      <c r="AK237" s="163"/>
      <c r="AL237" s="163"/>
      <c r="AM237" s="163"/>
      <c r="AN237" s="163"/>
      <c r="AO237" s="163"/>
      <c r="AP237" s="163"/>
      <c r="AQ237" s="163"/>
      <c r="AR237" s="163"/>
      <c r="AS237" s="163"/>
      <c r="AT237" s="163"/>
      <c r="AU237" s="163"/>
      <c r="AV237" s="163"/>
      <c r="AW237" s="163"/>
      <c r="AX237" s="163"/>
      <c r="AY237" s="163"/>
      <c r="AZ237" s="163"/>
      <c r="BA237" s="163"/>
      <c r="BB237" s="163"/>
      <c r="BC237" s="163"/>
      <c r="BD237" s="163"/>
      <c r="BE237" s="163"/>
      <c r="BF237" s="163"/>
      <c r="BG237" s="163"/>
      <c r="BH237" s="163"/>
      <c r="BI237" s="163"/>
    </row>
    <row r="238" ht="15.75" customHeight="1">
      <c r="A238" s="37"/>
      <c r="B238" s="30"/>
      <c r="C238" s="30"/>
      <c r="D238" s="84"/>
      <c r="E238" s="30"/>
      <c r="F238" s="30"/>
      <c r="G238" s="30"/>
      <c r="H238" s="30"/>
      <c r="I238" s="30"/>
      <c r="J238" s="30"/>
      <c r="K238" s="30"/>
      <c r="L238" s="30"/>
      <c r="M238" s="30"/>
      <c r="N238" s="30"/>
      <c r="O238" s="163"/>
      <c r="P238" s="163"/>
      <c r="Q238" s="163"/>
      <c r="R238" s="163"/>
      <c r="S238" s="163"/>
      <c r="T238" s="163"/>
      <c r="U238" s="163"/>
      <c r="V238" s="163"/>
      <c r="W238" s="163"/>
      <c r="X238" s="163"/>
      <c r="Y238" s="163"/>
      <c r="Z238" s="163"/>
      <c r="AA238" s="163"/>
      <c r="AB238" s="163"/>
      <c r="AC238" s="163"/>
      <c r="AD238" s="163"/>
      <c r="AE238" s="163"/>
      <c r="AF238" s="163"/>
      <c r="AG238" s="163"/>
      <c r="AH238" s="163"/>
      <c r="AI238" s="163"/>
      <c r="AJ238" s="163"/>
      <c r="AK238" s="163"/>
      <c r="AL238" s="163"/>
      <c r="AM238" s="163"/>
      <c r="AN238" s="163"/>
      <c r="AO238" s="163"/>
      <c r="AP238" s="163"/>
      <c r="AQ238" s="163"/>
      <c r="AR238" s="163"/>
      <c r="AS238" s="163"/>
      <c r="AT238" s="163"/>
      <c r="AU238" s="163"/>
      <c r="AV238" s="163"/>
      <c r="AW238" s="163"/>
      <c r="AX238" s="163"/>
      <c r="AY238" s="163"/>
      <c r="AZ238" s="163"/>
      <c r="BA238" s="163"/>
      <c r="BB238" s="163"/>
      <c r="BC238" s="163"/>
      <c r="BD238" s="163"/>
      <c r="BE238" s="163"/>
      <c r="BF238" s="163"/>
      <c r="BG238" s="163"/>
      <c r="BH238" s="163"/>
      <c r="BI238" s="163"/>
    </row>
    <row r="239" ht="15.75" customHeight="1">
      <c r="A239" s="37"/>
      <c r="B239" s="30"/>
      <c r="C239" s="30"/>
      <c r="D239" s="84"/>
      <c r="E239" s="30"/>
      <c r="F239" s="30"/>
      <c r="G239" s="30"/>
      <c r="H239" s="30"/>
      <c r="I239" s="30"/>
      <c r="J239" s="30"/>
      <c r="K239" s="30"/>
      <c r="L239" s="30"/>
      <c r="M239" s="30"/>
      <c r="N239" s="30"/>
      <c r="O239" s="163"/>
      <c r="P239" s="163"/>
      <c r="Q239" s="163"/>
      <c r="R239" s="163"/>
      <c r="S239" s="163"/>
      <c r="T239" s="163"/>
      <c r="U239" s="163"/>
      <c r="V239" s="163"/>
      <c r="W239" s="163"/>
      <c r="X239" s="163"/>
      <c r="Y239" s="163"/>
      <c r="Z239" s="163"/>
      <c r="AA239" s="163"/>
      <c r="AB239" s="163"/>
      <c r="AC239" s="163"/>
      <c r="AD239" s="163"/>
      <c r="AE239" s="163"/>
      <c r="AF239" s="163"/>
      <c r="AG239" s="163"/>
      <c r="AH239" s="163"/>
      <c r="AI239" s="163"/>
      <c r="AJ239" s="163"/>
      <c r="AK239" s="163"/>
      <c r="AL239" s="163"/>
      <c r="AM239" s="163"/>
      <c r="AN239" s="163"/>
      <c r="AO239" s="163"/>
      <c r="AP239" s="163"/>
      <c r="AQ239" s="163"/>
      <c r="AR239" s="163"/>
      <c r="AS239" s="163"/>
      <c r="AT239" s="163"/>
      <c r="AU239" s="163"/>
      <c r="AV239" s="163"/>
      <c r="AW239" s="163"/>
      <c r="AX239" s="163"/>
      <c r="AY239" s="163"/>
      <c r="AZ239" s="163"/>
      <c r="BA239" s="163"/>
      <c r="BB239" s="163"/>
      <c r="BC239" s="163"/>
      <c r="BD239" s="163"/>
      <c r="BE239" s="163"/>
      <c r="BF239" s="163"/>
      <c r="BG239" s="163"/>
      <c r="BH239" s="163"/>
      <c r="BI239" s="163"/>
    </row>
    <row r="240" ht="15.75" customHeight="1">
      <c r="A240" s="37"/>
      <c r="B240" s="30"/>
      <c r="C240" s="30"/>
      <c r="D240" s="84"/>
      <c r="E240" s="30"/>
      <c r="F240" s="30"/>
      <c r="G240" s="30"/>
      <c r="H240" s="30"/>
      <c r="I240" s="30"/>
      <c r="J240" s="30"/>
      <c r="K240" s="30"/>
      <c r="L240" s="30"/>
      <c r="M240" s="30"/>
      <c r="N240" s="30"/>
      <c r="O240" s="163"/>
      <c r="P240" s="163"/>
      <c r="Q240" s="163"/>
      <c r="R240" s="163"/>
      <c r="S240" s="163"/>
      <c r="T240" s="163"/>
      <c r="U240" s="163"/>
      <c r="V240" s="163"/>
      <c r="W240" s="163"/>
      <c r="X240" s="163"/>
      <c r="Y240" s="163"/>
      <c r="Z240" s="163"/>
      <c r="AA240" s="163"/>
      <c r="AB240" s="163"/>
      <c r="AC240" s="163"/>
      <c r="AD240" s="163"/>
      <c r="AE240" s="163"/>
      <c r="AF240" s="163"/>
      <c r="AG240" s="163"/>
      <c r="AH240" s="163"/>
      <c r="AI240" s="163"/>
      <c r="AJ240" s="163"/>
      <c r="AK240" s="163"/>
      <c r="AL240" s="163"/>
      <c r="AM240" s="163"/>
      <c r="AN240" s="163"/>
      <c r="AO240" s="163"/>
      <c r="AP240" s="163"/>
      <c r="AQ240" s="163"/>
      <c r="AR240" s="163"/>
      <c r="AS240" s="163"/>
      <c r="AT240" s="163"/>
      <c r="AU240" s="163"/>
      <c r="AV240" s="163"/>
      <c r="AW240" s="163"/>
      <c r="AX240" s="163"/>
      <c r="AY240" s="163"/>
      <c r="AZ240" s="163"/>
      <c r="BA240" s="163"/>
      <c r="BB240" s="163"/>
      <c r="BC240" s="163"/>
      <c r="BD240" s="163"/>
      <c r="BE240" s="163"/>
      <c r="BF240" s="163"/>
      <c r="BG240" s="163"/>
      <c r="BH240" s="163"/>
      <c r="BI240" s="163"/>
    </row>
    <row r="241" ht="15.75" customHeight="1">
      <c r="A241" s="37"/>
      <c r="B241" s="30"/>
      <c r="C241" s="30"/>
      <c r="D241" s="84"/>
      <c r="E241" s="30"/>
      <c r="F241" s="30"/>
      <c r="G241" s="30"/>
      <c r="H241" s="30"/>
      <c r="I241" s="30"/>
      <c r="J241" s="30"/>
      <c r="K241" s="30"/>
      <c r="L241" s="30"/>
      <c r="M241" s="30"/>
      <c r="N241" s="30"/>
      <c r="O241" s="163"/>
      <c r="P241" s="163"/>
      <c r="Q241" s="163"/>
      <c r="R241" s="163"/>
      <c r="S241" s="163"/>
      <c r="T241" s="163"/>
      <c r="U241" s="163"/>
      <c r="V241" s="163"/>
      <c r="W241" s="163"/>
      <c r="X241" s="163"/>
      <c r="Y241" s="163"/>
      <c r="Z241" s="163"/>
      <c r="AA241" s="163"/>
      <c r="AB241" s="163"/>
      <c r="AC241" s="163"/>
      <c r="AD241" s="163"/>
      <c r="AE241" s="163"/>
      <c r="AF241" s="163"/>
      <c r="AG241" s="163"/>
      <c r="AH241" s="163"/>
      <c r="AI241" s="163"/>
      <c r="AJ241" s="163"/>
      <c r="AK241" s="163"/>
      <c r="AL241" s="163"/>
      <c r="AM241" s="163"/>
      <c r="AN241" s="163"/>
      <c r="AO241" s="163"/>
      <c r="AP241" s="163"/>
      <c r="AQ241" s="163"/>
      <c r="AR241" s="163"/>
      <c r="AS241" s="163"/>
      <c r="AT241" s="163"/>
      <c r="AU241" s="163"/>
      <c r="AV241" s="163"/>
      <c r="AW241" s="163"/>
      <c r="AX241" s="163"/>
      <c r="AY241" s="163"/>
      <c r="AZ241" s="163"/>
      <c r="BA241" s="163"/>
      <c r="BB241" s="163"/>
      <c r="BC241" s="163"/>
      <c r="BD241" s="163"/>
      <c r="BE241" s="163"/>
      <c r="BF241" s="163"/>
      <c r="BG241" s="163"/>
      <c r="BH241" s="163"/>
      <c r="BI241" s="163"/>
    </row>
    <row r="242" ht="15.75" customHeight="1">
      <c r="A242" s="37"/>
      <c r="B242" s="30"/>
      <c r="C242" s="30"/>
      <c r="D242" s="84"/>
      <c r="E242" s="30"/>
      <c r="F242" s="30"/>
      <c r="G242" s="30"/>
      <c r="H242" s="30"/>
      <c r="I242" s="30"/>
      <c r="J242" s="30"/>
      <c r="K242" s="30"/>
      <c r="L242" s="30"/>
      <c r="M242" s="30"/>
      <c r="N242" s="30"/>
      <c r="O242" s="163"/>
      <c r="P242" s="163"/>
      <c r="Q242" s="163"/>
      <c r="R242" s="163"/>
      <c r="S242" s="163"/>
      <c r="T242" s="163"/>
      <c r="U242" s="163"/>
      <c r="V242" s="163"/>
      <c r="W242" s="163"/>
      <c r="X242" s="163"/>
      <c r="Y242" s="163"/>
      <c r="Z242" s="163"/>
      <c r="AA242" s="163"/>
      <c r="AB242" s="163"/>
      <c r="AC242" s="163"/>
      <c r="AD242" s="163"/>
      <c r="AE242" s="163"/>
      <c r="AF242" s="163"/>
      <c r="AG242" s="163"/>
      <c r="AH242" s="163"/>
      <c r="AI242" s="163"/>
      <c r="AJ242" s="163"/>
      <c r="AK242" s="163"/>
      <c r="AL242" s="163"/>
      <c r="AM242" s="163"/>
      <c r="AN242" s="163"/>
      <c r="AO242" s="163"/>
      <c r="AP242" s="163"/>
      <c r="AQ242" s="163"/>
      <c r="AR242" s="163"/>
      <c r="AS242" s="163"/>
      <c r="AT242" s="163"/>
      <c r="AU242" s="163"/>
      <c r="AV242" s="163"/>
      <c r="AW242" s="163"/>
      <c r="AX242" s="163"/>
      <c r="AY242" s="163"/>
      <c r="AZ242" s="163"/>
      <c r="BA242" s="163"/>
      <c r="BB242" s="163"/>
      <c r="BC242" s="163"/>
      <c r="BD242" s="163"/>
      <c r="BE242" s="163"/>
      <c r="BF242" s="163"/>
      <c r="BG242" s="163"/>
      <c r="BH242" s="163"/>
      <c r="BI242" s="163"/>
    </row>
    <row r="243" ht="15.75" customHeight="1">
      <c r="A243" s="37"/>
      <c r="B243" s="30"/>
      <c r="C243" s="30"/>
      <c r="D243" s="84"/>
      <c r="E243" s="30"/>
      <c r="F243" s="30"/>
      <c r="G243" s="30"/>
      <c r="H243" s="30"/>
      <c r="I243" s="30"/>
      <c r="J243" s="30"/>
      <c r="K243" s="30"/>
      <c r="L243" s="30"/>
      <c r="M243" s="30"/>
      <c r="N243" s="30"/>
      <c r="O243" s="163"/>
      <c r="P243" s="163"/>
      <c r="Q243" s="163"/>
      <c r="R243" s="163"/>
      <c r="S243" s="163"/>
      <c r="T243" s="163"/>
      <c r="U243" s="163"/>
      <c r="V243" s="163"/>
      <c r="W243" s="163"/>
      <c r="X243" s="163"/>
      <c r="Y243" s="163"/>
      <c r="Z243" s="163"/>
      <c r="AA243" s="163"/>
      <c r="AB243" s="163"/>
      <c r="AC243" s="163"/>
      <c r="AD243" s="163"/>
      <c r="AE243" s="163"/>
      <c r="AF243" s="163"/>
      <c r="AG243" s="163"/>
      <c r="AH243" s="163"/>
      <c r="AI243" s="163"/>
      <c r="AJ243" s="163"/>
      <c r="AK243" s="163"/>
      <c r="AL243" s="163"/>
      <c r="AM243" s="163"/>
      <c r="AN243" s="163"/>
      <c r="AO243" s="163"/>
      <c r="AP243" s="163"/>
      <c r="AQ243" s="163"/>
      <c r="AR243" s="163"/>
      <c r="AS243" s="163"/>
      <c r="AT243" s="163"/>
      <c r="AU243" s="163"/>
      <c r="AV243" s="163"/>
      <c r="AW243" s="163"/>
      <c r="AX243" s="163"/>
      <c r="AY243" s="163"/>
      <c r="AZ243" s="163"/>
      <c r="BA243" s="163"/>
      <c r="BB243" s="163"/>
      <c r="BC243" s="163"/>
      <c r="BD243" s="163"/>
      <c r="BE243" s="163"/>
      <c r="BF243" s="163"/>
      <c r="BG243" s="163"/>
      <c r="BH243" s="163"/>
      <c r="BI243" s="16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4.43"/>
    <col customWidth="1" min="2" max="2" width="28.86"/>
    <col customWidth="1" min="3" max="3" width="14.43"/>
    <col customWidth="1" min="4" max="4" width="18.29"/>
    <col customWidth="1" min="5" max="6" width="14.43"/>
    <col customWidth="1" min="8" max="8" width="16.71"/>
  </cols>
  <sheetData>
    <row r="1">
      <c r="A1" s="279"/>
      <c r="B1" s="24" t="s">
        <v>314</v>
      </c>
      <c r="BE1" s="24"/>
      <c r="BF1" s="24"/>
      <c r="BG1" s="24"/>
      <c r="BH1" s="24"/>
      <c r="BI1" s="24"/>
      <c r="BJ1" s="24"/>
      <c r="BK1" s="24"/>
      <c r="BL1" s="24"/>
      <c r="BM1" s="24"/>
      <c r="BN1" s="24"/>
      <c r="BO1" s="24"/>
      <c r="BP1" s="24"/>
      <c r="BQ1" s="147"/>
    </row>
    <row r="2">
      <c r="A2" s="271" t="s">
        <v>66</v>
      </c>
      <c r="B2" s="271" t="s">
        <v>315</v>
      </c>
      <c r="C2" s="271" t="s">
        <v>316</v>
      </c>
      <c r="D2" s="271" t="s">
        <v>317</v>
      </c>
      <c r="E2" s="271" t="s">
        <v>167</v>
      </c>
      <c r="F2" s="271" t="s">
        <v>318</v>
      </c>
      <c r="G2" s="271" t="s">
        <v>319</v>
      </c>
      <c r="H2" s="271" t="s">
        <v>320</v>
      </c>
      <c r="I2" s="160">
        <v>45658.0</v>
      </c>
      <c r="J2" s="160">
        <v>45689.0</v>
      </c>
      <c r="K2" s="160">
        <v>45717.0</v>
      </c>
      <c r="L2" s="160">
        <v>45748.0</v>
      </c>
      <c r="M2" s="160">
        <v>45778.0</v>
      </c>
      <c r="N2" s="160">
        <v>45809.0</v>
      </c>
      <c r="O2" s="160">
        <v>45839.0</v>
      </c>
      <c r="P2" s="160">
        <v>45870.0</v>
      </c>
      <c r="Q2" s="160">
        <v>45901.0</v>
      </c>
      <c r="R2" s="160">
        <v>45931.0</v>
      </c>
      <c r="S2" s="160">
        <v>45962.0</v>
      </c>
      <c r="T2" s="160">
        <v>45992.0</v>
      </c>
      <c r="U2" s="160">
        <v>46023.0</v>
      </c>
      <c r="V2" s="160">
        <v>46054.0</v>
      </c>
      <c r="W2" s="160">
        <v>46082.0</v>
      </c>
      <c r="X2" s="160">
        <v>46113.0</v>
      </c>
      <c r="Y2" s="160">
        <v>46143.0</v>
      </c>
      <c r="Z2" s="160">
        <v>46174.0</v>
      </c>
      <c r="AA2" s="160">
        <v>46204.0</v>
      </c>
      <c r="AB2" s="160">
        <v>46235.0</v>
      </c>
      <c r="AC2" s="160">
        <v>46266.0</v>
      </c>
      <c r="AD2" s="160">
        <v>46296.0</v>
      </c>
      <c r="AE2" s="160">
        <v>46327.0</v>
      </c>
      <c r="AF2" s="160">
        <v>46357.0</v>
      </c>
      <c r="AG2" s="160">
        <v>46388.0</v>
      </c>
      <c r="AH2" s="160">
        <v>46419.0</v>
      </c>
      <c r="AI2" s="160">
        <v>46447.0</v>
      </c>
      <c r="AJ2" s="160">
        <v>46478.0</v>
      </c>
      <c r="AK2" s="160">
        <v>46508.0</v>
      </c>
      <c r="AL2" s="160">
        <v>46539.0</v>
      </c>
      <c r="AM2" s="160">
        <v>46569.0</v>
      </c>
      <c r="AN2" s="160">
        <v>46600.0</v>
      </c>
      <c r="AO2" s="160">
        <v>46631.0</v>
      </c>
      <c r="AP2" s="160">
        <v>46661.0</v>
      </c>
      <c r="AQ2" s="160">
        <v>46692.0</v>
      </c>
      <c r="AR2" s="160">
        <v>46722.0</v>
      </c>
      <c r="AS2" s="160">
        <v>46753.0</v>
      </c>
      <c r="AT2" s="160">
        <v>46784.0</v>
      </c>
      <c r="AU2" s="160">
        <v>46813.0</v>
      </c>
      <c r="AV2" s="160">
        <v>46844.0</v>
      </c>
      <c r="AW2" s="160">
        <v>46874.0</v>
      </c>
      <c r="AX2" s="160">
        <v>46905.0</v>
      </c>
      <c r="AY2" s="160">
        <v>46935.0</v>
      </c>
      <c r="AZ2" s="160">
        <v>46966.0</v>
      </c>
      <c r="BA2" s="160">
        <v>46997.0</v>
      </c>
      <c r="BB2" s="160">
        <v>47027.0</v>
      </c>
      <c r="BC2" s="160">
        <v>47058.0</v>
      </c>
      <c r="BD2" s="160">
        <v>47088.0</v>
      </c>
      <c r="BE2" s="160">
        <v>47119.0</v>
      </c>
      <c r="BF2" s="160">
        <v>47150.0</v>
      </c>
      <c r="BG2" s="160">
        <v>47178.0</v>
      </c>
      <c r="BH2" s="160">
        <v>47209.0</v>
      </c>
      <c r="BI2" s="160">
        <v>47239.0</v>
      </c>
      <c r="BJ2" s="160">
        <v>47270.0</v>
      </c>
      <c r="BK2" s="160">
        <v>47300.0</v>
      </c>
      <c r="BL2" s="160">
        <v>47331.0</v>
      </c>
      <c r="BM2" s="160">
        <v>47362.0</v>
      </c>
      <c r="BN2" s="160">
        <v>47392.0</v>
      </c>
      <c r="BO2" s="160">
        <v>47423.0</v>
      </c>
      <c r="BP2" s="160">
        <v>47453.0</v>
      </c>
      <c r="BQ2" s="44"/>
    </row>
    <row r="3">
      <c r="A3" s="280">
        <v>1.0</v>
      </c>
      <c r="B3" s="281" t="s">
        <v>321</v>
      </c>
      <c r="C3" s="26" t="s">
        <v>144</v>
      </c>
      <c r="D3" s="282" t="s">
        <v>322</v>
      </c>
      <c r="E3" s="26" t="s">
        <v>323</v>
      </c>
      <c r="F3" s="283">
        <v>45901.0</v>
      </c>
      <c r="G3" s="284"/>
      <c r="H3" s="285">
        <v>5500.0</v>
      </c>
      <c r="I3" s="286">
        <f>IF(AND(F3&lt;=DATE(2025,1,1),OR(G3="",G3&gt;=DATE(2025,1,1))),H3*(1+Assumptions!$C$7)^0,0)</f>
        <v>0</v>
      </c>
      <c r="J3" s="286">
        <f>IF(AND(F3&lt;=DATE(2025,2,1),OR(G3="",G3&gt;=DATE(2025,2,1))),H3*(1+Assumptions!$C$7)^0,0)</f>
        <v>0</v>
      </c>
      <c r="K3" s="286">
        <f>IF(AND(F3&lt;=DATE(2025,3,1),OR(G3="",G3&gt;=DATE(2025,3,1))),H3*(1+Assumptions!$C$7)^0,0)</f>
        <v>0</v>
      </c>
      <c r="L3" s="286">
        <f>IF(AND(F3&lt;=DATE(2025,4,1),OR(G3="",G3&gt;=DATE(2025,4,1))),H3*(1+Assumptions!$C$7)^0,0)</f>
        <v>0</v>
      </c>
      <c r="M3" s="286">
        <f>IF(AND(F3&lt;=DATE(2025,5,1),OR(G3="",G3&gt;=DATE(2025,5,1))),H3*(1+Assumptions!$C$7)^0,0)</f>
        <v>0</v>
      </c>
      <c r="N3" s="286">
        <f>IF(AND(F3&lt;=DATE(2025,6,1),OR(G3="",G3&gt;=DATE(2025,6,1))),H3*(1+Assumptions!$C$7)^0,0)</f>
        <v>0</v>
      </c>
      <c r="O3" s="286">
        <f>IF(AND(F3&lt;=DATE(2025,7,1),OR(G3="",G3&gt;=DATE(2025,7,1))),H3*(1+Assumptions!$C$7)^0,0)</f>
        <v>0</v>
      </c>
      <c r="P3" s="286">
        <f>IF(AND(F3&lt;=DATE(2025,8,1),OR(G3="",G3&gt;=DATE(2025,8,1))),H3*(1+Assumptions!$C$7)^0,0)</f>
        <v>0</v>
      </c>
      <c r="Q3" s="286">
        <f>IF(AND(F3&lt;=DATE(2025,9,1),OR(G3="",G3&gt;=DATE(2025,9,1))),H3*(1+Assumptions!$C$7)^0,0)</f>
        <v>5500</v>
      </c>
      <c r="R3" s="286">
        <f>IF(AND(F3&lt;=DATE(2025,10,1),OR(G3="",G3&gt;=DATE(2025,10,1))),H3*(1+Assumptions!$C$7)^0,0)</f>
        <v>5500</v>
      </c>
      <c r="S3" s="286">
        <f>IF(AND(F3&lt;=DATE(2025,11,1),OR(G3="",G3&gt;=DATE(2025,11,1))),H3*(1+Assumptions!$C$7)^0,0)</f>
        <v>5500</v>
      </c>
      <c r="T3" s="286">
        <f>IF(AND(F3&lt;=DATE(2025,12,1),OR(G3="",G3&gt;=DATE(2025,12,1))),H3*(1+Assumptions!$C$7)^0,0)</f>
        <v>5500</v>
      </c>
      <c r="U3" s="286">
        <f>IF(AND(F3&lt;=DATE(2026,1,1),OR(G3="",G3&gt;=DATE(2026,1,1))),H3*(1+Assumptions!$C$7)^1,0)</f>
        <v>5940</v>
      </c>
      <c r="V3" s="286">
        <f>IF(AND(F3&lt;=DATE(2026,2,1),OR(G3="",G3&gt;=DATE(2026,2,1))),H3*(1+Assumptions!$C$7)^1,0)</f>
        <v>5940</v>
      </c>
      <c r="W3" s="286">
        <f>IF(AND(F3&lt;=DATE(2026,3,1),OR(G3="",G3&gt;=DATE(2026,3,1))),H3*(1+Assumptions!$C$7)^1,0)</f>
        <v>5940</v>
      </c>
      <c r="X3" s="286">
        <f>IF(AND(F3&lt;=DATE(2026,4,1),OR(G3="",G3&gt;=DATE(2026,4,1))),H3*(1+Assumptions!$C$7)^1,0)</f>
        <v>5940</v>
      </c>
      <c r="Y3" s="286">
        <f>IF(AND(F3&lt;=DATE(2026,5,1),OR(G3="",G3&gt;=DATE(2026,5,1))),H3*(1+Assumptions!$C$7)^1,0)</f>
        <v>5940</v>
      </c>
      <c r="Z3" s="286">
        <f>IF(AND(F3&lt;=DATE(2026,6,1),OR(G3="",G3&gt;=DATE(2026,6,1))),H3*(1+Assumptions!$C$7)^1,0)</f>
        <v>5940</v>
      </c>
      <c r="AA3" s="286">
        <f>IF(AND(F3&lt;=DATE(2026,7,1),OR(G3="",G3&gt;=DATE(2026,7,1))),H3*(1+Assumptions!$C$7)^1,0)</f>
        <v>5940</v>
      </c>
      <c r="AB3" s="286">
        <f>IF(AND(F3&lt;=DATE(2026,8,1),OR(G3="",G3&gt;=DATE(2026,8,1))),H3*(1+Assumptions!$C$7)^1,0)</f>
        <v>5940</v>
      </c>
      <c r="AC3" s="286">
        <f>IF(AND(F3&lt;=DATE(2026,9,1),OR(G3="",G3&gt;=DATE(2026,9,1))),H3*(1+Assumptions!$C$7)^1,0)</f>
        <v>5940</v>
      </c>
      <c r="AD3" s="286">
        <f>IF(AND(F3&lt;=DATE(2026,10,1),OR(G3="",G3&gt;=DATE(2026,10,1))),H3*(1+Assumptions!$C$7)^1,0)</f>
        <v>5940</v>
      </c>
      <c r="AE3" s="286">
        <f>IF(AND(F3&lt;=DATE(2026,11,1),OR(G3="",G3&gt;=DATE(2026,11,1))),H3*(1+Assumptions!$C$7)^1,0)</f>
        <v>5940</v>
      </c>
      <c r="AF3" s="286">
        <f>IF(AND(F3&lt;=DATE(2026,12,1),OR(G3="",G3&gt;=DATE(2026,12,1))),H3*(1+Assumptions!$C$7)^1,0)</f>
        <v>5940</v>
      </c>
      <c r="AG3" s="286">
        <f>IF(AND(F3&lt;=DATE(2027,1,1),OR(G3="",G3&gt;=DATE(2027,1,1))),H3*(1+Assumptions!$C$7)^2,0)</f>
        <v>6415.2</v>
      </c>
      <c r="AH3" s="286">
        <f>IF(AND(F3&lt;=DATE(2027,2,1),OR(G3="",G3&gt;=DATE(2027,2,1))),H3*(1+Assumptions!$C$7)^2,0)</f>
        <v>6415.2</v>
      </c>
      <c r="AI3" s="286">
        <f>IF(AND(F3&lt;=DATE(2027,3,1),OR(G3="",G3&gt;=DATE(2027,3,1))),H3*(1+Assumptions!$C$7)^2,0)</f>
        <v>6415.2</v>
      </c>
      <c r="AJ3" s="286">
        <f>IF(AND(F3&lt;=DATE(2027,4,1),OR(G3="",G3&gt;=DATE(2027,4,1))),H3*(1+Assumptions!$C$7)^2,0)</f>
        <v>6415.2</v>
      </c>
      <c r="AK3" s="286">
        <f>IF(AND(F3&lt;=DATE(2027,5,1),OR(G3="",G3&gt;=DATE(2027,5,1))),H3*(1+Assumptions!$C$7)^2,0)</f>
        <v>6415.2</v>
      </c>
      <c r="AL3" s="286">
        <f>IF(AND(F3&lt;=DATE(2027,6,1),OR(G3="",G3&gt;=DATE(2027,6,1))),H3*(1+Assumptions!$C$7)^2,0)</f>
        <v>6415.2</v>
      </c>
      <c r="AM3" s="286">
        <f>IF(AND(F3&lt;=DATE(2027,7,1),OR(G3="",G3&gt;=DATE(2027,7,1))),H3*(1+Assumptions!$C$7)^2,0)</f>
        <v>6415.2</v>
      </c>
      <c r="AN3" s="286">
        <f>IF(AND(F3&lt;=DATE(2027,8,1),OR(G3="",G3&gt;=DATE(2027,8,1))),H3*(1+Assumptions!$C$7)^2,0)</f>
        <v>6415.2</v>
      </c>
      <c r="AO3" s="286">
        <f>IF(AND(F3&lt;=DATE(2027,9,1),OR(G3="",G3&gt;=DATE(2027,9,1))),H3*(1+Assumptions!$C$7)^2,0)</f>
        <v>6415.2</v>
      </c>
      <c r="AP3" s="286">
        <f>IF(AND(F3&lt;=DATE(2027,10,1),OR(G3="",G3&gt;=DATE(2027,10,1))),H3*(1+Assumptions!$C$7)^2,0)</f>
        <v>6415.2</v>
      </c>
      <c r="AQ3" s="286">
        <f>IF(AND(F3&lt;=DATE(2027,11,1),OR(G3="",G3&gt;=DATE(2027,11,1))),H3*(1+Assumptions!$C$7)^2,0)</f>
        <v>6415.2</v>
      </c>
      <c r="AR3" s="286">
        <f>IF(AND(F3&lt;=DATE(2027,12,1),OR(G3="",G3&gt;=DATE(2027,12,1))),H3*(1+Assumptions!$C$7)^2,0)</f>
        <v>6415.2</v>
      </c>
      <c r="AS3" s="286">
        <f>IF(AND(F3&lt;=DATE(2028,1,1),OR(G3="",G3&gt;=DATE(2028,1,1))),H3*(1+Assumptions!$C$7)^3,0)</f>
        <v>6928.416</v>
      </c>
      <c r="AT3" s="286">
        <f>IF(AND(F3&lt;=DATE(2028,2,1),OR(G3="",G3&gt;=DATE(2028,2,1))),H3*(1+Assumptions!$C$7)^3,0)</f>
        <v>6928.416</v>
      </c>
      <c r="AU3" s="286">
        <f>IF(AND(F3&lt;=DATE(2028,3,1),OR(G3="",G3&gt;=DATE(2028,3,1))),H3*(1+Assumptions!$C$7)^3,0)</f>
        <v>6928.416</v>
      </c>
      <c r="AV3" s="286">
        <f>IF(AND(F3&lt;=DATE(2028,4,1),OR(G3="",G3&gt;=DATE(2028,4,1))),H3*(1+Assumptions!$C$7)^3,0)</f>
        <v>6928.416</v>
      </c>
      <c r="AW3" s="286">
        <f>IF(AND(F3&lt;=DATE(2028,5,1),OR(G3="",G3&gt;=DATE(2028,5,1))),H3*(1+Assumptions!$C$7)^3,0)</f>
        <v>6928.416</v>
      </c>
      <c r="AX3" s="286">
        <f>IF(AND(F3&lt;=DATE(2028,6,1),OR(G3="",G3&gt;=DATE(2028,6,1))),H3*(1+Assumptions!$C$7)^3,0)</f>
        <v>6928.416</v>
      </c>
      <c r="AY3" s="286">
        <f>IF(AND(F3&lt;=DATE(2028,7,1),OR(G3="",G3&gt;=DATE(2028,7,1))),H3*(1+Assumptions!$C$7)^3,0)</f>
        <v>6928.416</v>
      </c>
      <c r="AZ3" s="286">
        <f>IF(AND(F3&lt;=DATE(2028,8,1),OR(G3="",G3&gt;=DATE(2028,8,1))),H3*(1+Assumptions!$C$7)^3,0)</f>
        <v>6928.416</v>
      </c>
      <c r="BA3" s="286">
        <f>IF(AND(F3&lt;=DATE(2028,9,1),OR(G3="",G3&gt;=DATE(2028,9,1))),H3*(1+Assumptions!$C$7)^3,0)</f>
        <v>6928.416</v>
      </c>
      <c r="BB3" s="286">
        <f>IF(AND(F3&lt;=DATE(2028,10,1),OR(G3="",G3&gt;=DATE(2028,10,1))),H3*(1+Assumptions!$C$7)^3,0)</f>
        <v>6928.416</v>
      </c>
      <c r="BC3" s="286">
        <f>IF(AND(F3&lt;=DATE(2028,11,1),OR(G3="",G3&gt;=DATE(2028,11,1))),H3*(1+Assumptions!$C$7)^3,0)</f>
        <v>6928.416</v>
      </c>
      <c r="BD3" s="286">
        <f>IF(AND(F3&lt;=DATE(2028,12,1),OR(G3="",G3&gt;=DATE(2028,12,1))),H3*(1+Assumptions!$C$7)^3,0)</f>
        <v>6928.416</v>
      </c>
      <c r="BE3" s="286">
        <f>IF(AND(F3&lt;=DATE(2029,1,1),OR(G3="",G3&gt;=DATE(2029,1,1))),H3*(1+Assumptions!$C$7)^4,0)</f>
        <v>7482.68928</v>
      </c>
      <c r="BF3" s="286">
        <f>IF(AND(F3&lt;=DATE(2029,2,1),OR(G3="",G3&gt;=DATE(2029,2,1))),H3*(1+Assumptions!$C$7)^4,0)</f>
        <v>7482.68928</v>
      </c>
      <c r="BG3" s="286">
        <f>IF(AND(F3&lt;=DATE(2029,3,1),OR(G3="",G3&gt;=DATE(2029,3,1))),H3*(1+Assumptions!$C$7)^4,0)</f>
        <v>7482.68928</v>
      </c>
      <c r="BH3" s="286">
        <f>IF(AND(F3&lt;=DATE(2029,4,1),OR(G3="",G3&gt;=DATE(2029,4,1))),H3*(1+Assumptions!$C$7)^4,0)</f>
        <v>7482.68928</v>
      </c>
      <c r="BI3" s="286">
        <f>IF(AND(F3&lt;=DATE(2029,5,1),OR(G3="",G3&gt;=DATE(2029,5,1))),H3*(1+Assumptions!$C$7)^4,0)</f>
        <v>7482.68928</v>
      </c>
      <c r="BJ3" s="286">
        <f>IF(AND(F3&lt;=DATE(2029,6,1),OR(G3="",G3&gt;=DATE(2029,6,1))),H3*(1+Assumptions!$C$7)^4,0)</f>
        <v>7482.68928</v>
      </c>
      <c r="BK3" s="286">
        <f>IF(AND(F3&lt;=DATE(2029,7,1),OR(G3="",G3&gt;=DATE(2029,7,1))),H3*(1+Assumptions!$C$7)^4,0)</f>
        <v>7482.68928</v>
      </c>
      <c r="BL3" s="286">
        <f>IF(AND(F3&lt;=DATE(2029,8,1),OR(G3="",G3&gt;=DATE(2029,8,1))),H3*(1+Assumptions!$C$7)^4,0)</f>
        <v>7482.68928</v>
      </c>
      <c r="BM3" s="286">
        <f>IF(AND(F3&lt;=DATE(2029,9,1),OR(G3="",G3&gt;=DATE(2029,9,1))),H3*(1+Assumptions!$C$7)^4,0)</f>
        <v>7482.68928</v>
      </c>
      <c r="BN3" s="286">
        <f>IF(AND(F3&lt;=DATE(2029,10,1),OR(G3="",G3&gt;=DATE(2029,10,1))),H3*(1+Assumptions!$C$7)^4,0)</f>
        <v>7482.68928</v>
      </c>
      <c r="BO3" s="286">
        <f>IF(AND(F3&lt;=DATE(2029,11,1),OR(G3="",G3&gt;=DATE(2029,11,1))),H3*(1+Assumptions!$C$7)^4,0)</f>
        <v>7482.68928</v>
      </c>
      <c r="BP3" s="286">
        <f>IF(AND(F3&lt;=DATE(2029,12,1),OR(G3="",G3&gt;=DATE(2029,12,1))),H3*(1+Assumptions!$C$7)^4,0)</f>
        <v>7482.68928</v>
      </c>
      <c r="BQ3" s="287"/>
    </row>
    <row r="4">
      <c r="A4" s="288">
        <v>2.0</v>
      </c>
      <c r="B4" s="281" t="s">
        <v>324</v>
      </c>
      <c r="C4" s="282" t="s">
        <v>144</v>
      </c>
      <c r="D4" s="282" t="s">
        <v>321</v>
      </c>
      <c r="E4" s="289" t="s">
        <v>323</v>
      </c>
      <c r="F4" s="283">
        <v>45901.0</v>
      </c>
      <c r="G4" s="290"/>
      <c r="H4" s="285">
        <v>7500.0</v>
      </c>
      <c r="I4" s="291">
        <f>IF(AND(F4&lt;=DATE(2025,1,1),OR(G4="",G4&gt;=DATE(2025,1,1))),H4*(1+Assumptions!$C$7)^0,0)</f>
        <v>0</v>
      </c>
      <c r="J4" s="291">
        <f>IF(AND(F4&lt;=DATE(2025,2,1),OR(G4="",G4&gt;=DATE(2025,2,1))),H4*(1+Assumptions!$C$7)^0,0)</f>
        <v>0</v>
      </c>
      <c r="K4" s="291">
        <f>IF(AND(F4&lt;=DATE(2025,3,1),OR(G4="",G4&gt;=DATE(2025,3,1))),H4*(1+Assumptions!$C$7)^0,0)</f>
        <v>0</v>
      </c>
      <c r="L4" s="291">
        <f>IF(AND(F4&lt;=DATE(2025,4,1),OR(G4="",G4&gt;=DATE(2025,4,1))),H4*(1+Assumptions!$C$7)^0,0)</f>
        <v>0</v>
      </c>
      <c r="M4" s="291">
        <f>IF(AND(F4&lt;=DATE(2025,5,1),OR(G4="",G4&gt;=DATE(2025,5,1))),H4*(1+Assumptions!$C$7)^0,0)</f>
        <v>0</v>
      </c>
      <c r="N4" s="291">
        <f>IF(AND(F4&lt;=DATE(2025,6,1),OR(G4="",G4&gt;=DATE(2025,6,1))),H4*(1+Assumptions!$C$7)^0,0)</f>
        <v>0</v>
      </c>
      <c r="O4" s="291">
        <f>IF(AND(F4&lt;=DATE(2025,7,1),OR(G4="",G4&gt;=DATE(2025,7,1))),H4*(1+Assumptions!$C$7)^0,0)</f>
        <v>0</v>
      </c>
      <c r="P4" s="291">
        <f>IF(AND(F4&lt;=DATE(2025,8,1),OR(G4="",G4&gt;=DATE(2025,8,1))),H4*(1+Assumptions!$C$7)^0,0)</f>
        <v>0</v>
      </c>
      <c r="Q4" s="291">
        <f>IF(AND(F4&lt;=DATE(2025,9,1),OR(G4="",G4&gt;=DATE(2025,9,1))),H4*(1+Assumptions!$C$7)^0,0)</f>
        <v>7500</v>
      </c>
      <c r="R4" s="291">
        <f>IF(AND(F4&lt;=DATE(2025,10,1),OR(G4="",G4&gt;=DATE(2025,10,1))),H4*(1+Assumptions!$C$7)^0,0)</f>
        <v>7500</v>
      </c>
      <c r="S4" s="291">
        <f>IF(AND(F4&lt;=DATE(2025,11,1),OR(G4="",G4&gt;=DATE(2025,11,1))),H4*(1+Assumptions!$C$7)^0,0)</f>
        <v>7500</v>
      </c>
      <c r="T4" s="291">
        <f>IF(AND(F4&lt;=DATE(2025,12,1),OR(G4="",G4&gt;=DATE(2025,12,1))),H4*(1+Assumptions!$C$7)^0,0)</f>
        <v>7500</v>
      </c>
      <c r="U4" s="291">
        <f>IF(AND(F4&lt;=DATE(2026,1,1),OR(G4="",G4&gt;=DATE(2026,1,1))),H4*(1+Assumptions!$C$7)^1,0)</f>
        <v>8100</v>
      </c>
      <c r="V4" s="291">
        <f>IF(AND(F4&lt;=DATE(2026,2,1),OR(G4="",G4&gt;=DATE(2026,2,1))),H4*(1+Assumptions!$C$7)^1,0)</f>
        <v>8100</v>
      </c>
      <c r="W4" s="291">
        <f>IF(AND(F4&lt;=DATE(2026,3,1),OR(G4="",G4&gt;=DATE(2026,3,1))),H4*(1+Assumptions!$C$7)^1,0)</f>
        <v>8100</v>
      </c>
      <c r="X4" s="291">
        <f>IF(AND(F4&lt;=DATE(2026,4,1),OR(G4="",G4&gt;=DATE(2026,4,1))),H4*(1+Assumptions!$C$7)^1,0)</f>
        <v>8100</v>
      </c>
      <c r="Y4" s="291">
        <f>IF(AND(F4&lt;=DATE(2026,5,1),OR(G4="",G4&gt;=DATE(2026,5,1))),H4*(1+Assumptions!$C$7)^1,0)</f>
        <v>8100</v>
      </c>
      <c r="Z4" s="291">
        <f>IF(AND(F4&lt;=DATE(2026,6,1),OR(G4="",G4&gt;=DATE(2026,6,1))),H4*(1+Assumptions!$C$7)^1,0)</f>
        <v>8100</v>
      </c>
      <c r="AA4" s="291">
        <f>IF(AND(F4&lt;=DATE(2026,7,1),OR(G4="",G4&gt;=DATE(2026,7,1))),H4*(1+Assumptions!$C$7)^1,0)</f>
        <v>8100</v>
      </c>
      <c r="AB4" s="291">
        <f>IF(AND(F4&lt;=DATE(2026,8,1),OR(G4="",G4&gt;=DATE(2026,8,1))),H4*(1+Assumptions!$C$7)^1,0)</f>
        <v>8100</v>
      </c>
      <c r="AC4" s="291">
        <f>IF(AND(F4&lt;=DATE(2026,9,1),OR(G4="",G4&gt;=DATE(2026,9,1))),H4*(1+Assumptions!$C$7)^1,0)</f>
        <v>8100</v>
      </c>
      <c r="AD4" s="291">
        <f>IF(AND(F4&lt;=DATE(2026,10,1),OR(G4="",G4&gt;=DATE(2026,10,1))),H4*(1+Assumptions!$C$7)^1,0)</f>
        <v>8100</v>
      </c>
      <c r="AE4" s="291">
        <f>IF(AND(F4&lt;=DATE(2026,11,1),OR(G4="",G4&gt;=DATE(2026,11,1))),H4*(1+Assumptions!$C$7)^1,0)</f>
        <v>8100</v>
      </c>
      <c r="AF4" s="291">
        <f>IF(AND(F4&lt;=DATE(2026,12,1),OR(G4="",G4&gt;=DATE(2026,12,1))),H4*(1+Assumptions!$C$7)^1,0)</f>
        <v>8100</v>
      </c>
      <c r="AG4" s="291">
        <f>IF(AND(F4&lt;=DATE(2027,1,1),OR(G4="",G4&gt;=DATE(2027,1,1))),H4*(1+Assumptions!$C$7)^2,0)</f>
        <v>8748</v>
      </c>
      <c r="AH4" s="291">
        <f>IF(AND(F4&lt;=DATE(2027,2,1),OR(G4="",G4&gt;=DATE(2027,2,1))),H4*(1+Assumptions!$C$7)^2,0)</f>
        <v>8748</v>
      </c>
      <c r="AI4" s="291">
        <f>IF(AND(F4&lt;=DATE(2027,3,1),OR(G4="",G4&gt;=DATE(2027,3,1))),H4*(1+Assumptions!$C$7)^2,0)</f>
        <v>8748</v>
      </c>
      <c r="AJ4" s="291">
        <f>IF(AND(F4&lt;=DATE(2027,4,1),OR(G4="",G4&gt;=DATE(2027,4,1))),H4*(1+Assumptions!$C$7)^2,0)</f>
        <v>8748</v>
      </c>
      <c r="AK4" s="291">
        <f>IF(AND(F4&lt;=DATE(2027,5,1),OR(G4="",G4&gt;=DATE(2027,5,1))),H4*(1+Assumptions!$C$7)^2,0)</f>
        <v>8748</v>
      </c>
      <c r="AL4" s="291">
        <f>IF(AND(F4&lt;=DATE(2027,6,1),OR(G4="",G4&gt;=DATE(2027,6,1))),H4*(1+Assumptions!$C$7)^2,0)</f>
        <v>8748</v>
      </c>
      <c r="AM4" s="291">
        <f>IF(AND(F4&lt;=DATE(2027,7,1),OR(G4="",G4&gt;=DATE(2027,7,1))),H4*(1+Assumptions!$C$7)^2,0)</f>
        <v>8748</v>
      </c>
      <c r="AN4" s="291">
        <f>IF(AND(F4&lt;=DATE(2027,8,1),OR(G4="",G4&gt;=DATE(2027,8,1))),H4*(1+Assumptions!$C$7)^2,0)</f>
        <v>8748</v>
      </c>
      <c r="AO4" s="291">
        <f>IF(AND(F4&lt;=DATE(2027,9,1),OR(G4="",G4&gt;=DATE(2027,9,1))),H4*(1+Assumptions!$C$7)^2,0)</f>
        <v>8748</v>
      </c>
      <c r="AP4" s="291">
        <f>IF(AND(F4&lt;=DATE(2027,10,1),OR(G4="",G4&gt;=DATE(2027,10,1))),H4*(1+Assumptions!$C$7)^2,0)</f>
        <v>8748</v>
      </c>
      <c r="AQ4" s="291">
        <f>IF(AND(F4&lt;=DATE(2027,11,1),OR(G4="",G4&gt;=DATE(2027,11,1))),H4*(1+Assumptions!$C$7)^2,0)</f>
        <v>8748</v>
      </c>
      <c r="AR4" s="291">
        <f>IF(AND(F4&lt;=DATE(2027,12,1),OR(G4="",G4&gt;=DATE(2027,12,1))),H4*(1+Assumptions!$C$7)^2,0)</f>
        <v>8748</v>
      </c>
      <c r="AS4" s="291">
        <f>IF(AND(F4&lt;=DATE(2028,1,1),OR(G4="",G4&gt;=DATE(2028,1,1))),H4*(1+Assumptions!$C$7)^3,0)</f>
        <v>9447.84</v>
      </c>
      <c r="AT4" s="291">
        <f>IF(AND(F4&lt;=DATE(2028,2,1),OR(G4="",G4&gt;=DATE(2028,2,1))),H4*(1+Assumptions!$C$7)^3,0)</f>
        <v>9447.84</v>
      </c>
      <c r="AU4" s="291">
        <f>IF(AND(F4&lt;=DATE(2028,3,1),OR(G4="",G4&gt;=DATE(2028,3,1))),H4*(1+Assumptions!$C$7)^3,0)</f>
        <v>9447.84</v>
      </c>
      <c r="AV4" s="291">
        <f>IF(AND(F4&lt;=DATE(2028,4,1),OR(G4="",G4&gt;=DATE(2028,4,1))),H4*(1+Assumptions!$C$7)^3,0)</f>
        <v>9447.84</v>
      </c>
      <c r="AW4" s="291">
        <f>IF(AND(F4&lt;=DATE(2028,5,1),OR(G4="",G4&gt;=DATE(2028,5,1))),H4*(1+Assumptions!$C$7)^3,0)</f>
        <v>9447.84</v>
      </c>
      <c r="AX4" s="291">
        <f>IF(AND(F4&lt;=DATE(2028,6,1),OR(G4="",G4&gt;=DATE(2028,6,1))),H4*(1+Assumptions!$C$7)^3,0)</f>
        <v>9447.84</v>
      </c>
      <c r="AY4" s="291">
        <f>IF(AND(F4&lt;=DATE(2028,7,1),OR(G4="",G4&gt;=DATE(2028,7,1))),H4*(1+Assumptions!$C$7)^3,0)</f>
        <v>9447.84</v>
      </c>
      <c r="AZ4" s="291">
        <f>IF(AND(F4&lt;=DATE(2028,8,1),OR(G4="",G4&gt;=DATE(2028,8,1))),H4*(1+Assumptions!$C$7)^3,0)</f>
        <v>9447.84</v>
      </c>
      <c r="BA4" s="291">
        <f>IF(AND(F4&lt;=DATE(2028,9,1),OR(G4="",G4&gt;=DATE(2028,9,1))),H4*(1+Assumptions!$C$7)^3,0)</f>
        <v>9447.84</v>
      </c>
      <c r="BB4" s="291">
        <f>IF(AND(F4&lt;=DATE(2028,10,1),OR(G4="",G4&gt;=DATE(2028,10,1))),H4*(1+Assumptions!$C$7)^3,0)</f>
        <v>9447.84</v>
      </c>
      <c r="BC4" s="291">
        <f>IF(AND(F4&lt;=DATE(2028,11,1),OR(G4="",G4&gt;=DATE(2028,11,1))),H4*(1+Assumptions!$C$7)^3,0)</f>
        <v>9447.84</v>
      </c>
      <c r="BD4" s="291">
        <f>IF(AND(F4&lt;=DATE(2028,12,1),OR(G4="",G4&gt;=DATE(2028,12,1))),H4*(1+Assumptions!$C$7)^3,0)</f>
        <v>9447.84</v>
      </c>
      <c r="BE4" s="291">
        <f>IF(AND(F4&lt;=DATE(2029,1,1),OR(G4="",G4&gt;=DATE(2029,1,1))),H4*(1+Assumptions!$C$7)^4,0)</f>
        <v>10203.6672</v>
      </c>
      <c r="BF4" s="291">
        <f>IF(AND(F4&lt;=DATE(2029,2,1),OR(G4="",G4&gt;=DATE(2029,2,1))),H4*(1+Assumptions!$C$7)^4,0)</f>
        <v>10203.6672</v>
      </c>
      <c r="BG4" s="291">
        <f>IF(AND(F4&lt;=DATE(2029,3,1),OR(G4="",G4&gt;=DATE(2029,3,1))),H4*(1+Assumptions!$C$7)^4,0)</f>
        <v>10203.6672</v>
      </c>
      <c r="BH4" s="291">
        <f>IF(AND(F4&lt;=DATE(2029,4,1),OR(G4="",G4&gt;=DATE(2029,4,1))),H4*(1+Assumptions!$C$7)^4,0)</f>
        <v>10203.6672</v>
      </c>
      <c r="BI4" s="291">
        <f>IF(AND(F4&lt;=DATE(2029,5,1),OR(G4="",G4&gt;=DATE(2029,5,1))),H4*(1+Assumptions!$C$7)^4,0)</f>
        <v>10203.6672</v>
      </c>
      <c r="BJ4" s="291">
        <f>IF(AND(F4&lt;=DATE(2029,6,1),OR(G4="",G4&gt;=DATE(2029,6,1))),H4*(1+Assumptions!$C$7)^4,0)</f>
        <v>10203.6672</v>
      </c>
      <c r="BK4" s="291">
        <f>IF(AND(F4&lt;=DATE(2029,7,1),OR(G4="",G4&gt;=DATE(2029,7,1))),H4*(1+Assumptions!$C$7)^4,0)</f>
        <v>10203.6672</v>
      </c>
      <c r="BL4" s="291">
        <f>IF(AND(F4&lt;=DATE(2029,8,1),OR(G4="",G4&gt;=DATE(2029,8,1))),H4*(1+Assumptions!$C$7)^4,0)</f>
        <v>10203.6672</v>
      </c>
      <c r="BM4" s="291">
        <f>IF(AND(F4&lt;=DATE(2029,9,1),OR(G4="",G4&gt;=DATE(2029,9,1))),H4*(1+Assumptions!$C$7)^4,0)</f>
        <v>10203.6672</v>
      </c>
      <c r="BN4" s="291">
        <f>IF(AND(F4&lt;=DATE(2029,10,1),OR(G4="",G4&gt;=DATE(2029,10,1))),H4*(1+Assumptions!$C$7)^4,0)</f>
        <v>10203.6672</v>
      </c>
      <c r="BO4" s="291">
        <f>IF(AND(F4&lt;=DATE(2029,11,1),OR(G4="",G4&gt;=DATE(2029,11,1))),H4*(1+Assumptions!$C$7)^4,0)</f>
        <v>10203.6672</v>
      </c>
      <c r="BP4" s="291">
        <f>IF(AND(F4&lt;=DATE(2029,12,1),OR(G4="",G4&gt;=DATE(2029,12,1))),H4*(1+Assumptions!$C$7)^4,0)</f>
        <v>10203.6672</v>
      </c>
      <c r="BQ4" s="112"/>
    </row>
    <row r="5">
      <c r="A5" s="292">
        <v>3.0</v>
      </c>
      <c r="B5" s="281" t="s">
        <v>321</v>
      </c>
      <c r="C5" s="26" t="s">
        <v>144</v>
      </c>
      <c r="D5" s="26" t="s">
        <v>321</v>
      </c>
      <c r="E5" s="293" t="s">
        <v>323</v>
      </c>
      <c r="F5" s="283">
        <v>45901.0</v>
      </c>
      <c r="G5" s="294"/>
      <c r="H5" s="285">
        <v>3000.0</v>
      </c>
      <c r="I5" s="286">
        <f>IF(AND(F5&lt;=DATE(2025,1,1),OR(G5="",G5&gt;=DATE(2025,1,1))),H5*(1+Assumptions!$C$7)^0,0)</f>
        <v>0</v>
      </c>
      <c r="J5" s="286">
        <f>IF(AND(F5&lt;=DATE(2025,2,1),OR(G5="",G5&gt;=DATE(2025,2,1))),H5*(1+Assumptions!$C$7)^0,0)</f>
        <v>0</v>
      </c>
      <c r="K5" s="286">
        <f>IF(AND(F5&lt;=DATE(2025,3,1),OR(G5="",G5&gt;=DATE(2025,3,1))),H5*(1+Assumptions!$C$7)^0,0)</f>
        <v>0</v>
      </c>
      <c r="L5" s="286">
        <f>IF(AND(F5&lt;=DATE(2025,4,1),OR(G5="",G5&gt;=DATE(2025,4,1))),H5*(1+Assumptions!$C$7)^0,0)</f>
        <v>0</v>
      </c>
      <c r="M5" s="286">
        <f>IF(AND(F5&lt;=DATE(2025,5,1),OR(G5="",G5&gt;=DATE(2025,5,1))),H5*(1+Assumptions!$C$7)^0,0)</f>
        <v>0</v>
      </c>
      <c r="N5" s="286">
        <f>IF(AND(F5&lt;=DATE(2025,6,1),OR(G5="",G5&gt;=DATE(2025,6,1))),H5*(1+Assumptions!$C$7)^0,0)</f>
        <v>0</v>
      </c>
      <c r="O5" s="286">
        <f>IF(AND(F5&lt;=DATE(2025,7,1),OR(G5="",G5&gt;=DATE(2025,7,1))),H5*(1+Assumptions!$C$7)^0,0)</f>
        <v>0</v>
      </c>
      <c r="P5" s="286">
        <f>IF(AND(F5&lt;=DATE(2025,8,1),OR(G5="",G5&gt;=DATE(2025,8,1))),H5*(1+Assumptions!$C$7)^0,0)</f>
        <v>0</v>
      </c>
      <c r="Q5" s="286">
        <f>IF(AND(F5&lt;=DATE(2025,9,1),OR(G5="",G5&gt;=DATE(2025,9,1))),H5*(1+Assumptions!$C$7)^0,0)</f>
        <v>3000</v>
      </c>
      <c r="R5" s="286">
        <f>IF(AND(F5&lt;=DATE(2025,10,1),OR(G5="",G5&gt;=DATE(2025,10,1))),H5*(1+Assumptions!$C$7)^0,0)</f>
        <v>3000</v>
      </c>
      <c r="S5" s="286">
        <f>IF(AND(F5&lt;=DATE(2025,11,1),OR(G5="",G5&gt;=DATE(2025,11,1))),H5*(1+Assumptions!$C$7)^0,0)</f>
        <v>3000</v>
      </c>
      <c r="T5" s="286">
        <f>IF(AND(F5&lt;=DATE(2025,12,1),OR(G5="",G5&gt;=DATE(2025,12,1))),H5*(1+Assumptions!$C$7)^0,0)</f>
        <v>3000</v>
      </c>
      <c r="U5" s="286">
        <f>IF(AND(F5&lt;=DATE(2026,1,1),OR(G5="",G5&gt;=DATE(2026,1,1))),H5*(1+Assumptions!$C$7)^1,0)</f>
        <v>3240</v>
      </c>
      <c r="V5" s="286">
        <f>IF(AND(F5&lt;=DATE(2026,2,1),OR(G5="",G5&gt;=DATE(2026,2,1))),H5*(1+Assumptions!$C$7)^1,0)</f>
        <v>3240</v>
      </c>
      <c r="W5" s="286">
        <f>IF(AND(F5&lt;=DATE(2026,3,1),OR(G5="",G5&gt;=DATE(2026,3,1))),H5*(1+Assumptions!$C$7)^1,0)</f>
        <v>3240</v>
      </c>
      <c r="X5" s="286">
        <f>IF(AND(F5&lt;=DATE(2026,4,1),OR(G5="",G5&gt;=DATE(2026,4,1))),H5*(1+Assumptions!$C$7)^1,0)</f>
        <v>3240</v>
      </c>
      <c r="Y5" s="286">
        <f>IF(AND(F5&lt;=DATE(2026,5,1),OR(G5="",G5&gt;=DATE(2026,5,1))),H5*(1+Assumptions!$C$7)^1,0)</f>
        <v>3240</v>
      </c>
      <c r="Z5" s="286">
        <f>IF(AND(F5&lt;=DATE(2026,6,1),OR(G5="",G5&gt;=DATE(2026,6,1))),H5*(1+Assumptions!$C$7)^1,0)</f>
        <v>3240</v>
      </c>
      <c r="AA5" s="286">
        <f>IF(AND(F5&lt;=DATE(2026,7,1),OR(G5="",G5&gt;=DATE(2026,7,1))),H5*(1+Assumptions!$C$7)^1,0)</f>
        <v>3240</v>
      </c>
      <c r="AB5" s="286">
        <f>IF(AND(F5&lt;=DATE(2026,8,1),OR(G5="",G5&gt;=DATE(2026,8,1))),H5*(1+Assumptions!$C$7)^1,0)</f>
        <v>3240</v>
      </c>
      <c r="AC5" s="286">
        <f>IF(AND(F5&lt;=DATE(2026,9,1),OR(G5="",G5&gt;=DATE(2026,9,1))),H5*(1+Assumptions!$C$7)^1,0)</f>
        <v>3240</v>
      </c>
      <c r="AD5" s="286">
        <f>IF(AND(F5&lt;=DATE(2026,10,1),OR(G5="",G5&gt;=DATE(2026,10,1))),H5*(1+Assumptions!$C$7)^1,0)</f>
        <v>3240</v>
      </c>
      <c r="AE5" s="286">
        <f>IF(AND(F5&lt;=DATE(2026,11,1),OR(G5="",G5&gt;=DATE(2026,11,1))),H5*(1+Assumptions!$C$7)^1,0)</f>
        <v>3240</v>
      </c>
      <c r="AF5" s="286">
        <f>IF(AND(F5&lt;=DATE(2026,12,1),OR(G5="",G5&gt;=DATE(2026,12,1))),H5*(1+Assumptions!$C$7)^1,0)</f>
        <v>3240</v>
      </c>
      <c r="AG5" s="286">
        <f>IF(AND(F5&lt;=DATE(2027,1,1),OR(G5="",G5&gt;=DATE(2027,1,1))),H5*(1+Assumptions!$C$7)^2,0)</f>
        <v>3499.2</v>
      </c>
      <c r="AH5" s="286">
        <f>IF(AND(F5&lt;=DATE(2027,2,1),OR(G5="",G5&gt;=DATE(2027,2,1))),H5*(1+Assumptions!$C$7)^2,0)</f>
        <v>3499.2</v>
      </c>
      <c r="AI5" s="286">
        <f>IF(AND(F5&lt;=DATE(2027,3,1),OR(G5="",G5&gt;=DATE(2027,3,1))),H5*(1+Assumptions!$C$7)^2,0)</f>
        <v>3499.2</v>
      </c>
      <c r="AJ5" s="286">
        <f>IF(AND(F5&lt;=DATE(2027,4,1),OR(G5="",G5&gt;=DATE(2027,4,1))),H5*(1+Assumptions!$C$7)^2,0)</f>
        <v>3499.2</v>
      </c>
      <c r="AK5" s="286">
        <f>IF(AND(F5&lt;=DATE(2027,5,1),OR(G5="",G5&gt;=DATE(2027,5,1))),H5*(1+Assumptions!$C$7)^2,0)</f>
        <v>3499.2</v>
      </c>
      <c r="AL5" s="286">
        <f>IF(AND(F5&lt;=DATE(2027,6,1),OR(G5="",G5&gt;=DATE(2027,6,1))),H5*(1+Assumptions!$C$7)^2,0)</f>
        <v>3499.2</v>
      </c>
      <c r="AM5" s="286">
        <f>IF(AND(F5&lt;=DATE(2027,7,1),OR(G5="",G5&gt;=DATE(2027,7,1))),H5*(1+Assumptions!$C$7)^2,0)</f>
        <v>3499.2</v>
      </c>
      <c r="AN5" s="286">
        <f>IF(AND(F5&lt;=DATE(2027,8,1),OR(G5="",G5&gt;=DATE(2027,8,1))),H5*(1+Assumptions!$C$7)^2,0)</f>
        <v>3499.2</v>
      </c>
      <c r="AO5" s="286">
        <f>IF(AND(F5&lt;=DATE(2027,9,1),OR(G5="",G5&gt;=DATE(2027,9,1))),H5*(1+Assumptions!$C$7)^2,0)</f>
        <v>3499.2</v>
      </c>
      <c r="AP5" s="286">
        <f>IF(AND(F5&lt;=DATE(2027,10,1),OR(G5="",G5&gt;=DATE(2027,10,1))),H5*(1+Assumptions!$C$7)^2,0)</f>
        <v>3499.2</v>
      </c>
      <c r="AQ5" s="286">
        <f>IF(AND(F5&lt;=DATE(2027,11,1),OR(G5="",G5&gt;=DATE(2027,11,1))),H5*(1+Assumptions!$C$7)^2,0)</f>
        <v>3499.2</v>
      </c>
      <c r="AR5" s="286">
        <f>IF(AND(F5&lt;=DATE(2027,12,1),OR(G5="",G5&gt;=DATE(2027,12,1))),H5*(1+Assumptions!$C$7)^2,0)</f>
        <v>3499.2</v>
      </c>
      <c r="AS5" s="286">
        <f>IF(AND(F5&lt;=DATE(2028,1,1),OR(G5="",G5&gt;=DATE(2028,1,1))),H5*(1+Assumptions!$C$7)^3,0)</f>
        <v>3779.136</v>
      </c>
      <c r="AT5" s="286">
        <f>IF(AND(F5&lt;=DATE(2028,2,1),OR(G5="",G5&gt;=DATE(2028,2,1))),H5*(1+Assumptions!$C$7)^3,0)</f>
        <v>3779.136</v>
      </c>
      <c r="AU5" s="286">
        <f>IF(AND(F5&lt;=DATE(2028,3,1),OR(G5="",G5&gt;=DATE(2028,3,1))),H5*(1+Assumptions!$C$7)^3,0)</f>
        <v>3779.136</v>
      </c>
      <c r="AV5" s="286">
        <f>IF(AND(F5&lt;=DATE(2028,4,1),OR(G5="",G5&gt;=DATE(2028,4,1))),H5*(1+Assumptions!$C$7)^3,0)</f>
        <v>3779.136</v>
      </c>
      <c r="AW5" s="286">
        <f>IF(AND(F5&lt;=DATE(2028,5,1),OR(G5="",G5&gt;=DATE(2028,5,1))),H5*(1+Assumptions!$C$7)^3,0)</f>
        <v>3779.136</v>
      </c>
      <c r="AX5" s="286">
        <f>IF(AND(F5&lt;=DATE(2028,6,1),OR(G5="",G5&gt;=DATE(2028,6,1))),H5*(1+Assumptions!$C$7)^3,0)</f>
        <v>3779.136</v>
      </c>
      <c r="AY5" s="286">
        <f>IF(AND(F5&lt;=DATE(2028,7,1),OR(G5="",G5&gt;=DATE(2028,7,1))),H5*(1+Assumptions!$C$7)^3,0)</f>
        <v>3779.136</v>
      </c>
      <c r="AZ5" s="286">
        <f>IF(AND(F5&lt;=DATE(2028,8,1),OR(G5="",G5&gt;=DATE(2028,8,1))),H5*(1+Assumptions!$C$7)^3,0)</f>
        <v>3779.136</v>
      </c>
      <c r="BA5" s="286">
        <f>IF(AND(F5&lt;=DATE(2028,9,1),OR(G5="",G5&gt;=DATE(2028,9,1))),H5*(1+Assumptions!$C$7)^3,0)</f>
        <v>3779.136</v>
      </c>
      <c r="BB5" s="286">
        <f>IF(AND(F5&lt;=DATE(2028,10,1),OR(G5="",G5&gt;=DATE(2028,10,1))),H5*(1+Assumptions!$C$7)^3,0)</f>
        <v>3779.136</v>
      </c>
      <c r="BC5" s="286">
        <f>IF(AND(F5&lt;=DATE(2028,11,1),OR(G5="",G5&gt;=DATE(2028,11,1))),H5*(1+Assumptions!$C$7)^3,0)</f>
        <v>3779.136</v>
      </c>
      <c r="BD5" s="286">
        <f>IF(AND(F5&lt;=DATE(2028,12,1),OR(G5="",G5&gt;=DATE(2028,12,1))),H5*(1+Assumptions!$C$7)^3,0)</f>
        <v>3779.136</v>
      </c>
      <c r="BE5" s="286">
        <f>IF(AND(F5&lt;=DATE(2029,1,1),OR(G5="",G5&gt;=DATE(2029,1,1))),H5*(1+Assumptions!$C$7)^4,0)</f>
        <v>4081.46688</v>
      </c>
      <c r="BF5" s="286">
        <f>IF(AND(F5&lt;=DATE(2029,2,1),OR(G5="",G5&gt;=DATE(2029,2,1))),H5*(1+Assumptions!$C$7)^4,0)</f>
        <v>4081.46688</v>
      </c>
      <c r="BG5" s="286">
        <f>IF(AND(F5&lt;=DATE(2029,3,1),OR(G5="",G5&gt;=DATE(2029,3,1))),H5*(1+Assumptions!$C$7)^4,0)</f>
        <v>4081.46688</v>
      </c>
      <c r="BH5" s="286">
        <f>IF(AND(F5&lt;=DATE(2029,4,1),OR(G5="",G5&gt;=DATE(2029,4,1))),H5*(1+Assumptions!$C$7)^4,0)</f>
        <v>4081.46688</v>
      </c>
      <c r="BI5" s="286">
        <f>IF(AND(F5&lt;=DATE(2029,5,1),OR(G5="",G5&gt;=DATE(2029,5,1))),H5*(1+Assumptions!$C$7)^4,0)</f>
        <v>4081.46688</v>
      </c>
      <c r="BJ5" s="286">
        <f>IF(AND(F5&lt;=DATE(2029,6,1),OR(G5="",G5&gt;=DATE(2029,6,1))),H5*(1+Assumptions!$C$7)^4,0)</f>
        <v>4081.46688</v>
      </c>
      <c r="BK5" s="286">
        <f>IF(AND(F5&lt;=DATE(2029,7,1),OR(G5="",G5&gt;=DATE(2029,7,1))),H5*(1+Assumptions!$C$7)^4,0)</f>
        <v>4081.46688</v>
      </c>
      <c r="BL5" s="286">
        <f>IF(AND(F5&lt;=DATE(2029,8,1),OR(G5="",G5&gt;=DATE(2029,8,1))),H5*(1+Assumptions!$C$7)^4,0)</f>
        <v>4081.46688</v>
      </c>
      <c r="BM5" s="286">
        <f>IF(AND(F5&lt;=DATE(2029,9,1),OR(G5="",G5&gt;=DATE(2029,9,1))),H5*(1+Assumptions!$C$7)^4,0)</f>
        <v>4081.46688</v>
      </c>
      <c r="BN5" s="286">
        <f>IF(AND(F5&lt;=DATE(2029,10,1),OR(G5="",G5&gt;=DATE(2029,10,1))),H5*(1+Assumptions!$C$7)^4,0)</f>
        <v>4081.46688</v>
      </c>
      <c r="BO5" s="286">
        <f>IF(AND(F5&lt;=DATE(2029,11,1),OR(G5="",G5&gt;=DATE(2029,11,1))),H5*(1+Assumptions!$C$7)^4,0)</f>
        <v>4081.46688</v>
      </c>
      <c r="BP5" s="286">
        <f>IF(AND(F5&lt;=DATE(2029,12,1),OR(G5="",G5&gt;=DATE(2029,12,1))),H5*(1+Assumptions!$C$7)^4,0)</f>
        <v>4081.46688</v>
      </c>
      <c r="BQ5" s="112"/>
    </row>
    <row r="6">
      <c r="A6" s="288">
        <v>4.0</v>
      </c>
      <c r="B6" s="281" t="s">
        <v>321</v>
      </c>
      <c r="C6" s="282" t="s">
        <v>144</v>
      </c>
      <c r="D6" s="282" t="s">
        <v>321</v>
      </c>
      <c r="E6" s="289" t="s">
        <v>323</v>
      </c>
      <c r="F6" s="283">
        <v>45901.0</v>
      </c>
      <c r="G6" s="290"/>
      <c r="H6" s="285">
        <v>6000.0</v>
      </c>
      <c r="I6" s="291">
        <f>IF(AND(F6&lt;=DATE(2025,1,1),OR(G6="",G6&gt;=DATE(2025,1,1))),H6*(1+Assumptions!$C$7)^0,0)</f>
        <v>0</v>
      </c>
      <c r="J6" s="291">
        <f>IF(AND(F6&lt;=DATE(2025,2,1),OR(G6="",G6&gt;=DATE(2025,2,1))),H6*(1+Assumptions!$C$7)^0,0)</f>
        <v>0</v>
      </c>
      <c r="K6" s="291">
        <f>IF(AND(F6&lt;=DATE(2025,3,1),OR(G6="",G6&gt;=DATE(2025,3,1))),H6*(1+Assumptions!$C$7)^0,0)</f>
        <v>0</v>
      </c>
      <c r="L6" s="291">
        <f>IF(AND(F6&lt;=DATE(2025,4,1),OR(G6="",G6&gt;=DATE(2025,4,1))),H6*(1+Assumptions!$C$7)^0,0)</f>
        <v>0</v>
      </c>
      <c r="M6" s="291">
        <f>IF(AND(F6&lt;=DATE(2025,5,1),OR(G6="",G6&gt;=DATE(2025,5,1))),H6*(1+Assumptions!$C$7)^0,0)</f>
        <v>0</v>
      </c>
      <c r="N6" s="291">
        <f>IF(AND(F6&lt;=DATE(2025,6,1),OR(G6="",G6&gt;=DATE(2025,6,1))),H6*(1+Assumptions!$C$7)^0,0)</f>
        <v>0</v>
      </c>
      <c r="O6" s="291">
        <f>IF(AND(F6&lt;=DATE(2025,7,1),OR(G6="",G6&gt;=DATE(2025,7,1))),H6*(1+Assumptions!$C$7)^0,0)</f>
        <v>0</v>
      </c>
      <c r="P6" s="291">
        <f>IF(AND(F6&lt;=DATE(2025,8,1),OR(G6="",G6&gt;=DATE(2025,8,1))),H6*(1+Assumptions!$C$7)^0,0)</f>
        <v>0</v>
      </c>
      <c r="Q6" s="291">
        <f>IF(AND(F6&lt;=DATE(2025,9,1),OR(G6="",G6&gt;=DATE(2025,9,1))),H6*(1+Assumptions!$C$7)^0,0)</f>
        <v>6000</v>
      </c>
      <c r="R6" s="291">
        <f>IF(AND(F6&lt;=DATE(2025,10,1),OR(G6="",G6&gt;=DATE(2025,10,1))),H6*(1+Assumptions!$C$7)^0,0)</f>
        <v>6000</v>
      </c>
      <c r="S6" s="291">
        <f>IF(AND(F6&lt;=DATE(2025,11,1),OR(G6="",G6&gt;=DATE(2025,11,1))),H6*(1+Assumptions!$C$7)^0,0)</f>
        <v>6000</v>
      </c>
      <c r="T6" s="291">
        <f>IF(AND(F6&lt;=DATE(2025,12,1),OR(G6="",G6&gt;=DATE(2025,12,1))),H6*(1+Assumptions!$C$7)^0,0)</f>
        <v>6000</v>
      </c>
      <c r="U6" s="291">
        <f>IF(AND(F6&lt;=DATE(2026,1,1),OR(G6="",G6&gt;=DATE(2026,1,1))),H6*(1+Assumptions!$C$7)^1,0)</f>
        <v>6480</v>
      </c>
      <c r="V6" s="291">
        <f>IF(AND(F6&lt;=DATE(2026,2,1),OR(G6="",G6&gt;=DATE(2026,2,1))),H6*(1+Assumptions!$C$7)^1,0)</f>
        <v>6480</v>
      </c>
      <c r="W6" s="291">
        <f>IF(AND(F6&lt;=DATE(2026,3,1),OR(G6="",G6&gt;=DATE(2026,3,1))),H6*(1+Assumptions!$C$7)^1,0)</f>
        <v>6480</v>
      </c>
      <c r="X6" s="291">
        <f>IF(AND(F6&lt;=DATE(2026,4,1),OR(G6="",G6&gt;=DATE(2026,4,1))),H6*(1+Assumptions!$C$7)^1,0)</f>
        <v>6480</v>
      </c>
      <c r="Y6" s="291">
        <f>IF(AND(F6&lt;=DATE(2026,5,1),OR(G6="",G6&gt;=DATE(2026,5,1))),H6*(1+Assumptions!$C$7)^1,0)</f>
        <v>6480</v>
      </c>
      <c r="Z6" s="291">
        <f>IF(AND(F6&lt;=DATE(2026,6,1),OR(G6="",G6&gt;=DATE(2026,6,1))),H6*(1+Assumptions!$C$7)^1,0)</f>
        <v>6480</v>
      </c>
      <c r="AA6" s="291">
        <f>IF(AND(F6&lt;=DATE(2026,7,1),OR(G6="",G6&gt;=DATE(2026,7,1))),H6*(1+Assumptions!$C$7)^1,0)</f>
        <v>6480</v>
      </c>
      <c r="AB6" s="291">
        <f>IF(AND(F6&lt;=DATE(2026,8,1),OR(G6="",G6&gt;=DATE(2026,8,1))),H6*(1+Assumptions!$C$7)^1,0)</f>
        <v>6480</v>
      </c>
      <c r="AC6" s="291">
        <f>IF(AND(F6&lt;=DATE(2026,9,1),OR(G6="",G6&gt;=DATE(2026,9,1))),H6*(1+Assumptions!$C$7)^1,0)</f>
        <v>6480</v>
      </c>
      <c r="AD6" s="291">
        <f>IF(AND(F6&lt;=DATE(2026,10,1),OR(G6="",G6&gt;=DATE(2026,10,1))),H6*(1+Assumptions!$C$7)^1,0)</f>
        <v>6480</v>
      </c>
      <c r="AE6" s="291">
        <f>IF(AND(F6&lt;=DATE(2026,11,1),OR(G6="",G6&gt;=DATE(2026,11,1))),H6*(1+Assumptions!$C$7)^1,0)</f>
        <v>6480</v>
      </c>
      <c r="AF6" s="291">
        <f>IF(AND(F6&lt;=DATE(2026,12,1),OR(G6="",G6&gt;=DATE(2026,12,1))),H6*(1+Assumptions!$C$7)^1,0)</f>
        <v>6480</v>
      </c>
      <c r="AG6" s="291">
        <f>IF(AND(F6&lt;=DATE(2027,1,1),OR(G6="",G6&gt;=DATE(2027,1,1))),H6*(1+Assumptions!$C$7)^2,0)</f>
        <v>6998.4</v>
      </c>
      <c r="AH6" s="291">
        <f>IF(AND(F6&lt;=DATE(2027,2,1),OR(G6="",G6&gt;=DATE(2027,2,1))),H6*(1+Assumptions!$C$7)^2,0)</f>
        <v>6998.4</v>
      </c>
      <c r="AI6" s="291">
        <f>IF(AND(F6&lt;=DATE(2027,3,1),OR(G6="",G6&gt;=DATE(2027,3,1))),H6*(1+Assumptions!$C$7)^2,0)</f>
        <v>6998.4</v>
      </c>
      <c r="AJ6" s="291">
        <f>IF(AND(F6&lt;=DATE(2027,4,1),OR(G6="",G6&gt;=DATE(2027,4,1))),H6*(1+Assumptions!$C$7)^2,0)</f>
        <v>6998.4</v>
      </c>
      <c r="AK6" s="291">
        <f>IF(AND(F6&lt;=DATE(2027,5,1),OR(G6="",G6&gt;=DATE(2027,5,1))),H6*(1+Assumptions!$C$7)^2,0)</f>
        <v>6998.4</v>
      </c>
      <c r="AL6" s="291">
        <f>IF(AND(F6&lt;=DATE(2027,6,1),OR(G6="",G6&gt;=DATE(2027,6,1))),H6*(1+Assumptions!$C$7)^2,0)</f>
        <v>6998.4</v>
      </c>
      <c r="AM6" s="291">
        <f>IF(AND(F6&lt;=DATE(2027,7,1),OR(G6="",G6&gt;=DATE(2027,7,1))),H6*(1+Assumptions!$C$7)^2,0)</f>
        <v>6998.4</v>
      </c>
      <c r="AN6" s="291">
        <f>IF(AND(F6&lt;=DATE(2027,8,1),OR(G6="",G6&gt;=DATE(2027,8,1))),H6*(1+Assumptions!$C$7)^2,0)</f>
        <v>6998.4</v>
      </c>
      <c r="AO6" s="291">
        <f>IF(AND(F6&lt;=DATE(2027,9,1),OR(G6="",G6&gt;=DATE(2027,9,1))),H6*(1+Assumptions!$C$7)^2,0)</f>
        <v>6998.4</v>
      </c>
      <c r="AP6" s="291">
        <f>IF(AND(F6&lt;=DATE(2027,10,1),OR(G6="",G6&gt;=DATE(2027,10,1))),H6*(1+Assumptions!$C$7)^2,0)</f>
        <v>6998.4</v>
      </c>
      <c r="AQ6" s="291">
        <f>IF(AND(F6&lt;=DATE(2027,11,1),OR(G6="",G6&gt;=DATE(2027,11,1))),H6*(1+Assumptions!$C$7)^2,0)</f>
        <v>6998.4</v>
      </c>
      <c r="AR6" s="291">
        <f>IF(AND(F6&lt;=DATE(2027,12,1),OR(G6="",G6&gt;=DATE(2027,12,1))),H6*(1+Assumptions!$C$7)^2,0)</f>
        <v>6998.4</v>
      </c>
      <c r="AS6" s="291">
        <f>IF(AND(F6&lt;=DATE(2028,1,1),OR(G6="",G6&gt;=DATE(2028,1,1))),H6*(1+Assumptions!$C$7)^3,0)</f>
        <v>7558.272</v>
      </c>
      <c r="AT6" s="291">
        <f>IF(AND(F6&lt;=DATE(2028,2,1),OR(G6="",G6&gt;=DATE(2028,2,1))),H6*(1+Assumptions!$C$7)^3,0)</f>
        <v>7558.272</v>
      </c>
      <c r="AU6" s="291">
        <f>IF(AND(F6&lt;=DATE(2028,3,1),OR(G6="",G6&gt;=DATE(2028,3,1))),H6*(1+Assumptions!$C$7)^3,0)</f>
        <v>7558.272</v>
      </c>
      <c r="AV6" s="291">
        <f>IF(AND(F6&lt;=DATE(2028,4,1),OR(G6="",G6&gt;=DATE(2028,4,1))),H6*(1+Assumptions!$C$7)^3,0)</f>
        <v>7558.272</v>
      </c>
      <c r="AW6" s="291">
        <f>IF(AND(F6&lt;=DATE(2028,5,1),OR(G6="",G6&gt;=DATE(2028,5,1))),H6*(1+Assumptions!$C$7)^3,0)</f>
        <v>7558.272</v>
      </c>
      <c r="AX6" s="291">
        <f>IF(AND(F6&lt;=DATE(2028,6,1),OR(G6="",G6&gt;=DATE(2028,6,1))),H6*(1+Assumptions!$C$7)^3,0)</f>
        <v>7558.272</v>
      </c>
      <c r="AY6" s="291">
        <f>IF(AND(F6&lt;=DATE(2028,7,1),OR(G6="",G6&gt;=DATE(2028,7,1))),H6*(1+Assumptions!$C$7)^3,0)</f>
        <v>7558.272</v>
      </c>
      <c r="AZ6" s="291">
        <f>IF(AND(F6&lt;=DATE(2028,8,1),OR(G6="",G6&gt;=DATE(2028,8,1))),H6*(1+Assumptions!$C$7)^3,0)</f>
        <v>7558.272</v>
      </c>
      <c r="BA6" s="291">
        <f>IF(AND(F6&lt;=DATE(2028,9,1),OR(G6="",G6&gt;=DATE(2028,9,1))),H6*(1+Assumptions!$C$7)^3,0)</f>
        <v>7558.272</v>
      </c>
      <c r="BB6" s="291">
        <f>IF(AND(F6&lt;=DATE(2028,10,1),OR(G6="",G6&gt;=DATE(2028,10,1))),H6*(1+Assumptions!$C$7)^3,0)</f>
        <v>7558.272</v>
      </c>
      <c r="BC6" s="291">
        <f>IF(AND(F6&lt;=DATE(2028,11,1),OR(G6="",G6&gt;=DATE(2028,11,1))),H6*(1+Assumptions!$C$7)^3,0)</f>
        <v>7558.272</v>
      </c>
      <c r="BD6" s="291">
        <f>IF(AND(F6&lt;=DATE(2028,12,1),OR(G6="",G6&gt;=DATE(2028,12,1))),H6*(1+Assumptions!$C$7)^3,0)</f>
        <v>7558.272</v>
      </c>
      <c r="BE6" s="291">
        <f>IF(AND(F6&lt;=DATE(2029,1,1),OR(G6="",G6&gt;=DATE(2029,1,1))),H6*(1+Assumptions!$C$7)^4,0)</f>
        <v>8162.93376</v>
      </c>
      <c r="BF6" s="291">
        <f>IF(AND(F6&lt;=DATE(2029,2,1),OR(G6="",G6&gt;=DATE(2029,2,1))),H6*(1+Assumptions!$C$7)^4,0)</f>
        <v>8162.93376</v>
      </c>
      <c r="BG6" s="291">
        <f>IF(AND(F6&lt;=DATE(2029,3,1),OR(G6="",G6&gt;=DATE(2029,3,1))),H6*(1+Assumptions!$C$7)^4,0)</f>
        <v>8162.93376</v>
      </c>
      <c r="BH6" s="291">
        <f>IF(AND(F6&lt;=DATE(2029,4,1),OR(G6="",G6&gt;=DATE(2029,4,1))),H6*(1+Assumptions!$C$7)^4,0)</f>
        <v>8162.93376</v>
      </c>
      <c r="BI6" s="291">
        <f>IF(AND(F6&lt;=DATE(2029,5,1),OR(G6="",G6&gt;=DATE(2029,5,1))),H6*(1+Assumptions!$C$7)^4,0)</f>
        <v>8162.93376</v>
      </c>
      <c r="BJ6" s="291">
        <f>IF(AND(F6&lt;=DATE(2029,6,1),OR(G6="",G6&gt;=DATE(2029,6,1))),H6*(1+Assumptions!$C$7)^4,0)</f>
        <v>8162.93376</v>
      </c>
      <c r="BK6" s="291">
        <f>IF(AND(F6&lt;=DATE(2029,7,1),OR(G6="",G6&gt;=DATE(2029,7,1))),H6*(1+Assumptions!$C$7)^4,0)</f>
        <v>8162.93376</v>
      </c>
      <c r="BL6" s="291">
        <f>IF(AND(F6&lt;=DATE(2029,8,1),OR(G6="",G6&gt;=DATE(2029,8,1))),H6*(1+Assumptions!$C$7)^4,0)</f>
        <v>8162.93376</v>
      </c>
      <c r="BM6" s="291">
        <f>IF(AND(F6&lt;=DATE(2029,9,1),OR(G6="",G6&gt;=DATE(2029,9,1))),H6*(1+Assumptions!$C$7)^4,0)</f>
        <v>8162.93376</v>
      </c>
      <c r="BN6" s="291">
        <f>IF(AND(F6&lt;=DATE(2029,10,1),OR(G6="",G6&gt;=DATE(2029,10,1))),H6*(1+Assumptions!$C$7)^4,0)</f>
        <v>8162.93376</v>
      </c>
      <c r="BO6" s="291">
        <f>IF(AND(F6&lt;=DATE(2029,11,1),OR(G6="",G6&gt;=DATE(2029,11,1))),H6*(1+Assumptions!$C$7)^4,0)</f>
        <v>8162.93376</v>
      </c>
      <c r="BP6" s="291">
        <f>IF(AND(F6&lt;=DATE(2029,12,1),OR(G6="",G6&gt;=DATE(2029,12,1))),H6*(1+Assumptions!$C$7)^4,0)</f>
        <v>8162.93376</v>
      </c>
      <c r="BQ6" s="112"/>
    </row>
    <row r="7">
      <c r="A7" s="292">
        <v>5.0</v>
      </c>
      <c r="B7" s="295" t="s">
        <v>325</v>
      </c>
      <c r="C7" s="26" t="s">
        <v>144</v>
      </c>
      <c r="D7" s="26" t="s">
        <v>321</v>
      </c>
      <c r="E7" s="293" t="s">
        <v>323</v>
      </c>
      <c r="F7" s="283">
        <v>45901.0</v>
      </c>
      <c r="G7" s="294"/>
      <c r="H7" s="285">
        <v>7000.0</v>
      </c>
      <c r="I7" s="286">
        <f>IF(AND(F7&lt;=DATE(2025,1,1),OR(G7="",G7&gt;=DATE(2025,1,1))),H7*(1+Assumptions!$C$7)^0,0)</f>
        <v>0</v>
      </c>
      <c r="J7" s="286">
        <f>IF(AND(F7&lt;=DATE(2025,2,1),OR(G7="",G7&gt;=DATE(2025,2,1))),H7*(1+Assumptions!$C$7)^0,0)</f>
        <v>0</v>
      </c>
      <c r="K7" s="286">
        <f>IF(AND(F7&lt;=DATE(2025,3,1),OR(G7="",G7&gt;=DATE(2025,3,1))),H7*(1+Assumptions!$C$7)^0,0)</f>
        <v>0</v>
      </c>
      <c r="L7" s="286">
        <f>IF(AND(F7&lt;=DATE(2025,4,1),OR(G7="",G7&gt;=DATE(2025,4,1))),H7*(1+Assumptions!$C$7)^0,0)</f>
        <v>0</v>
      </c>
      <c r="M7" s="286">
        <f>IF(AND(F7&lt;=DATE(2025,5,1),OR(G7="",G7&gt;=DATE(2025,5,1))),H7*(1+Assumptions!$C$7)^0,0)</f>
        <v>0</v>
      </c>
      <c r="N7" s="286">
        <f>IF(AND(F7&lt;=DATE(2025,6,1),OR(G7="",G7&gt;=DATE(2025,6,1))),H7*(1+Assumptions!$C$7)^0,0)</f>
        <v>0</v>
      </c>
      <c r="O7" s="286">
        <f>IF(AND(F7&lt;=DATE(2025,7,1),OR(G7="",G7&gt;=DATE(2025,7,1))),H7*(1+Assumptions!$C$7)^0,0)</f>
        <v>0</v>
      </c>
      <c r="P7" s="286">
        <f>IF(AND(F7&lt;=DATE(2025,8,1),OR(G7="",G7&gt;=DATE(2025,8,1))),H7*(1+Assumptions!$C$7)^0,0)</f>
        <v>0</v>
      </c>
      <c r="Q7" s="286">
        <f>IF(AND(F7&lt;=DATE(2025,9,1),OR(G7="",G7&gt;=DATE(2025,9,1))),H7*(1+Assumptions!$C$7)^0,0)</f>
        <v>7000</v>
      </c>
      <c r="R7" s="286">
        <f>IF(AND(F7&lt;=DATE(2025,10,1),OR(G7="",G7&gt;=DATE(2025,10,1))),H7*(1+Assumptions!$C$7)^0,0)</f>
        <v>7000</v>
      </c>
      <c r="S7" s="286">
        <f>IF(AND(F7&lt;=DATE(2025,11,1),OR(G7="",G7&gt;=DATE(2025,11,1))),H7*(1+Assumptions!$C$7)^0,0)</f>
        <v>7000</v>
      </c>
      <c r="T7" s="286">
        <f>IF(AND(F7&lt;=DATE(2025,12,1),OR(G7="",G7&gt;=DATE(2025,12,1))),H7*(1+Assumptions!$C$7)^0,0)</f>
        <v>7000</v>
      </c>
      <c r="U7" s="286">
        <f>IF(AND(F7&lt;=DATE(2026,1,1),OR(G7="",G7&gt;=DATE(2026,1,1))),H7*(1+Assumptions!$C$7)^1,0)</f>
        <v>7560</v>
      </c>
      <c r="V7" s="286">
        <f>IF(AND(F7&lt;=DATE(2026,2,1),OR(G7="",G7&gt;=DATE(2026,2,1))),H7*(1+Assumptions!$C$7)^1,0)</f>
        <v>7560</v>
      </c>
      <c r="W7" s="286">
        <f>IF(AND(F7&lt;=DATE(2026,3,1),OR(G7="",G7&gt;=DATE(2026,3,1))),H7*(1+Assumptions!$C$7)^1,0)</f>
        <v>7560</v>
      </c>
      <c r="X7" s="286">
        <f>IF(AND(F7&lt;=DATE(2026,4,1),OR(G7="",G7&gt;=DATE(2026,4,1))),H7*(1+Assumptions!$C$7)^1,0)</f>
        <v>7560</v>
      </c>
      <c r="Y7" s="286">
        <f>IF(AND(F7&lt;=DATE(2026,5,1),OR(G7="",G7&gt;=DATE(2026,5,1))),H7*(1+Assumptions!$C$7)^1,0)</f>
        <v>7560</v>
      </c>
      <c r="Z7" s="286">
        <f>IF(AND(F7&lt;=DATE(2026,6,1),OR(G7="",G7&gt;=DATE(2026,6,1))),H7*(1+Assumptions!$C$7)^1,0)</f>
        <v>7560</v>
      </c>
      <c r="AA7" s="286">
        <f>IF(AND(F7&lt;=DATE(2026,7,1),OR(G7="",G7&gt;=DATE(2026,7,1))),H7*(1+Assumptions!$C$7)^1,0)</f>
        <v>7560</v>
      </c>
      <c r="AB7" s="286">
        <f>IF(AND(F7&lt;=DATE(2026,8,1),OR(G7="",G7&gt;=DATE(2026,8,1))),H7*(1+Assumptions!$C$7)^1,0)</f>
        <v>7560</v>
      </c>
      <c r="AC7" s="286">
        <f>IF(AND(F7&lt;=DATE(2026,9,1),OR(G7="",G7&gt;=DATE(2026,9,1))),H7*(1+Assumptions!$C$7)^1,0)</f>
        <v>7560</v>
      </c>
      <c r="AD7" s="286">
        <f>IF(AND(F7&lt;=DATE(2026,10,1),OR(G7="",G7&gt;=DATE(2026,10,1))),H7*(1+Assumptions!$C$7)^1,0)</f>
        <v>7560</v>
      </c>
      <c r="AE7" s="286">
        <f>IF(AND(F7&lt;=DATE(2026,11,1),OR(G7="",G7&gt;=DATE(2026,11,1))),H7*(1+Assumptions!$C$7)^1,0)</f>
        <v>7560</v>
      </c>
      <c r="AF7" s="286">
        <f>IF(AND(F7&lt;=DATE(2026,12,1),OR(G7="",G7&gt;=DATE(2026,12,1))),H7*(1+Assumptions!$C$7)^1,0)</f>
        <v>7560</v>
      </c>
      <c r="AG7" s="286">
        <f>IF(AND(F7&lt;=DATE(2027,1,1),OR(G7="",G7&gt;=DATE(2027,1,1))),H7*(1+Assumptions!$C$7)^2,0)</f>
        <v>8164.8</v>
      </c>
      <c r="AH7" s="286">
        <f>IF(AND(F7&lt;=DATE(2027,2,1),OR(G7="",G7&gt;=DATE(2027,2,1))),H7*(1+Assumptions!$C$7)^2,0)</f>
        <v>8164.8</v>
      </c>
      <c r="AI7" s="286">
        <f>IF(AND(F7&lt;=DATE(2027,3,1),OR(G7="",G7&gt;=DATE(2027,3,1))),H7*(1+Assumptions!$C$7)^2,0)</f>
        <v>8164.8</v>
      </c>
      <c r="AJ7" s="286">
        <f>IF(AND(F7&lt;=DATE(2027,4,1),OR(G7="",G7&gt;=DATE(2027,4,1))),H7*(1+Assumptions!$C$7)^2,0)</f>
        <v>8164.8</v>
      </c>
      <c r="AK7" s="286">
        <f>IF(AND(F7&lt;=DATE(2027,5,1),OR(G7="",G7&gt;=DATE(2027,5,1))),H7*(1+Assumptions!$C$7)^2,0)</f>
        <v>8164.8</v>
      </c>
      <c r="AL7" s="286">
        <f>IF(AND(F7&lt;=DATE(2027,6,1),OR(G7="",G7&gt;=DATE(2027,6,1))),H7*(1+Assumptions!$C$7)^2,0)</f>
        <v>8164.8</v>
      </c>
      <c r="AM7" s="286">
        <f>IF(AND(F7&lt;=DATE(2027,7,1),OR(G7="",G7&gt;=DATE(2027,7,1))),H7*(1+Assumptions!$C$7)^2,0)</f>
        <v>8164.8</v>
      </c>
      <c r="AN7" s="286">
        <f>IF(AND(F7&lt;=DATE(2027,8,1),OR(G7="",G7&gt;=DATE(2027,8,1))),H7*(1+Assumptions!$C$7)^2,0)</f>
        <v>8164.8</v>
      </c>
      <c r="AO7" s="286">
        <f>IF(AND(F7&lt;=DATE(2027,9,1),OR(G7="",G7&gt;=DATE(2027,9,1))),H7*(1+Assumptions!$C$7)^2,0)</f>
        <v>8164.8</v>
      </c>
      <c r="AP7" s="286">
        <f>IF(AND(F7&lt;=DATE(2027,10,1),OR(G7="",G7&gt;=DATE(2027,10,1))),H7*(1+Assumptions!$C$7)^2,0)</f>
        <v>8164.8</v>
      </c>
      <c r="AQ7" s="286">
        <f>IF(AND(F7&lt;=DATE(2027,11,1),OR(G7="",G7&gt;=DATE(2027,11,1))),H7*(1+Assumptions!$C$7)^2,0)</f>
        <v>8164.8</v>
      </c>
      <c r="AR7" s="286">
        <f>IF(AND(F7&lt;=DATE(2027,12,1),OR(G7="",G7&gt;=DATE(2027,12,1))),H7*(1+Assumptions!$C$7)^2,0)</f>
        <v>8164.8</v>
      </c>
      <c r="AS7" s="286">
        <f>IF(AND(F7&lt;=DATE(2028,1,1),OR(G7="",G7&gt;=DATE(2028,1,1))),H7*(1+Assumptions!$C$7)^3,0)</f>
        <v>8817.984</v>
      </c>
      <c r="AT7" s="286">
        <f>IF(AND(F7&lt;=DATE(2028,2,1),OR(G7="",G7&gt;=DATE(2028,2,1))),H7*(1+Assumptions!$C$7)^3,0)</f>
        <v>8817.984</v>
      </c>
      <c r="AU7" s="286">
        <f>IF(AND(F7&lt;=DATE(2028,3,1),OR(G7="",G7&gt;=DATE(2028,3,1))),H7*(1+Assumptions!$C$7)^3,0)</f>
        <v>8817.984</v>
      </c>
      <c r="AV7" s="286">
        <f>IF(AND(F7&lt;=DATE(2028,4,1),OR(G7="",G7&gt;=DATE(2028,4,1))),H7*(1+Assumptions!$C$7)^3,0)</f>
        <v>8817.984</v>
      </c>
      <c r="AW7" s="286">
        <f>IF(AND(F7&lt;=DATE(2028,5,1),OR(G7="",G7&gt;=DATE(2028,5,1))),H7*(1+Assumptions!$C$7)^3,0)</f>
        <v>8817.984</v>
      </c>
      <c r="AX7" s="286">
        <f>IF(AND(F7&lt;=DATE(2028,6,1),OR(G7="",G7&gt;=DATE(2028,6,1))),H7*(1+Assumptions!$C$7)^3,0)</f>
        <v>8817.984</v>
      </c>
      <c r="AY7" s="286">
        <f>IF(AND(F7&lt;=DATE(2028,7,1),OR(G7="",G7&gt;=DATE(2028,7,1))),H7*(1+Assumptions!$C$7)^3,0)</f>
        <v>8817.984</v>
      </c>
      <c r="AZ7" s="286">
        <f>IF(AND(F7&lt;=DATE(2028,8,1),OR(G7="",G7&gt;=DATE(2028,8,1))),H7*(1+Assumptions!$C$7)^3,0)</f>
        <v>8817.984</v>
      </c>
      <c r="BA7" s="286">
        <f>IF(AND(F7&lt;=DATE(2028,9,1),OR(G7="",G7&gt;=DATE(2028,9,1))),H7*(1+Assumptions!$C$7)^3,0)</f>
        <v>8817.984</v>
      </c>
      <c r="BB7" s="286">
        <f>IF(AND(F7&lt;=DATE(2028,10,1),OR(G7="",G7&gt;=DATE(2028,10,1))),H7*(1+Assumptions!$C$7)^3,0)</f>
        <v>8817.984</v>
      </c>
      <c r="BC7" s="286">
        <f>IF(AND(F7&lt;=DATE(2028,11,1),OR(G7="",G7&gt;=DATE(2028,11,1))),H7*(1+Assumptions!$C$7)^3,0)</f>
        <v>8817.984</v>
      </c>
      <c r="BD7" s="286">
        <f>IF(AND(F7&lt;=DATE(2028,12,1),OR(G7="",G7&gt;=DATE(2028,12,1))),H7*(1+Assumptions!$C$7)^3,0)</f>
        <v>8817.984</v>
      </c>
      <c r="BE7" s="286">
        <f>IF(AND(F7&lt;=DATE(2029,1,1),OR(G7="",G7&gt;=DATE(2029,1,1))),H7*(1+Assumptions!$C$7)^4,0)</f>
        <v>9523.42272</v>
      </c>
      <c r="BF7" s="286">
        <f>IF(AND(F7&lt;=DATE(2029,2,1),OR(G7="",G7&gt;=DATE(2029,2,1))),H7*(1+Assumptions!$C$7)^4,0)</f>
        <v>9523.42272</v>
      </c>
      <c r="BG7" s="286">
        <f>IF(AND(F7&lt;=DATE(2029,3,1),OR(G7="",G7&gt;=DATE(2029,3,1))),H7*(1+Assumptions!$C$7)^4,0)</f>
        <v>9523.42272</v>
      </c>
      <c r="BH7" s="286">
        <f>IF(AND(F7&lt;=DATE(2029,4,1),OR(G7="",G7&gt;=DATE(2029,4,1))),H7*(1+Assumptions!$C$7)^4,0)</f>
        <v>9523.42272</v>
      </c>
      <c r="BI7" s="286">
        <f>IF(AND(F7&lt;=DATE(2029,5,1),OR(G7="",G7&gt;=DATE(2029,5,1))),H7*(1+Assumptions!$C$7)^4,0)</f>
        <v>9523.42272</v>
      </c>
      <c r="BJ7" s="286">
        <f>IF(AND(F7&lt;=DATE(2029,6,1),OR(G7="",G7&gt;=DATE(2029,6,1))),H7*(1+Assumptions!$C$7)^4,0)</f>
        <v>9523.42272</v>
      </c>
      <c r="BK7" s="286">
        <f>IF(AND(F7&lt;=DATE(2029,7,1),OR(G7="",G7&gt;=DATE(2029,7,1))),H7*(1+Assumptions!$C$7)^4,0)</f>
        <v>9523.42272</v>
      </c>
      <c r="BL7" s="286">
        <f>IF(AND(F7&lt;=DATE(2029,8,1),OR(G7="",G7&gt;=DATE(2029,8,1))),H7*(1+Assumptions!$C$7)^4,0)</f>
        <v>9523.42272</v>
      </c>
      <c r="BM7" s="286">
        <f>IF(AND(F7&lt;=DATE(2029,9,1),OR(G7="",G7&gt;=DATE(2029,9,1))),H7*(1+Assumptions!$C$7)^4,0)</f>
        <v>9523.42272</v>
      </c>
      <c r="BN7" s="286">
        <f>IF(AND(F7&lt;=DATE(2029,10,1),OR(G7="",G7&gt;=DATE(2029,10,1))),H7*(1+Assumptions!$C$7)^4,0)</f>
        <v>9523.42272</v>
      </c>
      <c r="BO7" s="286">
        <f>IF(AND(F7&lt;=DATE(2029,11,1),OR(G7="",G7&gt;=DATE(2029,11,1))),H7*(1+Assumptions!$C$7)^4,0)</f>
        <v>9523.42272</v>
      </c>
      <c r="BP7" s="286">
        <f>IF(AND(F7&lt;=DATE(2029,12,1),OR(G7="",G7&gt;=DATE(2029,12,1))),H7*(1+Assumptions!$C$7)^4,0)</f>
        <v>9523.42272</v>
      </c>
      <c r="BQ7" s="112"/>
    </row>
    <row r="8">
      <c r="A8" s="288">
        <v>6.0</v>
      </c>
      <c r="B8" s="281" t="s">
        <v>326</v>
      </c>
      <c r="C8" s="282" t="s">
        <v>144</v>
      </c>
      <c r="D8" s="282" t="s">
        <v>321</v>
      </c>
      <c r="E8" s="289" t="s">
        <v>323</v>
      </c>
      <c r="F8" s="283">
        <v>45901.0</v>
      </c>
      <c r="G8" s="290"/>
      <c r="H8" s="285">
        <v>5500.0</v>
      </c>
      <c r="I8" s="291">
        <f>IF(AND(F8&lt;=DATE(2025,1,1),OR(G8="",G8&gt;=DATE(2025,1,1))),H8*(1+Assumptions!$C$7)^0,0)</f>
        <v>0</v>
      </c>
      <c r="J8" s="291">
        <f>IF(AND(F8&lt;=DATE(2025,2,1),OR(G8="",G8&gt;=DATE(2025,2,1))),H8*(1+Assumptions!$C$7)^0,0)</f>
        <v>0</v>
      </c>
      <c r="K8" s="291">
        <f>IF(AND(F8&lt;=DATE(2025,3,1),OR(G8="",G8&gt;=DATE(2025,3,1))),H8*(1+Assumptions!$C$7)^0,0)</f>
        <v>0</v>
      </c>
      <c r="L8" s="291">
        <f>IF(AND(F8&lt;=DATE(2025,4,1),OR(G8="",G8&gt;=DATE(2025,4,1))),H8*(1+Assumptions!$C$7)^0,0)</f>
        <v>0</v>
      </c>
      <c r="M8" s="291">
        <f>IF(AND(F8&lt;=DATE(2025,5,1),OR(G8="",G8&gt;=DATE(2025,5,1))),H8*(1+Assumptions!$C$7)^0,0)</f>
        <v>0</v>
      </c>
      <c r="N8" s="291">
        <f>IF(AND(F8&lt;=DATE(2025,6,1),OR(G8="",G8&gt;=DATE(2025,6,1))),H8*(1+Assumptions!$C$7)^0,0)</f>
        <v>0</v>
      </c>
      <c r="O8" s="291">
        <f>IF(AND(F8&lt;=DATE(2025,7,1),OR(G8="",G8&gt;=DATE(2025,7,1))),H8*(1+Assumptions!$C$7)^0,0)</f>
        <v>0</v>
      </c>
      <c r="P8" s="291">
        <f>IF(AND(F8&lt;=DATE(2025,8,1),OR(G8="",G8&gt;=DATE(2025,8,1))),H8*(1+Assumptions!$C$7)^0,0)</f>
        <v>0</v>
      </c>
      <c r="Q8" s="291">
        <f>IF(AND(F8&lt;=DATE(2025,9,1),OR(G8="",G8&gt;=DATE(2025,9,1))),H8*(1+Assumptions!$C$7)^0,0)</f>
        <v>5500</v>
      </c>
      <c r="R8" s="291">
        <f>IF(AND(F8&lt;=DATE(2025,10,1),OR(G8="",G8&gt;=DATE(2025,10,1))),H8*(1+Assumptions!$C$7)^0,0)</f>
        <v>5500</v>
      </c>
      <c r="S8" s="291">
        <f>IF(AND(F8&lt;=DATE(2025,11,1),OR(G8="",G8&gt;=DATE(2025,11,1))),H8*(1+Assumptions!$C$7)^0,0)</f>
        <v>5500</v>
      </c>
      <c r="T8" s="291">
        <f>IF(AND(F8&lt;=DATE(2025,12,1),OR(G8="",G8&gt;=DATE(2025,12,1))),H8*(1+Assumptions!$C$7)^0,0)</f>
        <v>5500</v>
      </c>
      <c r="U8" s="291">
        <f>IF(AND(F8&lt;=DATE(2026,1,1),OR(G8="",G8&gt;=DATE(2026,1,1))),H8*(1+Assumptions!$C$7)^1,0)</f>
        <v>5940</v>
      </c>
      <c r="V8" s="291">
        <f>IF(AND(F8&lt;=DATE(2026,2,1),OR(G8="",G8&gt;=DATE(2026,2,1))),H8*(1+Assumptions!$C$7)^1,0)</f>
        <v>5940</v>
      </c>
      <c r="W8" s="291">
        <f>IF(AND(F8&lt;=DATE(2026,3,1),OR(G8="",G8&gt;=DATE(2026,3,1))),H8*(1+Assumptions!$C$7)^1,0)</f>
        <v>5940</v>
      </c>
      <c r="X8" s="291">
        <f>IF(AND(F8&lt;=DATE(2026,4,1),OR(G8="",G8&gt;=DATE(2026,4,1))),H8*(1+Assumptions!$C$7)^1,0)</f>
        <v>5940</v>
      </c>
      <c r="Y8" s="291">
        <f>IF(AND(F8&lt;=DATE(2026,5,1),OR(G8="",G8&gt;=DATE(2026,5,1))),H8*(1+Assumptions!$C$7)^1,0)</f>
        <v>5940</v>
      </c>
      <c r="Z8" s="291">
        <f>IF(AND(F8&lt;=DATE(2026,6,1),OR(G8="",G8&gt;=DATE(2026,6,1))),H8*(1+Assumptions!$C$7)^1,0)</f>
        <v>5940</v>
      </c>
      <c r="AA8" s="291">
        <f>IF(AND(F8&lt;=DATE(2026,7,1),OR(G8="",G8&gt;=DATE(2026,7,1))),H8*(1+Assumptions!$C$7)^1,0)</f>
        <v>5940</v>
      </c>
      <c r="AB8" s="291">
        <f>IF(AND(F8&lt;=DATE(2026,8,1),OR(G8="",G8&gt;=DATE(2026,8,1))),H8*(1+Assumptions!$C$7)^1,0)</f>
        <v>5940</v>
      </c>
      <c r="AC8" s="291">
        <f>IF(AND(F8&lt;=DATE(2026,9,1),OR(G8="",G8&gt;=DATE(2026,9,1))),H8*(1+Assumptions!$C$7)^1,0)</f>
        <v>5940</v>
      </c>
      <c r="AD8" s="291">
        <f>IF(AND(F8&lt;=DATE(2026,10,1),OR(G8="",G8&gt;=DATE(2026,10,1))),H8*(1+Assumptions!$C$7)^1,0)</f>
        <v>5940</v>
      </c>
      <c r="AE8" s="291">
        <f>IF(AND(F8&lt;=DATE(2026,11,1),OR(G8="",G8&gt;=DATE(2026,11,1))),H8*(1+Assumptions!$C$7)^1,0)</f>
        <v>5940</v>
      </c>
      <c r="AF8" s="291">
        <f>IF(AND(F8&lt;=DATE(2026,12,1),OR(G8="",G8&gt;=DATE(2026,12,1))),H8*(1+Assumptions!$C$7)^1,0)</f>
        <v>5940</v>
      </c>
      <c r="AG8" s="291">
        <f>IF(AND(F8&lt;=DATE(2027,1,1),OR(G8="",G8&gt;=DATE(2027,1,1))),H8*(1+Assumptions!$C$7)^2,0)</f>
        <v>6415.2</v>
      </c>
      <c r="AH8" s="291">
        <f>IF(AND(F8&lt;=DATE(2027,2,1),OR(G8="",G8&gt;=DATE(2027,2,1))),H8*(1+Assumptions!$C$7)^2,0)</f>
        <v>6415.2</v>
      </c>
      <c r="AI8" s="291">
        <f>IF(AND(F8&lt;=DATE(2027,3,1),OR(G8="",G8&gt;=DATE(2027,3,1))),H8*(1+Assumptions!$C$7)^2,0)</f>
        <v>6415.2</v>
      </c>
      <c r="AJ8" s="291">
        <f>IF(AND(F8&lt;=DATE(2027,4,1),OR(G8="",G8&gt;=DATE(2027,4,1))),H8*(1+Assumptions!$C$7)^2,0)</f>
        <v>6415.2</v>
      </c>
      <c r="AK8" s="291">
        <f>IF(AND(F8&lt;=DATE(2027,5,1),OR(G8="",G8&gt;=DATE(2027,5,1))),H8*(1+Assumptions!$C$7)^2,0)</f>
        <v>6415.2</v>
      </c>
      <c r="AL8" s="291">
        <f>IF(AND(F8&lt;=DATE(2027,6,1),OR(G8="",G8&gt;=DATE(2027,6,1))),H8*(1+Assumptions!$C$7)^2,0)</f>
        <v>6415.2</v>
      </c>
      <c r="AM8" s="291">
        <f>IF(AND(F8&lt;=DATE(2027,7,1),OR(G8="",G8&gt;=DATE(2027,7,1))),H8*(1+Assumptions!$C$7)^2,0)</f>
        <v>6415.2</v>
      </c>
      <c r="AN8" s="291">
        <f>IF(AND(F8&lt;=DATE(2027,8,1),OR(G8="",G8&gt;=DATE(2027,8,1))),H8*(1+Assumptions!$C$7)^2,0)</f>
        <v>6415.2</v>
      </c>
      <c r="AO8" s="291">
        <f>IF(AND(F8&lt;=DATE(2027,9,1),OR(G8="",G8&gt;=DATE(2027,9,1))),H8*(1+Assumptions!$C$7)^2,0)</f>
        <v>6415.2</v>
      </c>
      <c r="AP8" s="291">
        <f>IF(AND(F8&lt;=DATE(2027,10,1),OR(G8="",G8&gt;=DATE(2027,10,1))),H8*(1+Assumptions!$C$7)^2,0)</f>
        <v>6415.2</v>
      </c>
      <c r="AQ8" s="291">
        <f>IF(AND(F8&lt;=DATE(2027,11,1),OR(G8="",G8&gt;=DATE(2027,11,1))),H8*(1+Assumptions!$C$7)^2,0)</f>
        <v>6415.2</v>
      </c>
      <c r="AR8" s="291">
        <f>IF(AND(F8&lt;=DATE(2027,12,1),OR(G8="",G8&gt;=DATE(2027,12,1))),H8*(1+Assumptions!$C$7)^2,0)</f>
        <v>6415.2</v>
      </c>
      <c r="AS8" s="291">
        <f>IF(AND(F8&lt;=DATE(2028,1,1),OR(G8="",G8&gt;=DATE(2028,1,1))),H8*(1+Assumptions!$C$7)^3,0)</f>
        <v>6928.416</v>
      </c>
      <c r="AT8" s="291">
        <f>IF(AND(F8&lt;=DATE(2028,2,1),OR(G8="",G8&gt;=DATE(2028,2,1))),H8*(1+Assumptions!$C$7)^3,0)</f>
        <v>6928.416</v>
      </c>
      <c r="AU8" s="291">
        <f>IF(AND(F8&lt;=DATE(2028,3,1),OR(G8="",G8&gt;=DATE(2028,3,1))),H8*(1+Assumptions!$C$7)^3,0)</f>
        <v>6928.416</v>
      </c>
      <c r="AV8" s="291">
        <f>IF(AND(F8&lt;=DATE(2028,4,1),OR(G8="",G8&gt;=DATE(2028,4,1))),H8*(1+Assumptions!$C$7)^3,0)</f>
        <v>6928.416</v>
      </c>
      <c r="AW8" s="291">
        <f>IF(AND(F8&lt;=DATE(2028,5,1),OR(G8="",G8&gt;=DATE(2028,5,1))),H8*(1+Assumptions!$C$7)^3,0)</f>
        <v>6928.416</v>
      </c>
      <c r="AX8" s="291">
        <f>IF(AND(F8&lt;=DATE(2028,6,1),OR(G8="",G8&gt;=DATE(2028,6,1))),H8*(1+Assumptions!$C$7)^3,0)</f>
        <v>6928.416</v>
      </c>
      <c r="AY8" s="291">
        <f>IF(AND(F8&lt;=DATE(2028,7,1),OR(G8="",G8&gt;=DATE(2028,7,1))),H8*(1+Assumptions!$C$7)^3,0)</f>
        <v>6928.416</v>
      </c>
      <c r="AZ8" s="291">
        <f>IF(AND(F8&lt;=DATE(2028,8,1),OR(G8="",G8&gt;=DATE(2028,8,1))),H8*(1+Assumptions!$C$7)^3,0)</f>
        <v>6928.416</v>
      </c>
      <c r="BA8" s="291">
        <f>IF(AND(F8&lt;=DATE(2028,9,1),OR(G8="",G8&gt;=DATE(2028,9,1))),H8*(1+Assumptions!$C$7)^3,0)</f>
        <v>6928.416</v>
      </c>
      <c r="BB8" s="291">
        <f>IF(AND(F8&lt;=DATE(2028,10,1),OR(G8="",G8&gt;=DATE(2028,10,1))),H8*(1+Assumptions!$C$7)^3,0)</f>
        <v>6928.416</v>
      </c>
      <c r="BC8" s="291">
        <f>IF(AND(F8&lt;=DATE(2028,11,1),OR(G8="",G8&gt;=DATE(2028,11,1))),H8*(1+Assumptions!$C$7)^3,0)</f>
        <v>6928.416</v>
      </c>
      <c r="BD8" s="291">
        <f>IF(AND(F8&lt;=DATE(2028,12,1),OR(G8="",G8&gt;=DATE(2028,12,1))),H8*(1+Assumptions!$C$7)^3,0)</f>
        <v>6928.416</v>
      </c>
      <c r="BE8" s="291">
        <f>IF(AND(F8&lt;=DATE(2029,1,1),OR(G8="",G8&gt;=DATE(2029,1,1))),H8*(1+Assumptions!$C$7)^4,0)</f>
        <v>7482.68928</v>
      </c>
      <c r="BF8" s="291">
        <f>IF(AND(F8&lt;=DATE(2029,2,1),OR(G8="",G8&gt;=DATE(2029,2,1))),H8*(1+Assumptions!$C$7)^4,0)</f>
        <v>7482.68928</v>
      </c>
      <c r="BG8" s="291">
        <f>IF(AND(F8&lt;=DATE(2029,3,1),OR(G8="",G8&gt;=DATE(2029,3,1))),H8*(1+Assumptions!$C$7)^4,0)</f>
        <v>7482.68928</v>
      </c>
      <c r="BH8" s="291">
        <f>IF(AND(F8&lt;=DATE(2029,4,1),OR(G8="",G8&gt;=DATE(2029,4,1))),H8*(1+Assumptions!$C$7)^4,0)</f>
        <v>7482.68928</v>
      </c>
      <c r="BI8" s="291">
        <f>IF(AND(F8&lt;=DATE(2029,5,1),OR(G8="",G8&gt;=DATE(2029,5,1))),H8*(1+Assumptions!$C$7)^4,0)</f>
        <v>7482.68928</v>
      </c>
      <c r="BJ8" s="291">
        <f>IF(AND(F8&lt;=DATE(2029,6,1),OR(G8="",G8&gt;=DATE(2029,6,1))),H8*(1+Assumptions!$C$7)^4,0)</f>
        <v>7482.68928</v>
      </c>
      <c r="BK8" s="291">
        <f>IF(AND(F8&lt;=DATE(2029,7,1),OR(G8="",G8&gt;=DATE(2029,7,1))),H8*(1+Assumptions!$C$7)^4,0)</f>
        <v>7482.68928</v>
      </c>
      <c r="BL8" s="291">
        <f>IF(AND(F8&lt;=DATE(2029,8,1),OR(G8="",G8&gt;=DATE(2029,8,1))),H8*(1+Assumptions!$C$7)^4,0)</f>
        <v>7482.68928</v>
      </c>
      <c r="BM8" s="291">
        <f>IF(AND(F8&lt;=DATE(2029,9,1),OR(G8="",G8&gt;=DATE(2029,9,1))),H8*(1+Assumptions!$C$7)^4,0)</f>
        <v>7482.68928</v>
      </c>
      <c r="BN8" s="291">
        <f>IF(AND(F8&lt;=DATE(2029,10,1),OR(G8="",G8&gt;=DATE(2029,10,1))),H8*(1+Assumptions!$C$7)^4,0)</f>
        <v>7482.68928</v>
      </c>
      <c r="BO8" s="291">
        <f>IF(AND(F8&lt;=DATE(2029,11,1),OR(G8="",G8&gt;=DATE(2029,11,1))),H8*(1+Assumptions!$C$7)^4,0)</f>
        <v>7482.68928</v>
      </c>
      <c r="BP8" s="291">
        <f>IF(AND(F8&lt;=DATE(2029,12,1),OR(G8="",G8&gt;=DATE(2029,12,1))),H8*(1+Assumptions!$C$7)^4,0)</f>
        <v>7482.68928</v>
      </c>
      <c r="BQ8" s="112"/>
    </row>
    <row r="9">
      <c r="A9" s="292">
        <v>7.0</v>
      </c>
      <c r="B9" s="295" t="s">
        <v>327</v>
      </c>
      <c r="C9" s="26" t="s">
        <v>144</v>
      </c>
      <c r="D9" s="26" t="s">
        <v>321</v>
      </c>
      <c r="E9" s="293" t="s">
        <v>323</v>
      </c>
      <c r="F9" s="283">
        <v>45901.0</v>
      </c>
      <c r="G9" s="294"/>
      <c r="H9" s="285">
        <v>5500.0</v>
      </c>
      <c r="I9" s="286">
        <f>IF(AND(F9&lt;=DATE(2025,1,1),OR(G9="",G9&gt;=DATE(2025,1,1))),H9*(1+Assumptions!$C$7)^0,0)</f>
        <v>0</v>
      </c>
      <c r="J9" s="286">
        <f>IF(AND(F9&lt;=DATE(2025,2,1),OR(G9="",G9&gt;=DATE(2025,2,1))),H9*(1+Assumptions!$C$7)^0,0)</f>
        <v>0</v>
      </c>
      <c r="K9" s="286">
        <f>IF(AND(F9&lt;=DATE(2025,3,1),OR(G9="",G9&gt;=DATE(2025,3,1))),H9*(1+Assumptions!$C$7)^0,0)</f>
        <v>0</v>
      </c>
      <c r="L9" s="286">
        <f>IF(AND(F9&lt;=DATE(2025,4,1),OR(G9="",G9&gt;=DATE(2025,4,1))),H9*(1+Assumptions!$C$7)^0,0)</f>
        <v>0</v>
      </c>
      <c r="M9" s="286">
        <f>IF(AND(F9&lt;=DATE(2025,5,1),OR(G9="",G9&gt;=DATE(2025,5,1))),H9*(1+Assumptions!$C$7)^0,0)</f>
        <v>0</v>
      </c>
      <c r="N9" s="286">
        <f>IF(AND(F9&lt;=DATE(2025,6,1),OR(G9="",G9&gt;=DATE(2025,6,1))),H9*(1+Assumptions!$C$7)^0,0)</f>
        <v>0</v>
      </c>
      <c r="O9" s="286">
        <f>IF(AND(F9&lt;=DATE(2025,7,1),OR(G9="",G9&gt;=DATE(2025,7,1))),H9*(1+Assumptions!$C$7)^0,0)</f>
        <v>0</v>
      </c>
      <c r="P9" s="286">
        <f>IF(AND(F9&lt;=DATE(2025,8,1),OR(G9="",G9&gt;=DATE(2025,8,1))),H9*(1+Assumptions!$C$7)^0,0)</f>
        <v>0</v>
      </c>
      <c r="Q9" s="286">
        <f>IF(AND(F9&lt;=DATE(2025,9,1),OR(G9="",G9&gt;=DATE(2025,9,1))),H9*(1+Assumptions!$C$7)^0,0)</f>
        <v>5500</v>
      </c>
      <c r="R9" s="286">
        <f>IF(AND(F9&lt;=DATE(2025,10,1),OR(G9="",G9&gt;=DATE(2025,10,1))),H9*(1+Assumptions!$C$7)^0,0)</f>
        <v>5500</v>
      </c>
      <c r="S9" s="286">
        <f>IF(AND(F9&lt;=DATE(2025,11,1),OR(G9="",G9&gt;=DATE(2025,11,1))),H9*(1+Assumptions!$C$7)^0,0)</f>
        <v>5500</v>
      </c>
      <c r="T9" s="286">
        <f>IF(AND(F9&lt;=DATE(2025,12,1),OR(G9="",G9&gt;=DATE(2025,12,1))),H9*(1+Assumptions!$C$7)^0,0)</f>
        <v>5500</v>
      </c>
      <c r="U9" s="286">
        <f>IF(AND(F9&lt;=DATE(2026,1,1),OR(G9="",G9&gt;=DATE(2026,1,1))),H9*(1+Assumptions!$C$7)^1,0)</f>
        <v>5940</v>
      </c>
      <c r="V9" s="286">
        <f>IF(AND(F9&lt;=DATE(2026,2,1),OR(G9="",G9&gt;=DATE(2026,2,1))),H9*(1+Assumptions!$C$7)^1,0)</f>
        <v>5940</v>
      </c>
      <c r="W9" s="286">
        <f>IF(AND(F9&lt;=DATE(2026,3,1),OR(G9="",G9&gt;=DATE(2026,3,1))),H9*(1+Assumptions!$C$7)^1,0)</f>
        <v>5940</v>
      </c>
      <c r="X9" s="286">
        <f>IF(AND(F9&lt;=DATE(2026,4,1),OR(G9="",G9&gt;=DATE(2026,4,1))),H9*(1+Assumptions!$C$7)^1,0)</f>
        <v>5940</v>
      </c>
      <c r="Y9" s="286">
        <f>IF(AND(F9&lt;=DATE(2026,5,1),OR(G9="",G9&gt;=DATE(2026,5,1))),H9*(1+Assumptions!$C$7)^1,0)</f>
        <v>5940</v>
      </c>
      <c r="Z9" s="286">
        <f>IF(AND(F9&lt;=DATE(2026,6,1),OR(G9="",G9&gt;=DATE(2026,6,1))),H9*(1+Assumptions!$C$7)^1,0)</f>
        <v>5940</v>
      </c>
      <c r="AA9" s="286">
        <f>IF(AND(F9&lt;=DATE(2026,7,1),OR(G9="",G9&gt;=DATE(2026,7,1))),H9*(1+Assumptions!$C$7)^1,0)</f>
        <v>5940</v>
      </c>
      <c r="AB9" s="286">
        <f>IF(AND(F9&lt;=DATE(2026,8,1),OR(G9="",G9&gt;=DATE(2026,8,1))),H9*(1+Assumptions!$C$7)^1,0)</f>
        <v>5940</v>
      </c>
      <c r="AC9" s="286">
        <f>IF(AND(F9&lt;=DATE(2026,9,1),OR(G9="",G9&gt;=DATE(2026,9,1))),H9*(1+Assumptions!$C$7)^1,0)</f>
        <v>5940</v>
      </c>
      <c r="AD9" s="286">
        <f>IF(AND(F9&lt;=DATE(2026,10,1),OR(G9="",G9&gt;=DATE(2026,10,1))),H9*(1+Assumptions!$C$7)^1,0)</f>
        <v>5940</v>
      </c>
      <c r="AE9" s="286">
        <f>IF(AND(F9&lt;=DATE(2026,11,1),OR(G9="",G9&gt;=DATE(2026,11,1))),H9*(1+Assumptions!$C$7)^1,0)</f>
        <v>5940</v>
      </c>
      <c r="AF9" s="286">
        <f>IF(AND(F9&lt;=DATE(2026,12,1),OR(G9="",G9&gt;=DATE(2026,12,1))),H9*(1+Assumptions!$C$7)^1,0)</f>
        <v>5940</v>
      </c>
      <c r="AG9" s="286">
        <f>IF(AND(F9&lt;=DATE(2027,1,1),OR(G9="",G9&gt;=DATE(2027,1,1))),H9*(1+Assumptions!$C$7)^2,0)</f>
        <v>6415.2</v>
      </c>
      <c r="AH9" s="286">
        <f>IF(AND(F9&lt;=DATE(2027,2,1),OR(G9="",G9&gt;=DATE(2027,2,1))),H9*(1+Assumptions!$C$7)^2,0)</f>
        <v>6415.2</v>
      </c>
      <c r="AI9" s="286">
        <f>IF(AND(F9&lt;=DATE(2027,3,1),OR(G9="",G9&gt;=DATE(2027,3,1))),H9*(1+Assumptions!$C$7)^2,0)</f>
        <v>6415.2</v>
      </c>
      <c r="AJ9" s="286">
        <f>IF(AND(F9&lt;=DATE(2027,4,1),OR(G9="",G9&gt;=DATE(2027,4,1))),H9*(1+Assumptions!$C$7)^2,0)</f>
        <v>6415.2</v>
      </c>
      <c r="AK9" s="286">
        <f>IF(AND(F9&lt;=DATE(2027,5,1),OR(G9="",G9&gt;=DATE(2027,5,1))),H9*(1+Assumptions!$C$7)^2,0)</f>
        <v>6415.2</v>
      </c>
      <c r="AL9" s="286">
        <f>IF(AND(F9&lt;=DATE(2027,6,1),OR(G9="",G9&gt;=DATE(2027,6,1))),H9*(1+Assumptions!$C$7)^2,0)</f>
        <v>6415.2</v>
      </c>
      <c r="AM9" s="286">
        <f>IF(AND(F9&lt;=DATE(2027,7,1),OR(G9="",G9&gt;=DATE(2027,7,1))),H9*(1+Assumptions!$C$7)^2,0)</f>
        <v>6415.2</v>
      </c>
      <c r="AN9" s="286">
        <f>IF(AND(F9&lt;=DATE(2027,8,1),OR(G9="",G9&gt;=DATE(2027,8,1))),H9*(1+Assumptions!$C$7)^2,0)</f>
        <v>6415.2</v>
      </c>
      <c r="AO9" s="286">
        <f>IF(AND(F9&lt;=DATE(2027,9,1),OR(G9="",G9&gt;=DATE(2027,9,1))),H9*(1+Assumptions!$C$7)^2,0)</f>
        <v>6415.2</v>
      </c>
      <c r="AP9" s="286">
        <f>IF(AND(F9&lt;=DATE(2027,10,1),OR(G9="",G9&gt;=DATE(2027,10,1))),H9*(1+Assumptions!$C$7)^2,0)</f>
        <v>6415.2</v>
      </c>
      <c r="AQ9" s="286">
        <f>IF(AND(F9&lt;=DATE(2027,11,1),OR(G9="",G9&gt;=DATE(2027,11,1))),H9*(1+Assumptions!$C$7)^2,0)</f>
        <v>6415.2</v>
      </c>
      <c r="AR9" s="286">
        <f>IF(AND(F9&lt;=DATE(2027,12,1),OR(G9="",G9&gt;=DATE(2027,12,1))),H9*(1+Assumptions!$C$7)^2,0)</f>
        <v>6415.2</v>
      </c>
      <c r="AS9" s="286">
        <f>IF(AND(F9&lt;=DATE(2028,1,1),OR(G9="",G9&gt;=DATE(2028,1,1))),H9*(1+Assumptions!$C$7)^3,0)</f>
        <v>6928.416</v>
      </c>
      <c r="AT9" s="286">
        <f>IF(AND(F9&lt;=DATE(2028,2,1),OR(G9="",G9&gt;=DATE(2028,2,1))),H9*(1+Assumptions!$C$7)^3,0)</f>
        <v>6928.416</v>
      </c>
      <c r="AU9" s="286">
        <f>IF(AND(F9&lt;=DATE(2028,3,1),OR(G9="",G9&gt;=DATE(2028,3,1))),H9*(1+Assumptions!$C$7)^3,0)</f>
        <v>6928.416</v>
      </c>
      <c r="AV9" s="286">
        <f>IF(AND(F9&lt;=DATE(2028,4,1),OR(G9="",G9&gt;=DATE(2028,4,1))),H9*(1+Assumptions!$C$7)^3,0)</f>
        <v>6928.416</v>
      </c>
      <c r="AW9" s="286">
        <f>IF(AND(F9&lt;=DATE(2028,5,1),OR(G9="",G9&gt;=DATE(2028,5,1))),H9*(1+Assumptions!$C$7)^3,0)</f>
        <v>6928.416</v>
      </c>
      <c r="AX9" s="286">
        <f>IF(AND(F9&lt;=DATE(2028,6,1),OR(G9="",G9&gt;=DATE(2028,6,1))),H9*(1+Assumptions!$C$7)^3,0)</f>
        <v>6928.416</v>
      </c>
      <c r="AY9" s="286">
        <f>IF(AND(F9&lt;=DATE(2028,7,1),OR(G9="",G9&gt;=DATE(2028,7,1))),H9*(1+Assumptions!$C$7)^3,0)</f>
        <v>6928.416</v>
      </c>
      <c r="AZ9" s="286">
        <f>IF(AND(F9&lt;=DATE(2028,8,1),OR(G9="",G9&gt;=DATE(2028,8,1))),H9*(1+Assumptions!$C$7)^3,0)</f>
        <v>6928.416</v>
      </c>
      <c r="BA9" s="286">
        <f>IF(AND(F9&lt;=DATE(2028,9,1),OR(G9="",G9&gt;=DATE(2028,9,1))),H9*(1+Assumptions!$C$7)^3,0)</f>
        <v>6928.416</v>
      </c>
      <c r="BB9" s="286">
        <f>IF(AND(F9&lt;=DATE(2028,10,1),OR(G9="",G9&gt;=DATE(2028,10,1))),H9*(1+Assumptions!$C$7)^3,0)</f>
        <v>6928.416</v>
      </c>
      <c r="BC9" s="286">
        <f>IF(AND(F9&lt;=DATE(2028,11,1),OR(G9="",G9&gt;=DATE(2028,11,1))),H9*(1+Assumptions!$C$7)^3,0)</f>
        <v>6928.416</v>
      </c>
      <c r="BD9" s="286">
        <f>IF(AND(F9&lt;=DATE(2028,12,1),OR(G9="",G9&gt;=DATE(2028,12,1))),H9*(1+Assumptions!$C$7)^3,0)</f>
        <v>6928.416</v>
      </c>
      <c r="BE9" s="286">
        <f>IF(AND(F9&lt;=DATE(2029,1,1),OR(G9="",G9&gt;=DATE(2029,1,1))),H9*(1+Assumptions!$C$7)^4,0)</f>
        <v>7482.68928</v>
      </c>
      <c r="BF9" s="286">
        <f>IF(AND(F9&lt;=DATE(2029,2,1),OR(G9="",G9&gt;=DATE(2029,2,1))),H9*(1+Assumptions!$C$7)^4,0)</f>
        <v>7482.68928</v>
      </c>
      <c r="BG9" s="286">
        <f>IF(AND(F9&lt;=DATE(2029,3,1),OR(G9="",G9&gt;=DATE(2029,3,1))),H9*(1+Assumptions!$C$7)^4,0)</f>
        <v>7482.68928</v>
      </c>
      <c r="BH9" s="286">
        <f>IF(AND(F9&lt;=DATE(2029,4,1),OR(G9="",G9&gt;=DATE(2029,4,1))),H9*(1+Assumptions!$C$7)^4,0)</f>
        <v>7482.68928</v>
      </c>
      <c r="BI9" s="286">
        <f>IF(AND(F9&lt;=DATE(2029,5,1),OR(G9="",G9&gt;=DATE(2029,5,1))),H9*(1+Assumptions!$C$7)^4,0)</f>
        <v>7482.68928</v>
      </c>
      <c r="BJ9" s="286">
        <f>IF(AND(F9&lt;=DATE(2029,6,1),OR(G9="",G9&gt;=DATE(2029,6,1))),H9*(1+Assumptions!$C$7)^4,0)</f>
        <v>7482.68928</v>
      </c>
      <c r="BK9" s="286">
        <f>IF(AND(F9&lt;=DATE(2029,7,1),OR(G9="",G9&gt;=DATE(2029,7,1))),H9*(1+Assumptions!$C$7)^4,0)</f>
        <v>7482.68928</v>
      </c>
      <c r="BL9" s="286">
        <f>IF(AND(F9&lt;=DATE(2029,8,1),OR(G9="",G9&gt;=DATE(2029,8,1))),H9*(1+Assumptions!$C$7)^4,0)</f>
        <v>7482.68928</v>
      </c>
      <c r="BM9" s="286">
        <f>IF(AND(F9&lt;=DATE(2029,9,1),OR(G9="",G9&gt;=DATE(2029,9,1))),H9*(1+Assumptions!$C$7)^4,0)</f>
        <v>7482.68928</v>
      </c>
      <c r="BN9" s="286">
        <f>IF(AND(F9&lt;=DATE(2029,10,1),OR(G9="",G9&gt;=DATE(2029,10,1))),H9*(1+Assumptions!$C$7)^4,0)</f>
        <v>7482.68928</v>
      </c>
      <c r="BO9" s="286">
        <f>IF(AND(F9&lt;=DATE(2029,11,1),OR(G9="",G9&gt;=DATE(2029,11,1))),H9*(1+Assumptions!$C$7)^4,0)</f>
        <v>7482.68928</v>
      </c>
      <c r="BP9" s="286">
        <f>IF(AND(F9&lt;=DATE(2029,12,1),OR(G9="",G9&gt;=DATE(2029,12,1))),H9*(1+Assumptions!$C$7)^4,0)</f>
        <v>7482.68928</v>
      </c>
      <c r="BQ9" s="112"/>
    </row>
    <row r="10">
      <c r="A10" s="292">
        <v>11.0</v>
      </c>
      <c r="B10" s="295" t="s">
        <v>328</v>
      </c>
      <c r="C10" s="26" t="s">
        <v>137</v>
      </c>
      <c r="D10" s="26" t="s">
        <v>329</v>
      </c>
      <c r="E10" s="293" t="s">
        <v>323</v>
      </c>
      <c r="F10" s="283">
        <v>45901.0</v>
      </c>
      <c r="G10" s="283">
        <v>46266.0</v>
      </c>
      <c r="H10" s="285">
        <v>4000.0</v>
      </c>
      <c r="I10" s="286">
        <f>IF(AND(F10&lt;=DATE(2025,1,1),OR(G10="",G10&gt;=DATE(2025,1,1))),H10*(1+Assumptions!$C$7)^0,0)</f>
        <v>0</v>
      </c>
      <c r="J10" s="286">
        <f>IF(AND(F10&lt;=DATE(2025,2,1),OR(G10="",G10&gt;=DATE(2025,2,1))),H10*(1+Assumptions!$C$7)^0,0)</f>
        <v>0</v>
      </c>
      <c r="K10" s="286">
        <f>IF(AND(F10&lt;=DATE(2025,3,1),OR(G10="",G10&gt;=DATE(2025,3,1))),H10*(1+Assumptions!$C$7)^0,0)</f>
        <v>0</v>
      </c>
      <c r="L10" s="286">
        <f>IF(AND(F10&lt;=DATE(2025,4,1),OR(G10="",G10&gt;=DATE(2025,4,1))),H10*(1+Assumptions!$C$7)^0,0)</f>
        <v>0</v>
      </c>
      <c r="M10" s="286">
        <f>IF(AND(F10&lt;=DATE(2025,5,1),OR(G10="",G10&gt;=DATE(2025,5,1))),H10*(1+Assumptions!$C$7)^0,0)</f>
        <v>0</v>
      </c>
      <c r="N10" s="286">
        <f>IF(AND(F10&lt;=DATE(2025,6,1),OR(G10="",G10&gt;=DATE(2025,6,1))),H10*(1+Assumptions!$C$7)^0,0)</f>
        <v>0</v>
      </c>
      <c r="O10" s="286">
        <f>IF(AND(F10&lt;=DATE(2025,7,1),OR(G10="",G10&gt;=DATE(2025,7,1))),H10*(1+Assumptions!$C$7)^0,0)</f>
        <v>0</v>
      </c>
      <c r="P10" s="286">
        <f>IF(AND(F10&lt;=DATE(2025,8,1),OR(G10="",G10&gt;=DATE(2025,8,1))),H10*(1+Assumptions!$C$7)^0,0)</f>
        <v>0</v>
      </c>
      <c r="Q10" s="286">
        <f>IF(AND(F10&lt;=DATE(2025,9,1),OR(G10="",G10&gt;=DATE(2025,9,1))),H10*(1+Assumptions!$C$7)^0,0)</f>
        <v>4000</v>
      </c>
      <c r="R10" s="286">
        <f>IF(AND(F10&lt;=DATE(2025,10,1),OR(G10="",G10&gt;=DATE(2025,10,1))),H10*(1+Assumptions!$C$7)^0,0)</f>
        <v>4000</v>
      </c>
      <c r="S10" s="286">
        <f>IF(AND(F10&lt;=DATE(2025,11,1),OR(G10="",G10&gt;=DATE(2025,11,1))),H10*(1+Assumptions!$C$7)^0,0)</f>
        <v>4000</v>
      </c>
      <c r="T10" s="286">
        <f>IF(AND(F10&lt;=DATE(2025,12,1),OR(G10="",G10&gt;=DATE(2025,12,1))),H10*(1+Assumptions!$C$7)^0,0)</f>
        <v>4000</v>
      </c>
      <c r="U10" s="286">
        <f>IF(AND(F10&lt;=DATE(2026,1,1),OR(G10="",G10&gt;=DATE(2026,1,1))),H10*(1+Assumptions!$C$7)^1,0)</f>
        <v>4320</v>
      </c>
      <c r="V10" s="286">
        <f>IF(AND(F10&lt;=DATE(2026,2,1),OR(G10="",G10&gt;=DATE(2026,2,1))),H10*(1+Assumptions!$C$7)^1,0)</f>
        <v>4320</v>
      </c>
      <c r="W10" s="286">
        <f>IF(AND(F10&lt;=DATE(2026,3,1),OR(G10="",G10&gt;=DATE(2026,3,1))),H10*(1+Assumptions!$C$7)^1,0)</f>
        <v>4320</v>
      </c>
      <c r="X10" s="286">
        <f>IF(AND(F10&lt;=DATE(2026,4,1),OR(G10="",G10&gt;=DATE(2026,4,1))),H10*(1+Assumptions!$C$7)^1,0)</f>
        <v>4320</v>
      </c>
      <c r="Y10" s="286">
        <f>IF(AND(F10&lt;=DATE(2026,5,1),OR(G10="",G10&gt;=DATE(2026,5,1))),H10*(1+Assumptions!$C$7)^1,0)</f>
        <v>4320</v>
      </c>
      <c r="Z10" s="286">
        <f>IF(AND(F10&lt;=DATE(2026,6,1),OR(G10="",G10&gt;=DATE(2026,6,1))),H10*(1+Assumptions!$C$7)^1,0)</f>
        <v>4320</v>
      </c>
      <c r="AA10" s="286">
        <f>IF(AND(F10&lt;=DATE(2026,7,1),OR(G10="",G10&gt;=DATE(2026,7,1))),H10*(1+Assumptions!$C$7)^1,0)</f>
        <v>4320</v>
      </c>
      <c r="AB10" s="286">
        <f>IF(AND(F10&lt;=DATE(2026,8,1),OR(G10="",G10&gt;=DATE(2026,8,1))),H10*(1+Assumptions!$C$7)^1,0)</f>
        <v>4320</v>
      </c>
      <c r="AC10" s="286">
        <f>IF(AND(F10&lt;=DATE(2026,9,1),OR(G10="",G10&gt;=DATE(2026,9,1))),H10*(1+Assumptions!$C$7)^1,0)</f>
        <v>4320</v>
      </c>
      <c r="AD10" s="286">
        <f>IF(AND(F10&lt;=DATE(2026,10,1),OR(G10="",G10&gt;=DATE(2026,10,1))),H10*(1+Assumptions!$C$7)^1,0)</f>
        <v>0</v>
      </c>
      <c r="AE10" s="286">
        <f>IF(AND(F10&lt;=DATE(2026,11,1),OR(G10="",G10&gt;=DATE(2026,11,1))),H10*(1+Assumptions!$C$7)^1,0)</f>
        <v>0</v>
      </c>
      <c r="AF10" s="286">
        <f>IF(AND(F10&lt;=DATE(2026,12,1),OR(G10="",G10&gt;=DATE(2026,12,1))),H10*(1+Assumptions!$C$7)^1,0)</f>
        <v>0</v>
      </c>
      <c r="AG10" s="286">
        <f>IF(AND(F10&lt;=DATE(2027,1,1),OR(G10="",G10&gt;=DATE(2027,1,1))),H10*(1+Assumptions!$C$7)^2,0)</f>
        <v>0</v>
      </c>
      <c r="AH10" s="286">
        <f>IF(AND(F10&lt;=DATE(2027,2,1),OR(G10="",G10&gt;=DATE(2027,2,1))),H10*(1+Assumptions!$C$7)^2,0)</f>
        <v>0</v>
      </c>
      <c r="AI10" s="286">
        <f>IF(AND(F10&lt;=DATE(2027,3,1),OR(G10="",G10&gt;=DATE(2027,3,1))),H10*(1+Assumptions!$C$7)^2,0)</f>
        <v>0</v>
      </c>
      <c r="AJ10" s="286">
        <f>IF(AND(F10&lt;=DATE(2027,4,1),OR(G10="",G10&gt;=DATE(2027,4,1))),H10*(1+Assumptions!$C$7)^2,0)</f>
        <v>0</v>
      </c>
      <c r="AK10" s="286">
        <f>IF(AND(F10&lt;=DATE(2027,5,1),OR(G10="",G10&gt;=DATE(2027,5,1))),H10*(1+Assumptions!$C$7)^2,0)</f>
        <v>0</v>
      </c>
      <c r="AL10" s="286">
        <f>IF(AND(F10&lt;=DATE(2027,6,1),OR(G10="",G10&gt;=DATE(2027,6,1))),H10*(1+Assumptions!$C$7)^2,0)</f>
        <v>0</v>
      </c>
      <c r="AM10" s="286">
        <f>IF(AND(F10&lt;=DATE(2027,7,1),OR(G10="",G10&gt;=DATE(2027,7,1))),H10*(1+Assumptions!$C$7)^2,0)</f>
        <v>0</v>
      </c>
      <c r="AN10" s="286">
        <f>IF(AND(F10&lt;=DATE(2027,8,1),OR(G10="",G10&gt;=DATE(2027,8,1))),H10*(1+Assumptions!$C$7)^2,0)</f>
        <v>0</v>
      </c>
      <c r="AO10" s="286">
        <f>IF(AND(F10&lt;=DATE(2027,9,1),OR(G10="",G10&gt;=DATE(2027,9,1))),H10*(1+Assumptions!$C$7)^2,0)</f>
        <v>0</v>
      </c>
      <c r="AP10" s="286">
        <f>IF(AND(F10&lt;=DATE(2027,10,1),OR(G10="",G10&gt;=DATE(2027,10,1))),H10*(1+Assumptions!$C$7)^2,0)</f>
        <v>0</v>
      </c>
      <c r="AQ10" s="286">
        <f>IF(AND(F10&lt;=DATE(2027,11,1),OR(G10="",G10&gt;=DATE(2027,11,1))),H10*(1+Assumptions!$C$7)^2,0)</f>
        <v>0</v>
      </c>
      <c r="AR10" s="286">
        <f>IF(AND(F10&lt;=DATE(2027,12,1),OR(G10="",G10&gt;=DATE(2027,12,1))),H10*(1+Assumptions!$C$7)^2,0)</f>
        <v>0</v>
      </c>
      <c r="AS10" s="286">
        <f>IF(AND(F10&lt;=DATE(2028,1,1),OR(G10="",G10&gt;=DATE(2028,1,1))),H10*(1+Assumptions!$C$7)^3,0)</f>
        <v>0</v>
      </c>
      <c r="AT10" s="286">
        <f>IF(AND(F10&lt;=DATE(2028,2,1),OR(G10="",G10&gt;=DATE(2028,2,1))),H10*(1+Assumptions!$C$7)^3,0)</f>
        <v>0</v>
      </c>
      <c r="AU10" s="286">
        <f>IF(AND(F10&lt;=DATE(2028,3,1),OR(G10="",G10&gt;=DATE(2028,3,1))),H10*(1+Assumptions!$C$7)^3,0)</f>
        <v>0</v>
      </c>
      <c r="AV10" s="286">
        <f>IF(AND(F10&lt;=DATE(2028,4,1),OR(G10="",G10&gt;=DATE(2028,4,1))),H10*(1+Assumptions!$C$7)^3,0)</f>
        <v>0</v>
      </c>
      <c r="AW10" s="286">
        <f>IF(AND(F10&lt;=DATE(2028,5,1),OR(G10="",G10&gt;=DATE(2028,5,1))),H10*(1+Assumptions!$C$7)^3,0)</f>
        <v>0</v>
      </c>
      <c r="AX10" s="286">
        <f>IF(AND(F10&lt;=DATE(2028,6,1),OR(G10="",G10&gt;=DATE(2028,6,1))),H10*(1+Assumptions!$C$7)^3,0)</f>
        <v>0</v>
      </c>
      <c r="AY10" s="286">
        <f>IF(AND(F10&lt;=DATE(2028,7,1),OR(G10="",G10&gt;=DATE(2028,7,1))),H10*(1+Assumptions!$C$7)^3,0)</f>
        <v>0</v>
      </c>
      <c r="AZ10" s="286">
        <f>IF(AND(F10&lt;=DATE(2028,8,1),OR(G10="",G10&gt;=DATE(2028,8,1))),H10*(1+Assumptions!$C$7)^3,0)</f>
        <v>0</v>
      </c>
      <c r="BA10" s="286">
        <f>IF(AND(F10&lt;=DATE(2028,9,1),OR(G10="",G10&gt;=DATE(2028,9,1))),H10*(1+Assumptions!$C$7)^3,0)</f>
        <v>0</v>
      </c>
      <c r="BB10" s="286">
        <f>IF(AND(F10&lt;=DATE(2028,10,1),OR(G10="",G10&gt;=DATE(2028,10,1))),H10*(1+Assumptions!$C$7)^3,0)</f>
        <v>0</v>
      </c>
      <c r="BC10" s="286">
        <f>IF(AND(F10&lt;=DATE(2028,11,1),OR(G10="",G10&gt;=DATE(2028,11,1))),H10*(1+Assumptions!$C$7)^3,0)</f>
        <v>0</v>
      </c>
      <c r="BD10" s="286">
        <f>IF(AND(F10&lt;=DATE(2028,12,1),OR(G10="",G10&gt;=DATE(2028,12,1))),H10*(1+Assumptions!$C$7)^3,0)</f>
        <v>0</v>
      </c>
      <c r="BE10" s="286">
        <f>IF(AND(F10&lt;=DATE(2029,1,1),OR(G10="",G10&gt;=DATE(2029,1,1))),H10*(1+Assumptions!$C$7)^4,0)</f>
        <v>0</v>
      </c>
      <c r="BF10" s="286">
        <f>IF(AND(F10&lt;=DATE(2029,2,1),OR(G10="",G10&gt;=DATE(2029,2,1))),H10*(1+Assumptions!$C$7)^4,0)</f>
        <v>0</v>
      </c>
      <c r="BG10" s="286">
        <f>IF(AND(F10&lt;=DATE(2029,3,1),OR(G10="",G10&gt;=DATE(2029,3,1))),H10*(1+Assumptions!$C$7)^4,0)</f>
        <v>0</v>
      </c>
      <c r="BH10" s="286">
        <f>IF(AND(F10&lt;=DATE(2029,4,1),OR(G10="",G10&gt;=DATE(2029,4,1))),H10*(1+Assumptions!$C$7)^4,0)</f>
        <v>0</v>
      </c>
      <c r="BI10" s="286">
        <f>IF(AND(F10&lt;=DATE(2029,5,1),OR(G10="",G10&gt;=DATE(2029,5,1))),H10*(1+Assumptions!$C$7)^4,0)</f>
        <v>0</v>
      </c>
      <c r="BJ10" s="286">
        <f>IF(AND(F10&lt;=DATE(2029,6,1),OR(G10="",G10&gt;=DATE(2029,6,1))),H10*(1+Assumptions!$C$7)^4,0)</f>
        <v>0</v>
      </c>
      <c r="BK10" s="286">
        <f>IF(AND(F10&lt;=DATE(2029,7,1),OR(G10="",G10&gt;=DATE(2029,7,1))),H10*(1+Assumptions!$C$7)^4,0)</f>
        <v>0</v>
      </c>
      <c r="BL10" s="286">
        <f>IF(AND(F10&lt;=DATE(2029,8,1),OR(G10="",G10&gt;=DATE(2029,8,1))),H10*(1+Assumptions!$C$7)^4,0)</f>
        <v>0</v>
      </c>
      <c r="BM10" s="286">
        <f>IF(AND(F10&lt;=DATE(2029,9,1),OR(G10="",G10&gt;=DATE(2029,9,1))),H10*(1+Assumptions!$C$7)^4,0)</f>
        <v>0</v>
      </c>
      <c r="BN10" s="286">
        <f>IF(AND(F10&lt;=DATE(2029,10,1),OR(G10="",G10&gt;=DATE(2029,10,1))),H10*(1+Assumptions!$C$7)^4,0)</f>
        <v>0</v>
      </c>
      <c r="BO10" s="286">
        <f>IF(AND(F10&lt;=DATE(2029,11,1),OR(G10="",G10&gt;=DATE(2029,11,1))),H10*(1+Assumptions!$C$7)^4,0)</f>
        <v>0</v>
      </c>
      <c r="BP10" s="286">
        <f>IF(AND(F10&lt;=DATE(2029,12,1),OR(G10="",G10&gt;=DATE(2029,12,1))),H10*(1+Assumptions!$C$7)^4,0)</f>
        <v>0</v>
      </c>
      <c r="BQ10" s="112"/>
    </row>
    <row r="11">
      <c r="A11" s="288">
        <v>8.0</v>
      </c>
      <c r="B11" s="281" t="s">
        <v>330</v>
      </c>
      <c r="C11" s="282" t="s">
        <v>144</v>
      </c>
      <c r="D11" s="282" t="s">
        <v>330</v>
      </c>
      <c r="E11" s="289" t="s">
        <v>323</v>
      </c>
      <c r="F11" s="283">
        <v>46266.0</v>
      </c>
      <c r="G11" s="290"/>
      <c r="H11" s="285">
        <v>11500.0</v>
      </c>
      <c r="I11" s="291">
        <f>IF(AND(F11&lt;=DATE(2025,1,1),OR(G11="",G11&gt;=DATE(2025,1,1))),H11*(1+Assumptions!$C$7)^0,0)</f>
        <v>0</v>
      </c>
      <c r="J11" s="291">
        <f>IF(AND(F11&lt;=DATE(2025,2,1),OR(G11="",G11&gt;=DATE(2025,2,1))),H11*(1+Assumptions!$C$7)^0,0)</f>
        <v>0</v>
      </c>
      <c r="K11" s="291">
        <f>IF(AND(F11&lt;=DATE(2025,3,1),OR(G11="",G11&gt;=DATE(2025,3,1))),H11*(1+Assumptions!$C$7)^0,0)</f>
        <v>0</v>
      </c>
      <c r="L11" s="291">
        <f>IF(AND(F11&lt;=DATE(2025,4,1),OR(G11="",G11&gt;=DATE(2025,4,1))),H11*(1+Assumptions!$C$7)^0,0)</f>
        <v>0</v>
      </c>
      <c r="M11" s="291">
        <f>IF(AND(F11&lt;=DATE(2025,5,1),OR(G11="",G11&gt;=DATE(2025,5,1))),H11*(1+Assumptions!$C$7)^0,0)</f>
        <v>0</v>
      </c>
      <c r="N11" s="291">
        <f>IF(AND(F11&lt;=DATE(2025,6,1),OR(G11="",G11&gt;=DATE(2025,6,1))),H11*(1+Assumptions!$C$7)^0,0)</f>
        <v>0</v>
      </c>
      <c r="O11" s="291">
        <f>IF(AND(F11&lt;=DATE(2025,7,1),OR(G11="",G11&gt;=DATE(2025,7,1))),H11*(1+Assumptions!$C$7)^0,0)</f>
        <v>0</v>
      </c>
      <c r="P11" s="291">
        <f>IF(AND(F11&lt;=DATE(2025,8,1),OR(G11="",G11&gt;=DATE(2025,8,1))),H11*(1+Assumptions!$C$7)^0,0)</f>
        <v>0</v>
      </c>
      <c r="Q11" s="291">
        <v>7500.0</v>
      </c>
      <c r="R11" s="291">
        <v>7500.0</v>
      </c>
      <c r="S11" s="291">
        <v>7500.0</v>
      </c>
      <c r="T11" s="291">
        <v>7500.0</v>
      </c>
      <c r="U11" s="291">
        <v>7500.0</v>
      </c>
      <c r="V11" s="291">
        <v>7500.0</v>
      </c>
      <c r="W11" s="291">
        <v>7500.0</v>
      </c>
      <c r="X11" s="291">
        <v>7500.0</v>
      </c>
      <c r="Y11" s="291">
        <v>7500.0</v>
      </c>
      <c r="Z11" s="291">
        <v>7500.0</v>
      </c>
      <c r="AA11" s="291">
        <v>7500.0</v>
      </c>
      <c r="AB11" s="291">
        <v>7500.0</v>
      </c>
      <c r="AC11" s="291">
        <f>IF(AND(F11&lt;=DATE(2026,9,1),OR(G11="",G11&gt;=DATE(2026,9,1))),H11)</f>
        <v>11500</v>
      </c>
      <c r="AD11" s="291">
        <f>IF(AND(F11&lt;=DATE(2026,10,1),OR(G11="",G11&gt;=DATE(2026,10,1))),H11*(1+Assumptions!$C$7)^1,0)</f>
        <v>12420</v>
      </c>
      <c r="AE11" s="291">
        <f>IF(AND(F11&lt;=DATE(2026,11,1),OR(G11="",G11&gt;=DATE(2026,11,1))),H11*(1+Assumptions!$C$7)^1,0)</f>
        <v>12420</v>
      </c>
      <c r="AF11" s="291">
        <f>IF(AND(F11&lt;=DATE(2026,12,1),OR(G11="",G11&gt;=DATE(2026,12,1))),H11*(1+Assumptions!$C$7)^1,0)</f>
        <v>12420</v>
      </c>
      <c r="AG11" s="291">
        <f>IF(AND(F11&lt;=DATE(2027,1,1),OR(G11="",G11&gt;=DATE(2027,1,1))),H11*(1+Assumptions!$C$7)^2,0)</f>
        <v>13413.6</v>
      </c>
      <c r="AH11" s="291">
        <f>IF(AND(F11&lt;=DATE(2027,2,1),OR(G11="",G11&gt;=DATE(2027,2,1))),H11*(1+Assumptions!$C$7)^2,0)</f>
        <v>13413.6</v>
      </c>
      <c r="AI11" s="291">
        <f>IF(AND(F11&lt;=DATE(2027,3,1),OR(G11="",G11&gt;=DATE(2027,3,1))),H11*(1+Assumptions!$C$7)^2,0)</f>
        <v>13413.6</v>
      </c>
      <c r="AJ11" s="291">
        <f>IF(AND(F11&lt;=DATE(2027,4,1),OR(G11="",G11&gt;=DATE(2027,4,1))),H11*(1+Assumptions!$C$7)^2,0)</f>
        <v>13413.6</v>
      </c>
      <c r="AK11" s="291">
        <f>IF(AND(F11&lt;=DATE(2027,5,1),OR(G11="",G11&gt;=DATE(2027,5,1))),H11*(1+Assumptions!$C$7)^2,0)</f>
        <v>13413.6</v>
      </c>
      <c r="AL11" s="291">
        <f>IF(AND(F11&lt;=DATE(2027,6,1),OR(G11="",G11&gt;=DATE(2027,6,1))),H11*(1+Assumptions!$C$7)^2,0)</f>
        <v>13413.6</v>
      </c>
      <c r="AM11" s="291">
        <f>IF(AND(F11&lt;=DATE(2027,7,1),OR(G11="",G11&gt;=DATE(2027,7,1))),H11*(1+Assumptions!$C$7)^2,0)</f>
        <v>13413.6</v>
      </c>
      <c r="AN11" s="291">
        <f>IF(AND(F11&lt;=DATE(2027,8,1),OR(G11="",G11&gt;=DATE(2027,8,1))),H11*(1+Assumptions!$C$7)^2,0)</f>
        <v>13413.6</v>
      </c>
      <c r="AO11" s="291">
        <f>IF(AND(F11&lt;=DATE(2027,9,1),OR(G11="",G11&gt;=DATE(2027,9,1))),H11*(1+Assumptions!$C$7)^2,0)</f>
        <v>13413.6</v>
      </c>
      <c r="AP11" s="291">
        <f>IF(AND(F11&lt;=DATE(2027,10,1),OR(G11="",G11&gt;=DATE(2027,10,1))),H11*(1+Assumptions!$C$7)^2,0)</f>
        <v>13413.6</v>
      </c>
      <c r="AQ11" s="291">
        <f>IF(AND(F11&lt;=DATE(2027,11,1),OR(G11="",G11&gt;=DATE(2027,11,1))),H11*(1+Assumptions!$C$7)^2,0)</f>
        <v>13413.6</v>
      </c>
      <c r="AR11" s="291">
        <f>IF(AND(F11&lt;=DATE(2027,12,1),OR(G11="",G11&gt;=DATE(2027,12,1))),H11*(1+Assumptions!$C$7)^2,0)</f>
        <v>13413.6</v>
      </c>
      <c r="AS11" s="291">
        <f>IF(AND(F11&lt;=DATE(2028,1,1),OR(G11="",G11&gt;=DATE(2028,1,1))),H11*(1+Assumptions!$C$7)^3,0)</f>
        <v>14486.688</v>
      </c>
      <c r="AT11" s="291">
        <f>IF(AND(F11&lt;=DATE(2028,2,1),OR(G11="",G11&gt;=DATE(2028,2,1))),H11*(1+Assumptions!$C$7)^3,0)</f>
        <v>14486.688</v>
      </c>
      <c r="AU11" s="291">
        <f>IF(AND(F11&lt;=DATE(2028,3,1),OR(G11="",G11&gt;=DATE(2028,3,1))),H11*(1+Assumptions!$C$7)^3,0)</f>
        <v>14486.688</v>
      </c>
      <c r="AV11" s="291">
        <f>IF(AND(F11&lt;=DATE(2028,4,1),OR(G11="",G11&gt;=DATE(2028,4,1))),H11*(1+Assumptions!$C$7)^3,0)</f>
        <v>14486.688</v>
      </c>
      <c r="AW11" s="291">
        <f>IF(AND(F11&lt;=DATE(2028,5,1),OR(G11="",G11&gt;=DATE(2028,5,1))),H11*(1+Assumptions!$C$7)^3,0)</f>
        <v>14486.688</v>
      </c>
      <c r="AX11" s="291">
        <f>IF(AND(F11&lt;=DATE(2028,6,1),OR(G11="",G11&gt;=DATE(2028,6,1))),H11*(1+Assumptions!$C$7)^3,0)</f>
        <v>14486.688</v>
      </c>
      <c r="AY11" s="291">
        <f>IF(AND(F11&lt;=DATE(2028,7,1),OR(G11="",G11&gt;=DATE(2028,7,1))),H11*(1+Assumptions!$C$7)^3,0)</f>
        <v>14486.688</v>
      </c>
      <c r="AZ11" s="291">
        <f>IF(AND(F11&lt;=DATE(2028,8,1),OR(G11="",G11&gt;=DATE(2028,8,1))),H11*(1+Assumptions!$C$7)^3,0)</f>
        <v>14486.688</v>
      </c>
      <c r="BA11" s="291">
        <f>IF(AND(F11&lt;=DATE(2028,9,1),OR(G11="",G11&gt;=DATE(2028,9,1))),H11*(1+Assumptions!$C$7)^3,0)</f>
        <v>14486.688</v>
      </c>
      <c r="BB11" s="291">
        <f>IF(AND(F11&lt;=DATE(2028,10,1),OR(G11="",G11&gt;=DATE(2028,10,1))),H11*(1+Assumptions!$C$7)^3,0)</f>
        <v>14486.688</v>
      </c>
      <c r="BC11" s="291">
        <f>IF(AND(F11&lt;=DATE(2028,11,1),OR(G11="",G11&gt;=DATE(2028,11,1))),H11*(1+Assumptions!$C$7)^3,0)</f>
        <v>14486.688</v>
      </c>
      <c r="BD11" s="291">
        <f>IF(AND(F11&lt;=DATE(2028,12,1),OR(G11="",G11&gt;=DATE(2028,12,1))),H11*(1+Assumptions!$C$7)^3,0)</f>
        <v>14486.688</v>
      </c>
      <c r="BE11" s="291">
        <f>IF(AND(F11&lt;=DATE(2029,1,1),OR(G11="",G11&gt;=DATE(2029,1,1))),H11*(1+Assumptions!$C$7)^4,0)</f>
        <v>15645.62304</v>
      </c>
      <c r="BF11" s="291">
        <f>IF(AND(F11&lt;=DATE(2029,2,1),OR(G11="",G11&gt;=DATE(2029,2,1))),H11*(1+Assumptions!$C$7)^4,0)</f>
        <v>15645.62304</v>
      </c>
      <c r="BG11" s="291">
        <f>IF(AND(F11&lt;=DATE(2029,3,1),OR(G11="",G11&gt;=DATE(2029,3,1))),H11*(1+Assumptions!$C$7)^4,0)</f>
        <v>15645.62304</v>
      </c>
      <c r="BH11" s="291">
        <f>IF(AND(F11&lt;=DATE(2029,4,1),OR(G11="",G11&gt;=DATE(2029,4,1))),H11*(1+Assumptions!$C$7)^4,0)</f>
        <v>15645.62304</v>
      </c>
      <c r="BI11" s="291">
        <f>IF(AND(F11&lt;=DATE(2029,5,1),OR(G11="",G11&gt;=DATE(2029,5,1))),H11*(1+Assumptions!$C$7)^4,0)</f>
        <v>15645.62304</v>
      </c>
      <c r="BJ11" s="291">
        <f>IF(AND(F11&lt;=DATE(2029,6,1),OR(G11="",G11&gt;=DATE(2029,6,1))),H11*(1+Assumptions!$C$7)^4,0)</f>
        <v>15645.62304</v>
      </c>
      <c r="BK11" s="291">
        <f>IF(AND(F11&lt;=DATE(2029,7,1),OR(G11="",G11&gt;=DATE(2029,7,1))),H11*(1+Assumptions!$C$7)^4,0)</f>
        <v>15645.62304</v>
      </c>
      <c r="BL11" s="291">
        <f>IF(AND(F11&lt;=DATE(2029,8,1),OR(G11="",G11&gt;=DATE(2029,8,1))),H11*(1+Assumptions!$C$7)^4,0)</f>
        <v>15645.62304</v>
      </c>
      <c r="BM11" s="291">
        <f>IF(AND(F11&lt;=DATE(2029,9,1),OR(G11="",G11&gt;=DATE(2029,9,1))),H11*(1+Assumptions!$C$7)^4,0)</f>
        <v>15645.62304</v>
      </c>
      <c r="BN11" s="291">
        <f>IF(AND(F11&lt;=DATE(2029,10,1),OR(G11="",G11&gt;=DATE(2029,10,1))),H11*(1+Assumptions!$C$7)^4,0)</f>
        <v>15645.62304</v>
      </c>
      <c r="BO11" s="291">
        <f>IF(AND(F11&lt;=DATE(2029,11,1),OR(G11="",G11&gt;=DATE(2029,11,1))),H11*(1+Assumptions!$C$7)^4,0)</f>
        <v>15645.62304</v>
      </c>
      <c r="BP11" s="291">
        <f>IF(AND(F11&lt;=DATE(2029,12,1),OR(G11="",G11&gt;=DATE(2029,12,1))),H11*(1+Assumptions!$C$7)^4,0)</f>
        <v>15645.62304</v>
      </c>
      <c r="BQ11" s="112"/>
    </row>
    <row r="12">
      <c r="A12" s="292">
        <v>9.0</v>
      </c>
      <c r="B12" s="295" t="s">
        <v>331</v>
      </c>
      <c r="C12" s="26" t="s">
        <v>141</v>
      </c>
      <c r="D12" s="26" t="s">
        <v>332</v>
      </c>
      <c r="E12" s="293" t="s">
        <v>323</v>
      </c>
      <c r="F12" s="283">
        <v>46054.0</v>
      </c>
      <c r="G12" s="296"/>
      <c r="H12" s="285">
        <v>10000.0</v>
      </c>
      <c r="I12" s="286">
        <f>IF(AND(F12&lt;=DATE(2025,1,1),OR(G12="",G12&gt;=DATE(2025,1,1))),H12*(1+Assumptions!$C$7)^0,0)</f>
        <v>0</v>
      </c>
      <c r="J12" s="286">
        <f>IF(AND(F12&lt;=DATE(2025,2,1),OR(G12="",G12&gt;=DATE(2025,2,1))),H12*(1+Assumptions!$C$7)^0,0)</f>
        <v>0</v>
      </c>
      <c r="K12" s="286">
        <f>IF(AND(F12&lt;=DATE(2025,3,1),OR(G12="",G12&gt;=DATE(2025,3,1))),H12*(1+Assumptions!$C$7)^0,0)</f>
        <v>0</v>
      </c>
      <c r="L12" s="286">
        <f>IF(AND(F12&lt;=DATE(2025,4,1),OR(G12="",G12&gt;=DATE(2025,4,1))),H12*(1+Assumptions!$C$7)^0,0)</f>
        <v>0</v>
      </c>
      <c r="M12" s="286">
        <f>IF(AND(F12&lt;=DATE(2025,5,1),OR(G12="",G12&gt;=DATE(2025,5,1))),H12*(1+Assumptions!$C$7)^0,0)</f>
        <v>0</v>
      </c>
      <c r="N12" s="286">
        <f>IF(AND(F12&lt;=DATE(2025,6,1),OR(G12="",G12&gt;=DATE(2025,6,1))),H12*(1+Assumptions!$C$7)^0,0)</f>
        <v>0</v>
      </c>
      <c r="O12" s="286">
        <f>IF(AND(F12&lt;=DATE(2025,7,1),OR(G12="",G12&gt;=DATE(2025,7,1))),H12*(1+Assumptions!$C$7)^0,0)</f>
        <v>0</v>
      </c>
      <c r="P12" s="286">
        <f>IF(AND(F12&lt;=DATE(2025,8,1),OR(G12="",G12&gt;=DATE(2025,8,1))),H12*(1+Assumptions!$C$7)^0,0)</f>
        <v>0</v>
      </c>
      <c r="Q12" s="286">
        <f>IF(AND(F12&lt;=DATE(2025,9,1),OR(G12="",G12&gt;=DATE(2025,9,1))),H12*(1+Assumptions!$C$7)^0,0)</f>
        <v>0</v>
      </c>
      <c r="R12" s="286">
        <f>IF(AND(F12&lt;=DATE(2025,10,1),OR(G12="",G12&gt;=DATE(2025,10,1))),H12*(1+Assumptions!$C$7)^0,0)</f>
        <v>0</v>
      </c>
      <c r="S12" s="286">
        <f>IF(AND(F12&lt;=DATE(2025,11,1),OR(G12="",G12&gt;=DATE(2025,11,1))),H12*(1+Assumptions!$C$7)^0,0)</f>
        <v>0</v>
      </c>
      <c r="T12" s="286">
        <f>IF(AND(F12&lt;=DATE(2025,12,1),OR(G12="",G12&gt;=DATE(2025,12,1))),H12*(1+Assumptions!$C$7)^0,0)</f>
        <v>0</v>
      </c>
      <c r="U12" s="286">
        <f>IF(AND(F12&lt;=DATE(2026,1,1),OR(G12="",G12&gt;=DATE(2026,1,1))),H12*(1+Assumptions!$C$7)^1,0)</f>
        <v>0</v>
      </c>
      <c r="V12" s="286">
        <f>IF(AND(F12&lt;=DATE(2026,2,1),OR(G12="",G12&gt;=DATE(2026,2,1))),H12*(1+Assumptions!$C$7)^1,0)</f>
        <v>10800</v>
      </c>
      <c r="W12" s="286">
        <f>IF(AND(F12&lt;=DATE(2026,3,1),OR(G12="",G12&gt;=DATE(2026,3,1))),H12*(1+Assumptions!$C$7)^1,0)</f>
        <v>10800</v>
      </c>
      <c r="X12" s="286">
        <f>IF(AND(F12&lt;=DATE(2026,4,1),OR(G12="",G12&gt;=DATE(2026,4,1))),H12*(1+Assumptions!$C$7)^1,0)</f>
        <v>10800</v>
      </c>
      <c r="Y12" s="286">
        <f>IF(AND(F12&lt;=DATE(2026,5,1),OR(G12="",G12&gt;=DATE(2026,5,1))),H12*(1+Assumptions!$C$7)^1,0)</f>
        <v>10800</v>
      </c>
      <c r="Z12" s="286">
        <f>IF(AND(F12&lt;=DATE(2026,6,1),OR(G12="",G12&gt;=DATE(2026,6,1))),H12*(1+Assumptions!$C$7)^1,0)</f>
        <v>10800</v>
      </c>
      <c r="AA12" s="286">
        <f>IF(AND(F12&lt;=DATE(2026,7,1),OR(G12="",G12&gt;=DATE(2026,7,1))),H12*(1+Assumptions!$C$7)^1,0)</f>
        <v>10800</v>
      </c>
      <c r="AB12" s="286">
        <f>IF(AND(F12&lt;=DATE(2026,8,1),OR(G12="",G12&gt;=DATE(2026,8,1))),H12*(1+Assumptions!$C$7)^1,0)</f>
        <v>10800</v>
      </c>
      <c r="AC12" s="286">
        <f>IF(AND(F12&lt;=DATE(2026,9,1),OR(G12="",G12&gt;=DATE(2026,9,1))),H12*(1+Assumptions!$C$7)^1,0)</f>
        <v>10800</v>
      </c>
      <c r="AD12" s="286">
        <f>IF(AND(F12&lt;=DATE(2026,10,1),OR(G12="",G12&gt;=DATE(2026,10,1))),H12*(1+Assumptions!$C$7)^1,0)</f>
        <v>10800</v>
      </c>
      <c r="AE12" s="286">
        <f>IF(AND(F12&lt;=DATE(2026,11,1),OR(G12="",G12&gt;=DATE(2026,11,1))),H12*(1+Assumptions!$C$7)^1,0)</f>
        <v>10800</v>
      </c>
      <c r="AF12" s="286">
        <f>IF(AND(F12&lt;=DATE(2026,12,1),OR(G12="",G12&gt;=DATE(2026,12,1))),H12*(1+Assumptions!$C$7)^1,0)</f>
        <v>10800</v>
      </c>
      <c r="AG12" s="286">
        <f>IF(AND(F12&lt;=DATE(2027,1,1),OR(G12="",G12&gt;=DATE(2027,1,1))),H12*(1+Assumptions!$C$7)^2,0)</f>
        <v>11664</v>
      </c>
      <c r="AH12" s="286">
        <f>IF(AND(F12&lt;=DATE(2027,2,1),OR(G12="",G12&gt;=DATE(2027,2,1))),H12*(1+Assumptions!$C$7)^2,0)</f>
        <v>11664</v>
      </c>
      <c r="AI12" s="286">
        <f>IF(AND(F12&lt;=DATE(2027,3,1),OR(G12="",G12&gt;=DATE(2027,3,1))),H12*(1+Assumptions!$C$7)^2,0)</f>
        <v>11664</v>
      </c>
      <c r="AJ12" s="286">
        <f>IF(AND(F12&lt;=DATE(2027,4,1),OR(G12="",G12&gt;=DATE(2027,4,1))),H12*(1+Assumptions!$C$7)^2,0)</f>
        <v>11664</v>
      </c>
      <c r="AK12" s="286">
        <f>IF(AND(F12&lt;=DATE(2027,5,1),OR(G12="",G12&gt;=DATE(2027,5,1))),H12*(1+Assumptions!$C$7)^2,0)</f>
        <v>11664</v>
      </c>
      <c r="AL12" s="286">
        <f>IF(AND(F12&lt;=DATE(2027,6,1),OR(G12="",G12&gt;=DATE(2027,6,1))),H12*(1+Assumptions!$C$7)^2,0)</f>
        <v>11664</v>
      </c>
      <c r="AM12" s="286">
        <f>IF(AND(F12&lt;=DATE(2027,7,1),OR(G12="",G12&gt;=DATE(2027,7,1))),H12*(1+Assumptions!$C$7)^2,0)</f>
        <v>11664</v>
      </c>
      <c r="AN12" s="286">
        <f>IF(AND(F12&lt;=DATE(2027,8,1),OR(G12="",G12&gt;=DATE(2027,8,1))),H12*(1+Assumptions!$C$7)^2,0)</f>
        <v>11664</v>
      </c>
      <c r="AO12" s="286">
        <f>IF(AND(F12&lt;=DATE(2027,9,1),OR(G12="",G12&gt;=DATE(2027,9,1))),H12*(1+Assumptions!$C$7)^2,0)</f>
        <v>11664</v>
      </c>
      <c r="AP12" s="286">
        <f>IF(AND(F12&lt;=DATE(2027,10,1),OR(G12="",G12&gt;=DATE(2027,10,1))),H12*(1+Assumptions!$C$7)^2,0)</f>
        <v>11664</v>
      </c>
      <c r="AQ12" s="286">
        <f>IF(AND(F12&lt;=DATE(2027,11,1),OR(G12="",G12&gt;=DATE(2027,11,1))),H12*(1+Assumptions!$C$7)^2,0)</f>
        <v>11664</v>
      </c>
      <c r="AR12" s="286">
        <f>IF(AND(F12&lt;=DATE(2027,12,1),OR(G12="",G12&gt;=DATE(2027,12,1))),H12*(1+Assumptions!$C$7)^2,0)</f>
        <v>11664</v>
      </c>
      <c r="AS12" s="286">
        <f>IF(AND(F12&lt;=DATE(2028,1,1),OR(G12="",G12&gt;=DATE(2028,1,1))),H12*(1+Assumptions!$C$7)^3,0)</f>
        <v>12597.12</v>
      </c>
      <c r="AT12" s="286">
        <f>IF(AND(F12&lt;=DATE(2028,2,1),OR(G12="",G12&gt;=DATE(2028,2,1))),H12*(1+Assumptions!$C$7)^3,0)</f>
        <v>12597.12</v>
      </c>
      <c r="AU12" s="286">
        <f>IF(AND(F12&lt;=DATE(2028,3,1),OR(G12="",G12&gt;=DATE(2028,3,1))),H12*(1+Assumptions!$C$7)^3,0)</f>
        <v>12597.12</v>
      </c>
      <c r="AV12" s="286">
        <f>IF(AND(F12&lt;=DATE(2028,4,1),OR(G12="",G12&gt;=DATE(2028,4,1))),H12*(1+Assumptions!$C$7)^3,0)</f>
        <v>12597.12</v>
      </c>
      <c r="AW12" s="286">
        <f>IF(AND(F12&lt;=DATE(2028,5,1),OR(G12="",G12&gt;=DATE(2028,5,1))),H12*(1+Assumptions!$C$7)^3,0)</f>
        <v>12597.12</v>
      </c>
      <c r="AX12" s="286">
        <f>IF(AND(F12&lt;=DATE(2028,6,1),OR(G12="",G12&gt;=DATE(2028,6,1))),H12*(1+Assumptions!$C$7)^3,0)</f>
        <v>12597.12</v>
      </c>
      <c r="AY12" s="286">
        <f>IF(AND(F12&lt;=DATE(2028,7,1),OR(G12="",G12&gt;=DATE(2028,7,1))),H12*(1+Assumptions!$C$7)^3,0)</f>
        <v>12597.12</v>
      </c>
      <c r="AZ12" s="286">
        <f>IF(AND(F12&lt;=DATE(2028,8,1),OR(G12="",G12&gt;=DATE(2028,8,1))),H12*(1+Assumptions!$C$7)^3,0)</f>
        <v>12597.12</v>
      </c>
      <c r="BA12" s="286">
        <f>IF(AND(F12&lt;=DATE(2028,9,1),OR(G12="",G12&gt;=DATE(2028,9,1))),H12*(1+Assumptions!$C$7)^3,0)</f>
        <v>12597.12</v>
      </c>
      <c r="BB12" s="286">
        <f>IF(AND(F12&lt;=DATE(2028,10,1),OR(G12="",G12&gt;=DATE(2028,10,1))),H12*(1+Assumptions!$C$7)^3,0)</f>
        <v>12597.12</v>
      </c>
      <c r="BC12" s="286">
        <f>IF(AND(F12&lt;=DATE(2028,11,1),OR(G12="",G12&gt;=DATE(2028,11,1))),H12*(1+Assumptions!$C$7)^3,0)</f>
        <v>12597.12</v>
      </c>
      <c r="BD12" s="286">
        <f>IF(AND(F12&lt;=DATE(2028,12,1),OR(G12="",G12&gt;=DATE(2028,12,1))),H12*(1+Assumptions!$C$7)^3,0)</f>
        <v>12597.12</v>
      </c>
      <c r="BE12" s="286">
        <f>IF(AND(F12&lt;=DATE(2029,1,1),OR(G12="",G12&gt;=DATE(2029,1,1))),H12*(1+Assumptions!$C$7)^4,0)</f>
        <v>13604.8896</v>
      </c>
      <c r="BF12" s="286">
        <f>IF(AND(F12&lt;=DATE(2029,2,1),OR(G12="",G12&gt;=DATE(2029,2,1))),H12*(1+Assumptions!$C$7)^4,0)</f>
        <v>13604.8896</v>
      </c>
      <c r="BG12" s="286">
        <f>IF(AND(F12&lt;=DATE(2029,3,1),OR(G12="",G12&gt;=DATE(2029,3,1))),H12*(1+Assumptions!$C$7)^4,0)</f>
        <v>13604.8896</v>
      </c>
      <c r="BH12" s="286">
        <f>IF(AND(F12&lt;=DATE(2029,4,1),OR(G12="",G12&gt;=DATE(2029,4,1))),H12*(1+Assumptions!$C$7)^4,0)</f>
        <v>13604.8896</v>
      </c>
      <c r="BI12" s="286">
        <f>IF(AND(F12&lt;=DATE(2029,5,1),OR(G12="",G12&gt;=DATE(2029,5,1))),H12*(1+Assumptions!$C$7)^4,0)</f>
        <v>13604.8896</v>
      </c>
      <c r="BJ12" s="286">
        <f>IF(AND(F12&lt;=DATE(2029,6,1),OR(G12="",G12&gt;=DATE(2029,6,1))),H12*(1+Assumptions!$C$7)^4,0)</f>
        <v>13604.8896</v>
      </c>
      <c r="BK12" s="286">
        <f>IF(AND(F12&lt;=DATE(2029,7,1),OR(G12="",G12&gt;=DATE(2029,7,1))),H12*(1+Assumptions!$C$7)^4,0)</f>
        <v>13604.8896</v>
      </c>
      <c r="BL12" s="286">
        <f>IF(AND(F12&lt;=DATE(2029,8,1),OR(G12="",G12&gt;=DATE(2029,8,1))),H12*(1+Assumptions!$C$7)^4,0)</f>
        <v>13604.8896</v>
      </c>
      <c r="BM12" s="286">
        <f>IF(AND(F12&lt;=DATE(2029,9,1),OR(G12="",G12&gt;=DATE(2029,9,1))),H12*(1+Assumptions!$C$7)^4,0)</f>
        <v>13604.8896</v>
      </c>
      <c r="BN12" s="286">
        <f>IF(AND(F12&lt;=DATE(2029,10,1),OR(G12="",G12&gt;=DATE(2029,10,1))),H12*(1+Assumptions!$C$7)^4,0)</f>
        <v>13604.8896</v>
      </c>
      <c r="BO12" s="286">
        <f>IF(AND(F12&lt;=DATE(2029,11,1),OR(G12="",G12&gt;=DATE(2029,11,1))),H12*(1+Assumptions!$C$7)^4,0)</f>
        <v>13604.8896</v>
      </c>
      <c r="BP12" s="286">
        <f>IF(AND(F12&lt;=DATE(2029,12,1),OR(G12="",G12&gt;=DATE(2029,12,1))),H12*(1+Assumptions!$C$7)^4,0)</f>
        <v>13604.8896</v>
      </c>
      <c r="BQ12" s="112"/>
    </row>
    <row r="13">
      <c r="A13" s="288">
        <v>10.0</v>
      </c>
      <c r="B13" s="281" t="s">
        <v>333</v>
      </c>
      <c r="C13" s="282" t="s">
        <v>137</v>
      </c>
      <c r="D13" s="282" t="s">
        <v>333</v>
      </c>
      <c r="E13" s="289" t="s">
        <v>323</v>
      </c>
      <c r="F13" s="283">
        <v>46266.0</v>
      </c>
      <c r="G13" s="290"/>
      <c r="H13" s="285">
        <v>11500.0</v>
      </c>
      <c r="I13" s="291">
        <f>IF(AND(F13&lt;=DATE(2025,1,1),OR(G13="",G13&gt;=DATE(2025,1,1))),H13*(1+Assumptions!$C$7)^0,0)</f>
        <v>0</v>
      </c>
      <c r="J13" s="291">
        <f>IF(AND(F13&lt;=DATE(2025,2,1),OR(G13="",G13&gt;=DATE(2025,2,1))),H13*(1+Assumptions!$C$7)^0,0)</f>
        <v>0</v>
      </c>
      <c r="K13" s="291">
        <f>IF(AND(F13&lt;=DATE(2025,3,1),OR(G13="",G13&gt;=DATE(2025,3,1))),H13*(1+Assumptions!$C$7)^0,0)</f>
        <v>0</v>
      </c>
      <c r="L13" s="291">
        <f>IF(AND(F13&lt;=DATE(2025,4,1),OR(G13="",G13&gt;=DATE(2025,4,1))),H13*(1+Assumptions!$C$7)^0,0)</f>
        <v>0</v>
      </c>
      <c r="M13" s="291">
        <f>IF(AND(F13&lt;=DATE(2025,5,1),OR(G13="",G13&gt;=DATE(2025,5,1))),H13*(1+Assumptions!$C$7)^0,0)</f>
        <v>0</v>
      </c>
      <c r="N13" s="291">
        <f>IF(AND(F13&lt;=DATE(2025,6,1),OR(G13="",G13&gt;=DATE(2025,6,1))),H13*(1+Assumptions!$C$7)^0,0)</f>
        <v>0</v>
      </c>
      <c r="O13" s="291">
        <f>IF(AND(F13&lt;=DATE(2025,7,1),OR(G13="",G13&gt;=DATE(2025,7,1))),H13*(1+Assumptions!$C$7)^0,0)</f>
        <v>0</v>
      </c>
      <c r="P13" s="291">
        <f>IF(AND(F13&lt;=DATE(2025,8,1),OR(G13="",G13&gt;=DATE(2025,8,1))),H13*(1+Assumptions!$C$7)^0,0)</f>
        <v>0</v>
      </c>
      <c r="Q13" s="291">
        <v>7500.0</v>
      </c>
      <c r="R13" s="291">
        <v>7500.0</v>
      </c>
      <c r="S13" s="291">
        <v>7500.0</v>
      </c>
      <c r="T13" s="291">
        <v>7500.0</v>
      </c>
      <c r="U13" s="291">
        <v>7500.0</v>
      </c>
      <c r="V13" s="291">
        <v>7500.0</v>
      </c>
      <c r="W13" s="291">
        <v>7500.0</v>
      </c>
      <c r="X13" s="291">
        <v>7500.0</v>
      </c>
      <c r="Y13" s="291">
        <v>7500.0</v>
      </c>
      <c r="Z13" s="291">
        <v>7500.0</v>
      </c>
      <c r="AA13" s="291">
        <v>7500.0</v>
      </c>
      <c r="AB13" s="291">
        <v>7500.0</v>
      </c>
      <c r="AC13" s="291">
        <f>IF(AND(F13&lt;=DATE(2026,9,1),OR(G13="",G13&gt;=DATE(2026,9,1))),H13*(1+Assumptions!$C$7)^1,0)</f>
        <v>12420</v>
      </c>
      <c r="AD13" s="291">
        <f>IF(AND(F13&lt;=DATE(2026,10,1),OR(G13="",G13&gt;=DATE(2026,10,1))),H13*(1+Assumptions!$C$7)^1,0)</f>
        <v>12420</v>
      </c>
      <c r="AE13" s="291">
        <f>IF(AND(F13&lt;=DATE(2026,11,1),OR(G13="",G13&gt;=DATE(2026,11,1))),H13*(1+Assumptions!$C$7)^1,0)</f>
        <v>12420</v>
      </c>
      <c r="AF13" s="291">
        <f>IF(AND(F13&lt;=DATE(2026,12,1),OR(G13="",G13&gt;=DATE(2026,12,1))),H13*(1+Assumptions!$C$7)^1,0)</f>
        <v>12420</v>
      </c>
      <c r="AG13" s="291">
        <f>IF(AND(F13&lt;=DATE(2027,1,1),OR(G13="",G13&gt;=DATE(2027,1,1))),H13*(1+Assumptions!$C$7)^2,0)</f>
        <v>13413.6</v>
      </c>
      <c r="AH13" s="291">
        <f>IF(AND(F13&lt;=DATE(2027,2,1),OR(G13="",G13&gt;=DATE(2027,2,1))),H13*(1+Assumptions!$C$7)^2,0)</f>
        <v>13413.6</v>
      </c>
      <c r="AI13" s="291">
        <f>IF(AND(F13&lt;=DATE(2027,3,1),OR(G13="",G13&gt;=DATE(2027,3,1))),H13*(1+Assumptions!$C$7)^2,0)</f>
        <v>13413.6</v>
      </c>
      <c r="AJ13" s="291">
        <f>IF(AND(F13&lt;=DATE(2027,4,1),OR(G13="",G13&gt;=DATE(2027,4,1))),H13*(1+Assumptions!$C$7)^2,0)</f>
        <v>13413.6</v>
      </c>
      <c r="AK13" s="291">
        <f>IF(AND(F13&lt;=DATE(2027,5,1),OR(G13="",G13&gt;=DATE(2027,5,1))),H13*(1+Assumptions!$C$7)^2,0)</f>
        <v>13413.6</v>
      </c>
      <c r="AL13" s="291">
        <f>IF(AND(F13&lt;=DATE(2027,6,1),OR(G13="",G13&gt;=DATE(2027,6,1))),H13*(1+Assumptions!$C$7)^2,0)</f>
        <v>13413.6</v>
      </c>
      <c r="AM13" s="291">
        <f>IF(AND(F13&lt;=DATE(2027,7,1),OR(G13="",G13&gt;=DATE(2027,7,1))),H13*(1+Assumptions!$C$7)^2,0)</f>
        <v>13413.6</v>
      </c>
      <c r="AN13" s="291">
        <f>IF(AND(F13&lt;=DATE(2027,8,1),OR(G13="",G13&gt;=DATE(2027,8,1))),H13*(1+Assumptions!$C$7)^2,0)</f>
        <v>13413.6</v>
      </c>
      <c r="AO13" s="291">
        <f>IF(AND(F13&lt;=DATE(2027,9,1),OR(G13="",G13&gt;=DATE(2027,9,1))),H13*(1+Assumptions!$C$7)^2,0)</f>
        <v>13413.6</v>
      </c>
      <c r="AP13" s="291">
        <f>IF(AND(F13&lt;=DATE(2027,10,1),OR(G13="",G13&gt;=DATE(2027,10,1))),H13*(1+Assumptions!$C$7)^2,0)</f>
        <v>13413.6</v>
      </c>
      <c r="AQ13" s="291">
        <f>IF(AND(F13&lt;=DATE(2027,11,1),OR(G13="",G13&gt;=DATE(2027,11,1))),H13*(1+Assumptions!$C$7)^2,0)</f>
        <v>13413.6</v>
      </c>
      <c r="AR13" s="291">
        <f>IF(AND(F13&lt;=DATE(2027,12,1),OR(G13="",G13&gt;=DATE(2027,12,1))),H13*(1+Assumptions!$C$7)^2,0)</f>
        <v>13413.6</v>
      </c>
      <c r="AS13" s="291">
        <f>IF(AND(F13&lt;=DATE(2028,1,1),OR(G13="",G13&gt;=DATE(2028,1,1))),H13*(1+Assumptions!$C$7)^3,0)</f>
        <v>14486.688</v>
      </c>
      <c r="AT13" s="291">
        <f>IF(AND(F13&lt;=DATE(2028,2,1),OR(G13="",G13&gt;=DATE(2028,2,1))),H13*(1+Assumptions!$C$7)^3,0)</f>
        <v>14486.688</v>
      </c>
      <c r="AU13" s="291">
        <f>IF(AND(F13&lt;=DATE(2028,3,1),OR(G13="",G13&gt;=DATE(2028,3,1))),H13*(1+Assumptions!$C$7)^3,0)</f>
        <v>14486.688</v>
      </c>
      <c r="AV13" s="291">
        <f>IF(AND(F13&lt;=DATE(2028,4,1),OR(G13="",G13&gt;=DATE(2028,4,1))),H13*(1+Assumptions!$C$7)^3,0)</f>
        <v>14486.688</v>
      </c>
      <c r="AW13" s="291">
        <f>IF(AND(F13&lt;=DATE(2028,5,1),OR(G13="",G13&gt;=DATE(2028,5,1))),H13*(1+Assumptions!$C$7)^3,0)</f>
        <v>14486.688</v>
      </c>
      <c r="AX13" s="291">
        <f>IF(AND(F13&lt;=DATE(2028,6,1),OR(G13="",G13&gt;=DATE(2028,6,1))),H13*(1+Assumptions!$C$7)^3,0)</f>
        <v>14486.688</v>
      </c>
      <c r="AY13" s="291">
        <f>IF(AND(F13&lt;=DATE(2028,7,1),OR(G13="",G13&gt;=DATE(2028,7,1))),H13*(1+Assumptions!$C$7)^3,0)</f>
        <v>14486.688</v>
      </c>
      <c r="AZ13" s="291">
        <f>IF(AND(F13&lt;=DATE(2028,8,1),OR(G13="",G13&gt;=DATE(2028,8,1))),H13*(1+Assumptions!$C$7)^3,0)</f>
        <v>14486.688</v>
      </c>
      <c r="BA13" s="291">
        <f>IF(AND(F13&lt;=DATE(2028,9,1),OR(G13="",G13&gt;=DATE(2028,9,1))),H13*(1+Assumptions!$C$7)^3,0)</f>
        <v>14486.688</v>
      </c>
      <c r="BB13" s="291">
        <f>IF(AND(F13&lt;=DATE(2028,10,1),OR(G13="",G13&gt;=DATE(2028,10,1))),H13*(1+Assumptions!$C$7)^3,0)</f>
        <v>14486.688</v>
      </c>
      <c r="BC13" s="291">
        <f>IF(AND(F13&lt;=DATE(2028,11,1),OR(G13="",G13&gt;=DATE(2028,11,1))),H13*(1+Assumptions!$C$7)^3,0)</f>
        <v>14486.688</v>
      </c>
      <c r="BD13" s="291">
        <f>IF(AND(F13&lt;=DATE(2028,12,1),OR(G13="",G13&gt;=DATE(2028,12,1))),H13*(1+Assumptions!$C$7)^3,0)</f>
        <v>14486.688</v>
      </c>
      <c r="BE13" s="291">
        <f>IF(AND(F13&lt;=DATE(2029,1,1),OR(G13="",G13&gt;=DATE(2029,1,1))),H13*(1+Assumptions!$C$7)^4,0)</f>
        <v>15645.62304</v>
      </c>
      <c r="BF13" s="291">
        <f>IF(AND(F13&lt;=DATE(2029,2,1),OR(G13="",G13&gt;=DATE(2029,2,1))),H13*(1+Assumptions!$C$7)^4,0)</f>
        <v>15645.62304</v>
      </c>
      <c r="BG13" s="291">
        <f>IF(AND(F13&lt;=DATE(2029,3,1),OR(G13="",G13&gt;=DATE(2029,3,1))),H13*(1+Assumptions!$C$7)^4,0)</f>
        <v>15645.62304</v>
      </c>
      <c r="BH13" s="291">
        <f>IF(AND(F13&lt;=DATE(2029,4,1),OR(G13="",G13&gt;=DATE(2029,4,1))),H13*(1+Assumptions!$C$7)^4,0)</f>
        <v>15645.62304</v>
      </c>
      <c r="BI13" s="291">
        <f>IF(AND(F13&lt;=DATE(2029,5,1),OR(G13="",G13&gt;=DATE(2029,5,1))),H13*(1+Assumptions!$C$7)^4,0)</f>
        <v>15645.62304</v>
      </c>
      <c r="BJ13" s="291">
        <f>IF(AND(F13&lt;=DATE(2029,6,1),OR(G13="",G13&gt;=DATE(2029,6,1))),H13*(1+Assumptions!$C$7)^4,0)</f>
        <v>15645.62304</v>
      </c>
      <c r="BK13" s="291">
        <f>IF(AND(F13&lt;=DATE(2029,7,1),OR(G13="",G13&gt;=DATE(2029,7,1))),H13*(1+Assumptions!$C$7)^4,0)</f>
        <v>15645.62304</v>
      </c>
      <c r="BL13" s="291">
        <f>IF(AND(F13&lt;=DATE(2029,8,1),OR(G13="",G13&gt;=DATE(2029,8,1))),H13*(1+Assumptions!$C$7)^4,0)</f>
        <v>15645.62304</v>
      </c>
      <c r="BM13" s="291">
        <f>IF(AND(F13&lt;=DATE(2029,9,1),OR(G13="",G13&gt;=DATE(2029,9,1))),H13*(1+Assumptions!$C$7)^4,0)</f>
        <v>15645.62304</v>
      </c>
      <c r="BN13" s="291">
        <f>IF(AND(F13&lt;=DATE(2029,10,1),OR(G13="",G13&gt;=DATE(2029,10,1))),H13*(1+Assumptions!$C$7)^4,0)</f>
        <v>15645.62304</v>
      </c>
      <c r="BO13" s="291">
        <f>IF(AND(F13&lt;=DATE(2029,11,1),OR(G13="",G13&gt;=DATE(2029,11,1))),H13*(1+Assumptions!$C$7)^4,0)</f>
        <v>15645.62304</v>
      </c>
      <c r="BP13" s="291">
        <f>IF(AND(F13&lt;=DATE(2029,12,1),OR(G13="",G13&gt;=DATE(2029,12,1))),H13*(1+Assumptions!$C$7)^4,0)</f>
        <v>15645.62304</v>
      </c>
      <c r="BQ13" s="112"/>
    </row>
    <row r="14">
      <c r="A14" s="26"/>
      <c r="B14" s="26"/>
      <c r="C14" s="26"/>
      <c r="D14" s="26"/>
      <c r="E14" s="293"/>
      <c r="F14" s="293"/>
      <c r="G14" s="26"/>
      <c r="H14" s="26"/>
      <c r="I14" s="287"/>
      <c r="J14" s="287"/>
      <c r="K14" s="287"/>
      <c r="L14" s="287"/>
      <c r="M14" s="287"/>
      <c r="N14" s="287"/>
      <c r="O14" s="287"/>
      <c r="P14" s="287"/>
      <c r="Q14" s="287"/>
      <c r="R14" s="287"/>
      <c r="S14" s="287"/>
      <c r="T14" s="287"/>
      <c r="U14" s="287"/>
      <c r="V14" s="287"/>
      <c r="W14" s="287"/>
      <c r="X14" s="287"/>
      <c r="Y14" s="287"/>
      <c r="Z14" s="287"/>
      <c r="AA14" s="287"/>
      <c r="AB14" s="287"/>
      <c r="AC14" s="287"/>
      <c r="AD14" s="287"/>
      <c r="AE14" s="287"/>
      <c r="AF14" s="287"/>
      <c r="AG14" s="287"/>
      <c r="AH14" s="287"/>
      <c r="AI14" s="287"/>
      <c r="AJ14" s="287"/>
      <c r="AK14" s="287"/>
      <c r="AL14" s="287"/>
      <c r="AM14" s="287"/>
      <c r="AN14" s="287"/>
      <c r="AO14" s="287"/>
      <c r="AP14" s="287"/>
      <c r="AQ14" s="287"/>
      <c r="AR14" s="287"/>
      <c r="AS14" s="287"/>
      <c r="AT14" s="287"/>
      <c r="AU14" s="287"/>
      <c r="AV14" s="287"/>
      <c r="AW14" s="287"/>
      <c r="AX14" s="287"/>
      <c r="AY14" s="287"/>
      <c r="AZ14" s="287"/>
      <c r="BA14" s="287"/>
      <c r="BB14" s="287"/>
      <c r="BC14" s="287"/>
      <c r="BD14" s="287"/>
      <c r="BE14" s="287"/>
      <c r="BF14" s="287"/>
      <c r="BG14" s="287"/>
      <c r="BH14" s="287"/>
      <c r="BI14" s="287"/>
      <c r="BJ14" s="287"/>
      <c r="BK14" s="287"/>
      <c r="BL14" s="287"/>
      <c r="BM14" s="287"/>
      <c r="BN14" s="287"/>
      <c r="BO14" s="287"/>
      <c r="BP14" s="287"/>
      <c r="BQ14" s="112"/>
    </row>
    <row r="15">
      <c r="A15" s="271" t="s">
        <v>66</v>
      </c>
      <c r="B15" s="27" t="s">
        <v>334</v>
      </c>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7"/>
      <c r="AO15" s="297"/>
      <c r="AP15" s="297"/>
      <c r="AQ15" s="297"/>
      <c r="AR15" s="297"/>
      <c r="AS15" s="297"/>
      <c r="AT15" s="297"/>
      <c r="AU15" s="297"/>
      <c r="AV15" s="297"/>
      <c r="AW15" s="297"/>
      <c r="AX15" s="297"/>
      <c r="AY15" s="297"/>
      <c r="AZ15" s="297"/>
      <c r="BA15" s="297"/>
      <c r="BB15" s="297"/>
      <c r="BC15" s="297"/>
      <c r="BD15" s="297"/>
      <c r="BE15" s="297"/>
      <c r="BF15" s="297"/>
      <c r="BG15" s="297"/>
      <c r="BH15" s="297"/>
      <c r="BI15" s="297"/>
      <c r="BJ15" s="297"/>
      <c r="BK15" s="297"/>
      <c r="BL15" s="297"/>
      <c r="BM15" s="297"/>
      <c r="BN15" s="297"/>
      <c r="BO15" s="297"/>
      <c r="BP15" s="297"/>
      <c r="BQ15" s="44"/>
    </row>
    <row r="16">
      <c r="A16" s="298">
        <v>11.0</v>
      </c>
      <c r="B16" s="282" t="s">
        <v>335</v>
      </c>
      <c r="C16" s="282" t="s">
        <v>144</v>
      </c>
      <c r="D16" s="299" t="s">
        <v>336</v>
      </c>
      <c r="E16" s="289" t="s">
        <v>337</v>
      </c>
      <c r="F16" s="300">
        <v>46296.0</v>
      </c>
      <c r="G16" s="301"/>
      <c r="H16" s="285">
        <v>8000.0</v>
      </c>
      <c r="I16" s="291">
        <f>IF(AND($F16&lt;=I$2, OR($G16="",$G16&gt;=I$2)),
  $H16 * (1 + Assumptions!$C$7) ^ INT(((YEAR(I$2)-YEAR($F16))*12 + MONTH(I$2)-MONTH($F16)) / 12),
  0)</f>
        <v>0</v>
      </c>
      <c r="J16" s="291">
        <f>IF(AND($F16&lt;=J$2, OR($G16="",$G16&gt;=J$2)),
  $H16 * (1 + Assumptions!$C$7) ^ INT(((YEAR(J$2)-YEAR($F16))*12 + MONTH(J$2)-MONTH($F16)) / 12),
  0)</f>
        <v>0</v>
      </c>
      <c r="K16" s="291">
        <f>IF(AND($F16&lt;=K$2, OR($G16="",$G16&gt;=K$2)),
  $H16 * (1 + Assumptions!$C$7) ^ INT(((YEAR(K$2)-YEAR($F16))*12 + MONTH(K$2)-MONTH($F16)) / 12),
  0)</f>
        <v>0</v>
      </c>
      <c r="L16" s="291">
        <f>IF(AND($F16&lt;=L$2, OR($G16="",$G16&gt;=L$2)),
  $H16 * (1 + Assumptions!$C$7) ^ INT(((YEAR(L$2)-YEAR($F16))*12 + MONTH(L$2)-MONTH($F16)) / 12),
  0)</f>
        <v>0</v>
      </c>
      <c r="M16" s="291">
        <f>IF(AND($F16&lt;=M$2, OR($G16="",$G16&gt;=M$2)),
  $H16 * (1 + Assumptions!$C$7) ^ INT(((YEAR(M$2)-YEAR($F16))*12 + MONTH(M$2)-MONTH($F16)) / 12),
  0)</f>
        <v>0</v>
      </c>
      <c r="N16" s="291">
        <f>IF(AND($F16&lt;=N$2, OR($G16="",$G16&gt;=N$2)),
  $H16 * (1 + Assumptions!$C$7) ^ INT(((YEAR(N$2)-YEAR($F16))*12 + MONTH(N$2)-MONTH($F16)) / 12),
  0)</f>
        <v>0</v>
      </c>
      <c r="O16" s="291">
        <f>IF(AND($F16&lt;=O$2, OR($G16="",$G16&gt;=O$2)),
  $H16 * (1 + Assumptions!$C$7) ^ INT(((YEAR(O$2)-YEAR($F16))*12 + MONTH(O$2)-MONTH($F16)) / 12),
  0)</f>
        <v>0</v>
      </c>
      <c r="P16" s="291">
        <f>IF(AND($F16&lt;=P$2, OR($G16="",$G16&gt;=P$2)),
  $H16 * (1 + Assumptions!$C$7) ^ INT(((YEAR(P$2)-YEAR($F16))*12 + MONTH(P$2)-MONTH($F16)) / 12),
  0)</f>
        <v>0</v>
      </c>
      <c r="Q16" s="291">
        <f>IF(AND($F16&lt;=Q$2, OR($G16="",$G16&gt;=Q$2)),
  $H16 * (1 + Assumptions!$C$7) ^ INT(((YEAR(Q$2)-YEAR($F16))*12 + MONTH(Q$2)-MONTH($F16)) / 12),
  0)</f>
        <v>0</v>
      </c>
      <c r="R16" s="291">
        <f>IF(AND($F16&lt;=R$2, OR($G16="",$G16&gt;=R$2)),
  $H16 * (1 + Assumptions!$C$7) ^ INT(((YEAR(R$2)-YEAR($F16))*12 + MONTH(R$2)-MONTH($F16)) / 12),
  0)</f>
        <v>0</v>
      </c>
      <c r="S16" s="291">
        <f>IF(AND($F16&lt;=S$2, OR($G16="",$G16&gt;=S$2)),
  $H16 * (1 + Assumptions!$C$7) ^ INT(((YEAR(S$2)-YEAR($F16))*12 + MONTH(S$2)-MONTH($F16)) / 12),
  0)</f>
        <v>0</v>
      </c>
      <c r="T16" s="291">
        <f>IF(AND($F16&lt;=T$2, OR($G16="",$G16&gt;=T$2)),
  $H16 * (1 + Assumptions!$C$7) ^ INT(((YEAR(T$2)-YEAR($F16))*12 + MONTH(T$2)-MONTH($F16)) / 12),
  0)</f>
        <v>0</v>
      </c>
      <c r="U16" s="291">
        <f>IF(AND($F16&lt;=U$2, OR($G16="",$G16&gt;=U$2)),
  $H16 * (1 + Assumptions!$C$7) ^ INT(((YEAR(U$2)-YEAR($F16))*12 + MONTH(U$2)-MONTH($F16)) / 12),
  0)</f>
        <v>0</v>
      </c>
      <c r="V16" s="291">
        <f>IF(AND($F16&lt;=V$2, OR($G16="",$G16&gt;=V$2)),
  $H16 * (1 + Assumptions!$C$7) ^ INT(((YEAR(V$2)-YEAR($F16))*12 + MONTH(V$2)-MONTH($F16)) / 12),
  0)</f>
        <v>0</v>
      </c>
      <c r="W16" s="291">
        <f>IF(AND($F16&lt;=W$2, OR($G16="",$G16&gt;=W$2)),
  $H16 * (1 + Assumptions!$C$7) ^ INT(((YEAR(W$2)-YEAR($F16))*12 + MONTH(W$2)-MONTH($F16)) / 12),
  0)</f>
        <v>0</v>
      </c>
      <c r="X16" s="291">
        <f>IF(AND($F16&lt;=X$2, OR($G16="",$G16&gt;=X$2)),
  $H16 * (1 + Assumptions!$C$7) ^ INT(((YEAR(X$2)-YEAR($F16))*12 + MONTH(X$2)-MONTH($F16)) / 12),
  0)</f>
        <v>0</v>
      </c>
      <c r="Y16" s="291">
        <f>IF(AND($F16&lt;=Y$2, OR($G16="",$G16&gt;=Y$2)),
  $H16 * (1 + Assumptions!$C$7) ^ INT(((YEAR(Y$2)-YEAR($F16))*12 + MONTH(Y$2)-MONTH($F16)) / 12),
  0)</f>
        <v>0</v>
      </c>
      <c r="Z16" s="291">
        <f>IF(AND($F16&lt;=Z$2, OR($G16="",$G16&gt;=Z$2)),
  $H16 * (1 + Assumptions!$C$7) ^ INT(((YEAR(Z$2)-YEAR($F16))*12 + MONTH(Z$2)-MONTH($F16)) / 12),
  0)</f>
        <v>0</v>
      </c>
      <c r="AA16" s="291">
        <f>IF(AND($F16&lt;=AA$2, OR($G16="",$G16&gt;=AA$2)),
  $H16 * (1 + Assumptions!$C$7) ^ INT(((YEAR(AA$2)-YEAR($F16))*12 + MONTH(AA$2)-MONTH($F16)) / 12),
  0)</f>
        <v>0</v>
      </c>
      <c r="AB16" s="291">
        <f>IF(AND($F16&lt;=AB$2, OR($G16="",$G16&gt;=AB$2)),
  $H16 * (1 + Assumptions!$C$7) ^ INT(((YEAR(AB$2)-YEAR($F16))*12 + MONTH(AB$2)-MONTH($F16)) / 12),
  0)</f>
        <v>0</v>
      </c>
      <c r="AC16" s="291">
        <f>IF(AND($F16&lt;=AC$2, OR($G16="",$G16&gt;=AC$2)),
  $H16 * (1 + Assumptions!$C$7) ^ INT(((YEAR(AC$2)-YEAR($F16))*12 + MONTH(AC$2)-MONTH($F16)) / 12),
  0)</f>
        <v>0</v>
      </c>
      <c r="AD16" s="291">
        <f>IF(AND($F16&lt;=AD$2, OR($G16="",$G16&gt;=AD$2)),
  $H16 * (1 + Assumptions!$C$7) ^ INT(((YEAR(AD$2)-YEAR($F16))*12 + MONTH(AD$2)-MONTH($F16)) / 12),
  0)</f>
        <v>8000</v>
      </c>
      <c r="AE16" s="291">
        <f>IF(AND($F16&lt;=AE$2, OR($G16="",$G16&gt;=AE$2)),
  $H16 * (1 + Assumptions!$C$7) ^ INT(((YEAR(AE$2)-YEAR($F16))*12 + MONTH(AE$2)-MONTH($F16)) / 12),
  0)</f>
        <v>8000</v>
      </c>
      <c r="AF16" s="291">
        <f>IF(AND($F16&lt;=AF$2, OR($G16="",$G16&gt;=AF$2)),
  $H16 * (1 + Assumptions!$C$7) ^ INT(((YEAR(AF$2)-YEAR($F16))*12 + MONTH(AF$2)-MONTH($F16)) / 12),
  0)</f>
        <v>8000</v>
      </c>
      <c r="AG16" s="291">
        <f>IF(AND($F16&lt;=AG$2, OR($G16="",$G16&gt;=AG$2)),
  $H16 * (1 + Assumptions!$C$7) ^ INT(((YEAR(AG$2)-YEAR($F16))*12 + MONTH(AG$2)-MONTH($F16)) / 12),
  0)</f>
        <v>8000</v>
      </c>
      <c r="AH16" s="291">
        <f>IF(AND($F16&lt;=AH$2, OR($G16="",$G16&gt;=AH$2)),
  $H16 * (1 + Assumptions!$C$7) ^ INT(((YEAR(AH$2)-YEAR($F16))*12 + MONTH(AH$2)-MONTH($F16)) / 12),
  0)</f>
        <v>8000</v>
      </c>
      <c r="AI16" s="291">
        <f>IF(AND($F16&lt;=AI$2, OR($G16="",$G16&gt;=AI$2)),
  $H16 * (1 + Assumptions!$C$7) ^ INT(((YEAR(AI$2)-YEAR($F16))*12 + MONTH(AI$2)-MONTH($F16)) / 12),
  0)</f>
        <v>8000</v>
      </c>
      <c r="AJ16" s="291">
        <f>IF(AND($F16&lt;=AJ$2, OR($G16="",$G16&gt;=AJ$2)),
  $H16 * (1 + Assumptions!$C$7) ^ INT(((YEAR(AJ$2)-YEAR($F16))*12 + MONTH(AJ$2)-MONTH($F16)) / 12),
  0)</f>
        <v>8000</v>
      </c>
      <c r="AK16" s="291">
        <f>IF(AND($F16&lt;=AK$2, OR($G16="",$G16&gt;=AK$2)),
  $H16 * (1 + Assumptions!$C$7) ^ INT(((YEAR(AK$2)-YEAR($F16))*12 + MONTH(AK$2)-MONTH($F16)) / 12),
  0)</f>
        <v>8000</v>
      </c>
      <c r="AL16" s="291">
        <f>IF(AND($F16&lt;=AL$2, OR($G16="",$G16&gt;=AL$2)),
  $H16 * (1 + Assumptions!$C$7) ^ INT(((YEAR(AL$2)-YEAR($F16))*12 + MONTH(AL$2)-MONTH($F16)) / 12),
  0)</f>
        <v>8000</v>
      </c>
      <c r="AM16" s="291">
        <f>IF(AND($F16&lt;=AM$2, OR($G16="",$G16&gt;=AM$2)),
  $H16 * (1 + Assumptions!$C$7) ^ INT(((YEAR(AM$2)-YEAR($F16))*12 + MONTH(AM$2)-MONTH($F16)) / 12),
  0)</f>
        <v>8000</v>
      </c>
      <c r="AN16" s="291">
        <f>IF(AND($F16&lt;=AN$2, OR($G16="",$G16&gt;=AN$2)),
  $H16 * (1 + Assumptions!$C$7) ^ INT(((YEAR(AN$2)-YEAR($F16))*12 + MONTH(AN$2)-MONTH($F16)) / 12),
  0)</f>
        <v>8000</v>
      </c>
      <c r="AO16" s="291">
        <f>IF(AND($F16&lt;=AO$2, OR($G16="",$G16&gt;=AO$2)),
  $H16 * (1 + Assumptions!$C$7) ^ INT(((YEAR(AO$2)-YEAR($F16))*12 + MONTH(AO$2)-MONTH($F16)) / 12),
  0)</f>
        <v>8000</v>
      </c>
      <c r="AP16" s="291">
        <f>IF(AND($F16&lt;=AP$2, OR($G16="",$G16&gt;=AP$2)),
  $H16 * (1 + Assumptions!$C$7) ^ INT(((YEAR(AP$2)-YEAR($F16))*12 + MONTH(AP$2)-MONTH($F16)) / 12),
  0)</f>
        <v>8640</v>
      </c>
      <c r="AQ16" s="291">
        <f>IF(AND($F16&lt;=AQ$2, OR($G16="",$G16&gt;=AQ$2)),
  $H16 * (1 + Assumptions!$C$7) ^ INT(((YEAR(AQ$2)-YEAR($F16))*12 + MONTH(AQ$2)-MONTH($F16)) / 12),
  0)</f>
        <v>8640</v>
      </c>
      <c r="AR16" s="291">
        <f>IF(AND($F16&lt;=AR$2, OR($G16="",$G16&gt;=AR$2)),
  $H16 * (1 + Assumptions!$C$7) ^ INT(((YEAR(AR$2)-YEAR($F16))*12 + MONTH(AR$2)-MONTH($F16)) / 12),
  0)</f>
        <v>8640</v>
      </c>
      <c r="AS16" s="291">
        <f>IF(AND($F16&lt;=AS$2, OR($G16="",$G16&gt;=AS$2)),
  $H16 * (1 + Assumptions!$C$7) ^ INT(((YEAR(AS$2)-YEAR($F16))*12 + MONTH(AS$2)-MONTH($F16)) / 12),
  0)</f>
        <v>8640</v>
      </c>
      <c r="AT16" s="291">
        <f>IF(AND($F16&lt;=AT$2, OR($G16="",$G16&gt;=AT$2)),
  $H16 * (1 + Assumptions!$C$7) ^ INT(((YEAR(AT$2)-YEAR($F16))*12 + MONTH(AT$2)-MONTH($F16)) / 12),
  0)</f>
        <v>8640</v>
      </c>
      <c r="AU16" s="291">
        <f>IF(AND($F16&lt;=AU$2, OR($G16="",$G16&gt;=AU$2)),
  $H16 * (1 + Assumptions!$C$7) ^ INT(((YEAR(AU$2)-YEAR($F16))*12 + MONTH(AU$2)-MONTH($F16)) / 12),
  0)</f>
        <v>8640</v>
      </c>
      <c r="AV16" s="291">
        <f>IF(AND($F16&lt;=AV$2, OR($G16="",$G16&gt;=AV$2)),
  $H16 * (1 + Assumptions!$C$7) ^ INT(((YEAR(AV$2)-YEAR($F16))*12 + MONTH(AV$2)-MONTH($F16)) / 12),
  0)</f>
        <v>8640</v>
      </c>
      <c r="AW16" s="291">
        <f>IF(AND($F16&lt;=AW$2, OR($G16="",$G16&gt;=AW$2)),
  $H16 * (1 + Assumptions!$C$7) ^ INT(((YEAR(AW$2)-YEAR($F16))*12 + MONTH(AW$2)-MONTH($F16)) / 12),
  0)</f>
        <v>8640</v>
      </c>
      <c r="AX16" s="291">
        <f>IF(AND($F16&lt;=AX$2, OR($G16="",$G16&gt;=AX$2)),
  $H16 * (1 + Assumptions!$C$7) ^ INT(((YEAR(AX$2)-YEAR($F16))*12 + MONTH(AX$2)-MONTH($F16)) / 12),
  0)</f>
        <v>8640</v>
      </c>
      <c r="AY16" s="291">
        <f>IF(AND($F16&lt;=AY$2, OR($G16="",$G16&gt;=AY$2)),
  $H16 * (1 + Assumptions!$C$7) ^ INT(((YEAR(AY$2)-YEAR($F16))*12 + MONTH(AY$2)-MONTH($F16)) / 12),
  0)</f>
        <v>8640</v>
      </c>
      <c r="AZ16" s="291">
        <f>IF(AND($F16&lt;=AZ$2, OR($G16="",$G16&gt;=AZ$2)),
  $H16 * (1 + Assumptions!$C$7) ^ INT(((YEAR(AZ$2)-YEAR($F16))*12 + MONTH(AZ$2)-MONTH($F16)) / 12),
  0)</f>
        <v>8640</v>
      </c>
      <c r="BA16" s="291">
        <f>IF(AND($F16&lt;=BA$2, OR($G16="",$G16&gt;=BA$2)),
  $H16 * (1 + Assumptions!$C$7) ^ INT(((YEAR(BA$2)-YEAR($F16))*12 + MONTH(BA$2)-MONTH($F16)) / 12),
  0)</f>
        <v>8640</v>
      </c>
      <c r="BB16" s="291">
        <f>IF(AND($F16&lt;=BB$2, OR($G16="",$G16&gt;=BB$2)),
  $H16 * (1 + Assumptions!$C$7) ^ INT(((YEAR(BB$2)-YEAR($F16))*12 + MONTH(BB$2)-MONTH($F16)) / 12),
  0)</f>
        <v>9331.2</v>
      </c>
      <c r="BC16" s="291">
        <f>IF(AND($F16&lt;=BC$2, OR($G16="",$G16&gt;=BC$2)),
  $H16 * (1 + Assumptions!$C$7) ^ INT(((YEAR(BC$2)-YEAR($F16))*12 + MONTH(BC$2)-MONTH($F16)) / 12),
  0)</f>
        <v>9331.2</v>
      </c>
      <c r="BD16" s="291">
        <f>IF(AND($F16&lt;=BD$2, OR($G16="",$G16&gt;=BD$2)),
  $H16 * (1 + Assumptions!$C$7) ^ INT(((YEAR(BD$2)-YEAR($F16))*12 + MONTH(BD$2)-MONTH($F16)) / 12),
  0)</f>
        <v>9331.2</v>
      </c>
      <c r="BE16" s="291">
        <f>IF(AND($F16&lt;=BE$2, OR($G16="",$G16&gt;=BE$2)),
  $H16 * (1 + Assumptions!$C$7) ^ INT(((YEAR(BE$2)-YEAR($F16))*12 + MONTH(BE$2)-MONTH($F16)) / 12),
  0)</f>
        <v>9331.2</v>
      </c>
      <c r="BF16" s="291">
        <f>IF(AND($F16&lt;=BF$2, OR($G16="",$G16&gt;=BF$2)),
  $H16 * (1 + Assumptions!$C$7) ^ INT(((YEAR(BF$2)-YEAR($F16))*12 + MONTH(BF$2)-MONTH($F16)) / 12),
  0)</f>
        <v>9331.2</v>
      </c>
      <c r="BG16" s="291">
        <f>IF(AND($F16&lt;=BG$2, OR($G16="",$G16&gt;=BG$2)),
  $H16 * (1 + Assumptions!$C$7) ^ INT(((YEAR(BG$2)-YEAR($F16))*12 + MONTH(BG$2)-MONTH($F16)) / 12),
  0)</f>
        <v>9331.2</v>
      </c>
      <c r="BH16" s="291">
        <f>IF(AND($F16&lt;=BH$2, OR($G16="",$G16&gt;=BH$2)),
  $H16 * (1 + Assumptions!$C$7) ^ INT(((YEAR(BH$2)-YEAR($F16))*12 + MONTH(BH$2)-MONTH($F16)) / 12),
  0)</f>
        <v>9331.2</v>
      </c>
      <c r="BI16" s="291">
        <f>IF(AND($F16&lt;=BI$2, OR($G16="",$G16&gt;=BI$2)),
  $H16 * (1 + Assumptions!$C$7) ^ INT(((YEAR(BI$2)-YEAR($F16))*12 + MONTH(BI$2)-MONTH($F16)) / 12),
  0)</f>
        <v>9331.2</v>
      </c>
      <c r="BJ16" s="291">
        <f>IF(AND($F16&lt;=BJ$2, OR($G16="",$G16&gt;=BJ$2)),
  $H16 * (1 + Assumptions!$C$7) ^ INT(((YEAR(BJ$2)-YEAR($F16))*12 + MONTH(BJ$2)-MONTH($F16)) / 12),
  0)</f>
        <v>9331.2</v>
      </c>
      <c r="BK16" s="291">
        <f>IF(AND($F16&lt;=BK$2, OR($G16="",$G16&gt;=BK$2)),
  $H16 * (1 + Assumptions!$C$7) ^ INT(((YEAR(BK$2)-YEAR($F16))*12 + MONTH(BK$2)-MONTH($F16)) / 12),
  0)</f>
        <v>9331.2</v>
      </c>
      <c r="BL16" s="291">
        <f>IF(AND($F16&lt;=BL$2, OR($G16="",$G16&gt;=BL$2)),
  $H16 * (1 + Assumptions!$C$7) ^ INT(((YEAR(BL$2)-YEAR($F16))*12 + MONTH(BL$2)-MONTH($F16)) / 12),
  0)</f>
        <v>9331.2</v>
      </c>
      <c r="BM16" s="291">
        <f>IF(AND($F16&lt;=BM$2, OR($G16="",$G16&gt;=BM$2)),
  $H16 * (1 + Assumptions!$C$7) ^ INT(((YEAR(BM$2)-YEAR($F16))*12 + MONTH(BM$2)-MONTH($F16)) / 12),
  0)</f>
        <v>9331.2</v>
      </c>
      <c r="BN16" s="291">
        <f>IF(AND($F16&lt;=BN$2, OR($G16="",$G16&gt;=BN$2)),
  $H16 * (1 + Assumptions!$C$7) ^ INT(((YEAR(BN$2)-YEAR($F16))*12 + MONTH(BN$2)-MONTH($F16)) / 12),
  0)</f>
        <v>10077.696</v>
      </c>
      <c r="BO16" s="291">
        <f>IF(AND($F16&lt;=BO$2, OR($G16="",$G16&gt;=BO$2)),
  $H16 * (1 + Assumptions!$C$7) ^ INT(((YEAR(BO$2)-YEAR($F16))*12 + MONTH(BO$2)-MONTH($F16)) / 12),
  0)</f>
        <v>10077.696</v>
      </c>
      <c r="BP16" s="291">
        <f>IF(AND($F16&lt;=BP$2, OR($G16="",$G16&gt;=BP$2)),
  $H16 * (1 + Assumptions!$C$7) ^ INT(((YEAR(BP$2)-YEAR($F16))*12 + MONTH(BP$2)-MONTH($F16)) / 12),
  0)</f>
        <v>10077.696</v>
      </c>
      <c r="BQ16" s="37"/>
    </row>
    <row r="17">
      <c r="A17" s="298">
        <v>12.0</v>
      </c>
      <c r="B17" s="282" t="s">
        <v>335</v>
      </c>
      <c r="C17" s="299" t="s">
        <v>137</v>
      </c>
      <c r="D17" s="299" t="s">
        <v>338</v>
      </c>
      <c r="E17" s="289" t="s">
        <v>337</v>
      </c>
      <c r="F17" s="283">
        <v>46235.0</v>
      </c>
      <c r="G17" s="301"/>
      <c r="H17" s="285">
        <v>9000.0</v>
      </c>
      <c r="I17" s="291">
        <f>IF(AND($F17&lt;=I$2, OR($G17="",$G17&gt;=I$2)),
  $H17 * (1 + Assumptions!$C$7) ^ INT(((YEAR(I$2)-YEAR($F17))*12 + MONTH(I$2)-MONTH($F17)) / 12),
  0)</f>
        <v>0</v>
      </c>
      <c r="J17" s="291">
        <f>IF(AND($F17&lt;=J$2, OR($G17="",$G17&gt;=J$2)),
  $H17 * (1 + Assumptions!$C$7) ^ INT(((YEAR(J$2)-YEAR($F17))*12 + MONTH(J$2)-MONTH($F17)) / 12),
  0)</f>
        <v>0</v>
      </c>
      <c r="K17" s="291">
        <f>IF(AND($F17&lt;=K$2, OR($G17="",$G17&gt;=K$2)),
  $H17 * (1 + Assumptions!$C$7) ^ INT(((YEAR(K$2)-YEAR($F17))*12 + MONTH(K$2)-MONTH($F17)) / 12),
  0)</f>
        <v>0</v>
      </c>
      <c r="L17" s="291">
        <f>IF(AND($F17&lt;=L$2, OR($G17="",$G17&gt;=L$2)),
  $H17 * (1 + Assumptions!$C$7) ^ INT(((YEAR(L$2)-YEAR($F17))*12 + MONTH(L$2)-MONTH($F17)) / 12),
  0)</f>
        <v>0</v>
      </c>
      <c r="M17" s="291">
        <f>IF(AND($F17&lt;=M$2, OR($G17="",$G17&gt;=M$2)),
  $H17 * (1 + Assumptions!$C$7) ^ INT(((YEAR(M$2)-YEAR($F17))*12 + MONTH(M$2)-MONTH($F17)) / 12),
  0)</f>
        <v>0</v>
      </c>
      <c r="N17" s="291">
        <f>IF(AND($F17&lt;=N$2, OR($G17="",$G17&gt;=N$2)),
  $H17 * (1 + Assumptions!$C$7) ^ INT(((YEAR(N$2)-YEAR($F17))*12 + MONTH(N$2)-MONTH($F17)) / 12),
  0)</f>
        <v>0</v>
      </c>
      <c r="O17" s="291">
        <f>IF(AND($F17&lt;=O$2, OR($G17="",$G17&gt;=O$2)),
  $H17 * (1 + Assumptions!$C$7) ^ INT(((YEAR(O$2)-YEAR($F17))*12 + MONTH(O$2)-MONTH($F17)) / 12),
  0)</f>
        <v>0</v>
      </c>
      <c r="P17" s="291">
        <f>IF(AND($F17&lt;=P$2, OR($G17="",$G17&gt;=P$2)),
  $H17 * (1 + Assumptions!$C$7) ^ INT(((YEAR(P$2)-YEAR($F17))*12 + MONTH(P$2)-MONTH($F17)) / 12),
  0)</f>
        <v>0</v>
      </c>
      <c r="Q17" s="291">
        <f>IF(AND($F17&lt;=Q$2, OR($G17="",$G17&gt;=Q$2)),
  $H17 * (1 + Assumptions!$C$7) ^ INT(((YEAR(Q$2)-YEAR($F17))*12 + MONTH(Q$2)-MONTH($F17)) / 12),
  0)</f>
        <v>0</v>
      </c>
      <c r="R17" s="291">
        <f>IF(AND($F17&lt;=R$2, OR($G17="",$G17&gt;=R$2)),
  $H17 * (1 + Assumptions!$C$7) ^ INT(((YEAR(R$2)-YEAR($F17))*12 + MONTH(R$2)-MONTH($F17)) / 12),
  0)</f>
        <v>0</v>
      </c>
      <c r="S17" s="291">
        <f>IF(AND($F17&lt;=S$2, OR($G17="",$G17&gt;=S$2)),
  $H17 * (1 + Assumptions!$C$7) ^ INT(((YEAR(S$2)-YEAR($F17))*12 + MONTH(S$2)-MONTH($F17)) / 12),
  0)</f>
        <v>0</v>
      </c>
      <c r="T17" s="291">
        <f>IF(AND($F17&lt;=T$2, OR($G17="",$G17&gt;=T$2)),
  $H17 * (1 + Assumptions!$C$7) ^ INT(((YEAR(T$2)-YEAR($F17))*12 + MONTH(T$2)-MONTH($F17)) / 12),
  0)</f>
        <v>0</v>
      </c>
      <c r="U17" s="291">
        <f>IF(AND($F17&lt;=U$2, OR($G17="",$G17&gt;=U$2)),
  $H17 * (1 + Assumptions!$C$7) ^ INT(((YEAR(U$2)-YEAR($F17))*12 + MONTH(U$2)-MONTH($F17)) / 12),
  0)</f>
        <v>0</v>
      </c>
      <c r="V17" s="291">
        <f>IF(AND($F17&lt;=V$2, OR($G17="",$G17&gt;=V$2)),
  $H17 * (1 + Assumptions!$C$7) ^ INT(((YEAR(V$2)-YEAR($F17))*12 + MONTH(V$2)-MONTH($F17)) / 12),
  0)</f>
        <v>0</v>
      </c>
      <c r="W17" s="291">
        <f>IF(AND($F17&lt;=W$2, OR($G17="",$G17&gt;=W$2)),
  $H17 * (1 + Assumptions!$C$7) ^ INT(((YEAR(W$2)-YEAR($F17))*12 + MONTH(W$2)-MONTH($F17)) / 12),
  0)</f>
        <v>0</v>
      </c>
      <c r="X17" s="291">
        <f>IF(AND($F17&lt;=X$2, OR($G17="",$G17&gt;=X$2)),
  $H17 * (1 + Assumptions!$C$7) ^ INT(((YEAR(X$2)-YEAR($F17))*12 + MONTH(X$2)-MONTH($F17)) / 12),
  0)</f>
        <v>0</v>
      </c>
      <c r="Y17" s="291">
        <f>IF(AND($F17&lt;=Y$2, OR($G17="",$G17&gt;=Y$2)),
  $H17 * (1 + Assumptions!$C$7) ^ INT(((YEAR(Y$2)-YEAR($F17))*12 + MONTH(Y$2)-MONTH($F17)) / 12),
  0)</f>
        <v>0</v>
      </c>
      <c r="Z17" s="291">
        <f>IF(AND($F17&lt;=Z$2, OR($G17="",$G17&gt;=Z$2)),
  $H17 * (1 + Assumptions!$C$7) ^ INT(((YEAR(Z$2)-YEAR($F17))*12 + MONTH(Z$2)-MONTH($F17)) / 12),
  0)</f>
        <v>0</v>
      </c>
      <c r="AA17" s="291">
        <f>IF(AND($F17&lt;=AA$2, OR($G17="",$G17&gt;=AA$2)),
  $H17 * (1 + Assumptions!$C$7) ^ INT(((YEAR(AA$2)-YEAR($F17))*12 + MONTH(AA$2)-MONTH($F17)) / 12),
  0)</f>
        <v>0</v>
      </c>
      <c r="AB17" s="291">
        <f>IF(AND($F17&lt;=AB$2, OR($G17="",$G17&gt;=AB$2)),
  $H17 * (1 + Assumptions!$C$7) ^ INT(((YEAR(AB$2)-YEAR($F17))*12 + MONTH(AB$2)-MONTH($F17)) / 12),
  0)</f>
        <v>9000</v>
      </c>
      <c r="AC17" s="291">
        <f>IF(AND($F17&lt;=AC$2, OR($G17="",$G17&gt;=AC$2)),
  $H17 * (1 + Assumptions!$C$7) ^ INT(((YEAR(AC$2)-YEAR($F17))*12 + MONTH(AC$2)-MONTH($F17)) / 12),
  0)</f>
        <v>9000</v>
      </c>
      <c r="AD17" s="291">
        <f>IF(AND($F17&lt;=AD$2, OR($G17="",$G17&gt;=AD$2)),
  $H17 * (1 + Assumptions!$C$7) ^ INT(((YEAR(AD$2)-YEAR($F17))*12 + MONTH(AD$2)-MONTH($F17)) / 12),
  0)</f>
        <v>9000</v>
      </c>
      <c r="AE17" s="291">
        <f>IF(AND($F17&lt;=AE$2, OR($G17="",$G17&gt;=AE$2)),
  $H17 * (1 + Assumptions!$C$7) ^ INT(((YEAR(AE$2)-YEAR($F17))*12 + MONTH(AE$2)-MONTH($F17)) / 12),
  0)</f>
        <v>9000</v>
      </c>
      <c r="AF17" s="291">
        <f>IF(AND($F17&lt;=AF$2, OR($G17="",$G17&gt;=AF$2)),
  $H17 * (1 + Assumptions!$C$7) ^ INT(((YEAR(AF$2)-YEAR($F17))*12 + MONTH(AF$2)-MONTH($F17)) / 12),
  0)</f>
        <v>9000</v>
      </c>
      <c r="AG17" s="291">
        <f>IF(AND($F17&lt;=AG$2, OR($G17="",$G17&gt;=AG$2)),
  $H17 * (1 + Assumptions!$C$7) ^ INT(((YEAR(AG$2)-YEAR($F17))*12 + MONTH(AG$2)-MONTH($F17)) / 12),
  0)</f>
        <v>9000</v>
      </c>
      <c r="AH17" s="291">
        <f>IF(AND($F17&lt;=AH$2, OR($G17="",$G17&gt;=AH$2)),
  $H17 * (1 + Assumptions!$C$7) ^ INT(((YEAR(AH$2)-YEAR($F17))*12 + MONTH(AH$2)-MONTH($F17)) / 12),
  0)</f>
        <v>9000</v>
      </c>
      <c r="AI17" s="291">
        <f>IF(AND($F17&lt;=AI$2, OR($G17="",$G17&gt;=AI$2)),
  $H17 * (1 + Assumptions!$C$7) ^ INT(((YEAR(AI$2)-YEAR($F17))*12 + MONTH(AI$2)-MONTH($F17)) / 12),
  0)</f>
        <v>9000</v>
      </c>
      <c r="AJ17" s="291">
        <f>IF(AND($F17&lt;=AJ$2, OR($G17="",$G17&gt;=AJ$2)),
  $H17 * (1 + Assumptions!$C$7) ^ INT(((YEAR(AJ$2)-YEAR($F17))*12 + MONTH(AJ$2)-MONTH($F17)) / 12),
  0)</f>
        <v>9000</v>
      </c>
      <c r="AK17" s="291">
        <f>IF(AND($F17&lt;=AK$2, OR($G17="",$G17&gt;=AK$2)),
  $H17 * (1 + Assumptions!$C$7) ^ INT(((YEAR(AK$2)-YEAR($F17))*12 + MONTH(AK$2)-MONTH($F17)) / 12),
  0)</f>
        <v>9000</v>
      </c>
      <c r="AL17" s="291">
        <f>IF(AND($F17&lt;=AL$2, OR($G17="",$G17&gt;=AL$2)),
  $H17 * (1 + Assumptions!$C$7) ^ INT(((YEAR(AL$2)-YEAR($F17))*12 + MONTH(AL$2)-MONTH($F17)) / 12),
  0)</f>
        <v>9000</v>
      </c>
      <c r="AM17" s="291">
        <f>IF(AND($F17&lt;=AM$2, OR($G17="",$G17&gt;=AM$2)),
  $H17 * (1 + Assumptions!$C$7) ^ INT(((YEAR(AM$2)-YEAR($F17))*12 + MONTH(AM$2)-MONTH($F17)) / 12),
  0)</f>
        <v>9000</v>
      </c>
      <c r="AN17" s="291">
        <f>IF(AND($F17&lt;=AN$2, OR($G17="",$G17&gt;=AN$2)),
  $H17 * (1 + Assumptions!$C$7) ^ INT(((YEAR(AN$2)-YEAR($F17))*12 + MONTH(AN$2)-MONTH($F17)) / 12),
  0)</f>
        <v>9720</v>
      </c>
      <c r="AO17" s="291">
        <f>IF(AND($F17&lt;=AO$2, OR($G17="",$G17&gt;=AO$2)),
  $H17 * (1 + Assumptions!$C$7) ^ INT(((YEAR(AO$2)-YEAR($F17))*12 + MONTH(AO$2)-MONTH($F17)) / 12),
  0)</f>
        <v>9720</v>
      </c>
      <c r="AP17" s="291">
        <f>IF(AND($F17&lt;=AP$2, OR($G17="",$G17&gt;=AP$2)),
  $H17 * (1 + Assumptions!$C$7) ^ INT(((YEAR(AP$2)-YEAR($F17))*12 + MONTH(AP$2)-MONTH($F17)) / 12),
  0)</f>
        <v>9720</v>
      </c>
      <c r="AQ17" s="291">
        <f>IF(AND($F17&lt;=AQ$2, OR($G17="",$G17&gt;=AQ$2)),
  $H17 * (1 + Assumptions!$C$7) ^ INT(((YEAR(AQ$2)-YEAR($F17))*12 + MONTH(AQ$2)-MONTH($F17)) / 12),
  0)</f>
        <v>9720</v>
      </c>
      <c r="AR17" s="291">
        <f>IF(AND($F17&lt;=AR$2, OR($G17="",$G17&gt;=AR$2)),
  $H17 * (1 + Assumptions!$C$7) ^ INT(((YEAR(AR$2)-YEAR($F17))*12 + MONTH(AR$2)-MONTH($F17)) / 12),
  0)</f>
        <v>9720</v>
      </c>
      <c r="AS17" s="291">
        <f>IF(AND($F17&lt;=AS$2, OR($G17="",$G17&gt;=AS$2)),
  $H17 * (1 + Assumptions!$C$7) ^ INT(((YEAR(AS$2)-YEAR($F17))*12 + MONTH(AS$2)-MONTH($F17)) / 12),
  0)</f>
        <v>9720</v>
      </c>
      <c r="AT17" s="291">
        <f>IF(AND($F17&lt;=AT$2, OR($G17="",$G17&gt;=AT$2)),
  $H17 * (1 + Assumptions!$C$7) ^ INT(((YEAR(AT$2)-YEAR($F17))*12 + MONTH(AT$2)-MONTH($F17)) / 12),
  0)</f>
        <v>9720</v>
      </c>
      <c r="AU17" s="291">
        <f>IF(AND($F17&lt;=AU$2, OR($G17="",$G17&gt;=AU$2)),
  $H17 * (1 + Assumptions!$C$7) ^ INT(((YEAR(AU$2)-YEAR($F17))*12 + MONTH(AU$2)-MONTH($F17)) / 12),
  0)</f>
        <v>9720</v>
      </c>
      <c r="AV17" s="291">
        <f>IF(AND($F17&lt;=AV$2, OR($G17="",$G17&gt;=AV$2)),
  $H17 * (1 + Assumptions!$C$7) ^ INT(((YEAR(AV$2)-YEAR($F17))*12 + MONTH(AV$2)-MONTH($F17)) / 12),
  0)</f>
        <v>9720</v>
      </c>
      <c r="AW17" s="291">
        <f>IF(AND($F17&lt;=AW$2, OR($G17="",$G17&gt;=AW$2)),
  $H17 * (1 + Assumptions!$C$7) ^ INT(((YEAR(AW$2)-YEAR($F17))*12 + MONTH(AW$2)-MONTH($F17)) / 12),
  0)</f>
        <v>9720</v>
      </c>
      <c r="AX17" s="291">
        <f>IF(AND($F17&lt;=AX$2, OR($G17="",$G17&gt;=AX$2)),
  $H17 * (1 + Assumptions!$C$7) ^ INT(((YEAR(AX$2)-YEAR($F17))*12 + MONTH(AX$2)-MONTH($F17)) / 12),
  0)</f>
        <v>9720</v>
      </c>
      <c r="AY17" s="291">
        <f>IF(AND($F17&lt;=AY$2, OR($G17="",$G17&gt;=AY$2)),
  $H17 * (1 + Assumptions!$C$7) ^ INT(((YEAR(AY$2)-YEAR($F17))*12 + MONTH(AY$2)-MONTH($F17)) / 12),
  0)</f>
        <v>9720</v>
      </c>
      <c r="AZ17" s="291">
        <f>IF(AND($F17&lt;=AZ$2, OR($G17="",$G17&gt;=AZ$2)),
  $H17 * (1 + Assumptions!$C$7) ^ INT(((YEAR(AZ$2)-YEAR($F17))*12 + MONTH(AZ$2)-MONTH($F17)) / 12),
  0)</f>
        <v>10497.6</v>
      </c>
      <c r="BA17" s="291">
        <f>IF(AND($F17&lt;=BA$2, OR($G17="",$G17&gt;=BA$2)),
  $H17 * (1 + Assumptions!$C$7) ^ INT(((YEAR(BA$2)-YEAR($F17))*12 + MONTH(BA$2)-MONTH($F17)) / 12),
  0)</f>
        <v>10497.6</v>
      </c>
      <c r="BB17" s="291">
        <f>IF(AND($F17&lt;=BB$2, OR($G17="",$G17&gt;=BB$2)),
  $H17 * (1 + Assumptions!$C$7) ^ INT(((YEAR(BB$2)-YEAR($F17))*12 + MONTH(BB$2)-MONTH($F17)) / 12),
  0)</f>
        <v>10497.6</v>
      </c>
      <c r="BC17" s="291">
        <f>IF(AND($F17&lt;=BC$2, OR($G17="",$G17&gt;=BC$2)),
  $H17 * (1 + Assumptions!$C$7) ^ INT(((YEAR(BC$2)-YEAR($F17))*12 + MONTH(BC$2)-MONTH($F17)) / 12),
  0)</f>
        <v>10497.6</v>
      </c>
      <c r="BD17" s="291">
        <f>IF(AND($F17&lt;=BD$2, OR($G17="",$G17&gt;=BD$2)),
  $H17 * (1 + Assumptions!$C$7) ^ INT(((YEAR(BD$2)-YEAR($F17))*12 + MONTH(BD$2)-MONTH($F17)) / 12),
  0)</f>
        <v>10497.6</v>
      </c>
      <c r="BE17" s="291">
        <f>IF(AND($F17&lt;=BE$2, OR($G17="",$G17&gt;=BE$2)),
  $H17 * (1 + Assumptions!$C$7) ^ INT(((YEAR(BE$2)-YEAR($F17))*12 + MONTH(BE$2)-MONTH($F17)) / 12),
  0)</f>
        <v>10497.6</v>
      </c>
      <c r="BF17" s="291">
        <f>IF(AND($F17&lt;=BF$2, OR($G17="",$G17&gt;=BF$2)),
  $H17 * (1 + Assumptions!$C$7) ^ INT(((YEAR(BF$2)-YEAR($F17))*12 + MONTH(BF$2)-MONTH($F17)) / 12),
  0)</f>
        <v>10497.6</v>
      </c>
      <c r="BG17" s="291">
        <f>IF(AND($F17&lt;=BG$2, OR($G17="",$G17&gt;=BG$2)),
  $H17 * (1 + Assumptions!$C$7) ^ INT(((YEAR(BG$2)-YEAR($F17))*12 + MONTH(BG$2)-MONTH($F17)) / 12),
  0)</f>
        <v>10497.6</v>
      </c>
      <c r="BH17" s="291">
        <f>IF(AND($F17&lt;=BH$2, OR($G17="",$G17&gt;=BH$2)),
  $H17 * (1 + Assumptions!$C$7) ^ INT(((YEAR(BH$2)-YEAR($F17))*12 + MONTH(BH$2)-MONTH($F17)) / 12),
  0)</f>
        <v>10497.6</v>
      </c>
      <c r="BI17" s="291">
        <f>IF(AND($F17&lt;=BI$2, OR($G17="",$G17&gt;=BI$2)),
  $H17 * (1 + Assumptions!$C$7) ^ INT(((YEAR(BI$2)-YEAR($F17))*12 + MONTH(BI$2)-MONTH($F17)) / 12),
  0)</f>
        <v>10497.6</v>
      </c>
      <c r="BJ17" s="291">
        <f>IF(AND($F17&lt;=BJ$2, OR($G17="",$G17&gt;=BJ$2)),
  $H17 * (1 + Assumptions!$C$7) ^ INT(((YEAR(BJ$2)-YEAR($F17))*12 + MONTH(BJ$2)-MONTH($F17)) / 12),
  0)</f>
        <v>10497.6</v>
      </c>
      <c r="BK17" s="291">
        <f>IF(AND($F17&lt;=BK$2, OR($G17="",$G17&gt;=BK$2)),
  $H17 * (1 + Assumptions!$C$7) ^ INT(((YEAR(BK$2)-YEAR($F17))*12 + MONTH(BK$2)-MONTH($F17)) / 12),
  0)</f>
        <v>10497.6</v>
      </c>
      <c r="BL17" s="291">
        <f>IF(AND($F17&lt;=BL$2, OR($G17="",$G17&gt;=BL$2)),
  $H17 * (1 + Assumptions!$C$7) ^ INT(((YEAR(BL$2)-YEAR($F17))*12 + MONTH(BL$2)-MONTH($F17)) / 12),
  0)</f>
        <v>11337.408</v>
      </c>
      <c r="BM17" s="291">
        <f>IF(AND($F17&lt;=BM$2, OR($G17="",$G17&gt;=BM$2)),
  $H17 * (1 + Assumptions!$C$7) ^ INT(((YEAR(BM$2)-YEAR($F17))*12 + MONTH(BM$2)-MONTH($F17)) / 12),
  0)</f>
        <v>11337.408</v>
      </c>
      <c r="BN17" s="291">
        <f>IF(AND($F17&lt;=BN$2, OR($G17="",$G17&gt;=BN$2)),
  $H17 * (1 + Assumptions!$C$7) ^ INT(((YEAR(BN$2)-YEAR($F17))*12 + MONTH(BN$2)-MONTH($F17)) / 12),
  0)</f>
        <v>11337.408</v>
      </c>
      <c r="BO17" s="291">
        <f>IF(AND($F17&lt;=BO$2, OR($G17="",$G17&gt;=BO$2)),
  $H17 * (1 + Assumptions!$C$7) ^ INT(((YEAR(BO$2)-YEAR($F17))*12 + MONTH(BO$2)-MONTH($F17)) / 12),
  0)</f>
        <v>11337.408</v>
      </c>
      <c r="BP17" s="291">
        <f>IF(AND($F17&lt;=BP$2, OR($G17="",$G17&gt;=BP$2)),
  $H17 * (1 + Assumptions!$C$7) ^ INT(((YEAR(BP$2)-YEAR($F17))*12 + MONTH(BP$2)-MONTH($F17)) / 12),
  0)</f>
        <v>11337.408</v>
      </c>
      <c r="BQ17" s="37"/>
    </row>
    <row r="18">
      <c r="A18" s="298">
        <v>13.0</v>
      </c>
      <c r="B18" s="282" t="s">
        <v>335</v>
      </c>
      <c r="C18" s="299" t="s">
        <v>144</v>
      </c>
      <c r="D18" s="299" t="s">
        <v>339</v>
      </c>
      <c r="E18" s="289" t="s">
        <v>337</v>
      </c>
      <c r="F18" s="283">
        <v>46235.0</v>
      </c>
      <c r="G18" s="302"/>
      <c r="H18" s="285">
        <v>6000.0</v>
      </c>
      <c r="I18" s="291">
        <f>IF(AND($F18&lt;=I$2, OR($G18="",$G18&gt;=I$2)),
  $H18 * (1 + Assumptions!$C$7) ^ INT(((YEAR(I$2)-YEAR($F18))*12 + MONTH(I$2)-MONTH($F18)) / 12),
  0)</f>
        <v>0</v>
      </c>
      <c r="J18" s="291">
        <f>IF(AND($F18&lt;=J$2, OR($G18="",$G18&gt;=J$2)),
  $H18 * (1 + Assumptions!$C$7) ^ INT(((YEAR(J$2)-YEAR($F18))*12 + MONTH(J$2)-MONTH($F18)) / 12),
  0)</f>
        <v>0</v>
      </c>
      <c r="K18" s="291">
        <f>IF(AND($F18&lt;=K$2, OR($G18="",$G18&gt;=K$2)),
  $H18 * (1 + Assumptions!$C$7) ^ INT(((YEAR(K$2)-YEAR($F18))*12 + MONTH(K$2)-MONTH($F18)) / 12),
  0)</f>
        <v>0</v>
      </c>
      <c r="L18" s="291">
        <f>IF(AND($F18&lt;=L$2, OR($G18="",$G18&gt;=L$2)),
  $H18 * (1 + Assumptions!$C$7) ^ INT(((YEAR(L$2)-YEAR($F18))*12 + MONTH(L$2)-MONTH($F18)) / 12),
  0)</f>
        <v>0</v>
      </c>
      <c r="M18" s="291">
        <f>IF(AND($F18&lt;=M$2, OR($G18="",$G18&gt;=M$2)),
  $H18 * (1 + Assumptions!$C$7) ^ INT(((YEAR(M$2)-YEAR($F18))*12 + MONTH(M$2)-MONTH($F18)) / 12),
  0)</f>
        <v>0</v>
      </c>
      <c r="N18" s="291">
        <f>IF(AND($F18&lt;=N$2, OR($G18="",$G18&gt;=N$2)),
  $H18 * (1 + Assumptions!$C$7) ^ INT(((YEAR(N$2)-YEAR($F18))*12 + MONTH(N$2)-MONTH($F18)) / 12),
  0)</f>
        <v>0</v>
      </c>
      <c r="O18" s="291">
        <f>IF(AND($F18&lt;=O$2, OR($G18="",$G18&gt;=O$2)),
  $H18 * (1 + Assumptions!$C$7) ^ INT(((YEAR(O$2)-YEAR($F18))*12 + MONTH(O$2)-MONTH($F18)) / 12),
  0)</f>
        <v>0</v>
      </c>
      <c r="P18" s="291">
        <f>IF(AND($F18&lt;=P$2, OR($G18="",$G18&gt;=P$2)),
  $H18 * (1 + Assumptions!$C$7) ^ INT(((YEAR(P$2)-YEAR($F18))*12 + MONTH(P$2)-MONTH($F18)) / 12),
  0)</f>
        <v>0</v>
      </c>
      <c r="Q18" s="291">
        <f>IF(AND($F18&lt;=Q$2, OR($G18="",$G18&gt;=Q$2)),
  $H18 * (1 + Assumptions!$C$7) ^ INT(((YEAR(Q$2)-YEAR($F18))*12 + MONTH(Q$2)-MONTH($F18)) / 12),
  0)</f>
        <v>0</v>
      </c>
      <c r="R18" s="291">
        <f>IF(AND($F18&lt;=R$2, OR($G18="",$G18&gt;=R$2)),
  $H18 * (1 + Assumptions!$C$7) ^ INT(((YEAR(R$2)-YEAR($F18))*12 + MONTH(R$2)-MONTH($F18)) / 12),
  0)</f>
        <v>0</v>
      </c>
      <c r="S18" s="291">
        <f>IF(AND($F18&lt;=S$2, OR($G18="",$G18&gt;=S$2)),
  $H18 * (1 + Assumptions!$C$7) ^ INT(((YEAR(S$2)-YEAR($F18))*12 + MONTH(S$2)-MONTH($F18)) / 12),
  0)</f>
        <v>0</v>
      </c>
      <c r="T18" s="291">
        <f>IF(AND($F18&lt;=T$2, OR($G18="",$G18&gt;=T$2)),
  $H18 * (1 + Assumptions!$C$7) ^ INT(((YEAR(T$2)-YEAR($F18))*12 + MONTH(T$2)-MONTH($F18)) / 12),
  0)</f>
        <v>0</v>
      </c>
      <c r="U18" s="291">
        <f>IF(AND($F18&lt;=U$2, OR($G18="",$G18&gt;=U$2)),
  $H18 * (1 + Assumptions!$C$7) ^ INT(((YEAR(U$2)-YEAR($F18))*12 + MONTH(U$2)-MONTH($F18)) / 12),
  0)</f>
        <v>0</v>
      </c>
      <c r="V18" s="291">
        <f>IF(AND($F18&lt;=V$2, OR($G18="",$G18&gt;=V$2)),
  $H18 * (1 + Assumptions!$C$7) ^ INT(((YEAR(V$2)-YEAR($F18))*12 + MONTH(V$2)-MONTH($F18)) / 12),
  0)</f>
        <v>0</v>
      </c>
      <c r="W18" s="291">
        <f>IF(AND($F18&lt;=W$2, OR($G18="",$G18&gt;=W$2)),
  $H18 * (1 + Assumptions!$C$7) ^ INT(((YEAR(W$2)-YEAR($F18))*12 + MONTH(W$2)-MONTH($F18)) / 12),
  0)</f>
        <v>0</v>
      </c>
      <c r="X18" s="291">
        <f>IF(AND($F18&lt;=X$2, OR($G18="",$G18&gt;=X$2)),
  $H18 * (1 + Assumptions!$C$7) ^ INT(((YEAR(X$2)-YEAR($F18))*12 + MONTH(X$2)-MONTH($F18)) / 12),
  0)</f>
        <v>0</v>
      </c>
      <c r="Y18" s="291">
        <f>IF(AND($F18&lt;=Y$2, OR($G18="",$G18&gt;=Y$2)),
  $H18 * (1 + Assumptions!$C$7) ^ INT(((YEAR(Y$2)-YEAR($F18))*12 + MONTH(Y$2)-MONTH($F18)) / 12),
  0)</f>
        <v>0</v>
      </c>
      <c r="Z18" s="291">
        <f>IF(AND($F18&lt;=Z$2, OR($G18="",$G18&gt;=Z$2)),
  $H18 * (1 + Assumptions!$C$7) ^ INT(((YEAR(Z$2)-YEAR($F18))*12 + MONTH(Z$2)-MONTH($F18)) / 12),
  0)</f>
        <v>0</v>
      </c>
      <c r="AA18" s="291">
        <f>IF(AND($F18&lt;=AA$2, OR($G18="",$G18&gt;=AA$2)),
  $H18 * (1 + Assumptions!$C$7) ^ INT(((YEAR(AA$2)-YEAR($F18))*12 + MONTH(AA$2)-MONTH($F18)) / 12),
  0)</f>
        <v>0</v>
      </c>
      <c r="AB18" s="291">
        <f>IF(AND($F18&lt;=AB$2, OR($G18="",$G18&gt;=AB$2)),
  $H18 * (1 + Assumptions!$C$7) ^ INT(((YEAR(AB$2)-YEAR($F18))*12 + MONTH(AB$2)-MONTH($F18)) / 12),
  0)</f>
        <v>6000</v>
      </c>
      <c r="AC18" s="291">
        <f>IF(AND($F18&lt;=AC$2, OR($G18="",$G18&gt;=AC$2)),
  $H18 * (1 + Assumptions!$C$7) ^ INT(((YEAR(AC$2)-YEAR($F18))*12 + MONTH(AC$2)-MONTH($F18)) / 12),
  0)</f>
        <v>6000</v>
      </c>
      <c r="AD18" s="291">
        <f>IF(AND($F18&lt;=AD$2, OR($G18="",$G18&gt;=AD$2)),
  $H18 * (1 + Assumptions!$C$7) ^ INT(((YEAR(AD$2)-YEAR($F18))*12 + MONTH(AD$2)-MONTH($F18)) / 12),
  0)</f>
        <v>6000</v>
      </c>
      <c r="AE18" s="291">
        <f>IF(AND($F18&lt;=AE$2, OR($G18="",$G18&gt;=AE$2)),
  $H18 * (1 + Assumptions!$C$7) ^ INT(((YEAR(AE$2)-YEAR($F18))*12 + MONTH(AE$2)-MONTH($F18)) / 12),
  0)</f>
        <v>6000</v>
      </c>
      <c r="AF18" s="291">
        <f>IF(AND($F18&lt;=AF$2, OR($G18="",$G18&gt;=AF$2)),
  $H18 * (1 + Assumptions!$C$7) ^ INT(((YEAR(AF$2)-YEAR($F18))*12 + MONTH(AF$2)-MONTH($F18)) / 12),
  0)</f>
        <v>6000</v>
      </c>
      <c r="AG18" s="291">
        <f>IF(AND($F18&lt;=AG$2, OR($G18="",$G18&gt;=AG$2)),
  $H18 * (1 + Assumptions!$C$7) ^ INT(((YEAR(AG$2)-YEAR($F18))*12 + MONTH(AG$2)-MONTH($F18)) / 12),
  0)</f>
        <v>6000</v>
      </c>
      <c r="AH18" s="291">
        <f>IF(AND($F18&lt;=AH$2, OR($G18="",$G18&gt;=AH$2)),
  $H18 * (1 + Assumptions!$C$7) ^ INT(((YEAR(AH$2)-YEAR($F18))*12 + MONTH(AH$2)-MONTH($F18)) / 12),
  0)</f>
        <v>6000</v>
      </c>
      <c r="AI18" s="291">
        <f>IF(AND($F18&lt;=AI$2, OR($G18="",$G18&gt;=AI$2)),
  $H18 * (1 + Assumptions!$C$7) ^ INT(((YEAR(AI$2)-YEAR($F18))*12 + MONTH(AI$2)-MONTH($F18)) / 12),
  0)</f>
        <v>6000</v>
      </c>
      <c r="AJ18" s="291">
        <f>IF(AND($F18&lt;=AJ$2, OR($G18="",$G18&gt;=AJ$2)),
  $H18 * (1 + Assumptions!$C$7) ^ INT(((YEAR(AJ$2)-YEAR($F18))*12 + MONTH(AJ$2)-MONTH($F18)) / 12),
  0)</f>
        <v>6000</v>
      </c>
      <c r="AK18" s="291">
        <f>IF(AND($F18&lt;=AK$2, OR($G18="",$G18&gt;=AK$2)),
  $H18 * (1 + Assumptions!$C$7) ^ INT(((YEAR(AK$2)-YEAR($F18))*12 + MONTH(AK$2)-MONTH($F18)) / 12),
  0)</f>
        <v>6000</v>
      </c>
      <c r="AL18" s="291">
        <f>IF(AND($F18&lt;=AL$2, OR($G18="",$G18&gt;=AL$2)),
  $H18 * (1 + Assumptions!$C$7) ^ INT(((YEAR(AL$2)-YEAR($F18))*12 + MONTH(AL$2)-MONTH($F18)) / 12),
  0)</f>
        <v>6000</v>
      </c>
      <c r="AM18" s="291">
        <f>IF(AND($F18&lt;=AM$2, OR($G18="",$G18&gt;=AM$2)),
  $H18 * (1 + Assumptions!$C$7) ^ INT(((YEAR(AM$2)-YEAR($F18))*12 + MONTH(AM$2)-MONTH($F18)) / 12),
  0)</f>
        <v>6000</v>
      </c>
      <c r="AN18" s="291">
        <f>IF(AND($F18&lt;=AN$2, OR($G18="",$G18&gt;=AN$2)),
  $H18 * (1 + Assumptions!$C$7) ^ INT(((YEAR(AN$2)-YEAR($F18))*12 + MONTH(AN$2)-MONTH($F18)) / 12),
  0)</f>
        <v>6480</v>
      </c>
      <c r="AO18" s="291">
        <f>IF(AND($F18&lt;=AO$2, OR($G18="",$G18&gt;=AO$2)),
  $H18 * (1 + Assumptions!$C$7) ^ INT(((YEAR(AO$2)-YEAR($F18))*12 + MONTH(AO$2)-MONTH($F18)) / 12),
  0)</f>
        <v>6480</v>
      </c>
      <c r="AP18" s="291">
        <f>IF(AND($F18&lt;=AP$2, OR($G18="",$G18&gt;=AP$2)),
  $H18 * (1 + Assumptions!$C$7) ^ INT(((YEAR(AP$2)-YEAR($F18))*12 + MONTH(AP$2)-MONTH($F18)) / 12),
  0)</f>
        <v>6480</v>
      </c>
      <c r="AQ18" s="291">
        <f>IF(AND($F18&lt;=AQ$2, OR($G18="",$G18&gt;=AQ$2)),
  $H18 * (1 + Assumptions!$C$7) ^ INT(((YEAR(AQ$2)-YEAR($F18))*12 + MONTH(AQ$2)-MONTH($F18)) / 12),
  0)</f>
        <v>6480</v>
      </c>
      <c r="AR18" s="291">
        <f>IF(AND($F18&lt;=AR$2, OR($G18="",$G18&gt;=AR$2)),
  $H18 * (1 + Assumptions!$C$7) ^ INT(((YEAR(AR$2)-YEAR($F18))*12 + MONTH(AR$2)-MONTH($F18)) / 12),
  0)</f>
        <v>6480</v>
      </c>
      <c r="AS18" s="291">
        <f>IF(AND($F18&lt;=AS$2, OR($G18="",$G18&gt;=AS$2)),
  $H18 * (1 + Assumptions!$C$7) ^ INT(((YEAR(AS$2)-YEAR($F18))*12 + MONTH(AS$2)-MONTH($F18)) / 12),
  0)</f>
        <v>6480</v>
      </c>
      <c r="AT18" s="291">
        <f>IF(AND($F18&lt;=AT$2, OR($G18="",$G18&gt;=AT$2)),
  $H18 * (1 + Assumptions!$C$7) ^ INT(((YEAR(AT$2)-YEAR($F18))*12 + MONTH(AT$2)-MONTH($F18)) / 12),
  0)</f>
        <v>6480</v>
      </c>
      <c r="AU18" s="291">
        <f>IF(AND($F18&lt;=AU$2, OR($G18="",$G18&gt;=AU$2)),
  $H18 * (1 + Assumptions!$C$7) ^ INT(((YEAR(AU$2)-YEAR($F18))*12 + MONTH(AU$2)-MONTH($F18)) / 12),
  0)</f>
        <v>6480</v>
      </c>
      <c r="AV18" s="291">
        <f>IF(AND($F18&lt;=AV$2, OR($G18="",$G18&gt;=AV$2)),
  $H18 * (1 + Assumptions!$C$7) ^ INT(((YEAR(AV$2)-YEAR($F18))*12 + MONTH(AV$2)-MONTH($F18)) / 12),
  0)</f>
        <v>6480</v>
      </c>
      <c r="AW18" s="291">
        <f>IF(AND($F18&lt;=AW$2, OR($G18="",$G18&gt;=AW$2)),
  $H18 * (1 + Assumptions!$C$7) ^ INT(((YEAR(AW$2)-YEAR($F18))*12 + MONTH(AW$2)-MONTH($F18)) / 12),
  0)</f>
        <v>6480</v>
      </c>
      <c r="AX18" s="291">
        <f>IF(AND($F18&lt;=AX$2, OR($G18="",$G18&gt;=AX$2)),
  $H18 * (1 + Assumptions!$C$7) ^ INT(((YEAR(AX$2)-YEAR($F18))*12 + MONTH(AX$2)-MONTH($F18)) / 12),
  0)</f>
        <v>6480</v>
      </c>
      <c r="AY18" s="291">
        <f>IF(AND($F18&lt;=AY$2, OR($G18="",$G18&gt;=AY$2)),
  $H18 * (1 + Assumptions!$C$7) ^ INT(((YEAR(AY$2)-YEAR($F18))*12 + MONTH(AY$2)-MONTH($F18)) / 12),
  0)</f>
        <v>6480</v>
      </c>
      <c r="AZ18" s="291">
        <f>IF(AND($F18&lt;=AZ$2, OR($G18="",$G18&gt;=AZ$2)),
  $H18 * (1 + Assumptions!$C$7) ^ INT(((YEAR(AZ$2)-YEAR($F18))*12 + MONTH(AZ$2)-MONTH($F18)) / 12),
  0)</f>
        <v>6998.4</v>
      </c>
      <c r="BA18" s="291">
        <f>IF(AND($F18&lt;=BA$2, OR($G18="",$G18&gt;=BA$2)),
  $H18 * (1 + Assumptions!$C$7) ^ INT(((YEAR(BA$2)-YEAR($F18))*12 + MONTH(BA$2)-MONTH($F18)) / 12),
  0)</f>
        <v>6998.4</v>
      </c>
      <c r="BB18" s="291">
        <f>IF(AND($F18&lt;=BB$2, OR($G18="",$G18&gt;=BB$2)),
  $H18 * (1 + Assumptions!$C$7) ^ INT(((YEAR(BB$2)-YEAR($F18))*12 + MONTH(BB$2)-MONTH($F18)) / 12),
  0)</f>
        <v>6998.4</v>
      </c>
      <c r="BC18" s="291">
        <f>IF(AND($F18&lt;=BC$2, OR($G18="",$G18&gt;=BC$2)),
  $H18 * (1 + Assumptions!$C$7) ^ INT(((YEAR(BC$2)-YEAR($F18))*12 + MONTH(BC$2)-MONTH($F18)) / 12),
  0)</f>
        <v>6998.4</v>
      </c>
      <c r="BD18" s="291">
        <f>IF(AND($F18&lt;=BD$2, OR($G18="",$G18&gt;=BD$2)),
  $H18 * (1 + Assumptions!$C$7) ^ INT(((YEAR(BD$2)-YEAR($F18))*12 + MONTH(BD$2)-MONTH($F18)) / 12),
  0)</f>
        <v>6998.4</v>
      </c>
      <c r="BE18" s="291">
        <f>IF(AND($F18&lt;=BE$2, OR($G18="",$G18&gt;=BE$2)),
  $H18 * (1 + Assumptions!$C$7) ^ INT(((YEAR(BE$2)-YEAR($F18))*12 + MONTH(BE$2)-MONTH($F18)) / 12),
  0)</f>
        <v>6998.4</v>
      </c>
      <c r="BF18" s="291">
        <f>IF(AND($F18&lt;=BF$2, OR($G18="",$G18&gt;=BF$2)),
  $H18 * (1 + Assumptions!$C$7) ^ INT(((YEAR(BF$2)-YEAR($F18))*12 + MONTH(BF$2)-MONTH($F18)) / 12),
  0)</f>
        <v>6998.4</v>
      </c>
      <c r="BG18" s="291">
        <f>IF(AND($F18&lt;=BG$2, OR($G18="",$G18&gt;=BG$2)),
  $H18 * (1 + Assumptions!$C$7) ^ INT(((YEAR(BG$2)-YEAR($F18))*12 + MONTH(BG$2)-MONTH($F18)) / 12),
  0)</f>
        <v>6998.4</v>
      </c>
      <c r="BH18" s="291">
        <f>IF(AND($F18&lt;=BH$2, OR($G18="",$G18&gt;=BH$2)),
  $H18 * (1 + Assumptions!$C$7) ^ INT(((YEAR(BH$2)-YEAR($F18))*12 + MONTH(BH$2)-MONTH($F18)) / 12),
  0)</f>
        <v>6998.4</v>
      </c>
      <c r="BI18" s="291">
        <f>IF(AND($F18&lt;=BI$2, OR($G18="",$G18&gt;=BI$2)),
  $H18 * (1 + Assumptions!$C$7) ^ INT(((YEAR(BI$2)-YEAR($F18))*12 + MONTH(BI$2)-MONTH($F18)) / 12),
  0)</f>
        <v>6998.4</v>
      </c>
      <c r="BJ18" s="291">
        <f>IF(AND($F18&lt;=BJ$2, OR($G18="",$G18&gt;=BJ$2)),
  $H18 * (1 + Assumptions!$C$7) ^ INT(((YEAR(BJ$2)-YEAR($F18))*12 + MONTH(BJ$2)-MONTH($F18)) / 12),
  0)</f>
        <v>6998.4</v>
      </c>
      <c r="BK18" s="291">
        <f>IF(AND($F18&lt;=BK$2, OR($G18="",$G18&gt;=BK$2)),
  $H18 * (1 + Assumptions!$C$7) ^ INT(((YEAR(BK$2)-YEAR($F18))*12 + MONTH(BK$2)-MONTH($F18)) / 12),
  0)</f>
        <v>6998.4</v>
      </c>
      <c r="BL18" s="291">
        <f>IF(AND($F18&lt;=BL$2, OR($G18="",$G18&gt;=BL$2)),
  $H18 * (1 + Assumptions!$C$7) ^ INT(((YEAR(BL$2)-YEAR($F18))*12 + MONTH(BL$2)-MONTH($F18)) / 12),
  0)</f>
        <v>7558.272</v>
      </c>
      <c r="BM18" s="291">
        <f>IF(AND($F18&lt;=BM$2, OR($G18="",$G18&gt;=BM$2)),
  $H18 * (1 + Assumptions!$C$7) ^ INT(((YEAR(BM$2)-YEAR($F18))*12 + MONTH(BM$2)-MONTH($F18)) / 12),
  0)</f>
        <v>7558.272</v>
      </c>
      <c r="BN18" s="291">
        <f>IF(AND($F18&lt;=BN$2, OR($G18="",$G18&gt;=BN$2)),
  $H18 * (1 + Assumptions!$C$7) ^ INT(((YEAR(BN$2)-YEAR($F18))*12 + MONTH(BN$2)-MONTH($F18)) / 12),
  0)</f>
        <v>7558.272</v>
      </c>
      <c r="BO18" s="291">
        <f>IF(AND($F18&lt;=BO$2, OR($G18="",$G18&gt;=BO$2)),
  $H18 * (1 + Assumptions!$C$7) ^ INT(((YEAR(BO$2)-YEAR($F18))*12 + MONTH(BO$2)-MONTH($F18)) / 12),
  0)</f>
        <v>7558.272</v>
      </c>
      <c r="BP18" s="291">
        <f>IF(AND($F18&lt;=BP$2, OR($G18="",$G18&gt;=BP$2)),
  $H18 * (1 + Assumptions!$C$7) ^ INT(((YEAR(BP$2)-YEAR($F18))*12 + MONTH(BP$2)-MONTH($F18)) / 12),
  0)</f>
        <v>7558.272</v>
      </c>
      <c r="BQ18" s="37"/>
    </row>
    <row r="19">
      <c r="A19" s="298">
        <v>14.0</v>
      </c>
      <c r="B19" s="282" t="s">
        <v>335</v>
      </c>
      <c r="C19" s="299" t="s">
        <v>141</v>
      </c>
      <c r="D19" s="26" t="s">
        <v>340</v>
      </c>
      <c r="E19" s="289" t="s">
        <v>337</v>
      </c>
      <c r="F19" s="283">
        <v>46235.0</v>
      </c>
      <c r="G19" s="294"/>
      <c r="H19" s="285">
        <v>9000.0</v>
      </c>
      <c r="I19" s="291">
        <f>IF(AND($F19&lt;=I$2, OR($G19="",$G19&gt;=I$2)),
  $H19 * (1 + Assumptions!$C$7) ^ INT(((YEAR(I$2)-YEAR($F19))*12 + MONTH(I$2)-MONTH($F19)) / 12),
  0)</f>
        <v>0</v>
      </c>
      <c r="J19" s="291">
        <f>IF(AND($F19&lt;=J$2, OR($G19="",$G19&gt;=J$2)),
  $H19 * (1 + Assumptions!$C$7) ^ INT(((YEAR(J$2)-YEAR($F19))*12 + MONTH(J$2)-MONTH($F19)) / 12),
  0)</f>
        <v>0</v>
      </c>
      <c r="K19" s="291">
        <f>IF(AND($F19&lt;=K$2, OR($G19="",$G19&gt;=K$2)),
  $H19 * (1 + Assumptions!$C$7) ^ INT(((YEAR(K$2)-YEAR($F19))*12 + MONTH(K$2)-MONTH($F19)) / 12),
  0)</f>
        <v>0</v>
      </c>
      <c r="L19" s="291">
        <f>IF(AND($F19&lt;=L$2, OR($G19="",$G19&gt;=L$2)),
  $H19 * (1 + Assumptions!$C$7) ^ INT(((YEAR(L$2)-YEAR($F19))*12 + MONTH(L$2)-MONTH($F19)) / 12),
  0)</f>
        <v>0</v>
      </c>
      <c r="M19" s="291">
        <f>IF(AND($F19&lt;=M$2, OR($G19="",$G19&gt;=M$2)),
  $H19 * (1 + Assumptions!$C$7) ^ INT(((YEAR(M$2)-YEAR($F19))*12 + MONTH(M$2)-MONTH($F19)) / 12),
  0)</f>
        <v>0</v>
      </c>
      <c r="N19" s="291">
        <f>IF(AND($F19&lt;=N$2, OR($G19="",$G19&gt;=N$2)),
  $H19 * (1 + Assumptions!$C$7) ^ INT(((YEAR(N$2)-YEAR($F19))*12 + MONTH(N$2)-MONTH($F19)) / 12),
  0)</f>
        <v>0</v>
      </c>
      <c r="O19" s="291">
        <f>IF(AND($F19&lt;=O$2, OR($G19="",$G19&gt;=O$2)),
  $H19 * (1 + Assumptions!$C$7) ^ INT(((YEAR(O$2)-YEAR($F19))*12 + MONTH(O$2)-MONTH($F19)) / 12),
  0)</f>
        <v>0</v>
      </c>
      <c r="P19" s="291">
        <f>IF(AND($F19&lt;=P$2, OR($G19="",$G19&gt;=P$2)),
  $H19 * (1 + Assumptions!$C$7) ^ INT(((YEAR(P$2)-YEAR($F19))*12 + MONTH(P$2)-MONTH($F19)) / 12),
  0)</f>
        <v>0</v>
      </c>
      <c r="Q19" s="291">
        <f>IF(AND($F19&lt;=Q$2, OR($G19="",$G19&gt;=Q$2)),
  $H19 * (1 + Assumptions!$C$7) ^ INT(((YEAR(Q$2)-YEAR($F19))*12 + MONTH(Q$2)-MONTH($F19)) / 12),
  0)</f>
        <v>0</v>
      </c>
      <c r="R19" s="291">
        <f>IF(AND($F19&lt;=R$2, OR($G19="",$G19&gt;=R$2)),
  $H19 * (1 + Assumptions!$C$7) ^ INT(((YEAR(R$2)-YEAR($F19))*12 + MONTH(R$2)-MONTH($F19)) / 12),
  0)</f>
        <v>0</v>
      </c>
      <c r="S19" s="291">
        <f>IF(AND($F19&lt;=S$2, OR($G19="",$G19&gt;=S$2)),
  $H19 * (1 + Assumptions!$C$7) ^ INT(((YEAR(S$2)-YEAR($F19))*12 + MONTH(S$2)-MONTH($F19)) / 12),
  0)</f>
        <v>0</v>
      </c>
      <c r="T19" s="291">
        <f>IF(AND($F19&lt;=T$2, OR($G19="",$G19&gt;=T$2)),
  $H19 * (1 + Assumptions!$C$7) ^ INT(((YEAR(T$2)-YEAR($F19))*12 + MONTH(T$2)-MONTH($F19)) / 12),
  0)</f>
        <v>0</v>
      </c>
      <c r="U19" s="291">
        <f>IF(AND($F19&lt;=U$2, OR($G19="",$G19&gt;=U$2)),
  $H19 * (1 + Assumptions!$C$7) ^ INT(((YEAR(U$2)-YEAR($F19))*12 + MONTH(U$2)-MONTH($F19)) / 12),
  0)</f>
        <v>0</v>
      </c>
      <c r="V19" s="291">
        <f>IF(AND($F19&lt;=V$2, OR($G19="",$G19&gt;=V$2)),
  $H19 * (1 + Assumptions!$C$7) ^ INT(((YEAR(V$2)-YEAR($F19))*12 + MONTH(V$2)-MONTH($F19)) / 12),
  0)</f>
        <v>0</v>
      </c>
      <c r="W19" s="291">
        <f>IF(AND($F19&lt;=W$2, OR($G19="",$G19&gt;=W$2)),
  $H19 * (1 + Assumptions!$C$7) ^ INT(((YEAR(W$2)-YEAR($F19))*12 + MONTH(W$2)-MONTH($F19)) / 12),
  0)</f>
        <v>0</v>
      </c>
      <c r="X19" s="291">
        <f>IF(AND($F19&lt;=X$2, OR($G19="",$G19&gt;=X$2)),
  $H19 * (1 + Assumptions!$C$7) ^ INT(((YEAR(X$2)-YEAR($F19))*12 + MONTH(X$2)-MONTH($F19)) / 12),
  0)</f>
        <v>0</v>
      </c>
      <c r="Y19" s="291">
        <f>IF(AND($F19&lt;=Y$2, OR($G19="",$G19&gt;=Y$2)),
  $H19 * (1 + Assumptions!$C$7) ^ INT(((YEAR(Y$2)-YEAR($F19))*12 + MONTH(Y$2)-MONTH($F19)) / 12),
  0)</f>
        <v>0</v>
      </c>
      <c r="Z19" s="291">
        <f>IF(AND($F19&lt;=Z$2, OR($G19="",$G19&gt;=Z$2)),
  $H19 * (1 + Assumptions!$C$7) ^ INT(((YEAR(Z$2)-YEAR($F19))*12 + MONTH(Z$2)-MONTH($F19)) / 12),
  0)</f>
        <v>0</v>
      </c>
      <c r="AA19" s="291">
        <f>IF(AND($F19&lt;=AA$2, OR($G19="",$G19&gt;=AA$2)),
  $H19 * (1 + Assumptions!$C$7) ^ INT(((YEAR(AA$2)-YEAR($F19))*12 + MONTH(AA$2)-MONTH($F19)) / 12),
  0)</f>
        <v>0</v>
      </c>
      <c r="AB19" s="291">
        <f>IF(AND($F19&lt;=AB$2, OR($G19="",$G19&gt;=AB$2)),
  $H19 * (1 + Assumptions!$C$7) ^ INT(((YEAR(AB$2)-YEAR($F19))*12 + MONTH(AB$2)-MONTH($F19)) / 12),
  0)</f>
        <v>9000</v>
      </c>
      <c r="AC19" s="291">
        <f>IF(AND($F19&lt;=AC$2, OR($G19="",$G19&gt;=AC$2)),
  $H19 * (1 + Assumptions!$C$7) ^ INT(((YEAR(AC$2)-YEAR($F19))*12 + MONTH(AC$2)-MONTH($F19)) / 12),
  0)</f>
        <v>9000</v>
      </c>
      <c r="AD19" s="291">
        <f>IF(AND($F19&lt;=AD$2, OR($G19="",$G19&gt;=AD$2)),
  $H19 * (1 + Assumptions!$C$7) ^ INT(((YEAR(AD$2)-YEAR($F19))*12 + MONTH(AD$2)-MONTH($F19)) / 12),
  0)</f>
        <v>9000</v>
      </c>
      <c r="AE19" s="291">
        <f>IF(AND($F19&lt;=AE$2, OR($G19="",$G19&gt;=AE$2)),
  $H19 * (1 + Assumptions!$C$7) ^ INT(((YEAR(AE$2)-YEAR($F19))*12 + MONTH(AE$2)-MONTH($F19)) / 12),
  0)</f>
        <v>9000</v>
      </c>
      <c r="AF19" s="291">
        <f>IF(AND($F19&lt;=AF$2, OR($G19="",$G19&gt;=AF$2)),
  $H19 * (1 + Assumptions!$C$7) ^ INT(((YEAR(AF$2)-YEAR($F19))*12 + MONTH(AF$2)-MONTH($F19)) / 12),
  0)</f>
        <v>9000</v>
      </c>
      <c r="AG19" s="291">
        <f>IF(AND($F19&lt;=AG$2, OR($G19="",$G19&gt;=AG$2)),
  $H19 * (1 + Assumptions!$C$7) ^ INT(((YEAR(AG$2)-YEAR($F19))*12 + MONTH(AG$2)-MONTH($F19)) / 12),
  0)</f>
        <v>9000</v>
      </c>
      <c r="AH19" s="291">
        <f>IF(AND($F19&lt;=AH$2, OR($G19="",$G19&gt;=AH$2)),
  $H19 * (1 + Assumptions!$C$7) ^ INT(((YEAR(AH$2)-YEAR($F19))*12 + MONTH(AH$2)-MONTH($F19)) / 12),
  0)</f>
        <v>9000</v>
      </c>
      <c r="AI19" s="291">
        <f>IF(AND($F19&lt;=AI$2, OR($G19="",$G19&gt;=AI$2)),
  $H19 * (1 + Assumptions!$C$7) ^ INT(((YEAR(AI$2)-YEAR($F19))*12 + MONTH(AI$2)-MONTH($F19)) / 12),
  0)</f>
        <v>9000</v>
      </c>
      <c r="AJ19" s="291">
        <f>IF(AND($F19&lt;=AJ$2, OR($G19="",$G19&gt;=AJ$2)),
  $H19 * (1 + Assumptions!$C$7) ^ INT(((YEAR(AJ$2)-YEAR($F19))*12 + MONTH(AJ$2)-MONTH($F19)) / 12),
  0)</f>
        <v>9000</v>
      </c>
      <c r="AK19" s="291">
        <f>IF(AND($F19&lt;=AK$2, OR($G19="",$G19&gt;=AK$2)),
  $H19 * (1 + Assumptions!$C$7) ^ INT(((YEAR(AK$2)-YEAR($F19))*12 + MONTH(AK$2)-MONTH($F19)) / 12),
  0)</f>
        <v>9000</v>
      </c>
      <c r="AL19" s="291">
        <f>IF(AND($F19&lt;=AL$2, OR($G19="",$G19&gt;=AL$2)),
  $H19 * (1 + Assumptions!$C$7) ^ INT(((YEAR(AL$2)-YEAR($F19))*12 + MONTH(AL$2)-MONTH($F19)) / 12),
  0)</f>
        <v>9000</v>
      </c>
      <c r="AM19" s="291">
        <f>IF(AND($F19&lt;=AM$2, OR($G19="",$G19&gt;=AM$2)),
  $H19 * (1 + Assumptions!$C$7) ^ INT(((YEAR(AM$2)-YEAR($F19))*12 + MONTH(AM$2)-MONTH($F19)) / 12),
  0)</f>
        <v>9000</v>
      </c>
      <c r="AN19" s="291">
        <f>IF(AND($F19&lt;=AN$2, OR($G19="",$G19&gt;=AN$2)),
  $H19 * (1 + Assumptions!$C$7) ^ INT(((YEAR(AN$2)-YEAR($F19))*12 + MONTH(AN$2)-MONTH($F19)) / 12),
  0)</f>
        <v>9720</v>
      </c>
      <c r="AO19" s="291">
        <f>IF(AND($F19&lt;=AO$2, OR($G19="",$G19&gt;=AO$2)),
  $H19 * (1 + Assumptions!$C$7) ^ INT(((YEAR(AO$2)-YEAR($F19))*12 + MONTH(AO$2)-MONTH($F19)) / 12),
  0)</f>
        <v>9720</v>
      </c>
      <c r="AP19" s="291">
        <f>IF(AND($F19&lt;=AP$2, OR($G19="",$G19&gt;=AP$2)),
  $H19 * (1 + Assumptions!$C$7) ^ INT(((YEAR(AP$2)-YEAR($F19))*12 + MONTH(AP$2)-MONTH($F19)) / 12),
  0)</f>
        <v>9720</v>
      </c>
      <c r="AQ19" s="291">
        <f>IF(AND($F19&lt;=AQ$2, OR($G19="",$G19&gt;=AQ$2)),
  $H19 * (1 + Assumptions!$C$7) ^ INT(((YEAR(AQ$2)-YEAR($F19))*12 + MONTH(AQ$2)-MONTH($F19)) / 12),
  0)</f>
        <v>9720</v>
      </c>
      <c r="AR19" s="291">
        <f>IF(AND($F19&lt;=AR$2, OR($G19="",$G19&gt;=AR$2)),
  $H19 * (1 + Assumptions!$C$7) ^ INT(((YEAR(AR$2)-YEAR($F19))*12 + MONTH(AR$2)-MONTH($F19)) / 12),
  0)</f>
        <v>9720</v>
      </c>
      <c r="AS19" s="291">
        <f>IF(AND($F19&lt;=AS$2, OR($G19="",$G19&gt;=AS$2)),
  $H19 * (1 + Assumptions!$C$7) ^ INT(((YEAR(AS$2)-YEAR($F19))*12 + MONTH(AS$2)-MONTH($F19)) / 12),
  0)</f>
        <v>9720</v>
      </c>
      <c r="AT19" s="291">
        <f>IF(AND($F19&lt;=AT$2, OR($G19="",$G19&gt;=AT$2)),
  $H19 * (1 + Assumptions!$C$7) ^ INT(((YEAR(AT$2)-YEAR($F19))*12 + MONTH(AT$2)-MONTH($F19)) / 12),
  0)</f>
        <v>9720</v>
      </c>
      <c r="AU19" s="291">
        <f>IF(AND($F19&lt;=AU$2, OR($G19="",$G19&gt;=AU$2)),
  $H19 * (1 + Assumptions!$C$7) ^ INT(((YEAR(AU$2)-YEAR($F19))*12 + MONTH(AU$2)-MONTH($F19)) / 12),
  0)</f>
        <v>9720</v>
      </c>
      <c r="AV19" s="291">
        <f>IF(AND($F19&lt;=AV$2, OR($G19="",$G19&gt;=AV$2)),
  $H19 * (1 + Assumptions!$C$7) ^ INT(((YEAR(AV$2)-YEAR($F19))*12 + MONTH(AV$2)-MONTH($F19)) / 12),
  0)</f>
        <v>9720</v>
      </c>
      <c r="AW19" s="291">
        <f>IF(AND($F19&lt;=AW$2, OR($G19="",$G19&gt;=AW$2)),
  $H19 * (1 + Assumptions!$C$7) ^ INT(((YEAR(AW$2)-YEAR($F19))*12 + MONTH(AW$2)-MONTH($F19)) / 12),
  0)</f>
        <v>9720</v>
      </c>
      <c r="AX19" s="291">
        <f>IF(AND($F19&lt;=AX$2, OR($G19="",$G19&gt;=AX$2)),
  $H19 * (1 + Assumptions!$C$7) ^ INT(((YEAR(AX$2)-YEAR($F19))*12 + MONTH(AX$2)-MONTH($F19)) / 12),
  0)</f>
        <v>9720</v>
      </c>
      <c r="AY19" s="291">
        <f>IF(AND($F19&lt;=AY$2, OR($G19="",$G19&gt;=AY$2)),
  $H19 * (1 + Assumptions!$C$7) ^ INT(((YEAR(AY$2)-YEAR($F19))*12 + MONTH(AY$2)-MONTH($F19)) / 12),
  0)</f>
        <v>9720</v>
      </c>
      <c r="AZ19" s="291">
        <f>IF(AND($F19&lt;=AZ$2, OR($G19="",$G19&gt;=AZ$2)),
  $H19 * (1 + Assumptions!$C$7) ^ INT(((YEAR(AZ$2)-YEAR($F19))*12 + MONTH(AZ$2)-MONTH($F19)) / 12),
  0)</f>
        <v>10497.6</v>
      </c>
      <c r="BA19" s="291">
        <f>IF(AND($F19&lt;=BA$2, OR($G19="",$G19&gt;=BA$2)),
  $H19 * (1 + Assumptions!$C$7) ^ INT(((YEAR(BA$2)-YEAR($F19))*12 + MONTH(BA$2)-MONTH($F19)) / 12),
  0)</f>
        <v>10497.6</v>
      </c>
      <c r="BB19" s="291">
        <f>IF(AND($F19&lt;=BB$2, OR($G19="",$G19&gt;=BB$2)),
  $H19 * (1 + Assumptions!$C$7) ^ INT(((YEAR(BB$2)-YEAR($F19))*12 + MONTH(BB$2)-MONTH($F19)) / 12),
  0)</f>
        <v>10497.6</v>
      </c>
      <c r="BC19" s="291">
        <f>IF(AND($F19&lt;=BC$2, OR($G19="",$G19&gt;=BC$2)),
  $H19 * (1 + Assumptions!$C$7) ^ INT(((YEAR(BC$2)-YEAR($F19))*12 + MONTH(BC$2)-MONTH($F19)) / 12),
  0)</f>
        <v>10497.6</v>
      </c>
      <c r="BD19" s="291">
        <f>IF(AND($F19&lt;=BD$2, OR($G19="",$G19&gt;=BD$2)),
  $H19 * (1 + Assumptions!$C$7) ^ INT(((YEAR(BD$2)-YEAR($F19))*12 + MONTH(BD$2)-MONTH($F19)) / 12),
  0)</f>
        <v>10497.6</v>
      </c>
      <c r="BE19" s="291">
        <f>IF(AND($F19&lt;=BE$2, OR($G19="",$G19&gt;=BE$2)),
  $H19 * (1 + Assumptions!$C$7) ^ INT(((YEAR(BE$2)-YEAR($F19))*12 + MONTH(BE$2)-MONTH($F19)) / 12),
  0)</f>
        <v>10497.6</v>
      </c>
      <c r="BF19" s="291">
        <f>IF(AND($F19&lt;=BF$2, OR($G19="",$G19&gt;=BF$2)),
  $H19 * (1 + Assumptions!$C$7) ^ INT(((YEAR(BF$2)-YEAR($F19))*12 + MONTH(BF$2)-MONTH($F19)) / 12),
  0)</f>
        <v>10497.6</v>
      </c>
      <c r="BG19" s="291">
        <f>IF(AND($F19&lt;=BG$2, OR($G19="",$G19&gt;=BG$2)),
  $H19 * (1 + Assumptions!$C$7) ^ INT(((YEAR(BG$2)-YEAR($F19))*12 + MONTH(BG$2)-MONTH($F19)) / 12),
  0)</f>
        <v>10497.6</v>
      </c>
      <c r="BH19" s="291">
        <f>IF(AND($F19&lt;=BH$2, OR($G19="",$G19&gt;=BH$2)),
  $H19 * (1 + Assumptions!$C$7) ^ INT(((YEAR(BH$2)-YEAR($F19))*12 + MONTH(BH$2)-MONTH($F19)) / 12),
  0)</f>
        <v>10497.6</v>
      </c>
      <c r="BI19" s="291">
        <f>IF(AND($F19&lt;=BI$2, OR($G19="",$G19&gt;=BI$2)),
  $H19 * (1 + Assumptions!$C$7) ^ INT(((YEAR(BI$2)-YEAR($F19))*12 + MONTH(BI$2)-MONTH($F19)) / 12),
  0)</f>
        <v>10497.6</v>
      </c>
      <c r="BJ19" s="291">
        <f>IF(AND($F19&lt;=BJ$2, OR($G19="",$G19&gt;=BJ$2)),
  $H19 * (1 + Assumptions!$C$7) ^ INT(((YEAR(BJ$2)-YEAR($F19))*12 + MONTH(BJ$2)-MONTH($F19)) / 12),
  0)</f>
        <v>10497.6</v>
      </c>
      <c r="BK19" s="291">
        <f>IF(AND($F19&lt;=BK$2, OR($G19="",$G19&gt;=BK$2)),
  $H19 * (1 + Assumptions!$C$7) ^ INT(((YEAR(BK$2)-YEAR($F19))*12 + MONTH(BK$2)-MONTH($F19)) / 12),
  0)</f>
        <v>10497.6</v>
      </c>
      <c r="BL19" s="291">
        <f>IF(AND($F19&lt;=BL$2, OR($G19="",$G19&gt;=BL$2)),
  $H19 * (1 + Assumptions!$C$7) ^ INT(((YEAR(BL$2)-YEAR($F19))*12 + MONTH(BL$2)-MONTH($F19)) / 12),
  0)</f>
        <v>11337.408</v>
      </c>
      <c r="BM19" s="291">
        <f>IF(AND($F19&lt;=BM$2, OR($G19="",$G19&gt;=BM$2)),
  $H19 * (1 + Assumptions!$C$7) ^ INT(((YEAR(BM$2)-YEAR($F19))*12 + MONTH(BM$2)-MONTH($F19)) / 12),
  0)</f>
        <v>11337.408</v>
      </c>
      <c r="BN19" s="291">
        <f>IF(AND($F19&lt;=BN$2, OR($G19="",$G19&gt;=BN$2)),
  $H19 * (1 + Assumptions!$C$7) ^ INT(((YEAR(BN$2)-YEAR($F19))*12 + MONTH(BN$2)-MONTH($F19)) / 12),
  0)</f>
        <v>11337.408</v>
      </c>
      <c r="BO19" s="291">
        <f>IF(AND($F19&lt;=BO$2, OR($G19="",$G19&gt;=BO$2)),
  $H19 * (1 + Assumptions!$C$7) ^ INT(((YEAR(BO$2)-YEAR($F19))*12 + MONTH(BO$2)-MONTH($F19)) / 12),
  0)</f>
        <v>11337.408</v>
      </c>
      <c r="BP19" s="291">
        <f>IF(AND($F19&lt;=BP$2, OR($G19="",$G19&gt;=BP$2)),
  $H19 * (1 + Assumptions!$C$7) ^ INT(((YEAR(BP$2)-YEAR($F19))*12 + MONTH(BP$2)-MONTH($F19)) / 12),
  0)</f>
        <v>11337.408</v>
      </c>
      <c r="BQ19" s="37"/>
    </row>
    <row r="20">
      <c r="A20" s="298">
        <v>15.0</v>
      </c>
      <c r="B20" s="282" t="s">
        <v>335</v>
      </c>
      <c r="C20" s="299" t="s">
        <v>137</v>
      </c>
      <c r="D20" s="299" t="s">
        <v>329</v>
      </c>
      <c r="E20" s="289" t="s">
        <v>337</v>
      </c>
      <c r="F20" s="283">
        <v>46296.0</v>
      </c>
      <c r="G20" s="283"/>
      <c r="H20" s="285">
        <v>9500.0</v>
      </c>
      <c r="I20" s="291">
        <f>IF(AND($F20&lt;=I$2, OR($G20="",$G20&gt;=I$2)),
  $H20 * (1 + Assumptions!$C$7) ^ INT(((YEAR(I$2)-YEAR($F20))*12 + MONTH(I$2)-MONTH($F20)) / 12),
  0)</f>
        <v>0</v>
      </c>
      <c r="J20" s="291">
        <f>IF(AND($F20&lt;=J$2, OR($G20="",$G20&gt;=J$2)),
  $H20 * (1 + Assumptions!$C$7) ^ INT(((YEAR(J$2)-YEAR($F20))*12 + MONTH(J$2)-MONTH($F20)) / 12),
  0)</f>
        <v>0</v>
      </c>
      <c r="K20" s="291">
        <f>IF(AND($F20&lt;=K$2, OR($G20="",$G20&gt;=K$2)),
  $H20 * (1 + Assumptions!$C$7) ^ INT(((YEAR(K$2)-YEAR($F20))*12 + MONTH(K$2)-MONTH($F20)) / 12),
  0)</f>
        <v>0</v>
      </c>
      <c r="L20" s="291">
        <f>IF(AND($F20&lt;=L$2, OR($G20="",$G20&gt;=L$2)),
  $H20 * (1 + Assumptions!$C$7) ^ INT(((YEAR(L$2)-YEAR($F20))*12 + MONTH(L$2)-MONTH($F20)) / 12),
  0)</f>
        <v>0</v>
      </c>
      <c r="M20" s="291">
        <f>IF(AND($F20&lt;=M$2, OR($G20="",$G20&gt;=M$2)),
  $H20 * (1 + Assumptions!$C$7) ^ INT(((YEAR(M$2)-YEAR($F20))*12 + MONTH(M$2)-MONTH($F20)) / 12),
  0)</f>
        <v>0</v>
      </c>
      <c r="N20" s="291">
        <f>IF(AND($F20&lt;=N$2, OR($G20="",$G20&gt;=N$2)),
  $H20 * (1 + Assumptions!$C$7) ^ INT(((YEAR(N$2)-YEAR($F20))*12 + MONTH(N$2)-MONTH($F20)) / 12),
  0)</f>
        <v>0</v>
      </c>
      <c r="O20" s="291">
        <f>IF(AND($F20&lt;=O$2, OR($G20="",$G20&gt;=O$2)),
  $H20 * (1 + Assumptions!$C$7) ^ INT(((YEAR(O$2)-YEAR($F20))*12 + MONTH(O$2)-MONTH($F20)) / 12),
  0)</f>
        <v>0</v>
      </c>
      <c r="P20" s="291">
        <f>IF(AND($F20&lt;=P$2, OR($G20="",$G20&gt;=P$2)),
  $H20 * (1 + Assumptions!$C$7) ^ INT(((YEAR(P$2)-YEAR($F20))*12 + MONTH(P$2)-MONTH($F20)) / 12),
  0)</f>
        <v>0</v>
      </c>
      <c r="Q20" s="291">
        <f>IF(AND($F20&lt;=Q$2, OR($G20="",$G20&gt;=Q$2)),
  $H20 * (1 + Assumptions!$C$7) ^ INT(((YEAR(Q$2)-YEAR($F20))*12 + MONTH(Q$2)-MONTH($F20)) / 12),
  0)</f>
        <v>0</v>
      </c>
      <c r="R20" s="291">
        <f>IF(AND($F20&lt;=R$2, OR($G20="",$G20&gt;=R$2)),
  $H20 * (1 + Assumptions!$C$7) ^ INT(((YEAR(R$2)-YEAR($F20))*12 + MONTH(R$2)-MONTH($F20)) / 12),
  0)</f>
        <v>0</v>
      </c>
      <c r="S20" s="291">
        <f>IF(AND($F20&lt;=S$2, OR($G20="",$G20&gt;=S$2)),
  $H20 * (1 + Assumptions!$C$7) ^ INT(((YEAR(S$2)-YEAR($F20))*12 + MONTH(S$2)-MONTH($F20)) / 12),
  0)</f>
        <v>0</v>
      </c>
      <c r="T20" s="291">
        <f>IF(AND($F20&lt;=T$2, OR($G20="",$G20&gt;=T$2)),
  $H20 * (1 + Assumptions!$C$7) ^ INT(((YEAR(T$2)-YEAR($F20))*12 + MONTH(T$2)-MONTH($F20)) / 12),
  0)</f>
        <v>0</v>
      </c>
      <c r="U20" s="291">
        <f>IF(AND($F20&lt;=U$2, OR($G20="",$G20&gt;=U$2)),
  $H20 * (1 + Assumptions!$C$7) ^ INT(((YEAR(U$2)-YEAR($F20))*12 + MONTH(U$2)-MONTH($F20)) / 12),
  0)</f>
        <v>0</v>
      </c>
      <c r="V20" s="291">
        <f>IF(AND($F20&lt;=V$2, OR($G20="",$G20&gt;=V$2)),
  $H20 * (1 + Assumptions!$C$7) ^ INT(((YEAR(V$2)-YEAR($F20))*12 + MONTH(V$2)-MONTH($F20)) / 12),
  0)</f>
        <v>0</v>
      </c>
      <c r="W20" s="291">
        <f>IF(AND($F20&lt;=W$2, OR($G20="",$G20&gt;=W$2)),
  $H20 * (1 + Assumptions!$C$7) ^ INT(((YEAR(W$2)-YEAR($F20))*12 + MONTH(W$2)-MONTH($F20)) / 12),
  0)</f>
        <v>0</v>
      </c>
      <c r="X20" s="291">
        <f>IF(AND($F20&lt;=X$2, OR($G20="",$G20&gt;=X$2)),
  $H20 * (1 + Assumptions!$C$7) ^ INT(((YEAR(X$2)-YEAR($F20))*12 + MONTH(X$2)-MONTH($F20)) / 12),
  0)</f>
        <v>0</v>
      </c>
      <c r="Y20" s="291">
        <f>IF(AND($F20&lt;=Y$2, OR($G20="",$G20&gt;=Y$2)),
  $H20 * (1 + Assumptions!$C$7) ^ INT(((YEAR(Y$2)-YEAR($F20))*12 + MONTH(Y$2)-MONTH($F20)) / 12),
  0)</f>
        <v>0</v>
      </c>
      <c r="Z20" s="291">
        <f>IF(AND($F20&lt;=Z$2, OR($G20="",$G20&gt;=Z$2)),
  $H20 * (1 + Assumptions!$C$7) ^ INT(((YEAR(Z$2)-YEAR($F20))*12 + MONTH(Z$2)-MONTH($F20)) / 12),
  0)</f>
        <v>0</v>
      </c>
      <c r="AA20" s="291">
        <f>IF(AND($F20&lt;=AA$2, OR($G20="",$G20&gt;=AA$2)),
  $H20 * (1 + Assumptions!$C$7) ^ INT(((YEAR(AA$2)-YEAR($F20))*12 + MONTH(AA$2)-MONTH($F20)) / 12),
  0)</f>
        <v>0</v>
      </c>
      <c r="AB20" s="291">
        <f>IF(AND($F20&lt;=AB$2, OR($G20="",$G20&gt;=AB$2)),
  $H20 * (1 + Assumptions!$C$7) ^ INT(((YEAR(AB$2)-YEAR($F20))*12 + MONTH(AB$2)-MONTH($F20)) / 12),
  0)</f>
        <v>0</v>
      </c>
      <c r="AC20" s="291">
        <f>IF(AND($F20&lt;=AC$2, OR($G20="",$G20&gt;=AC$2)),
  $H20 * (1 + Assumptions!$C$7) ^ INT(((YEAR(AC$2)-YEAR($F20))*12 + MONTH(AC$2)-MONTH($F20)) / 12),
  0)</f>
        <v>0</v>
      </c>
      <c r="AD20" s="291">
        <f>IF(AND($F20&lt;=AD$2, OR($G20="",$G20&gt;=AD$2)),
  $H20 * (1 + Assumptions!$C$7) ^ INT(((YEAR(AD$2)-YEAR($F20))*12 + MONTH(AD$2)-MONTH($F20)) / 12),
  0)</f>
        <v>9500</v>
      </c>
      <c r="AE20" s="291">
        <f>IF(AND($F20&lt;=AE$2, OR($G20="",$G20&gt;=AE$2)),
  $H20 * (1 + Assumptions!$C$7) ^ INT(((YEAR(AE$2)-YEAR($F20))*12 + MONTH(AE$2)-MONTH($F20)) / 12),
  0)</f>
        <v>9500</v>
      </c>
      <c r="AF20" s="291">
        <f>IF(AND($F20&lt;=AF$2, OR($G20="",$G20&gt;=AF$2)),
  $H20 * (1 + Assumptions!$C$7) ^ INT(((YEAR(AF$2)-YEAR($F20))*12 + MONTH(AF$2)-MONTH($F20)) / 12),
  0)</f>
        <v>9500</v>
      </c>
      <c r="AG20" s="291">
        <f>IF(AND($F20&lt;=AG$2, OR($G20="",$G20&gt;=AG$2)),
  $H20 * (1 + Assumptions!$C$7) ^ INT(((YEAR(AG$2)-YEAR($F20))*12 + MONTH(AG$2)-MONTH($F20)) / 12),
  0)</f>
        <v>9500</v>
      </c>
      <c r="AH20" s="291">
        <f>IF(AND($F20&lt;=AH$2, OR($G20="",$G20&gt;=AH$2)),
  $H20 * (1 + Assumptions!$C$7) ^ INT(((YEAR(AH$2)-YEAR($F20))*12 + MONTH(AH$2)-MONTH($F20)) / 12),
  0)</f>
        <v>9500</v>
      </c>
      <c r="AI20" s="291">
        <f>IF(AND($F20&lt;=AI$2, OR($G20="",$G20&gt;=AI$2)),
  $H20 * (1 + Assumptions!$C$7) ^ INT(((YEAR(AI$2)-YEAR($F20))*12 + MONTH(AI$2)-MONTH($F20)) / 12),
  0)</f>
        <v>9500</v>
      </c>
      <c r="AJ20" s="291">
        <f>IF(AND($F20&lt;=AJ$2, OR($G20="",$G20&gt;=AJ$2)),
  $H20 * (1 + Assumptions!$C$7) ^ INT(((YEAR(AJ$2)-YEAR($F20))*12 + MONTH(AJ$2)-MONTH($F20)) / 12),
  0)</f>
        <v>9500</v>
      </c>
      <c r="AK20" s="291">
        <f>IF(AND($F20&lt;=AK$2, OR($G20="",$G20&gt;=AK$2)),
  $H20 * (1 + Assumptions!$C$7) ^ INT(((YEAR(AK$2)-YEAR($F20))*12 + MONTH(AK$2)-MONTH($F20)) / 12),
  0)</f>
        <v>9500</v>
      </c>
      <c r="AL20" s="291">
        <f>IF(AND($F20&lt;=AL$2, OR($G20="",$G20&gt;=AL$2)),
  $H20 * (1 + Assumptions!$C$7) ^ INT(((YEAR(AL$2)-YEAR($F20))*12 + MONTH(AL$2)-MONTH($F20)) / 12),
  0)</f>
        <v>9500</v>
      </c>
      <c r="AM20" s="291">
        <f>IF(AND($F20&lt;=AM$2, OR($G20="",$G20&gt;=AM$2)),
  $H20 * (1 + Assumptions!$C$7) ^ INT(((YEAR(AM$2)-YEAR($F20))*12 + MONTH(AM$2)-MONTH($F20)) / 12),
  0)</f>
        <v>9500</v>
      </c>
      <c r="AN20" s="291">
        <f>IF(AND($F20&lt;=AN$2, OR($G20="",$G20&gt;=AN$2)),
  $H20 * (1 + Assumptions!$C$7) ^ INT(((YEAR(AN$2)-YEAR($F20))*12 + MONTH(AN$2)-MONTH($F20)) / 12),
  0)</f>
        <v>9500</v>
      </c>
      <c r="AO20" s="291">
        <f>IF(AND($F20&lt;=AO$2, OR($G20="",$G20&gt;=AO$2)),
  $H20 * (1 + Assumptions!$C$7) ^ INT(((YEAR(AO$2)-YEAR($F20))*12 + MONTH(AO$2)-MONTH($F20)) / 12),
  0)</f>
        <v>9500</v>
      </c>
      <c r="AP20" s="291">
        <f>IF(AND($F20&lt;=AP$2, OR($G20="",$G20&gt;=AP$2)),
  $H20 * (1 + Assumptions!$C$7) ^ INT(((YEAR(AP$2)-YEAR($F20))*12 + MONTH(AP$2)-MONTH($F20)) / 12),
  0)</f>
        <v>10260</v>
      </c>
      <c r="AQ20" s="291">
        <f>IF(AND($F20&lt;=AQ$2, OR($G20="",$G20&gt;=AQ$2)),
  $H20 * (1 + Assumptions!$C$7) ^ INT(((YEAR(AQ$2)-YEAR($F20))*12 + MONTH(AQ$2)-MONTH($F20)) / 12),
  0)</f>
        <v>10260</v>
      </c>
      <c r="AR20" s="291">
        <f>IF(AND($F20&lt;=AR$2, OR($G20="",$G20&gt;=AR$2)),
  $H20 * (1 + Assumptions!$C$7) ^ INT(((YEAR(AR$2)-YEAR($F20))*12 + MONTH(AR$2)-MONTH($F20)) / 12),
  0)</f>
        <v>10260</v>
      </c>
      <c r="AS20" s="291">
        <f>IF(AND($F20&lt;=AS$2, OR($G20="",$G20&gt;=AS$2)),
  $H20 * (1 + Assumptions!$C$7) ^ INT(((YEAR(AS$2)-YEAR($F20))*12 + MONTH(AS$2)-MONTH($F20)) / 12),
  0)</f>
        <v>10260</v>
      </c>
      <c r="AT20" s="291">
        <f>IF(AND($F20&lt;=AT$2, OR($G20="",$G20&gt;=AT$2)),
  $H20 * (1 + Assumptions!$C$7) ^ INT(((YEAR(AT$2)-YEAR($F20))*12 + MONTH(AT$2)-MONTH($F20)) / 12),
  0)</f>
        <v>10260</v>
      </c>
      <c r="AU20" s="291">
        <f>IF(AND($F20&lt;=AU$2, OR($G20="",$G20&gt;=AU$2)),
  $H20 * (1 + Assumptions!$C$7) ^ INT(((YEAR(AU$2)-YEAR($F20))*12 + MONTH(AU$2)-MONTH($F20)) / 12),
  0)</f>
        <v>10260</v>
      </c>
      <c r="AV20" s="291">
        <f>IF(AND($F20&lt;=AV$2, OR($G20="",$G20&gt;=AV$2)),
  $H20 * (1 + Assumptions!$C$7) ^ INT(((YEAR(AV$2)-YEAR($F20))*12 + MONTH(AV$2)-MONTH($F20)) / 12),
  0)</f>
        <v>10260</v>
      </c>
      <c r="AW20" s="291">
        <f>IF(AND($F20&lt;=AW$2, OR($G20="",$G20&gt;=AW$2)),
  $H20 * (1 + Assumptions!$C$7) ^ INT(((YEAR(AW$2)-YEAR($F20))*12 + MONTH(AW$2)-MONTH($F20)) / 12),
  0)</f>
        <v>10260</v>
      </c>
      <c r="AX20" s="291">
        <f>IF(AND($F20&lt;=AX$2, OR($G20="",$G20&gt;=AX$2)),
  $H20 * (1 + Assumptions!$C$7) ^ INT(((YEAR(AX$2)-YEAR($F20))*12 + MONTH(AX$2)-MONTH($F20)) / 12),
  0)</f>
        <v>10260</v>
      </c>
      <c r="AY20" s="291">
        <f>IF(AND($F20&lt;=AY$2, OR($G20="",$G20&gt;=AY$2)),
  $H20 * (1 + Assumptions!$C$7) ^ INT(((YEAR(AY$2)-YEAR($F20))*12 + MONTH(AY$2)-MONTH($F20)) / 12),
  0)</f>
        <v>10260</v>
      </c>
      <c r="AZ20" s="291">
        <f>IF(AND($F20&lt;=AZ$2, OR($G20="",$G20&gt;=AZ$2)),
  $H20 * (1 + Assumptions!$C$7) ^ INT(((YEAR(AZ$2)-YEAR($F20))*12 + MONTH(AZ$2)-MONTH($F20)) / 12),
  0)</f>
        <v>10260</v>
      </c>
      <c r="BA20" s="291">
        <f>IF(AND($F20&lt;=BA$2, OR($G20="",$G20&gt;=BA$2)),
  $H20 * (1 + Assumptions!$C$7) ^ INT(((YEAR(BA$2)-YEAR($F20))*12 + MONTH(BA$2)-MONTH($F20)) / 12),
  0)</f>
        <v>10260</v>
      </c>
      <c r="BB20" s="291">
        <f>IF(AND($F20&lt;=BB$2, OR($G20="",$G20&gt;=BB$2)),
  $H20 * (1 + Assumptions!$C$7) ^ INT(((YEAR(BB$2)-YEAR($F20))*12 + MONTH(BB$2)-MONTH($F20)) / 12),
  0)</f>
        <v>11080.8</v>
      </c>
      <c r="BC20" s="291">
        <f>IF(AND($F20&lt;=BC$2, OR($G20="",$G20&gt;=BC$2)),
  $H20 * (1 + Assumptions!$C$7) ^ INT(((YEAR(BC$2)-YEAR($F20))*12 + MONTH(BC$2)-MONTH($F20)) / 12),
  0)</f>
        <v>11080.8</v>
      </c>
      <c r="BD20" s="291">
        <f>IF(AND($F20&lt;=BD$2, OR($G20="",$G20&gt;=BD$2)),
  $H20 * (1 + Assumptions!$C$7) ^ INT(((YEAR(BD$2)-YEAR($F20))*12 + MONTH(BD$2)-MONTH($F20)) / 12),
  0)</f>
        <v>11080.8</v>
      </c>
      <c r="BE20" s="291">
        <f>IF(AND($F20&lt;=BE$2, OR($G20="",$G20&gt;=BE$2)),
  $H20 * (1 + Assumptions!$C$7) ^ INT(((YEAR(BE$2)-YEAR($F20))*12 + MONTH(BE$2)-MONTH($F20)) / 12),
  0)</f>
        <v>11080.8</v>
      </c>
      <c r="BF20" s="291">
        <f>IF(AND($F20&lt;=BF$2, OR($G20="",$G20&gt;=BF$2)),
  $H20 * (1 + Assumptions!$C$7) ^ INT(((YEAR(BF$2)-YEAR($F20))*12 + MONTH(BF$2)-MONTH($F20)) / 12),
  0)</f>
        <v>11080.8</v>
      </c>
      <c r="BG20" s="291">
        <f>IF(AND($F20&lt;=BG$2, OR($G20="",$G20&gt;=BG$2)),
  $H20 * (1 + Assumptions!$C$7) ^ INT(((YEAR(BG$2)-YEAR($F20))*12 + MONTH(BG$2)-MONTH($F20)) / 12),
  0)</f>
        <v>11080.8</v>
      </c>
      <c r="BH20" s="291">
        <f>IF(AND($F20&lt;=BH$2, OR($G20="",$G20&gt;=BH$2)),
  $H20 * (1 + Assumptions!$C$7) ^ INT(((YEAR(BH$2)-YEAR($F20))*12 + MONTH(BH$2)-MONTH($F20)) / 12),
  0)</f>
        <v>11080.8</v>
      </c>
      <c r="BI20" s="291">
        <f>IF(AND($F20&lt;=BI$2, OR($G20="",$G20&gt;=BI$2)),
  $H20 * (1 + Assumptions!$C$7) ^ INT(((YEAR(BI$2)-YEAR($F20))*12 + MONTH(BI$2)-MONTH($F20)) / 12),
  0)</f>
        <v>11080.8</v>
      </c>
      <c r="BJ20" s="291">
        <f>IF(AND($F20&lt;=BJ$2, OR($G20="",$G20&gt;=BJ$2)),
  $H20 * (1 + Assumptions!$C$7) ^ INT(((YEAR(BJ$2)-YEAR($F20))*12 + MONTH(BJ$2)-MONTH($F20)) / 12),
  0)</f>
        <v>11080.8</v>
      </c>
      <c r="BK20" s="291">
        <f>IF(AND($F20&lt;=BK$2, OR($G20="",$G20&gt;=BK$2)),
  $H20 * (1 + Assumptions!$C$7) ^ INT(((YEAR(BK$2)-YEAR($F20))*12 + MONTH(BK$2)-MONTH($F20)) / 12),
  0)</f>
        <v>11080.8</v>
      </c>
      <c r="BL20" s="291">
        <f>IF(AND($F20&lt;=BL$2, OR($G20="",$G20&gt;=BL$2)),
  $H20 * (1 + Assumptions!$C$7) ^ INT(((YEAR(BL$2)-YEAR($F20))*12 + MONTH(BL$2)-MONTH($F20)) / 12),
  0)</f>
        <v>11080.8</v>
      </c>
      <c r="BM20" s="291">
        <f>IF(AND($F20&lt;=BM$2, OR($G20="",$G20&gt;=BM$2)),
  $H20 * (1 + Assumptions!$C$7) ^ INT(((YEAR(BM$2)-YEAR($F20))*12 + MONTH(BM$2)-MONTH($F20)) / 12),
  0)</f>
        <v>11080.8</v>
      </c>
      <c r="BN20" s="291">
        <f>IF(AND($F20&lt;=BN$2, OR($G20="",$G20&gt;=BN$2)),
  $H20 * (1 + Assumptions!$C$7) ^ INT(((YEAR(BN$2)-YEAR($F20))*12 + MONTH(BN$2)-MONTH($F20)) / 12),
  0)</f>
        <v>11967.264</v>
      </c>
      <c r="BO20" s="291">
        <f>IF(AND($F20&lt;=BO$2, OR($G20="",$G20&gt;=BO$2)),
  $H20 * (1 + Assumptions!$C$7) ^ INT(((YEAR(BO$2)-YEAR($F20))*12 + MONTH(BO$2)-MONTH($F20)) / 12),
  0)</f>
        <v>11967.264</v>
      </c>
      <c r="BP20" s="291">
        <f>IF(AND($F20&lt;=BP$2, OR($G20="",$G20&gt;=BP$2)),
  $H20 * (1 + Assumptions!$C$7) ^ INT(((YEAR(BP$2)-YEAR($F20))*12 + MONTH(BP$2)-MONTH($F20)) / 12),
  0)</f>
        <v>11967.264</v>
      </c>
      <c r="BQ20" s="37"/>
    </row>
    <row r="21" ht="15.75" customHeight="1">
      <c r="A21" s="298">
        <v>16.0</v>
      </c>
      <c r="B21" s="282" t="s">
        <v>335</v>
      </c>
      <c r="C21" s="299" t="s">
        <v>141</v>
      </c>
      <c r="D21" s="299" t="s">
        <v>341</v>
      </c>
      <c r="E21" s="289" t="s">
        <v>337</v>
      </c>
      <c r="F21" s="283">
        <v>46296.0</v>
      </c>
      <c r="G21" s="283"/>
      <c r="H21" s="285">
        <v>6500.0</v>
      </c>
      <c r="I21" s="291">
        <f>IF(AND($F21&lt;=I$2, OR($G21="",$G21&gt;=I$2)),
  $H21 * (1 + Assumptions!$C$7) ^ INT(((YEAR(I$2)-YEAR($F21))*12 + MONTH(I$2)-MONTH($F21)) / 12),
  0)</f>
        <v>0</v>
      </c>
      <c r="J21" s="291">
        <f>IF(AND($F21&lt;=J$2, OR($G21="",$G21&gt;=J$2)),
  $H21 * (1 + Assumptions!$C$7) ^ INT(((YEAR(J$2)-YEAR($F21))*12 + MONTH(J$2)-MONTH($F21)) / 12),
  0)</f>
        <v>0</v>
      </c>
      <c r="K21" s="291">
        <f>IF(AND($F21&lt;=K$2, OR($G21="",$G21&gt;=K$2)),
  $H21 * (1 + Assumptions!$C$7) ^ INT(((YEAR(K$2)-YEAR($F21))*12 + MONTH(K$2)-MONTH($F21)) / 12),
  0)</f>
        <v>0</v>
      </c>
      <c r="L21" s="291">
        <f>IF(AND($F21&lt;=L$2, OR($G21="",$G21&gt;=L$2)),
  $H21 * (1 + Assumptions!$C$7) ^ INT(((YEAR(L$2)-YEAR($F21))*12 + MONTH(L$2)-MONTH($F21)) / 12),
  0)</f>
        <v>0</v>
      </c>
      <c r="M21" s="291">
        <f>IF(AND($F21&lt;=M$2, OR($G21="",$G21&gt;=M$2)),
  $H21 * (1 + Assumptions!$C$7) ^ INT(((YEAR(M$2)-YEAR($F21))*12 + MONTH(M$2)-MONTH($F21)) / 12),
  0)</f>
        <v>0</v>
      </c>
      <c r="N21" s="291">
        <f>IF(AND($F21&lt;=N$2, OR($G21="",$G21&gt;=N$2)),
  $H21 * (1 + Assumptions!$C$7) ^ INT(((YEAR(N$2)-YEAR($F21))*12 + MONTH(N$2)-MONTH($F21)) / 12),
  0)</f>
        <v>0</v>
      </c>
      <c r="O21" s="291">
        <f>IF(AND($F21&lt;=O$2, OR($G21="",$G21&gt;=O$2)),
  $H21 * (1 + Assumptions!$C$7) ^ INT(((YEAR(O$2)-YEAR($F21))*12 + MONTH(O$2)-MONTH($F21)) / 12),
  0)</f>
        <v>0</v>
      </c>
      <c r="P21" s="291">
        <f>IF(AND($F21&lt;=P$2, OR($G21="",$G21&gt;=P$2)),
  $H21 * (1 + Assumptions!$C$7) ^ INT(((YEAR(P$2)-YEAR($F21))*12 + MONTH(P$2)-MONTH($F21)) / 12),
  0)</f>
        <v>0</v>
      </c>
      <c r="Q21" s="291">
        <f>IF(AND($F21&lt;=Q$2, OR($G21="",$G21&gt;=Q$2)),
  $H21 * (1 + Assumptions!$C$7) ^ INT(((YEAR(Q$2)-YEAR($F21))*12 + MONTH(Q$2)-MONTH($F21)) / 12),
  0)</f>
        <v>0</v>
      </c>
      <c r="R21" s="291">
        <f>IF(AND($F21&lt;=R$2, OR($G21="",$G21&gt;=R$2)),
  $H21 * (1 + Assumptions!$C$7) ^ INT(((YEAR(R$2)-YEAR($F21))*12 + MONTH(R$2)-MONTH($F21)) / 12),
  0)</f>
        <v>0</v>
      </c>
      <c r="S21" s="291">
        <f>IF(AND($F21&lt;=S$2, OR($G21="",$G21&gt;=S$2)),
  $H21 * (1 + Assumptions!$C$7) ^ INT(((YEAR(S$2)-YEAR($F21))*12 + MONTH(S$2)-MONTH($F21)) / 12),
  0)</f>
        <v>0</v>
      </c>
      <c r="T21" s="291">
        <f>IF(AND($F21&lt;=T$2, OR($G21="",$G21&gt;=T$2)),
  $H21 * (1 + Assumptions!$C$7) ^ INT(((YEAR(T$2)-YEAR($F21))*12 + MONTH(T$2)-MONTH($F21)) / 12),
  0)</f>
        <v>0</v>
      </c>
      <c r="U21" s="291">
        <f>IF(AND($F21&lt;=U$2, OR($G21="",$G21&gt;=U$2)),
  $H21 * (1 + Assumptions!$C$7) ^ INT(((YEAR(U$2)-YEAR($F21))*12 + MONTH(U$2)-MONTH($F21)) / 12),
  0)</f>
        <v>0</v>
      </c>
      <c r="V21" s="291">
        <f>IF(AND($F21&lt;=V$2, OR($G21="",$G21&gt;=V$2)),
  $H21 * (1 + Assumptions!$C$7) ^ INT(((YEAR(V$2)-YEAR($F21))*12 + MONTH(V$2)-MONTH($F21)) / 12),
  0)</f>
        <v>0</v>
      </c>
      <c r="W21" s="291">
        <f>IF(AND($F21&lt;=W$2, OR($G21="",$G21&gt;=W$2)),
  $H21 * (1 + Assumptions!$C$7) ^ INT(((YEAR(W$2)-YEAR($F21))*12 + MONTH(W$2)-MONTH($F21)) / 12),
  0)</f>
        <v>0</v>
      </c>
      <c r="X21" s="291">
        <f>IF(AND($F21&lt;=X$2, OR($G21="",$G21&gt;=X$2)),
  $H21 * (1 + Assumptions!$C$7) ^ INT(((YEAR(X$2)-YEAR($F21))*12 + MONTH(X$2)-MONTH($F21)) / 12),
  0)</f>
        <v>0</v>
      </c>
      <c r="Y21" s="291">
        <f>IF(AND($F21&lt;=Y$2, OR($G21="",$G21&gt;=Y$2)),
  $H21 * (1 + Assumptions!$C$7) ^ INT(((YEAR(Y$2)-YEAR($F21))*12 + MONTH(Y$2)-MONTH($F21)) / 12),
  0)</f>
        <v>0</v>
      </c>
      <c r="Z21" s="291">
        <f>IF(AND($F21&lt;=Z$2, OR($G21="",$G21&gt;=Z$2)),
  $H21 * (1 + Assumptions!$C$7) ^ INT(((YEAR(Z$2)-YEAR($F21))*12 + MONTH(Z$2)-MONTH($F21)) / 12),
  0)</f>
        <v>0</v>
      </c>
      <c r="AA21" s="291">
        <f>IF(AND($F21&lt;=AA$2, OR($G21="",$G21&gt;=AA$2)),
  $H21 * (1 + Assumptions!$C$7) ^ INT(((YEAR(AA$2)-YEAR($F21))*12 + MONTH(AA$2)-MONTH($F21)) / 12),
  0)</f>
        <v>0</v>
      </c>
      <c r="AB21" s="291">
        <f>IF(AND($F21&lt;=AB$2, OR($G21="",$G21&gt;=AB$2)),
  $H21 * (1 + Assumptions!$C$7) ^ INT(((YEAR(AB$2)-YEAR($F21))*12 + MONTH(AB$2)-MONTH($F21)) / 12),
  0)</f>
        <v>0</v>
      </c>
      <c r="AC21" s="291">
        <f>IF(AND($F21&lt;=AC$2, OR($G21="",$G21&gt;=AC$2)),
  $H21 * (1 + Assumptions!$C$7) ^ INT(((YEAR(AC$2)-YEAR($F21))*12 + MONTH(AC$2)-MONTH($F21)) / 12),
  0)</f>
        <v>0</v>
      </c>
      <c r="AD21" s="291">
        <f>IF(AND($F21&lt;=AD$2, OR($G21="",$G21&gt;=AD$2)),
  $H21 * (1 + Assumptions!$C$7) ^ INT(((YEAR(AD$2)-YEAR($F21))*12 + MONTH(AD$2)-MONTH($F21)) / 12),
  0)</f>
        <v>6500</v>
      </c>
      <c r="AE21" s="291">
        <f>IF(AND($F21&lt;=AE$2, OR($G21="",$G21&gt;=AE$2)),
  $H21 * (1 + Assumptions!$C$7) ^ INT(((YEAR(AE$2)-YEAR($F21))*12 + MONTH(AE$2)-MONTH($F21)) / 12),
  0)</f>
        <v>6500</v>
      </c>
      <c r="AF21" s="291">
        <f>IF(AND($F21&lt;=AF$2, OR($G21="",$G21&gt;=AF$2)),
  $H21 * (1 + Assumptions!$C$7) ^ INT(((YEAR(AF$2)-YEAR($F21))*12 + MONTH(AF$2)-MONTH($F21)) / 12),
  0)</f>
        <v>6500</v>
      </c>
      <c r="AG21" s="291">
        <f>IF(AND($F21&lt;=AG$2, OR($G21="",$G21&gt;=AG$2)),
  $H21 * (1 + Assumptions!$C$7) ^ INT(((YEAR(AG$2)-YEAR($F21))*12 + MONTH(AG$2)-MONTH($F21)) / 12),
  0)</f>
        <v>6500</v>
      </c>
      <c r="AH21" s="291">
        <f>IF(AND($F21&lt;=AH$2, OR($G21="",$G21&gt;=AH$2)),
  $H21 * (1 + Assumptions!$C$7) ^ INT(((YEAR(AH$2)-YEAR($F21))*12 + MONTH(AH$2)-MONTH($F21)) / 12),
  0)</f>
        <v>6500</v>
      </c>
      <c r="AI21" s="291">
        <f>IF(AND($F21&lt;=AI$2, OR($G21="",$G21&gt;=AI$2)),
  $H21 * (1 + Assumptions!$C$7) ^ INT(((YEAR(AI$2)-YEAR($F21))*12 + MONTH(AI$2)-MONTH($F21)) / 12),
  0)</f>
        <v>6500</v>
      </c>
      <c r="AJ21" s="291">
        <f>IF(AND($F21&lt;=AJ$2, OR($G21="",$G21&gt;=AJ$2)),
  $H21 * (1 + Assumptions!$C$7) ^ INT(((YEAR(AJ$2)-YEAR($F21))*12 + MONTH(AJ$2)-MONTH($F21)) / 12),
  0)</f>
        <v>6500</v>
      </c>
      <c r="AK21" s="291">
        <f>IF(AND($F21&lt;=AK$2, OR($G21="",$G21&gt;=AK$2)),
  $H21 * (1 + Assumptions!$C$7) ^ INT(((YEAR(AK$2)-YEAR($F21))*12 + MONTH(AK$2)-MONTH($F21)) / 12),
  0)</f>
        <v>6500</v>
      </c>
      <c r="AL21" s="291">
        <f>IF(AND($F21&lt;=AL$2, OR($G21="",$G21&gt;=AL$2)),
  $H21 * (1 + Assumptions!$C$7) ^ INT(((YEAR(AL$2)-YEAR($F21))*12 + MONTH(AL$2)-MONTH($F21)) / 12),
  0)</f>
        <v>6500</v>
      </c>
      <c r="AM21" s="291">
        <f>IF(AND($F21&lt;=AM$2, OR($G21="",$G21&gt;=AM$2)),
  $H21 * (1 + Assumptions!$C$7) ^ INT(((YEAR(AM$2)-YEAR($F21))*12 + MONTH(AM$2)-MONTH($F21)) / 12),
  0)</f>
        <v>6500</v>
      </c>
      <c r="AN21" s="291">
        <f>IF(AND($F21&lt;=AN$2, OR($G21="",$G21&gt;=AN$2)),
  $H21 * (1 + Assumptions!$C$7) ^ INT(((YEAR(AN$2)-YEAR($F21))*12 + MONTH(AN$2)-MONTH($F21)) / 12),
  0)</f>
        <v>6500</v>
      </c>
      <c r="AO21" s="291">
        <f>IF(AND($F21&lt;=AO$2, OR($G21="",$G21&gt;=AO$2)),
  $H21 * (1 + Assumptions!$C$7) ^ INT(((YEAR(AO$2)-YEAR($F21))*12 + MONTH(AO$2)-MONTH($F21)) / 12),
  0)</f>
        <v>6500</v>
      </c>
      <c r="AP21" s="291">
        <f>IF(AND($F21&lt;=AP$2, OR($G21="",$G21&gt;=AP$2)),
  $H21 * (1 + Assumptions!$C$7) ^ INT(((YEAR(AP$2)-YEAR($F21))*12 + MONTH(AP$2)-MONTH($F21)) / 12),
  0)</f>
        <v>7020</v>
      </c>
      <c r="AQ21" s="291">
        <f>IF(AND($F21&lt;=AQ$2, OR($G21="",$G21&gt;=AQ$2)),
  $H21 * (1 + Assumptions!$C$7) ^ INT(((YEAR(AQ$2)-YEAR($F21))*12 + MONTH(AQ$2)-MONTH($F21)) / 12),
  0)</f>
        <v>7020</v>
      </c>
      <c r="AR21" s="291">
        <f>IF(AND($F21&lt;=AR$2, OR($G21="",$G21&gt;=AR$2)),
  $H21 * (1 + Assumptions!$C$7) ^ INT(((YEAR(AR$2)-YEAR($F21))*12 + MONTH(AR$2)-MONTH($F21)) / 12),
  0)</f>
        <v>7020</v>
      </c>
      <c r="AS21" s="291">
        <f>IF(AND($F21&lt;=AS$2, OR($G21="",$G21&gt;=AS$2)),
  $H21 * (1 + Assumptions!$C$7) ^ INT(((YEAR(AS$2)-YEAR($F21))*12 + MONTH(AS$2)-MONTH($F21)) / 12),
  0)</f>
        <v>7020</v>
      </c>
      <c r="AT21" s="291">
        <f>IF(AND($F21&lt;=AT$2, OR($G21="",$G21&gt;=AT$2)),
  $H21 * (1 + Assumptions!$C$7) ^ INT(((YEAR(AT$2)-YEAR($F21))*12 + MONTH(AT$2)-MONTH($F21)) / 12),
  0)</f>
        <v>7020</v>
      </c>
      <c r="AU21" s="291">
        <f>IF(AND($F21&lt;=AU$2, OR($G21="",$G21&gt;=AU$2)),
  $H21 * (1 + Assumptions!$C$7) ^ INT(((YEAR(AU$2)-YEAR($F21))*12 + MONTH(AU$2)-MONTH($F21)) / 12),
  0)</f>
        <v>7020</v>
      </c>
      <c r="AV21" s="291">
        <f>IF(AND($F21&lt;=AV$2, OR($G21="",$G21&gt;=AV$2)),
  $H21 * (1 + Assumptions!$C$7) ^ INT(((YEAR(AV$2)-YEAR($F21))*12 + MONTH(AV$2)-MONTH($F21)) / 12),
  0)</f>
        <v>7020</v>
      </c>
      <c r="AW21" s="291">
        <f>IF(AND($F21&lt;=AW$2, OR($G21="",$G21&gt;=AW$2)),
  $H21 * (1 + Assumptions!$C$7) ^ INT(((YEAR(AW$2)-YEAR($F21))*12 + MONTH(AW$2)-MONTH($F21)) / 12),
  0)</f>
        <v>7020</v>
      </c>
      <c r="AX21" s="291">
        <f>IF(AND($F21&lt;=AX$2, OR($G21="",$G21&gt;=AX$2)),
  $H21 * (1 + Assumptions!$C$7) ^ INT(((YEAR(AX$2)-YEAR($F21))*12 + MONTH(AX$2)-MONTH($F21)) / 12),
  0)</f>
        <v>7020</v>
      </c>
      <c r="AY21" s="291">
        <f>IF(AND($F21&lt;=AY$2, OR($G21="",$G21&gt;=AY$2)),
  $H21 * (1 + Assumptions!$C$7) ^ INT(((YEAR(AY$2)-YEAR($F21))*12 + MONTH(AY$2)-MONTH($F21)) / 12),
  0)</f>
        <v>7020</v>
      </c>
      <c r="AZ21" s="291">
        <f>IF(AND($F21&lt;=AZ$2, OR($G21="",$G21&gt;=AZ$2)),
  $H21 * (1 + Assumptions!$C$7) ^ INT(((YEAR(AZ$2)-YEAR($F21))*12 + MONTH(AZ$2)-MONTH($F21)) / 12),
  0)</f>
        <v>7020</v>
      </c>
      <c r="BA21" s="291">
        <f>IF(AND($F21&lt;=BA$2, OR($G21="",$G21&gt;=BA$2)),
  $H21 * (1 + Assumptions!$C$7) ^ INT(((YEAR(BA$2)-YEAR($F21))*12 + MONTH(BA$2)-MONTH($F21)) / 12),
  0)</f>
        <v>7020</v>
      </c>
      <c r="BB21" s="291">
        <f>IF(AND($F21&lt;=BB$2, OR($G21="",$G21&gt;=BB$2)),
  $H21 * (1 + Assumptions!$C$7) ^ INT(((YEAR(BB$2)-YEAR($F21))*12 + MONTH(BB$2)-MONTH($F21)) / 12),
  0)</f>
        <v>7581.6</v>
      </c>
      <c r="BC21" s="291">
        <f>IF(AND($F21&lt;=BC$2, OR($G21="",$G21&gt;=BC$2)),
  $H21 * (1 + Assumptions!$C$7) ^ INT(((YEAR(BC$2)-YEAR($F21))*12 + MONTH(BC$2)-MONTH($F21)) / 12),
  0)</f>
        <v>7581.6</v>
      </c>
      <c r="BD21" s="291">
        <f>IF(AND($F21&lt;=BD$2, OR($G21="",$G21&gt;=BD$2)),
  $H21 * (1 + Assumptions!$C$7) ^ INT(((YEAR(BD$2)-YEAR($F21))*12 + MONTH(BD$2)-MONTH($F21)) / 12),
  0)</f>
        <v>7581.6</v>
      </c>
      <c r="BE21" s="291">
        <f>IF(AND($F21&lt;=BE$2, OR($G21="",$G21&gt;=BE$2)),
  $H21 * (1 + Assumptions!$C$7) ^ INT(((YEAR(BE$2)-YEAR($F21))*12 + MONTH(BE$2)-MONTH($F21)) / 12),
  0)</f>
        <v>7581.6</v>
      </c>
      <c r="BF21" s="291">
        <f>IF(AND($F21&lt;=BF$2, OR($G21="",$G21&gt;=BF$2)),
  $H21 * (1 + Assumptions!$C$7) ^ INT(((YEAR(BF$2)-YEAR($F21))*12 + MONTH(BF$2)-MONTH($F21)) / 12),
  0)</f>
        <v>7581.6</v>
      </c>
      <c r="BG21" s="291">
        <f>IF(AND($F21&lt;=BG$2, OR($G21="",$G21&gt;=BG$2)),
  $H21 * (1 + Assumptions!$C$7) ^ INT(((YEAR(BG$2)-YEAR($F21))*12 + MONTH(BG$2)-MONTH($F21)) / 12),
  0)</f>
        <v>7581.6</v>
      </c>
      <c r="BH21" s="291">
        <f>IF(AND($F21&lt;=BH$2, OR($G21="",$G21&gt;=BH$2)),
  $H21 * (1 + Assumptions!$C$7) ^ INT(((YEAR(BH$2)-YEAR($F21))*12 + MONTH(BH$2)-MONTH($F21)) / 12),
  0)</f>
        <v>7581.6</v>
      </c>
      <c r="BI21" s="291">
        <f>IF(AND($F21&lt;=BI$2, OR($G21="",$G21&gt;=BI$2)),
  $H21 * (1 + Assumptions!$C$7) ^ INT(((YEAR(BI$2)-YEAR($F21))*12 + MONTH(BI$2)-MONTH($F21)) / 12),
  0)</f>
        <v>7581.6</v>
      </c>
      <c r="BJ21" s="291">
        <f>IF(AND($F21&lt;=BJ$2, OR($G21="",$G21&gt;=BJ$2)),
  $H21 * (1 + Assumptions!$C$7) ^ INT(((YEAR(BJ$2)-YEAR($F21))*12 + MONTH(BJ$2)-MONTH($F21)) / 12),
  0)</f>
        <v>7581.6</v>
      </c>
      <c r="BK21" s="291">
        <f>IF(AND($F21&lt;=BK$2, OR($G21="",$G21&gt;=BK$2)),
  $H21 * (1 + Assumptions!$C$7) ^ INT(((YEAR(BK$2)-YEAR($F21))*12 + MONTH(BK$2)-MONTH($F21)) / 12),
  0)</f>
        <v>7581.6</v>
      </c>
      <c r="BL21" s="291">
        <f>IF(AND($F21&lt;=BL$2, OR($G21="",$G21&gt;=BL$2)),
  $H21 * (1 + Assumptions!$C$7) ^ INT(((YEAR(BL$2)-YEAR($F21))*12 + MONTH(BL$2)-MONTH($F21)) / 12),
  0)</f>
        <v>7581.6</v>
      </c>
      <c r="BM21" s="291">
        <f>IF(AND($F21&lt;=BM$2, OR($G21="",$G21&gt;=BM$2)),
  $H21 * (1 + Assumptions!$C$7) ^ INT(((YEAR(BM$2)-YEAR($F21))*12 + MONTH(BM$2)-MONTH($F21)) / 12),
  0)</f>
        <v>7581.6</v>
      </c>
      <c r="BN21" s="291">
        <f>IF(AND($F21&lt;=BN$2, OR($G21="",$G21&gt;=BN$2)),
  $H21 * (1 + Assumptions!$C$7) ^ INT(((YEAR(BN$2)-YEAR($F21))*12 + MONTH(BN$2)-MONTH($F21)) / 12),
  0)</f>
        <v>8188.128</v>
      </c>
      <c r="BO21" s="291">
        <f>IF(AND($F21&lt;=BO$2, OR($G21="",$G21&gt;=BO$2)),
  $H21 * (1 + Assumptions!$C$7) ^ INT(((YEAR(BO$2)-YEAR($F21))*12 + MONTH(BO$2)-MONTH($F21)) / 12),
  0)</f>
        <v>8188.128</v>
      </c>
      <c r="BP21" s="291">
        <f>IF(AND($F21&lt;=BP$2, OR($G21="",$G21&gt;=BP$2)),
  $H21 * (1 + Assumptions!$C$7) ^ INT(((YEAR(BP$2)-YEAR($F21))*12 + MONTH(BP$2)-MONTH($F21)) / 12),
  0)</f>
        <v>8188.128</v>
      </c>
      <c r="BQ21" s="37"/>
    </row>
    <row r="22" ht="15.75" customHeight="1">
      <c r="A22" s="298">
        <v>17.0</v>
      </c>
      <c r="B22" s="282" t="s">
        <v>335</v>
      </c>
      <c r="C22" s="282" t="s">
        <v>144</v>
      </c>
      <c r="D22" s="75" t="s">
        <v>321</v>
      </c>
      <c r="E22" s="289" t="s">
        <v>337</v>
      </c>
      <c r="F22" s="283">
        <v>46388.0</v>
      </c>
      <c r="G22" s="302"/>
      <c r="H22" s="285">
        <v>7500.0</v>
      </c>
      <c r="I22" s="291">
        <f>IF(AND($F22&lt;=I$2, OR($G22="",$G22&gt;=I$2)),
  $H22 * (1 + Assumptions!$C$7) ^ INT(((YEAR(I$2)-YEAR($F22))*12 + MONTH(I$2)-MONTH($F22)) / 12),
  0)</f>
        <v>0</v>
      </c>
      <c r="J22" s="291">
        <f>IF(AND($F22&lt;=J$2, OR($G22="",$G22&gt;=J$2)),
  $H22 * (1 + Assumptions!$C$7) ^ INT(((YEAR(J$2)-YEAR($F22))*12 + MONTH(J$2)-MONTH($F22)) / 12),
  0)</f>
        <v>0</v>
      </c>
      <c r="K22" s="291">
        <f>IF(AND($F22&lt;=K$2, OR($G22="",$G22&gt;=K$2)),
  $H22 * (1 + Assumptions!$C$7) ^ INT(((YEAR(K$2)-YEAR($F22))*12 + MONTH(K$2)-MONTH($F22)) / 12),
  0)</f>
        <v>0</v>
      </c>
      <c r="L22" s="291">
        <f>IF(AND($F22&lt;=L$2, OR($G22="",$G22&gt;=L$2)),
  $H22 * (1 + Assumptions!$C$7) ^ INT(((YEAR(L$2)-YEAR($F22))*12 + MONTH(L$2)-MONTH($F22)) / 12),
  0)</f>
        <v>0</v>
      </c>
      <c r="M22" s="291">
        <f>IF(AND($F22&lt;=M$2, OR($G22="",$G22&gt;=M$2)),
  $H22 * (1 + Assumptions!$C$7) ^ INT(((YEAR(M$2)-YEAR($F22))*12 + MONTH(M$2)-MONTH($F22)) / 12),
  0)</f>
        <v>0</v>
      </c>
      <c r="N22" s="291">
        <f>IF(AND($F22&lt;=N$2, OR($G22="",$G22&gt;=N$2)),
  $H22 * (1 + Assumptions!$C$7) ^ INT(((YEAR(N$2)-YEAR($F22))*12 + MONTH(N$2)-MONTH($F22)) / 12),
  0)</f>
        <v>0</v>
      </c>
      <c r="O22" s="291">
        <f>IF(AND($F22&lt;=O$2, OR($G22="",$G22&gt;=O$2)),
  $H22 * (1 + Assumptions!$C$7) ^ INT(((YEAR(O$2)-YEAR($F22))*12 + MONTH(O$2)-MONTH($F22)) / 12),
  0)</f>
        <v>0</v>
      </c>
      <c r="P22" s="291">
        <f>IF(AND($F22&lt;=P$2, OR($G22="",$G22&gt;=P$2)),
  $H22 * (1 + Assumptions!$C$7) ^ INT(((YEAR(P$2)-YEAR($F22))*12 + MONTH(P$2)-MONTH($F22)) / 12),
  0)</f>
        <v>0</v>
      </c>
      <c r="Q22" s="291">
        <f>IF(AND($F22&lt;=Q$2, OR($G22="",$G22&gt;=Q$2)),
  $H22 * (1 + Assumptions!$C$7) ^ INT(((YEAR(Q$2)-YEAR($F22))*12 + MONTH(Q$2)-MONTH($F22)) / 12),
  0)</f>
        <v>0</v>
      </c>
      <c r="R22" s="291">
        <f>IF(AND($F22&lt;=R$2, OR($G22="",$G22&gt;=R$2)),
  $H22 * (1 + Assumptions!$C$7) ^ INT(((YEAR(R$2)-YEAR($F22))*12 + MONTH(R$2)-MONTH($F22)) / 12),
  0)</f>
        <v>0</v>
      </c>
      <c r="S22" s="291">
        <f>IF(AND($F22&lt;=S$2, OR($G22="",$G22&gt;=S$2)),
  $H22 * (1 + Assumptions!$C$7) ^ INT(((YEAR(S$2)-YEAR($F22))*12 + MONTH(S$2)-MONTH($F22)) / 12),
  0)</f>
        <v>0</v>
      </c>
      <c r="T22" s="291">
        <f>IF(AND($F22&lt;=T$2, OR($G22="",$G22&gt;=T$2)),
  $H22 * (1 + Assumptions!$C$7) ^ INT(((YEAR(T$2)-YEAR($F22))*12 + MONTH(T$2)-MONTH($F22)) / 12),
  0)</f>
        <v>0</v>
      </c>
      <c r="U22" s="291">
        <f>IF(AND($F22&lt;=U$2, OR($G22="",$G22&gt;=U$2)),
  $H22 * (1 + Assumptions!$C$7) ^ INT(((YEAR(U$2)-YEAR($F22))*12 + MONTH(U$2)-MONTH($F22)) / 12),
  0)</f>
        <v>0</v>
      </c>
      <c r="V22" s="291">
        <f>IF(AND($F22&lt;=V$2, OR($G22="",$G22&gt;=V$2)),
  $H22 * (1 + Assumptions!$C$7) ^ INT(((YEAR(V$2)-YEAR($F22))*12 + MONTH(V$2)-MONTH($F22)) / 12),
  0)</f>
        <v>0</v>
      </c>
      <c r="W22" s="291">
        <f>IF(AND($F22&lt;=W$2, OR($G22="",$G22&gt;=W$2)),
  $H22 * (1 + Assumptions!$C$7) ^ INT(((YEAR(W$2)-YEAR($F22))*12 + MONTH(W$2)-MONTH($F22)) / 12),
  0)</f>
        <v>0</v>
      </c>
      <c r="X22" s="291">
        <f>IF(AND($F22&lt;=X$2, OR($G22="",$G22&gt;=X$2)),
  $H22 * (1 + Assumptions!$C$7) ^ INT(((YEAR(X$2)-YEAR($F22))*12 + MONTH(X$2)-MONTH($F22)) / 12),
  0)</f>
        <v>0</v>
      </c>
      <c r="Y22" s="291">
        <f>IF(AND($F22&lt;=Y$2, OR($G22="",$G22&gt;=Y$2)),
  $H22 * (1 + Assumptions!$C$7) ^ INT(((YEAR(Y$2)-YEAR($F22))*12 + MONTH(Y$2)-MONTH($F22)) / 12),
  0)</f>
        <v>0</v>
      </c>
      <c r="Z22" s="291">
        <f>IF(AND($F22&lt;=Z$2, OR($G22="",$G22&gt;=Z$2)),
  $H22 * (1 + Assumptions!$C$7) ^ INT(((YEAR(Z$2)-YEAR($F22))*12 + MONTH(Z$2)-MONTH($F22)) / 12),
  0)</f>
        <v>0</v>
      </c>
      <c r="AA22" s="291">
        <f>IF(AND($F22&lt;=AA$2, OR($G22="",$G22&gt;=AA$2)),
  $H22 * (1 + Assumptions!$C$7) ^ INT(((YEAR(AA$2)-YEAR($F22))*12 + MONTH(AA$2)-MONTH($F22)) / 12),
  0)</f>
        <v>0</v>
      </c>
      <c r="AB22" s="291">
        <f>IF(AND($F22&lt;=AB$2, OR($G22="",$G22&gt;=AB$2)),
  $H22 * (1 + Assumptions!$C$7) ^ INT(((YEAR(AB$2)-YEAR($F22))*12 + MONTH(AB$2)-MONTH($F22)) / 12),
  0)</f>
        <v>0</v>
      </c>
      <c r="AC22" s="291">
        <f>IF(AND($F22&lt;=AC$2, OR($G22="",$G22&gt;=AC$2)),
  $H22 * (1 + Assumptions!$C$7) ^ INT(((YEAR(AC$2)-YEAR($F22))*12 + MONTH(AC$2)-MONTH($F22)) / 12),
  0)</f>
        <v>0</v>
      </c>
      <c r="AD22" s="291">
        <f>IF(AND($F22&lt;=AD$2, OR($G22="",$G22&gt;=AD$2)),
  $H22 * (1 + Assumptions!$C$7) ^ INT(((YEAR(AD$2)-YEAR($F22))*12 + MONTH(AD$2)-MONTH($F22)) / 12),
  0)</f>
        <v>0</v>
      </c>
      <c r="AE22" s="291">
        <f>IF(AND($F22&lt;=AE$2, OR($G22="",$G22&gt;=AE$2)),
  $H22 * (1 + Assumptions!$C$7) ^ INT(((YEAR(AE$2)-YEAR($F22))*12 + MONTH(AE$2)-MONTH($F22)) / 12),
  0)</f>
        <v>0</v>
      </c>
      <c r="AF22" s="291">
        <f>IF(AND($F22&lt;=AF$2, OR($G22="",$G22&gt;=AF$2)),
  $H22 * (1 + Assumptions!$C$7) ^ INT(((YEAR(AF$2)-YEAR($F22))*12 + MONTH(AF$2)-MONTH($F22)) / 12),
  0)</f>
        <v>0</v>
      </c>
      <c r="AG22" s="291">
        <f>IF(AND($F22&lt;=AG$2, OR($G22="",$G22&gt;=AG$2)),
  $H22 * (1 + Assumptions!$C$7) ^ INT(((YEAR(AG$2)-YEAR($F22))*12 + MONTH(AG$2)-MONTH($F22)) / 12),
  0)</f>
        <v>7500</v>
      </c>
      <c r="AH22" s="291">
        <f>IF(AND($F22&lt;=AH$2, OR($G22="",$G22&gt;=AH$2)),
  $H22 * (1 + Assumptions!$C$7) ^ INT(((YEAR(AH$2)-YEAR($F22))*12 + MONTH(AH$2)-MONTH($F22)) / 12),
  0)</f>
        <v>7500</v>
      </c>
      <c r="AI22" s="291">
        <f>IF(AND($F22&lt;=AI$2, OR($G22="",$G22&gt;=AI$2)),
  $H22 * (1 + Assumptions!$C$7) ^ INT(((YEAR(AI$2)-YEAR($F22))*12 + MONTH(AI$2)-MONTH($F22)) / 12),
  0)</f>
        <v>7500</v>
      </c>
      <c r="AJ22" s="291">
        <f>IF(AND($F22&lt;=AJ$2, OR($G22="",$G22&gt;=AJ$2)),
  $H22 * (1 + Assumptions!$C$7) ^ INT(((YEAR(AJ$2)-YEAR($F22))*12 + MONTH(AJ$2)-MONTH($F22)) / 12),
  0)</f>
        <v>7500</v>
      </c>
      <c r="AK22" s="291">
        <f>IF(AND($F22&lt;=AK$2, OR($G22="",$G22&gt;=AK$2)),
  $H22 * (1 + Assumptions!$C$7) ^ INT(((YEAR(AK$2)-YEAR($F22))*12 + MONTH(AK$2)-MONTH($F22)) / 12),
  0)</f>
        <v>7500</v>
      </c>
      <c r="AL22" s="291">
        <f>IF(AND($F22&lt;=AL$2, OR($G22="",$G22&gt;=AL$2)),
  $H22 * (1 + Assumptions!$C$7) ^ INT(((YEAR(AL$2)-YEAR($F22))*12 + MONTH(AL$2)-MONTH($F22)) / 12),
  0)</f>
        <v>7500</v>
      </c>
      <c r="AM22" s="291">
        <f>IF(AND($F22&lt;=AM$2, OR($G22="",$G22&gt;=AM$2)),
  $H22 * (1 + Assumptions!$C$7) ^ INT(((YEAR(AM$2)-YEAR($F22))*12 + MONTH(AM$2)-MONTH($F22)) / 12),
  0)</f>
        <v>7500</v>
      </c>
      <c r="AN22" s="291">
        <f>IF(AND($F22&lt;=AN$2, OR($G22="",$G22&gt;=AN$2)),
  $H22 * (1 + Assumptions!$C$7) ^ INT(((YEAR(AN$2)-YEAR($F22))*12 + MONTH(AN$2)-MONTH($F22)) / 12),
  0)</f>
        <v>7500</v>
      </c>
      <c r="AO22" s="291">
        <f>IF(AND($F22&lt;=AO$2, OR($G22="",$G22&gt;=AO$2)),
  $H22 * (1 + Assumptions!$C$7) ^ INT(((YEAR(AO$2)-YEAR($F22))*12 + MONTH(AO$2)-MONTH($F22)) / 12),
  0)</f>
        <v>7500</v>
      </c>
      <c r="AP22" s="291">
        <f>IF(AND($F22&lt;=AP$2, OR($G22="",$G22&gt;=AP$2)),
  $H22 * (1 + Assumptions!$C$7) ^ INT(((YEAR(AP$2)-YEAR($F22))*12 + MONTH(AP$2)-MONTH($F22)) / 12),
  0)</f>
        <v>7500</v>
      </c>
      <c r="AQ22" s="291">
        <f>IF(AND($F22&lt;=AQ$2, OR($G22="",$G22&gt;=AQ$2)),
  $H22 * (1 + Assumptions!$C$7) ^ INT(((YEAR(AQ$2)-YEAR($F22))*12 + MONTH(AQ$2)-MONTH($F22)) / 12),
  0)</f>
        <v>7500</v>
      </c>
      <c r="AR22" s="291">
        <f>IF(AND($F22&lt;=AR$2, OR($G22="",$G22&gt;=AR$2)),
  $H22 * (1 + Assumptions!$C$7) ^ INT(((YEAR(AR$2)-YEAR($F22))*12 + MONTH(AR$2)-MONTH($F22)) / 12),
  0)</f>
        <v>7500</v>
      </c>
      <c r="AS22" s="291">
        <f>IF(AND($F22&lt;=AS$2, OR($G22="",$G22&gt;=AS$2)),
  $H22 * (1 + Assumptions!$C$7) ^ INT(((YEAR(AS$2)-YEAR($F22))*12 + MONTH(AS$2)-MONTH($F22)) / 12),
  0)</f>
        <v>8100</v>
      </c>
      <c r="AT22" s="291">
        <f>IF(AND($F22&lt;=AT$2, OR($G22="",$G22&gt;=AT$2)),
  $H22 * (1 + Assumptions!$C$7) ^ INT(((YEAR(AT$2)-YEAR($F22))*12 + MONTH(AT$2)-MONTH($F22)) / 12),
  0)</f>
        <v>8100</v>
      </c>
      <c r="AU22" s="291">
        <f>IF(AND($F22&lt;=AU$2, OR($G22="",$G22&gt;=AU$2)),
  $H22 * (1 + Assumptions!$C$7) ^ INT(((YEAR(AU$2)-YEAR($F22))*12 + MONTH(AU$2)-MONTH($F22)) / 12),
  0)</f>
        <v>8100</v>
      </c>
      <c r="AV22" s="291">
        <f>IF(AND($F22&lt;=AV$2, OR($G22="",$G22&gt;=AV$2)),
  $H22 * (1 + Assumptions!$C$7) ^ INT(((YEAR(AV$2)-YEAR($F22))*12 + MONTH(AV$2)-MONTH($F22)) / 12),
  0)</f>
        <v>8100</v>
      </c>
      <c r="AW22" s="291">
        <f>IF(AND($F22&lt;=AW$2, OR($G22="",$G22&gt;=AW$2)),
  $H22 * (1 + Assumptions!$C$7) ^ INT(((YEAR(AW$2)-YEAR($F22))*12 + MONTH(AW$2)-MONTH($F22)) / 12),
  0)</f>
        <v>8100</v>
      </c>
      <c r="AX22" s="291">
        <f>IF(AND($F22&lt;=AX$2, OR($G22="",$G22&gt;=AX$2)),
  $H22 * (1 + Assumptions!$C$7) ^ INT(((YEAR(AX$2)-YEAR($F22))*12 + MONTH(AX$2)-MONTH($F22)) / 12),
  0)</f>
        <v>8100</v>
      </c>
      <c r="AY22" s="291">
        <f>IF(AND($F22&lt;=AY$2, OR($G22="",$G22&gt;=AY$2)),
  $H22 * (1 + Assumptions!$C$7) ^ INT(((YEAR(AY$2)-YEAR($F22))*12 + MONTH(AY$2)-MONTH($F22)) / 12),
  0)</f>
        <v>8100</v>
      </c>
      <c r="AZ22" s="291">
        <f>IF(AND($F22&lt;=AZ$2, OR($G22="",$G22&gt;=AZ$2)),
  $H22 * (1 + Assumptions!$C$7) ^ INT(((YEAR(AZ$2)-YEAR($F22))*12 + MONTH(AZ$2)-MONTH($F22)) / 12),
  0)</f>
        <v>8100</v>
      </c>
      <c r="BA22" s="291">
        <f>IF(AND($F22&lt;=BA$2, OR($G22="",$G22&gt;=BA$2)),
  $H22 * (1 + Assumptions!$C$7) ^ INT(((YEAR(BA$2)-YEAR($F22))*12 + MONTH(BA$2)-MONTH($F22)) / 12),
  0)</f>
        <v>8100</v>
      </c>
      <c r="BB22" s="291">
        <f>IF(AND($F22&lt;=BB$2, OR($G22="",$G22&gt;=BB$2)),
  $H22 * (1 + Assumptions!$C$7) ^ INT(((YEAR(BB$2)-YEAR($F22))*12 + MONTH(BB$2)-MONTH($F22)) / 12),
  0)</f>
        <v>8100</v>
      </c>
      <c r="BC22" s="291">
        <f>IF(AND($F22&lt;=BC$2, OR($G22="",$G22&gt;=BC$2)),
  $H22 * (1 + Assumptions!$C$7) ^ INT(((YEAR(BC$2)-YEAR($F22))*12 + MONTH(BC$2)-MONTH($F22)) / 12),
  0)</f>
        <v>8100</v>
      </c>
      <c r="BD22" s="291">
        <f>IF(AND($F22&lt;=BD$2, OR($G22="",$G22&gt;=BD$2)),
  $H22 * (1 + Assumptions!$C$7) ^ INT(((YEAR(BD$2)-YEAR($F22))*12 + MONTH(BD$2)-MONTH($F22)) / 12),
  0)</f>
        <v>8100</v>
      </c>
      <c r="BE22" s="291">
        <f>IF(AND($F22&lt;=BE$2, OR($G22="",$G22&gt;=BE$2)),
  $H22 * (1 + Assumptions!$C$7) ^ INT(((YEAR(BE$2)-YEAR($F22))*12 + MONTH(BE$2)-MONTH($F22)) / 12),
  0)</f>
        <v>8748</v>
      </c>
      <c r="BF22" s="291">
        <f>IF(AND($F22&lt;=BF$2, OR($G22="",$G22&gt;=BF$2)),
  $H22 * (1 + Assumptions!$C$7) ^ INT(((YEAR(BF$2)-YEAR($F22))*12 + MONTH(BF$2)-MONTH($F22)) / 12),
  0)</f>
        <v>8748</v>
      </c>
      <c r="BG22" s="291">
        <f>IF(AND($F22&lt;=BG$2, OR($G22="",$G22&gt;=BG$2)),
  $H22 * (1 + Assumptions!$C$7) ^ INT(((YEAR(BG$2)-YEAR($F22))*12 + MONTH(BG$2)-MONTH($F22)) / 12),
  0)</f>
        <v>8748</v>
      </c>
      <c r="BH22" s="291">
        <f>IF(AND($F22&lt;=BH$2, OR($G22="",$G22&gt;=BH$2)),
  $H22 * (1 + Assumptions!$C$7) ^ INT(((YEAR(BH$2)-YEAR($F22))*12 + MONTH(BH$2)-MONTH($F22)) / 12),
  0)</f>
        <v>8748</v>
      </c>
      <c r="BI22" s="291">
        <f>IF(AND($F22&lt;=BI$2, OR($G22="",$G22&gt;=BI$2)),
  $H22 * (1 + Assumptions!$C$7) ^ INT(((YEAR(BI$2)-YEAR($F22))*12 + MONTH(BI$2)-MONTH($F22)) / 12),
  0)</f>
        <v>8748</v>
      </c>
      <c r="BJ22" s="291">
        <f>IF(AND($F22&lt;=BJ$2, OR($G22="",$G22&gt;=BJ$2)),
  $H22 * (1 + Assumptions!$C$7) ^ INT(((YEAR(BJ$2)-YEAR($F22))*12 + MONTH(BJ$2)-MONTH($F22)) / 12),
  0)</f>
        <v>8748</v>
      </c>
      <c r="BK22" s="291">
        <f>IF(AND($F22&lt;=BK$2, OR($G22="",$G22&gt;=BK$2)),
  $H22 * (1 + Assumptions!$C$7) ^ INT(((YEAR(BK$2)-YEAR($F22))*12 + MONTH(BK$2)-MONTH($F22)) / 12),
  0)</f>
        <v>8748</v>
      </c>
      <c r="BL22" s="291">
        <f>IF(AND($F22&lt;=BL$2, OR($G22="",$G22&gt;=BL$2)),
  $H22 * (1 + Assumptions!$C$7) ^ INT(((YEAR(BL$2)-YEAR($F22))*12 + MONTH(BL$2)-MONTH($F22)) / 12),
  0)</f>
        <v>8748</v>
      </c>
      <c r="BM22" s="291">
        <f>IF(AND($F22&lt;=BM$2, OR($G22="",$G22&gt;=BM$2)),
  $H22 * (1 + Assumptions!$C$7) ^ INT(((YEAR(BM$2)-YEAR($F22))*12 + MONTH(BM$2)-MONTH($F22)) / 12),
  0)</f>
        <v>8748</v>
      </c>
      <c r="BN22" s="291">
        <f>IF(AND($F22&lt;=BN$2, OR($G22="",$G22&gt;=BN$2)),
  $H22 * (1 + Assumptions!$C$7) ^ INT(((YEAR(BN$2)-YEAR($F22))*12 + MONTH(BN$2)-MONTH($F22)) / 12),
  0)</f>
        <v>8748</v>
      </c>
      <c r="BO22" s="291">
        <f>IF(AND($F22&lt;=BO$2, OR($G22="",$G22&gt;=BO$2)),
  $H22 * (1 + Assumptions!$C$7) ^ INT(((YEAR(BO$2)-YEAR($F22))*12 + MONTH(BO$2)-MONTH($F22)) / 12),
  0)</f>
        <v>8748</v>
      </c>
      <c r="BP22" s="291">
        <f>IF(AND($F22&lt;=BP$2, OR($G22="",$G22&gt;=BP$2)),
  $H22 * (1 + Assumptions!$C$7) ^ INT(((YEAR(BP$2)-YEAR($F22))*12 + MONTH(BP$2)-MONTH($F22)) / 12),
  0)</f>
        <v>8748</v>
      </c>
      <c r="BQ22" s="37"/>
    </row>
    <row r="23" ht="15.75" customHeight="1">
      <c r="A23" s="298">
        <v>18.0</v>
      </c>
      <c r="B23" s="282" t="s">
        <v>335</v>
      </c>
      <c r="C23" s="26" t="s">
        <v>137</v>
      </c>
      <c r="D23" s="26" t="s">
        <v>342</v>
      </c>
      <c r="E23" s="289" t="s">
        <v>337</v>
      </c>
      <c r="F23" s="283">
        <v>46388.0</v>
      </c>
      <c r="G23" s="294"/>
      <c r="H23" s="285">
        <v>4500.0</v>
      </c>
      <c r="I23" s="291">
        <f>IF(AND($F23&lt;=I$2, OR($G23="",$G23&gt;=I$2)),
  $H23 * (1 + Assumptions!$C$7) ^ INT(((YEAR(I$2)-YEAR($F23))*12 + MONTH(I$2)-MONTH($F23)) / 12),
  0)</f>
        <v>0</v>
      </c>
      <c r="J23" s="291">
        <f>IF(AND($F23&lt;=J$2, OR($G23="",$G23&gt;=J$2)),
  $H23 * (1 + Assumptions!$C$7) ^ INT(((YEAR(J$2)-YEAR($F23))*12 + MONTH(J$2)-MONTH($F23)) / 12),
  0)</f>
        <v>0</v>
      </c>
      <c r="K23" s="291">
        <f>IF(AND($F23&lt;=K$2, OR($G23="",$G23&gt;=K$2)),
  $H23 * (1 + Assumptions!$C$7) ^ INT(((YEAR(K$2)-YEAR($F23))*12 + MONTH(K$2)-MONTH($F23)) / 12),
  0)</f>
        <v>0</v>
      </c>
      <c r="L23" s="291">
        <f>IF(AND($F23&lt;=L$2, OR($G23="",$G23&gt;=L$2)),
  $H23 * (1 + Assumptions!$C$7) ^ INT(((YEAR(L$2)-YEAR($F23))*12 + MONTH(L$2)-MONTH($F23)) / 12),
  0)</f>
        <v>0</v>
      </c>
      <c r="M23" s="291">
        <f>IF(AND($F23&lt;=M$2, OR($G23="",$G23&gt;=M$2)),
  $H23 * (1 + Assumptions!$C$7) ^ INT(((YEAR(M$2)-YEAR($F23))*12 + MONTH(M$2)-MONTH($F23)) / 12),
  0)</f>
        <v>0</v>
      </c>
      <c r="N23" s="291">
        <f>IF(AND($F23&lt;=N$2, OR($G23="",$G23&gt;=N$2)),
  $H23 * (1 + Assumptions!$C$7) ^ INT(((YEAR(N$2)-YEAR($F23))*12 + MONTH(N$2)-MONTH($F23)) / 12),
  0)</f>
        <v>0</v>
      </c>
      <c r="O23" s="291">
        <f>IF(AND($F23&lt;=O$2, OR($G23="",$G23&gt;=O$2)),
  $H23 * (1 + Assumptions!$C$7) ^ INT(((YEAR(O$2)-YEAR($F23))*12 + MONTH(O$2)-MONTH($F23)) / 12),
  0)</f>
        <v>0</v>
      </c>
      <c r="P23" s="291">
        <f>IF(AND($F23&lt;=P$2, OR($G23="",$G23&gt;=P$2)),
  $H23 * (1 + Assumptions!$C$7) ^ INT(((YEAR(P$2)-YEAR($F23))*12 + MONTH(P$2)-MONTH($F23)) / 12),
  0)</f>
        <v>0</v>
      </c>
      <c r="Q23" s="291">
        <f>IF(AND($F23&lt;=Q$2, OR($G23="",$G23&gt;=Q$2)),
  $H23 * (1 + Assumptions!$C$7) ^ INT(((YEAR(Q$2)-YEAR($F23))*12 + MONTH(Q$2)-MONTH($F23)) / 12),
  0)</f>
        <v>0</v>
      </c>
      <c r="R23" s="291">
        <f>IF(AND($F23&lt;=R$2, OR($G23="",$G23&gt;=R$2)),
  $H23 * (1 + Assumptions!$C$7) ^ INT(((YEAR(R$2)-YEAR($F23))*12 + MONTH(R$2)-MONTH($F23)) / 12),
  0)</f>
        <v>0</v>
      </c>
      <c r="S23" s="291">
        <f>IF(AND($F23&lt;=S$2, OR($G23="",$G23&gt;=S$2)),
  $H23 * (1 + Assumptions!$C$7) ^ INT(((YEAR(S$2)-YEAR($F23))*12 + MONTH(S$2)-MONTH($F23)) / 12),
  0)</f>
        <v>0</v>
      </c>
      <c r="T23" s="291">
        <f>IF(AND($F23&lt;=T$2, OR($G23="",$G23&gt;=T$2)),
  $H23 * (1 + Assumptions!$C$7) ^ INT(((YEAR(T$2)-YEAR($F23))*12 + MONTH(T$2)-MONTH($F23)) / 12),
  0)</f>
        <v>0</v>
      </c>
      <c r="U23" s="291">
        <f>IF(AND($F23&lt;=U$2, OR($G23="",$G23&gt;=U$2)),
  $H23 * (1 + Assumptions!$C$7) ^ INT(((YEAR(U$2)-YEAR($F23))*12 + MONTH(U$2)-MONTH($F23)) / 12),
  0)</f>
        <v>0</v>
      </c>
      <c r="V23" s="291">
        <f>IF(AND($F23&lt;=V$2, OR($G23="",$G23&gt;=V$2)),
  $H23 * (1 + Assumptions!$C$7) ^ INT(((YEAR(V$2)-YEAR($F23))*12 + MONTH(V$2)-MONTH($F23)) / 12),
  0)</f>
        <v>0</v>
      </c>
      <c r="W23" s="291">
        <f>IF(AND($F23&lt;=W$2, OR($G23="",$G23&gt;=W$2)),
  $H23 * (1 + Assumptions!$C$7) ^ INT(((YEAR(W$2)-YEAR($F23))*12 + MONTH(W$2)-MONTH($F23)) / 12),
  0)</f>
        <v>0</v>
      </c>
      <c r="X23" s="291">
        <f>IF(AND($F23&lt;=X$2, OR($G23="",$G23&gt;=X$2)),
  $H23 * (1 + Assumptions!$C$7) ^ INT(((YEAR(X$2)-YEAR($F23))*12 + MONTH(X$2)-MONTH($F23)) / 12),
  0)</f>
        <v>0</v>
      </c>
      <c r="Y23" s="291">
        <f>IF(AND($F23&lt;=Y$2, OR($G23="",$G23&gt;=Y$2)),
  $H23 * (1 + Assumptions!$C$7) ^ INT(((YEAR(Y$2)-YEAR($F23))*12 + MONTH(Y$2)-MONTH($F23)) / 12),
  0)</f>
        <v>0</v>
      </c>
      <c r="Z23" s="291">
        <f>IF(AND($F23&lt;=Z$2, OR($G23="",$G23&gt;=Z$2)),
  $H23 * (1 + Assumptions!$C$7) ^ INT(((YEAR(Z$2)-YEAR($F23))*12 + MONTH(Z$2)-MONTH($F23)) / 12),
  0)</f>
        <v>0</v>
      </c>
      <c r="AA23" s="291">
        <f>IF(AND($F23&lt;=AA$2, OR($G23="",$G23&gt;=AA$2)),
  $H23 * (1 + Assumptions!$C$7) ^ INT(((YEAR(AA$2)-YEAR($F23))*12 + MONTH(AA$2)-MONTH($F23)) / 12),
  0)</f>
        <v>0</v>
      </c>
      <c r="AB23" s="291">
        <f>IF(AND($F23&lt;=AB$2, OR($G23="",$G23&gt;=AB$2)),
  $H23 * (1 + Assumptions!$C$7) ^ INT(((YEAR(AB$2)-YEAR($F23))*12 + MONTH(AB$2)-MONTH($F23)) / 12),
  0)</f>
        <v>0</v>
      </c>
      <c r="AC23" s="291">
        <f>IF(AND($F23&lt;=AC$2, OR($G23="",$G23&gt;=AC$2)),
  $H23 * (1 + Assumptions!$C$7) ^ INT(((YEAR(AC$2)-YEAR($F23))*12 + MONTH(AC$2)-MONTH($F23)) / 12),
  0)</f>
        <v>0</v>
      </c>
      <c r="AD23" s="291">
        <f>IF(AND($F23&lt;=AD$2, OR($G23="",$G23&gt;=AD$2)),
  $H23 * (1 + Assumptions!$C$7) ^ INT(((YEAR(AD$2)-YEAR($F23))*12 + MONTH(AD$2)-MONTH($F23)) / 12),
  0)</f>
        <v>0</v>
      </c>
      <c r="AE23" s="291">
        <f>IF(AND($F23&lt;=AE$2, OR($G23="",$G23&gt;=AE$2)),
  $H23 * (1 + Assumptions!$C$7) ^ INT(((YEAR(AE$2)-YEAR($F23))*12 + MONTH(AE$2)-MONTH($F23)) / 12),
  0)</f>
        <v>0</v>
      </c>
      <c r="AF23" s="291">
        <f>IF(AND($F23&lt;=AF$2, OR($G23="",$G23&gt;=AF$2)),
  $H23 * (1 + Assumptions!$C$7) ^ INT(((YEAR(AF$2)-YEAR($F23))*12 + MONTH(AF$2)-MONTH($F23)) / 12),
  0)</f>
        <v>0</v>
      </c>
      <c r="AG23" s="291">
        <f>IF(AND($F23&lt;=AG$2, OR($G23="",$G23&gt;=AG$2)),
  $H23 * (1 + Assumptions!$C$7) ^ INT(((YEAR(AG$2)-YEAR($F23))*12 + MONTH(AG$2)-MONTH($F23)) / 12),
  0)</f>
        <v>4500</v>
      </c>
      <c r="AH23" s="291">
        <f>IF(AND($F23&lt;=AH$2, OR($G23="",$G23&gt;=AH$2)),
  $H23 * (1 + Assumptions!$C$7) ^ INT(((YEAR(AH$2)-YEAR($F23))*12 + MONTH(AH$2)-MONTH($F23)) / 12),
  0)</f>
        <v>4500</v>
      </c>
      <c r="AI23" s="291">
        <f>IF(AND($F23&lt;=AI$2, OR($G23="",$G23&gt;=AI$2)),
  $H23 * (1 + Assumptions!$C$7) ^ INT(((YEAR(AI$2)-YEAR($F23))*12 + MONTH(AI$2)-MONTH($F23)) / 12),
  0)</f>
        <v>4500</v>
      </c>
      <c r="AJ23" s="291">
        <f>IF(AND($F23&lt;=AJ$2, OR($G23="",$G23&gt;=AJ$2)),
  $H23 * (1 + Assumptions!$C$7) ^ INT(((YEAR(AJ$2)-YEAR($F23))*12 + MONTH(AJ$2)-MONTH($F23)) / 12),
  0)</f>
        <v>4500</v>
      </c>
      <c r="AK23" s="291">
        <f>IF(AND($F23&lt;=AK$2, OR($G23="",$G23&gt;=AK$2)),
  $H23 * (1 + Assumptions!$C$7) ^ INT(((YEAR(AK$2)-YEAR($F23))*12 + MONTH(AK$2)-MONTH($F23)) / 12),
  0)</f>
        <v>4500</v>
      </c>
      <c r="AL23" s="291">
        <f>IF(AND($F23&lt;=AL$2, OR($G23="",$G23&gt;=AL$2)),
  $H23 * (1 + Assumptions!$C$7) ^ INT(((YEAR(AL$2)-YEAR($F23))*12 + MONTH(AL$2)-MONTH($F23)) / 12),
  0)</f>
        <v>4500</v>
      </c>
      <c r="AM23" s="291">
        <f>IF(AND($F23&lt;=AM$2, OR($G23="",$G23&gt;=AM$2)),
  $H23 * (1 + Assumptions!$C$7) ^ INT(((YEAR(AM$2)-YEAR($F23))*12 + MONTH(AM$2)-MONTH($F23)) / 12),
  0)</f>
        <v>4500</v>
      </c>
      <c r="AN23" s="291">
        <f>IF(AND($F23&lt;=AN$2, OR($G23="",$G23&gt;=AN$2)),
  $H23 * (1 + Assumptions!$C$7) ^ INT(((YEAR(AN$2)-YEAR($F23))*12 + MONTH(AN$2)-MONTH($F23)) / 12),
  0)</f>
        <v>4500</v>
      </c>
      <c r="AO23" s="291">
        <f>IF(AND($F23&lt;=AO$2, OR($G23="",$G23&gt;=AO$2)),
  $H23 * (1 + Assumptions!$C$7) ^ INT(((YEAR(AO$2)-YEAR($F23))*12 + MONTH(AO$2)-MONTH($F23)) / 12),
  0)</f>
        <v>4500</v>
      </c>
      <c r="AP23" s="291">
        <f>IF(AND($F23&lt;=AP$2, OR($G23="",$G23&gt;=AP$2)),
  $H23 * (1 + Assumptions!$C$7) ^ INT(((YEAR(AP$2)-YEAR($F23))*12 + MONTH(AP$2)-MONTH($F23)) / 12),
  0)</f>
        <v>4500</v>
      </c>
      <c r="AQ23" s="291">
        <f>IF(AND($F23&lt;=AQ$2, OR($G23="",$G23&gt;=AQ$2)),
  $H23 * (1 + Assumptions!$C$7) ^ INT(((YEAR(AQ$2)-YEAR($F23))*12 + MONTH(AQ$2)-MONTH($F23)) / 12),
  0)</f>
        <v>4500</v>
      </c>
      <c r="AR23" s="291">
        <f>IF(AND($F23&lt;=AR$2, OR($G23="",$G23&gt;=AR$2)),
  $H23 * (1 + Assumptions!$C$7) ^ INT(((YEAR(AR$2)-YEAR($F23))*12 + MONTH(AR$2)-MONTH($F23)) / 12),
  0)</f>
        <v>4500</v>
      </c>
      <c r="AS23" s="291">
        <f>IF(AND($F23&lt;=AS$2, OR($G23="",$G23&gt;=AS$2)),
  $H23 * (1 + Assumptions!$C$7) ^ INT(((YEAR(AS$2)-YEAR($F23))*12 + MONTH(AS$2)-MONTH($F23)) / 12),
  0)</f>
        <v>4860</v>
      </c>
      <c r="AT23" s="291">
        <f>IF(AND($F23&lt;=AT$2, OR($G23="",$G23&gt;=AT$2)),
  $H23 * (1 + Assumptions!$C$7) ^ INT(((YEAR(AT$2)-YEAR($F23))*12 + MONTH(AT$2)-MONTH($F23)) / 12),
  0)</f>
        <v>4860</v>
      </c>
      <c r="AU23" s="291">
        <f>IF(AND($F23&lt;=AU$2, OR($G23="",$G23&gt;=AU$2)),
  $H23 * (1 + Assumptions!$C$7) ^ INT(((YEAR(AU$2)-YEAR($F23))*12 + MONTH(AU$2)-MONTH($F23)) / 12),
  0)</f>
        <v>4860</v>
      </c>
      <c r="AV23" s="291">
        <f>IF(AND($F23&lt;=AV$2, OR($G23="",$G23&gt;=AV$2)),
  $H23 * (1 + Assumptions!$C$7) ^ INT(((YEAR(AV$2)-YEAR($F23))*12 + MONTH(AV$2)-MONTH($F23)) / 12),
  0)</f>
        <v>4860</v>
      </c>
      <c r="AW23" s="291">
        <f>IF(AND($F23&lt;=AW$2, OR($G23="",$G23&gt;=AW$2)),
  $H23 * (1 + Assumptions!$C$7) ^ INT(((YEAR(AW$2)-YEAR($F23))*12 + MONTH(AW$2)-MONTH($F23)) / 12),
  0)</f>
        <v>4860</v>
      </c>
      <c r="AX23" s="291">
        <f>IF(AND($F23&lt;=AX$2, OR($G23="",$G23&gt;=AX$2)),
  $H23 * (1 + Assumptions!$C$7) ^ INT(((YEAR(AX$2)-YEAR($F23))*12 + MONTH(AX$2)-MONTH($F23)) / 12),
  0)</f>
        <v>4860</v>
      </c>
      <c r="AY23" s="291">
        <f>IF(AND($F23&lt;=AY$2, OR($G23="",$G23&gt;=AY$2)),
  $H23 * (1 + Assumptions!$C$7) ^ INT(((YEAR(AY$2)-YEAR($F23))*12 + MONTH(AY$2)-MONTH($F23)) / 12),
  0)</f>
        <v>4860</v>
      </c>
      <c r="AZ23" s="291">
        <f>IF(AND($F23&lt;=AZ$2, OR($G23="",$G23&gt;=AZ$2)),
  $H23 * (1 + Assumptions!$C$7) ^ INT(((YEAR(AZ$2)-YEAR($F23))*12 + MONTH(AZ$2)-MONTH($F23)) / 12),
  0)</f>
        <v>4860</v>
      </c>
      <c r="BA23" s="291">
        <f>IF(AND($F23&lt;=BA$2, OR($G23="",$G23&gt;=BA$2)),
  $H23 * (1 + Assumptions!$C$7) ^ INT(((YEAR(BA$2)-YEAR($F23))*12 + MONTH(BA$2)-MONTH($F23)) / 12),
  0)</f>
        <v>4860</v>
      </c>
      <c r="BB23" s="291">
        <f>IF(AND($F23&lt;=BB$2, OR($G23="",$G23&gt;=BB$2)),
  $H23 * (1 + Assumptions!$C$7) ^ INT(((YEAR(BB$2)-YEAR($F23))*12 + MONTH(BB$2)-MONTH($F23)) / 12),
  0)</f>
        <v>4860</v>
      </c>
      <c r="BC23" s="291">
        <f>IF(AND($F23&lt;=BC$2, OR($G23="",$G23&gt;=BC$2)),
  $H23 * (1 + Assumptions!$C$7) ^ INT(((YEAR(BC$2)-YEAR($F23))*12 + MONTH(BC$2)-MONTH($F23)) / 12),
  0)</f>
        <v>4860</v>
      </c>
      <c r="BD23" s="291">
        <f>IF(AND($F23&lt;=BD$2, OR($G23="",$G23&gt;=BD$2)),
  $H23 * (1 + Assumptions!$C$7) ^ INT(((YEAR(BD$2)-YEAR($F23))*12 + MONTH(BD$2)-MONTH($F23)) / 12),
  0)</f>
        <v>4860</v>
      </c>
      <c r="BE23" s="291">
        <f>IF(AND($F23&lt;=BE$2, OR($G23="",$G23&gt;=BE$2)),
  $H23 * (1 + Assumptions!$C$7) ^ INT(((YEAR(BE$2)-YEAR($F23))*12 + MONTH(BE$2)-MONTH($F23)) / 12),
  0)</f>
        <v>5248.8</v>
      </c>
      <c r="BF23" s="291">
        <f>IF(AND($F23&lt;=BF$2, OR($G23="",$G23&gt;=BF$2)),
  $H23 * (1 + Assumptions!$C$7) ^ INT(((YEAR(BF$2)-YEAR($F23))*12 + MONTH(BF$2)-MONTH($F23)) / 12),
  0)</f>
        <v>5248.8</v>
      </c>
      <c r="BG23" s="291">
        <f>IF(AND($F23&lt;=BG$2, OR($G23="",$G23&gt;=BG$2)),
  $H23 * (1 + Assumptions!$C$7) ^ INT(((YEAR(BG$2)-YEAR($F23))*12 + MONTH(BG$2)-MONTH($F23)) / 12),
  0)</f>
        <v>5248.8</v>
      </c>
      <c r="BH23" s="291">
        <f>IF(AND($F23&lt;=BH$2, OR($G23="",$G23&gt;=BH$2)),
  $H23 * (1 + Assumptions!$C$7) ^ INT(((YEAR(BH$2)-YEAR($F23))*12 + MONTH(BH$2)-MONTH($F23)) / 12),
  0)</f>
        <v>5248.8</v>
      </c>
      <c r="BI23" s="291">
        <f>IF(AND($F23&lt;=BI$2, OR($G23="",$G23&gt;=BI$2)),
  $H23 * (1 + Assumptions!$C$7) ^ INT(((YEAR(BI$2)-YEAR($F23))*12 + MONTH(BI$2)-MONTH($F23)) / 12),
  0)</f>
        <v>5248.8</v>
      </c>
      <c r="BJ23" s="291">
        <f>IF(AND($F23&lt;=BJ$2, OR($G23="",$G23&gt;=BJ$2)),
  $H23 * (1 + Assumptions!$C$7) ^ INT(((YEAR(BJ$2)-YEAR($F23))*12 + MONTH(BJ$2)-MONTH($F23)) / 12),
  0)</f>
        <v>5248.8</v>
      </c>
      <c r="BK23" s="291">
        <f>IF(AND($F23&lt;=BK$2, OR($G23="",$G23&gt;=BK$2)),
  $H23 * (1 + Assumptions!$C$7) ^ INT(((YEAR(BK$2)-YEAR($F23))*12 + MONTH(BK$2)-MONTH($F23)) / 12),
  0)</f>
        <v>5248.8</v>
      </c>
      <c r="BL23" s="291">
        <f>IF(AND($F23&lt;=BL$2, OR($G23="",$G23&gt;=BL$2)),
  $H23 * (1 + Assumptions!$C$7) ^ INT(((YEAR(BL$2)-YEAR($F23))*12 + MONTH(BL$2)-MONTH($F23)) / 12),
  0)</f>
        <v>5248.8</v>
      </c>
      <c r="BM23" s="291">
        <f>IF(AND($F23&lt;=BM$2, OR($G23="",$G23&gt;=BM$2)),
  $H23 * (1 + Assumptions!$C$7) ^ INT(((YEAR(BM$2)-YEAR($F23))*12 + MONTH(BM$2)-MONTH($F23)) / 12),
  0)</f>
        <v>5248.8</v>
      </c>
      <c r="BN23" s="291">
        <f>IF(AND($F23&lt;=BN$2, OR($G23="",$G23&gt;=BN$2)),
  $H23 * (1 + Assumptions!$C$7) ^ INT(((YEAR(BN$2)-YEAR($F23))*12 + MONTH(BN$2)-MONTH($F23)) / 12),
  0)</f>
        <v>5248.8</v>
      </c>
      <c r="BO23" s="291">
        <f>IF(AND($F23&lt;=BO$2, OR($G23="",$G23&gt;=BO$2)),
  $H23 * (1 + Assumptions!$C$7) ^ INT(((YEAR(BO$2)-YEAR($F23))*12 + MONTH(BO$2)-MONTH($F23)) / 12),
  0)</f>
        <v>5248.8</v>
      </c>
      <c r="BP23" s="291">
        <f>IF(AND($F23&lt;=BP$2, OR($G23="",$G23&gt;=BP$2)),
  $H23 * (1 + Assumptions!$C$7) ^ INT(((YEAR(BP$2)-YEAR($F23))*12 + MONTH(BP$2)-MONTH($F23)) / 12),
  0)</f>
        <v>5248.8</v>
      </c>
      <c r="BQ23" s="37"/>
    </row>
    <row r="24" ht="15.75" customHeight="1">
      <c r="A24" s="298">
        <v>19.0</v>
      </c>
      <c r="B24" s="282" t="s">
        <v>335</v>
      </c>
      <c r="C24" s="282" t="s">
        <v>144</v>
      </c>
      <c r="D24" s="299" t="s">
        <v>165</v>
      </c>
      <c r="E24" s="289" t="s">
        <v>337</v>
      </c>
      <c r="F24" s="283">
        <v>46388.0</v>
      </c>
      <c r="G24" s="301"/>
      <c r="H24" s="285">
        <v>6500.0</v>
      </c>
      <c r="I24" s="291">
        <f>IF(AND($F24&lt;=I$2, OR($G24="",$G24&gt;=I$2)),
  $H24 * (1 + Assumptions!$C$7) ^ INT(((YEAR(I$2)-YEAR($F24))*12 + MONTH(I$2)-MONTH($F24)) / 12),
  0)</f>
        <v>0</v>
      </c>
      <c r="J24" s="291">
        <f>IF(AND($F24&lt;=J$2, OR($G24="",$G24&gt;=J$2)),
  $H24 * (1 + Assumptions!$C$7) ^ INT(((YEAR(J$2)-YEAR($F24))*12 + MONTH(J$2)-MONTH($F24)) / 12),
  0)</f>
        <v>0</v>
      </c>
      <c r="K24" s="291">
        <f>IF(AND($F24&lt;=K$2, OR($G24="",$G24&gt;=K$2)),
  $H24 * (1 + Assumptions!$C$7) ^ INT(((YEAR(K$2)-YEAR($F24))*12 + MONTH(K$2)-MONTH($F24)) / 12),
  0)</f>
        <v>0</v>
      </c>
      <c r="L24" s="291">
        <f>IF(AND($F24&lt;=L$2, OR($G24="",$G24&gt;=L$2)),
  $H24 * (1 + Assumptions!$C$7) ^ INT(((YEAR(L$2)-YEAR($F24))*12 + MONTH(L$2)-MONTH($F24)) / 12),
  0)</f>
        <v>0</v>
      </c>
      <c r="M24" s="291">
        <f>IF(AND($F24&lt;=M$2, OR($G24="",$G24&gt;=M$2)),
  $H24 * (1 + Assumptions!$C$7) ^ INT(((YEAR(M$2)-YEAR($F24))*12 + MONTH(M$2)-MONTH($F24)) / 12),
  0)</f>
        <v>0</v>
      </c>
      <c r="N24" s="291">
        <f>IF(AND($F24&lt;=N$2, OR($G24="",$G24&gt;=N$2)),
  $H24 * (1 + Assumptions!$C$7) ^ INT(((YEAR(N$2)-YEAR($F24))*12 + MONTH(N$2)-MONTH($F24)) / 12),
  0)</f>
        <v>0</v>
      </c>
      <c r="O24" s="291">
        <f>IF(AND($F24&lt;=O$2, OR($G24="",$G24&gt;=O$2)),
  $H24 * (1 + Assumptions!$C$7) ^ INT(((YEAR(O$2)-YEAR($F24))*12 + MONTH(O$2)-MONTH($F24)) / 12),
  0)</f>
        <v>0</v>
      </c>
      <c r="P24" s="291">
        <f>IF(AND($F24&lt;=P$2, OR($G24="",$G24&gt;=P$2)),
  $H24 * (1 + Assumptions!$C$7) ^ INT(((YEAR(P$2)-YEAR($F24))*12 + MONTH(P$2)-MONTH($F24)) / 12),
  0)</f>
        <v>0</v>
      </c>
      <c r="Q24" s="291">
        <f>IF(AND($F24&lt;=Q$2, OR($G24="",$G24&gt;=Q$2)),
  $H24 * (1 + Assumptions!$C$7) ^ INT(((YEAR(Q$2)-YEAR($F24))*12 + MONTH(Q$2)-MONTH($F24)) / 12),
  0)</f>
        <v>0</v>
      </c>
      <c r="R24" s="291">
        <f>IF(AND($F24&lt;=R$2, OR($G24="",$G24&gt;=R$2)),
  $H24 * (1 + Assumptions!$C$7) ^ INT(((YEAR(R$2)-YEAR($F24))*12 + MONTH(R$2)-MONTH($F24)) / 12),
  0)</f>
        <v>0</v>
      </c>
      <c r="S24" s="291">
        <f>IF(AND($F24&lt;=S$2, OR($G24="",$G24&gt;=S$2)),
  $H24 * (1 + Assumptions!$C$7) ^ INT(((YEAR(S$2)-YEAR($F24))*12 + MONTH(S$2)-MONTH($F24)) / 12),
  0)</f>
        <v>0</v>
      </c>
      <c r="T24" s="291">
        <f>IF(AND($F24&lt;=T$2, OR($G24="",$G24&gt;=T$2)),
  $H24 * (1 + Assumptions!$C$7) ^ INT(((YEAR(T$2)-YEAR($F24))*12 + MONTH(T$2)-MONTH($F24)) / 12),
  0)</f>
        <v>0</v>
      </c>
      <c r="U24" s="291">
        <f>IF(AND($F24&lt;=U$2, OR($G24="",$G24&gt;=U$2)),
  $H24 * (1 + Assumptions!$C$7) ^ INT(((YEAR(U$2)-YEAR($F24))*12 + MONTH(U$2)-MONTH($F24)) / 12),
  0)</f>
        <v>0</v>
      </c>
      <c r="V24" s="291">
        <f>IF(AND($F24&lt;=V$2, OR($G24="",$G24&gt;=V$2)),
  $H24 * (1 + Assumptions!$C$7) ^ INT(((YEAR(V$2)-YEAR($F24))*12 + MONTH(V$2)-MONTH($F24)) / 12),
  0)</f>
        <v>0</v>
      </c>
      <c r="W24" s="291">
        <f>IF(AND($F24&lt;=W$2, OR($G24="",$G24&gt;=W$2)),
  $H24 * (1 + Assumptions!$C$7) ^ INT(((YEAR(W$2)-YEAR($F24))*12 + MONTH(W$2)-MONTH($F24)) / 12),
  0)</f>
        <v>0</v>
      </c>
      <c r="X24" s="291">
        <f>IF(AND($F24&lt;=X$2, OR($G24="",$G24&gt;=X$2)),
  $H24 * (1 + Assumptions!$C$7) ^ INT(((YEAR(X$2)-YEAR($F24))*12 + MONTH(X$2)-MONTH($F24)) / 12),
  0)</f>
        <v>0</v>
      </c>
      <c r="Y24" s="291">
        <f>IF(AND($F24&lt;=Y$2, OR($G24="",$G24&gt;=Y$2)),
  $H24 * (1 + Assumptions!$C$7) ^ INT(((YEAR(Y$2)-YEAR($F24))*12 + MONTH(Y$2)-MONTH($F24)) / 12),
  0)</f>
        <v>0</v>
      </c>
      <c r="Z24" s="291">
        <f>IF(AND($F24&lt;=Z$2, OR($G24="",$G24&gt;=Z$2)),
  $H24 * (1 + Assumptions!$C$7) ^ INT(((YEAR(Z$2)-YEAR($F24))*12 + MONTH(Z$2)-MONTH($F24)) / 12),
  0)</f>
        <v>0</v>
      </c>
      <c r="AA24" s="291">
        <f>IF(AND($F24&lt;=AA$2, OR($G24="",$G24&gt;=AA$2)),
  $H24 * (1 + Assumptions!$C$7) ^ INT(((YEAR(AA$2)-YEAR($F24))*12 + MONTH(AA$2)-MONTH($F24)) / 12),
  0)</f>
        <v>0</v>
      </c>
      <c r="AB24" s="291">
        <f>IF(AND($F24&lt;=AB$2, OR($G24="",$G24&gt;=AB$2)),
  $H24 * (1 + Assumptions!$C$7) ^ INT(((YEAR(AB$2)-YEAR($F24))*12 + MONTH(AB$2)-MONTH($F24)) / 12),
  0)</f>
        <v>0</v>
      </c>
      <c r="AC24" s="291">
        <f>IF(AND($F24&lt;=AC$2, OR($G24="",$G24&gt;=AC$2)),
  $H24 * (1 + Assumptions!$C$7) ^ INT(((YEAR(AC$2)-YEAR($F24))*12 + MONTH(AC$2)-MONTH($F24)) / 12),
  0)</f>
        <v>0</v>
      </c>
      <c r="AD24" s="291">
        <f>IF(AND($F24&lt;=AD$2, OR($G24="",$G24&gt;=AD$2)),
  $H24 * (1 + Assumptions!$C$7) ^ INT(((YEAR(AD$2)-YEAR($F24))*12 + MONTH(AD$2)-MONTH($F24)) / 12),
  0)</f>
        <v>0</v>
      </c>
      <c r="AE24" s="291">
        <f>IF(AND($F24&lt;=AE$2, OR($G24="",$G24&gt;=AE$2)),
  $H24 * (1 + Assumptions!$C$7) ^ INT(((YEAR(AE$2)-YEAR($F24))*12 + MONTH(AE$2)-MONTH($F24)) / 12),
  0)</f>
        <v>0</v>
      </c>
      <c r="AF24" s="291">
        <f>IF(AND($F24&lt;=AF$2, OR($G24="",$G24&gt;=AF$2)),
  $H24 * (1 + Assumptions!$C$7) ^ INT(((YEAR(AF$2)-YEAR($F24))*12 + MONTH(AF$2)-MONTH($F24)) / 12),
  0)</f>
        <v>0</v>
      </c>
      <c r="AG24" s="291">
        <f>IF(AND($F24&lt;=AG$2, OR($G24="",$G24&gt;=AG$2)),
  $H24 * (1 + Assumptions!$C$7) ^ INT(((YEAR(AG$2)-YEAR($F24))*12 + MONTH(AG$2)-MONTH($F24)) / 12),
  0)</f>
        <v>6500</v>
      </c>
      <c r="AH24" s="291">
        <f>IF(AND($F24&lt;=AH$2, OR($G24="",$G24&gt;=AH$2)),
  $H24 * (1 + Assumptions!$C$7) ^ INT(((YEAR(AH$2)-YEAR($F24))*12 + MONTH(AH$2)-MONTH($F24)) / 12),
  0)</f>
        <v>6500</v>
      </c>
      <c r="AI24" s="291">
        <f>IF(AND($F24&lt;=AI$2, OR($G24="",$G24&gt;=AI$2)),
  $H24 * (1 + Assumptions!$C$7) ^ INT(((YEAR(AI$2)-YEAR($F24))*12 + MONTH(AI$2)-MONTH($F24)) / 12),
  0)</f>
        <v>6500</v>
      </c>
      <c r="AJ24" s="291">
        <f>IF(AND($F24&lt;=AJ$2, OR($G24="",$G24&gt;=AJ$2)),
  $H24 * (1 + Assumptions!$C$7) ^ INT(((YEAR(AJ$2)-YEAR($F24))*12 + MONTH(AJ$2)-MONTH($F24)) / 12),
  0)</f>
        <v>6500</v>
      </c>
      <c r="AK24" s="291">
        <f>IF(AND($F24&lt;=AK$2, OR($G24="",$G24&gt;=AK$2)),
  $H24 * (1 + Assumptions!$C$7) ^ INT(((YEAR(AK$2)-YEAR($F24))*12 + MONTH(AK$2)-MONTH($F24)) / 12),
  0)</f>
        <v>6500</v>
      </c>
      <c r="AL24" s="291">
        <f>IF(AND($F24&lt;=AL$2, OR($G24="",$G24&gt;=AL$2)),
  $H24 * (1 + Assumptions!$C$7) ^ INT(((YEAR(AL$2)-YEAR($F24))*12 + MONTH(AL$2)-MONTH($F24)) / 12),
  0)</f>
        <v>6500</v>
      </c>
      <c r="AM24" s="291">
        <f>IF(AND($F24&lt;=AM$2, OR($G24="",$G24&gt;=AM$2)),
  $H24 * (1 + Assumptions!$C$7) ^ INT(((YEAR(AM$2)-YEAR($F24))*12 + MONTH(AM$2)-MONTH($F24)) / 12),
  0)</f>
        <v>6500</v>
      </c>
      <c r="AN24" s="291">
        <f>IF(AND($F24&lt;=AN$2, OR($G24="",$G24&gt;=AN$2)),
  $H24 * (1 + Assumptions!$C$7) ^ INT(((YEAR(AN$2)-YEAR($F24))*12 + MONTH(AN$2)-MONTH($F24)) / 12),
  0)</f>
        <v>6500</v>
      </c>
      <c r="AO24" s="291">
        <f>IF(AND($F24&lt;=AO$2, OR($G24="",$G24&gt;=AO$2)),
  $H24 * (1 + Assumptions!$C$7) ^ INT(((YEAR(AO$2)-YEAR($F24))*12 + MONTH(AO$2)-MONTH($F24)) / 12),
  0)</f>
        <v>6500</v>
      </c>
      <c r="AP24" s="291">
        <f>IF(AND($F24&lt;=AP$2, OR($G24="",$G24&gt;=AP$2)),
  $H24 * (1 + Assumptions!$C$7) ^ INT(((YEAR(AP$2)-YEAR($F24))*12 + MONTH(AP$2)-MONTH($F24)) / 12),
  0)</f>
        <v>6500</v>
      </c>
      <c r="AQ24" s="291">
        <f>IF(AND($F24&lt;=AQ$2, OR($G24="",$G24&gt;=AQ$2)),
  $H24 * (1 + Assumptions!$C$7) ^ INT(((YEAR(AQ$2)-YEAR($F24))*12 + MONTH(AQ$2)-MONTH($F24)) / 12),
  0)</f>
        <v>6500</v>
      </c>
      <c r="AR24" s="291">
        <f>IF(AND($F24&lt;=AR$2, OR($G24="",$G24&gt;=AR$2)),
  $H24 * (1 + Assumptions!$C$7) ^ INT(((YEAR(AR$2)-YEAR($F24))*12 + MONTH(AR$2)-MONTH($F24)) / 12),
  0)</f>
        <v>6500</v>
      </c>
      <c r="AS24" s="291">
        <f>IF(AND($F24&lt;=AS$2, OR($G24="",$G24&gt;=AS$2)),
  $H24 * (1 + Assumptions!$C$7) ^ INT(((YEAR(AS$2)-YEAR($F24))*12 + MONTH(AS$2)-MONTH($F24)) / 12),
  0)</f>
        <v>7020</v>
      </c>
      <c r="AT24" s="291">
        <f>IF(AND($F24&lt;=AT$2, OR($G24="",$G24&gt;=AT$2)),
  $H24 * (1 + Assumptions!$C$7) ^ INT(((YEAR(AT$2)-YEAR($F24))*12 + MONTH(AT$2)-MONTH($F24)) / 12),
  0)</f>
        <v>7020</v>
      </c>
      <c r="AU24" s="291">
        <f>IF(AND($F24&lt;=AU$2, OR($G24="",$G24&gt;=AU$2)),
  $H24 * (1 + Assumptions!$C$7) ^ INT(((YEAR(AU$2)-YEAR($F24))*12 + MONTH(AU$2)-MONTH($F24)) / 12),
  0)</f>
        <v>7020</v>
      </c>
      <c r="AV24" s="291">
        <f>IF(AND($F24&lt;=AV$2, OR($G24="",$G24&gt;=AV$2)),
  $H24 * (1 + Assumptions!$C$7) ^ INT(((YEAR(AV$2)-YEAR($F24))*12 + MONTH(AV$2)-MONTH($F24)) / 12),
  0)</f>
        <v>7020</v>
      </c>
      <c r="AW24" s="291">
        <f>IF(AND($F24&lt;=AW$2, OR($G24="",$G24&gt;=AW$2)),
  $H24 * (1 + Assumptions!$C$7) ^ INT(((YEAR(AW$2)-YEAR($F24))*12 + MONTH(AW$2)-MONTH($F24)) / 12),
  0)</f>
        <v>7020</v>
      </c>
      <c r="AX24" s="291">
        <f>IF(AND($F24&lt;=AX$2, OR($G24="",$G24&gt;=AX$2)),
  $H24 * (1 + Assumptions!$C$7) ^ INT(((YEAR(AX$2)-YEAR($F24))*12 + MONTH(AX$2)-MONTH($F24)) / 12),
  0)</f>
        <v>7020</v>
      </c>
      <c r="AY24" s="291">
        <f>IF(AND($F24&lt;=AY$2, OR($G24="",$G24&gt;=AY$2)),
  $H24 * (1 + Assumptions!$C$7) ^ INT(((YEAR(AY$2)-YEAR($F24))*12 + MONTH(AY$2)-MONTH($F24)) / 12),
  0)</f>
        <v>7020</v>
      </c>
      <c r="AZ24" s="291">
        <f>IF(AND($F24&lt;=AZ$2, OR($G24="",$G24&gt;=AZ$2)),
  $H24 * (1 + Assumptions!$C$7) ^ INT(((YEAR(AZ$2)-YEAR($F24))*12 + MONTH(AZ$2)-MONTH($F24)) / 12),
  0)</f>
        <v>7020</v>
      </c>
      <c r="BA24" s="291">
        <f>IF(AND($F24&lt;=BA$2, OR($G24="",$G24&gt;=BA$2)),
  $H24 * (1 + Assumptions!$C$7) ^ INT(((YEAR(BA$2)-YEAR($F24))*12 + MONTH(BA$2)-MONTH($F24)) / 12),
  0)</f>
        <v>7020</v>
      </c>
      <c r="BB24" s="291">
        <f>IF(AND($F24&lt;=BB$2, OR($G24="",$G24&gt;=BB$2)),
  $H24 * (1 + Assumptions!$C$7) ^ INT(((YEAR(BB$2)-YEAR($F24))*12 + MONTH(BB$2)-MONTH($F24)) / 12),
  0)</f>
        <v>7020</v>
      </c>
      <c r="BC24" s="291">
        <f>IF(AND($F24&lt;=BC$2, OR($G24="",$G24&gt;=BC$2)),
  $H24 * (1 + Assumptions!$C$7) ^ INT(((YEAR(BC$2)-YEAR($F24))*12 + MONTH(BC$2)-MONTH($F24)) / 12),
  0)</f>
        <v>7020</v>
      </c>
      <c r="BD24" s="291">
        <f>IF(AND($F24&lt;=BD$2, OR($G24="",$G24&gt;=BD$2)),
  $H24 * (1 + Assumptions!$C$7) ^ INT(((YEAR(BD$2)-YEAR($F24))*12 + MONTH(BD$2)-MONTH($F24)) / 12),
  0)</f>
        <v>7020</v>
      </c>
      <c r="BE24" s="291">
        <f>IF(AND($F24&lt;=BE$2, OR($G24="",$G24&gt;=BE$2)),
  $H24 * (1 + Assumptions!$C$7) ^ INT(((YEAR(BE$2)-YEAR($F24))*12 + MONTH(BE$2)-MONTH($F24)) / 12),
  0)</f>
        <v>7581.6</v>
      </c>
      <c r="BF24" s="291">
        <f>IF(AND($F24&lt;=BF$2, OR($G24="",$G24&gt;=BF$2)),
  $H24 * (1 + Assumptions!$C$7) ^ INT(((YEAR(BF$2)-YEAR($F24))*12 + MONTH(BF$2)-MONTH($F24)) / 12),
  0)</f>
        <v>7581.6</v>
      </c>
      <c r="BG24" s="291">
        <f>IF(AND($F24&lt;=BG$2, OR($G24="",$G24&gt;=BG$2)),
  $H24 * (1 + Assumptions!$C$7) ^ INT(((YEAR(BG$2)-YEAR($F24))*12 + MONTH(BG$2)-MONTH($F24)) / 12),
  0)</f>
        <v>7581.6</v>
      </c>
      <c r="BH24" s="291">
        <f>IF(AND($F24&lt;=BH$2, OR($G24="",$G24&gt;=BH$2)),
  $H24 * (1 + Assumptions!$C$7) ^ INT(((YEAR(BH$2)-YEAR($F24))*12 + MONTH(BH$2)-MONTH($F24)) / 12),
  0)</f>
        <v>7581.6</v>
      </c>
      <c r="BI24" s="291">
        <f>IF(AND($F24&lt;=BI$2, OR($G24="",$G24&gt;=BI$2)),
  $H24 * (1 + Assumptions!$C$7) ^ INT(((YEAR(BI$2)-YEAR($F24))*12 + MONTH(BI$2)-MONTH($F24)) / 12),
  0)</f>
        <v>7581.6</v>
      </c>
      <c r="BJ24" s="291">
        <f>IF(AND($F24&lt;=BJ$2, OR($G24="",$G24&gt;=BJ$2)),
  $H24 * (1 + Assumptions!$C$7) ^ INT(((YEAR(BJ$2)-YEAR($F24))*12 + MONTH(BJ$2)-MONTH($F24)) / 12),
  0)</f>
        <v>7581.6</v>
      </c>
      <c r="BK24" s="291">
        <f>IF(AND($F24&lt;=BK$2, OR($G24="",$G24&gt;=BK$2)),
  $H24 * (1 + Assumptions!$C$7) ^ INT(((YEAR(BK$2)-YEAR($F24))*12 + MONTH(BK$2)-MONTH($F24)) / 12),
  0)</f>
        <v>7581.6</v>
      </c>
      <c r="BL24" s="291">
        <f>IF(AND($F24&lt;=BL$2, OR($G24="",$G24&gt;=BL$2)),
  $H24 * (1 + Assumptions!$C$7) ^ INT(((YEAR(BL$2)-YEAR($F24))*12 + MONTH(BL$2)-MONTH($F24)) / 12),
  0)</f>
        <v>7581.6</v>
      </c>
      <c r="BM24" s="291">
        <f>IF(AND($F24&lt;=BM$2, OR($G24="",$G24&gt;=BM$2)),
  $H24 * (1 + Assumptions!$C$7) ^ INT(((YEAR(BM$2)-YEAR($F24))*12 + MONTH(BM$2)-MONTH($F24)) / 12),
  0)</f>
        <v>7581.6</v>
      </c>
      <c r="BN24" s="291">
        <f>IF(AND($F24&lt;=BN$2, OR($G24="",$G24&gt;=BN$2)),
  $H24 * (1 + Assumptions!$C$7) ^ INT(((YEAR(BN$2)-YEAR($F24))*12 + MONTH(BN$2)-MONTH($F24)) / 12),
  0)</f>
        <v>7581.6</v>
      </c>
      <c r="BO24" s="291">
        <f>IF(AND($F24&lt;=BO$2, OR($G24="",$G24&gt;=BO$2)),
  $H24 * (1 + Assumptions!$C$7) ^ INT(((YEAR(BO$2)-YEAR($F24))*12 + MONTH(BO$2)-MONTH($F24)) / 12),
  0)</f>
        <v>7581.6</v>
      </c>
      <c r="BP24" s="291">
        <f>IF(AND($F24&lt;=BP$2, OR($G24="",$G24&gt;=BP$2)),
  $H24 * (1 + Assumptions!$C$7) ^ INT(((YEAR(BP$2)-YEAR($F24))*12 + MONTH(BP$2)-MONTH($F24)) / 12),
  0)</f>
        <v>7581.6</v>
      </c>
      <c r="BQ24" s="37"/>
    </row>
    <row r="25" ht="15.75" customHeight="1">
      <c r="A25" s="298">
        <v>20.0</v>
      </c>
      <c r="B25" s="282" t="s">
        <v>335</v>
      </c>
      <c r="C25" s="299" t="s">
        <v>137</v>
      </c>
      <c r="D25" s="303" t="s">
        <v>343</v>
      </c>
      <c r="E25" s="289" t="s">
        <v>337</v>
      </c>
      <c r="F25" s="283">
        <v>46388.0</v>
      </c>
      <c r="G25" s="301"/>
      <c r="H25" s="285">
        <v>6500.0</v>
      </c>
      <c r="I25" s="291">
        <f>IF(AND($F25&lt;=I$2, OR($G25="",$G25&gt;=I$2)),
  $H25 * (1 + Assumptions!$C$7) ^ INT(((YEAR(I$2)-YEAR($F25))*12 + MONTH(I$2)-MONTH($F25)) / 12),
  0)</f>
        <v>0</v>
      </c>
      <c r="J25" s="291">
        <f>IF(AND($F25&lt;=J$2, OR($G25="",$G25&gt;=J$2)),
  $H25 * (1 + Assumptions!$C$7) ^ INT(((YEAR(J$2)-YEAR($F25))*12 + MONTH(J$2)-MONTH($F25)) / 12),
  0)</f>
        <v>0</v>
      </c>
      <c r="K25" s="291">
        <f>IF(AND($F25&lt;=K$2, OR($G25="",$G25&gt;=K$2)),
  $H25 * (1 + Assumptions!$C$7) ^ INT(((YEAR(K$2)-YEAR($F25))*12 + MONTH(K$2)-MONTH($F25)) / 12),
  0)</f>
        <v>0</v>
      </c>
      <c r="L25" s="291">
        <f>IF(AND($F25&lt;=L$2, OR($G25="",$G25&gt;=L$2)),
  $H25 * (1 + Assumptions!$C$7) ^ INT(((YEAR(L$2)-YEAR($F25))*12 + MONTH(L$2)-MONTH($F25)) / 12),
  0)</f>
        <v>0</v>
      </c>
      <c r="M25" s="291">
        <f>IF(AND($F25&lt;=M$2, OR($G25="",$G25&gt;=M$2)),
  $H25 * (1 + Assumptions!$C$7) ^ INT(((YEAR(M$2)-YEAR($F25))*12 + MONTH(M$2)-MONTH($F25)) / 12),
  0)</f>
        <v>0</v>
      </c>
      <c r="N25" s="291">
        <f>IF(AND($F25&lt;=N$2, OR($G25="",$G25&gt;=N$2)),
  $H25 * (1 + Assumptions!$C$7) ^ INT(((YEAR(N$2)-YEAR($F25))*12 + MONTH(N$2)-MONTH($F25)) / 12),
  0)</f>
        <v>0</v>
      </c>
      <c r="O25" s="291">
        <f>IF(AND($F25&lt;=O$2, OR($G25="",$G25&gt;=O$2)),
  $H25 * (1 + Assumptions!$C$7) ^ INT(((YEAR(O$2)-YEAR($F25))*12 + MONTH(O$2)-MONTH($F25)) / 12),
  0)</f>
        <v>0</v>
      </c>
      <c r="P25" s="291">
        <f>IF(AND($F25&lt;=P$2, OR($G25="",$G25&gt;=P$2)),
  $H25 * (1 + Assumptions!$C$7) ^ INT(((YEAR(P$2)-YEAR($F25))*12 + MONTH(P$2)-MONTH($F25)) / 12),
  0)</f>
        <v>0</v>
      </c>
      <c r="Q25" s="291">
        <f>IF(AND($F25&lt;=Q$2, OR($G25="",$G25&gt;=Q$2)),
  $H25 * (1 + Assumptions!$C$7) ^ INT(((YEAR(Q$2)-YEAR($F25))*12 + MONTH(Q$2)-MONTH($F25)) / 12),
  0)</f>
        <v>0</v>
      </c>
      <c r="R25" s="291">
        <f>IF(AND($F25&lt;=R$2, OR($G25="",$G25&gt;=R$2)),
  $H25 * (1 + Assumptions!$C$7) ^ INT(((YEAR(R$2)-YEAR($F25))*12 + MONTH(R$2)-MONTH($F25)) / 12),
  0)</f>
        <v>0</v>
      </c>
      <c r="S25" s="291">
        <f>IF(AND($F25&lt;=S$2, OR($G25="",$G25&gt;=S$2)),
  $H25 * (1 + Assumptions!$C$7) ^ INT(((YEAR(S$2)-YEAR($F25))*12 + MONTH(S$2)-MONTH($F25)) / 12),
  0)</f>
        <v>0</v>
      </c>
      <c r="T25" s="291">
        <f>IF(AND($F25&lt;=T$2, OR($G25="",$G25&gt;=T$2)),
  $H25 * (1 + Assumptions!$C$7) ^ INT(((YEAR(T$2)-YEAR($F25))*12 + MONTH(T$2)-MONTH($F25)) / 12),
  0)</f>
        <v>0</v>
      </c>
      <c r="U25" s="291">
        <f>IF(AND($F25&lt;=U$2, OR($G25="",$G25&gt;=U$2)),
  $H25 * (1 + Assumptions!$C$7) ^ INT(((YEAR(U$2)-YEAR($F25))*12 + MONTH(U$2)-MONTH($F25)) / 12),
  0)</f>
        <v>0</v>
      </c>
      <c r="V25" s="291">
        <f>IF(AND($F25&lt;=V$2, OR($G25="",$G25&gt;=V$2)),
  $H25 * (1 + Assumptions!$C$7) ^ INT(((YEAR(V$2)-YEAR($F25))*12 + MONTH(V$2)-MONTH($F25)) / 12),
  0)</f>
        <v>0</v>
      </c>
      <c r="W25" s="291">
        <f>IF(AND($F25&lt;=W$2, OR($G25="",$G25&gt;=W$2)),
  $H25 * (1 + Assumptions!$C$7) ^ INT(((YEAR(W$2)-YEAR($F25))*12 + MONTH(W$2)-MONTH($F25)) / 12),
  0)</f>
        <v>0</v>
      </c>
      <c r="X25" s="291">
        <f>IF(AND($F25&lt;=X$2, OR($G25="",$G25&gt;=X$2)),
  $H25 * (1 + Assumptions!$C$7) ^ INT(((YEAR(X$2)-YEAR($F25))*12 + MONTH(X$2)-MONTH($F25)) / 12),
  0)</f>
        <v>0</v>
      </c>
      <c r="Y25" s="291">
        <f>IF(AND($F25&lt;=Y$2, OR($G25="",$G25&gt;=Y$2)),
  $H25 * (1 + Assumptions!$C$7) ^ INT(((YEAR(Y$2)-YEAR($F25))*12 + MONTH(Y$2)-MONTH($F25)) / 12),
  0)</f>
        <v>0</v>
      </c>
      <c r="Z25" s="291">
        <f>IF(AND($F25&lt;=Z$2, OR($G25="",$G25&gt;=Z$2)),
  $H25 * (1 + Assumptions!$C$7) ^ INT(((YEAR(Z$2)-YEAR($F25))*12 + MONTH(Z$2)-MONTH($F25)) / 12),
  0)</f>
        <v>0</v>
      </c>
      <c r="AA25" s="291">
        <f>IF(AND($F25&lt;=AA$2, OR($G25="",$G25&gt;=AA$2)),
  $H25 * (1 + Assumptions!$C$7) ^ INT(((YEAR(AA$2)-YEAR($F25))*12 + MONTH(AA$2)-MONTH($F25)) / 12),
  0)</f>
        <v>0</v>
      </c>
      <c r="AB25" s="291">
        <f>IF(AND($F25&lt;=AB$2, OR($G25="",$G25&gt;=AB$2)),
  $H25 * (1 + Assumptions!$C$7) ^ INT(((YEAR(AB$2)-YEAR($F25))*12 + MONTH(AB$2)-MONTH($F25)) / 12),
  0)</f>
        <v>0</v>
      </c>
      <c r="AC25" s="291">
        <f>IF(AND($F25&lt;=AC$2, OR($G25="",$G25&gt;=AC$2)),
  $H25 * (1 + Assumptions!$C$7) ^ INT(((YEAR(AC$2)-YEAR($F25))*12 + MONTH(AC$2)-MONTH($F25)) / 12),
  0)</f>
        <v>0</v>
      </c>
      <c r="AD25" s="291">
        <f>IF(AND($F25&lt;=AD$2, OR($G25="",$G25&gt;=AD$2)),
  $H25 * (1 + Assumptions!$C$7) ^ INT(((YEAR(AD$2)-YEAR($F25))*12 + MONTH(AD$2)-MONTH($F25)) / 12),
  0)</f>
        <v>0</v>
      </c>
      <c r="AE25" s="291">
        <f>IF(AND($F25&lt;=AE$2, OR($G25="",$G25&gt;=AE$2)),
  $H25 * (1 + Assumptions!$C$7) ^ INT(((YEAR(AE$2)-YEAR($F25))*12 + MONTH(AE$2)-MONTH($F25)) / 12),
  0)</f>
        <v>0</v>
      </c>
      <c r="AF25" s="291">
        <f>IF(AND($F25&lt;=AF$2, OR($G25="",$G25&gt;=AF$2)),
  $H25 * (1 + Assumptions!$C$7) ^ INT(((YEAR(AF$2)-YEAR($F25))*12 + MONTH(AF$2)-MONTH($F25)) / 12),
  0)</f>
        <v>0</v>
      </c>
      <c r="AG25" s="291">
        <f>IF(AND($F25&lt;=AG$2, OR($G25="",$G25&gt;=AG$2)),
  $H25 * (1 + Assumptions!$C$7) ^ INT(((YEAR(AG$2)-YEAR($F25))*12 + MONTH(AG$2)-MONTH($F25)) / 12),
  0)</f>
        <v>6500</v>
      </c>
      <c r="AH25" s="291">
        <f>IF(AND($F25&lt;=AH$2, OR($G25="",$G25&gt;=AH$2)),
  $H25 * (1 + Assumptions!$C$7) ^ INT(((YEAR(AH$2)-YEAR($F25))*12 + MONTH(AH$2)-MONTH($F25)) / 12),
  0)</f>
        <v>6500</v>
      </c>
      <c r="AI25" s="291">
        <f>IF(AND($F25&lt;=AI$2, OR($G25="",$G25&gt;=AI$2)),
  $H25 * (1 + Assumptions!$C$7) ^ INT(((YEAR(AI$2)-YEAR($F25))*12 + MONTH(AI$2)-MONTH($F25)) / 12),
  0)</f>
        <v>6500</v>
      </c>
      <c r="AJ25" s="291">
        <f>IF(AND($F25&lt;=AJ$2, OR($G25="",$G25&gt;=AJ$2)),
  $H25 * (1 + Assumptions!$C$7) ^ INT(((YEAR(AJ$2)-YEAR($F25))*12 + MONTH(AJ$2)-MONTH($F25)) / 12),
  0)</f>
        <v>6500</v>
      </c>
      <c r="AK25" s="291">
        <f>IF(AND($F25&lt;=AK$2, OR($G25="",$G25&gt;=AK$2)),
  $H25 * (1 + Assumptions!$C$7) ^ INT(((YEAR(AK$2)-YEAR($F25))*12 + MONTH(AK$2)-MONTH($F25)) / 12),
  0)</f>
        <v>6500</v>
      </c>
      <c r="AL25" s="291">
        <f>IF(AND($F25&lt;=AL$2, OR($G25="",$G25&gt;=AL$2)),
  $H25 * (1 + Assumptions!$C$7) ^ INT(((YEAR(AL$2)-YEAR($F25))*12 + MONTH(AL$2)-MONTH($F25)) / 12),
  0)</f>
        <v>6500</v>
      </c>
      <c r="AM25" s="291">
        <f>IF(AND($F25&lt;=AM$2, OR($G25="",$G25&gt;=AM$2)),
  $H25 * (1 + Assumptions!$C$7) ^ INT(((YEAR(AM$2)-YEAR($F25))*12 + MONTH(AM$2)-MONTH($F25)) / 12),
  0)</f>
        <v>6500</v>
      </c>
      <c r="AN25" s="291">
        <f>IF(AND($F25&lt;=AN$2, OR($G25="",$G25&gt;=AN$2)),
  $H25 * (1 + Assumptions!$C$7) ^ INT(((YEAR(AN$2)-YEAR($F25))*12 + MONTH(AN$2)-MONTH($F25)) / 12),
  0)</f>
        <v>6500</v>
      </c>
      <c r="AO25" s="291">
        <f>IF(AND($F25&lt;=AO$2, OR($G25="",$G25&gt;=AO$2)),
  $H25 * (1 + Assumptions!$C$7) ^ INT(((YEAR(AO$2)-YEAR($F25))*12 + MONTH(AO$2)-MONTH($F25)) / 12),
  0)</f>
        <v>6500</v>
      </c>
      <c r="AP25" s="291">
        <f>IF(AND($F25&lt;=AP$2, OR($G25="",$G25&gt;=AP$2)),
  $H25 * (1 + Assumptions!$C$7) ^ INT(((YEAR(AP$2)-YEAR($F25))*12 + MONTH(AP$2)-MONTH($F25)) / 12),
  0)</f>
        <v>6500</v>
      </c>
      <c r="AQ25" s="291">
        <f>IF(AND($F25&lt;=AQ$2, OR($G25="",$G25&gt;=AQ$2)),
  $H25 * (1 + Assumptions!$C$7) ^ INT(((YEAR(AQ$2)-YEAR($F25))*12 + MONTH(AQ$2)-MONTH($F25)) / 12),
  0)</f>
        <v>6500</v>
      </c>
      <c r="AR25" s="291">
        <f>IF(AND($F25&lt;=AR$2, OR($G25="",$G25&gt;=AR$2)),
  $H25 * (1 + Assumptions!$C$7) ^ INT(((YEAR(AR$2)-YEAR($F25))*12 + MONTH(AR$2)-MONTH($F25)) / 12),
  0)</f>
        <v>6500</v>
      </c>
      <c r="AS25" s="291">
        <f>IF(AND($F25&lt;=AS$2, OR($G25="",$G25&gt;=AS$2)),
  $H25 * (1 + Assumptions!$C$7) ^ INT(((YEAR(AS$2)-YEAR($F25))*12 + MONTH(AS$2)-MONTH($F25)) / 12),
  0)</f>
        <v>7020</v>
      </c>
      <c r="AT25" s="291">
        <f>IF(AND($F25&lt;=AT$2, OR($G25="",$G25&gt;=AT$2)),
  $H25 * (1 + Assumptions!$C$7) ^ INT(((YEAR(AT$2)-YEAR($F25))*12 + MONTH(AT$2)-MONTH($F25)) / 12),
  0)</f>
        <v>7020</v>
      </c>
      <c r="AU25" s="291">
        <f>IF(AND($F25&lt;=AU$2, OR($G25="",$G25&gt;=AU$2)),
  $H25 * (1 + Assumptions!$C$7) ^ INT(((YEAR(AU$2)-YEAR($F25))*12 + MONTH(AU$2)-MONTH($F25)) / 12),
  0)</f>
        <v>7020</v>
      </c>
      <c r="AV25" s="291">
        <f>IF(AND($F25&lt;=AV$2, OR($G25="",$G25&gt;=AV$2)),
  $H25 * (1 + Assumptions!$C$7) ^ INT(((YEAR(AV$2)-YEAR($F25))*12 + MONTH(AV$2)-MONTH($F25)) / 12),
  0)</f>
        <v>7020</v>
      </c>
      <c r="AW25" s="291">
        <f>IF(AND($F25&lt;=AW$2, OR($G25="",$G25&gt;=AW$2)),
  $H25 * (1 + Assumptions!$C$7) ^ INT(((YEAR(AW$2)-YEAR($F25))*12 + MONTH(AW$2)-MONTH($F25)) / 12),
  0)</f>
        <v>7020</v>
      </c>
      <c r="AX25" s="291">
        <f>IF(AND($F25&lt;=AX$2, OR($G25="",$G25&gt;=AX$2)),
  $H25 * (1 + Assumptions!$C$7) ^ INT(((YEAR(AX$2)-YEAR($F25))*12 + MONTH(AX$2)-MONTH($F25)) / 12),
  0)</f>
        <v>7020</v>
      </c>
      <c r="AY25" s="291">
        <f>IF(AND($F25&lt;=AY$2, OR($G25="",$G25&gt;=AY$2)),
  $H25 * (1 + Assumptions!$C$7) ^ INT(((YEAR(AY$2)-YEAR($F25))*12 + MONTH(AY$2)-MONTH($F25)) / 12),
  0)</f>
        <v>7020</v>
      </c>
      <c r="AZ25" s="291">
        <f>IF(AND($F25&lt;=AZ$2, OR($G25="",$G25&gt;=AZ$2)),
  $H25 * (1 + Assumptions!$C$7) ^ INT(((YEAR(AZ$2)-YEAR($F25))*12 + MONTH(AZ$2)-MONTH($F25)) / 12),
  0)</f>
        <v>7020</v>
      </c>
      <c r="BA25" s="291">
        <f>IF(AND($F25&lt;=BA$2, OR($G25="",$G25&gt;=BA$2)),
  $H25 * (1 + Assumptions!$C$7) ^ INT(((YEAR(BA$2)-YEAR($F25))*12 + MONTH(BA$2)-MONTH($F25)) / 12),
  0)</f>
        <v>7020</v>
      </c>
      <c r="BB25" s="291">
        <f>IF(AND($F25&lt;=BB$2, OR($G25="",$G25&gt;=BB$2)),
  $H25 * (1 + Assumptions!$C$7) ^ INT(((YEAR(BB$2)-YEAR($F25))*12 + MONTH(BB$2)-MONTH($F25)) / 12),
  0)</f>
        <v>7020</v>
      </c>
      <c r="BC25" s="291">
        <f>IF(AND($F25&lt;=BC$2, OR($G25="",$G25&gt;=BC$2)),
  $H25 * (1 + Assumptions!$C$7) ^ INT(((YEAR(BC$2)-YEAR($F25))*12 + MONTH(BC$2)-MONTH($F25)) / 12),
  0)</f>
        <v>7020</v>
      </c>
      <c r="BD25" s="291">
        <f>IF(AND($F25&lt;=BD$2, OR($G25="",$G25&gt;=BD$2)),
  $H25 * (1 + Assumptions!$C$7) ^ INT(((YEAR(BD$2)-YEAR($F25))*12 + MONTH(BD$2)-MONTH($F25)) / 12),
  0)</f>
        <v>7020</v>
      </c>
      <c r="BE25" s="291">
        <f>IF(AND($F25&lt;=BE$2, OR($G25="",$G25&gt;=BE$2)),
  $H25 * (1 + Assumptions!$C$7) ^ INT(((YEAR(BE$2)-YEAR($F25))*12 + MONTH(BE$2)-MONTH($F25)) / 12),
  0)</f>
        <v>7581.6</v>
      </c>
      <c r="BF25" s="291">
        <f>IF(AND($F25&lt;=BF$2, OR($G25="",$G25&gt;=BF$2)),
  $H25 * (1 + Assumptions!$C$7) ^ INT(((YEAR(BF$2)-YEAR($F25))*12 + MONTH(BF$2)-MONTH($F25)) / 12),
  0)</f>
        <v>7581.6</v>
      </c>
      <c r="BG25" s="291">
        <f>IF(AND($F25&lt;=BG$2, OR($G25="",$G25&gt;=BG$2)),
  $H25 * (1 + Assumptions!$C$7) ^ INT(((YEAR(BG$2)-YEAR($F25))*12 + MONTH(BG$2)-MONTH($F25)) / 12),
  0)</f>
        <v>7581.6</v>
      </c>
      <c r="BH25" s="291">
        <f>IF(AND($F25&lt;=BH$2, OR($G25="",$G25&gt;=BH$2)),
  $H25 * (1 + Assumptions!$C$7) ^ INT(((YEAR(BH$2)-YEAR($F25))*12 + MONTH(BH$2)-MONTH($F25)) / 12),
  0)</f>
        <v>7581.6</v>
      </c>
      <c r="BI25" s="291">
        <f>IF(AND($F25&lt;=BI$2, OR($G25="",$G25&gt;=BI$2)),
  $H25 * (1 + Assumptions!$C$7) ^ INT(((YEAR(BI$2)-YEAR($F25))*12 + MONTH(BI$2)-MONTH($F25)) / 12),
  0)</f>
        <v>7581.6</v>
      </c>
      <c r="BJ25" s="291">
        <f>IF(AND($F25&lt;=BJ$2, OR($G25="",$G25&gt;=BJ$2)),
  $H25 * (1 + Assumptions!$C$7) ^ INT(((YEAR(BJ$2)-YEAR($F25))*12 + MONTH(BJ$2)-MONTH($F25)) / 12),
  0)</f>
        <v>7581.6</v>
      </c>
      <c r="BK25" s="291">
        <f>IF(AND($F25&lt;=BK$2, OR($G25="",$G25&gt;=BK$2)),
  $H25 * (1 + Assumptions!$C$7) ^ INT(((YEAR(BK$2)-YEAR($F25))*12 + MONTH(BK$2)-MONTH($F25)) / 12),
  0)</f>
        <v>7581.6</v>
      </c>
      <c r="BL25" s="291">
        <f>IF(AND($F25&lt;=BL$2, OR($G25="",$G25&gt;=BL$2)),
  $H25 * (1 + Assumptions!$C$7) ^ INT(((YEAR(BL$2)-YEAR($F25))*12 + MONTH(BL$2)-MONTH($F25)) / 12),
  0)</f>
        <v>7581.6</v>
      </c>
      <c r="BM25" s="291">
        <f>IF(AND($F25&lt;=BM$2, OR($G25="",$G25&gt;=BM$2)),
  $H25 * (1 + Assumptions!$C$7) ^ INT(((YEAR(BM$2)-YEAR($F25))*12 + MONTH(BM$2)-MONTH($F25)) / 12),
  0)</f>
        <v>7581.6</v>
      </c>
      <c r="BN25" s="291">
        <f>IF(AND($F25&lt;=BN$2, OR($G25="",$G25&gt;=BN$2)),
  $H25 * (1 + Assumptions!$C$7) ^ INT(((YEAR(BN$2)-YEAR($F25))*12 + MONTH(BN$2)-MONTH($F25)) / 12),
  0)</f>
        <v>7581.6</v>
      </c>
      <c r="BO25" s="291">
        <f>IF(AND($F25&lt;=BO$2, OR($G25="",$G25&gt;=BO$2)),
  $H25 * (1 + Assumptions!$C$7) ^ INT(((YEAR(BO$2)-YEAR($F25))*12 + MONTH(BO$2)-MONTH($F25)) / 12),
  0)</f>
        <v>7581.6</v>
      </c>
      <c r="BP25" s="291">
        <f>IF(AND($F25&lt;=BP$2, OR($G25="",$G25&gt;=BP$2)),
  $H25 * (1 + Assumptions!$C$7) ^ INT(((YEAR(BP$2)-YEAR($F25))*12 + MONTH(BP$2)-MONTH($F25)) / 12),
  0)</f>
        <v>7581.6</v>
      </c>
      <c r="BQ25" s="37"/>
    </row>
    <row r="26" ht="15.75" customHeight="1">
      <c r="A26" s="298">
        <v>21.0</v>
      </c>
      <c r="B26" s="282" t="s">
        <v>335</v>
      </c>
      <c r="C26" s="282" t="s">
        <v>144</v>
      </c>
      <c r="D26" s="282" t="s">
        <v>322</v>
      </c>
      <c r="E26" s="289" t="s">
        <v>337</v>
      </c>
      <c r="F26" s="283">
        <v>46388.0</v>
      </c>
      <c r="G26" s="290"/>
      <c r="H26" s="285">
        <v>6500.0</v>
      </c>
      <c r="I26" s="291">
        <f>IF(AND($F26&lt;=I$2, OR($G26="",$G26&gt;=I$2)),
  $H26 * (1 + Assumptions!$C$7) ^ INT(((YEAR(I$2)-YEAR($F26))*12 + MONTH(I$2)-MONTH($F26)) / 12),
  0)</f>
        <v>0</v>
      </c>
      <c r="J26" s="291">
        <f>IF(AND($F26&lt;=J$2, OR($G26="",$G26&gt;=J$2)),
  $H26 * (1 + Assumptions!$C$7) ^ INT(((YEAR(J$2)-YEAR($F26))*12 + MONTH(J$2)-MONTH($F26)) / 12),
  0)</f>
        <v>0</v>
      </c>
      <c r="K26" s="291">
        <f>IF(AND($F26&lt;=K$2, OR($G26="",$G26&gt;=K$2)),
  $H26 * (1 + Assumptions!$C$7) ^ INT(((YEAR(K$2)-YEAR($F26))*12 + MONTH(K$2)-MONTH($F26)) / 12),
  0)</f>
        <v>0</v>
      </c>
      <c r="L26" s="291">
        <f>IF(AND($F26&lt;=L$2, OR($G26="",$G26&gt;=L$2)),
  $H26 * (1 + Assumptions!$C$7) ^ INT(((YEAR(L$2)-YEAR($F26))*12 + MONTH(L$2)-MONTH($F26)) / 12),
  0)</f>
        <v>0</v>
      </c>
      <c r="M26" s="291">
        <f>IF(AND($F26&lt;=M$2, OR($G26="",$G26&gt;=M$2)),
  $H26 * (1 + Assumptions!$C$7) ^ INT(((YEAR(M$2)-YEAR($F26))*12 + MONTH(M$2)-MONTH($F26)) / 12),
  0)</f>
        <v>0</v>
      </c>
      <c r="N26" s="291">
        <f>IF(AND($F26&lt;=N$2, OR($G26="",$G26&gt;=N$2)),
  $H26 * (1 + Assumptions!$C$7) ^ INT(((YEAR(N$2)-YEAR($F26))*12 + MONTH(N$2)-MONTH($F26)) / 12),
  0)</f>
        <v>0</v>
      </c>
      <c r="O26" s="291">
        <f>IF(AND($F26&lt;=O$2, OR($G26="",$G26&gt;=O$2)),
  $H26 * (1 + Assumptions!$C$7) ^ INT(((YEAR(O$2)-YEAR($F26))*12 + MONTH(O$2)-MONTH($F26)) / 12),
  0)</f>
        <v>0</v>
      </c>
      <c r="P26" s="291">
        <f>IF(AND($F26&lt;=P$2, OR($G26="",$G26&gt;=P$2)),
  $H26 * (1 + Assumptions!$C$7) ^ INT(((YEAR(P$2)-YEAR($F26))*12 + MONTH(P$2)-MONTH($F26)) / 12),
  0)</f>
        <v>0</v>
      </c>
      <c r="Q26" s="291">
        <f>IF(AND($F26&lt;=Q$2, OR($G26="",$G26&gt;=Q$2)),
  $H26 * (1 + Assumptions!$C$7) ^ INT(((YEAR(Q$2)-YEAR($F26))*12 + MONTH(Q$2)-MONTH($F26)) / 12),
  0)</f>
        <v>0</v>
      </c>
      <c r="R26" s="291">
        <f>IF(AND($F26&lt;=R$2, OR($G26="",$G26&gt;=R$2)),
  $H26 * (1 + Assumptions!$C$7) ^ INT(((YEAR(R$2)-YEAR($F26))*12 + MONTH(R$2)-MONTH($F26)) / 12),
  0)</f>
        <v>0</v>
      </c>
      <c r="S26" s="291">
        <f>IF(AND($F26&lt;=S$2, OR($G26="",$G26&gt;=S$2)),
  $H26 * (1 + Assumptions!$C$7) ^ INT(((YEAR(S$2)-YEAR($F26))*12 + MONTH(S$2)-MONTH($F26)) / 12),
  0)</f>
        <v>0</v>
      </c>
      <c r="T26" s="291">
        <f>IF(AND($F26&lt;=T$2, OR($G26="",$G26&gt;=T$2)),
  $H26 * (1 + Assumptions!$C$7) ^ INT(((YEAR(T$2)-YEAR($F26))*12 + MONTH(T$2)-MONTH($F26)) / 12),
  0)</f>
        <v>0</v>
      </c>
      <c r="U26" s="291">
        <f>IF(AND($F26&lt;=U$2, OR($G26="",$G26&gt;=U$2)),
  $H26 * (1 + Assumptions!$C$7) ^ INT(((YEAR(U$2)-YEAR($F26))*12 + MONTH(U$2)-MONTH($F26)) / 12),
  0)</f>
        <v>0</v>
      </c>
      <c r="V26" s="291">
        <f>IF(AND($F26&lt;=V$2, OR($G26="",$G26&gt;=V$2)),
  $H26 * (1 + Assumptions!$C$7) ^ INT(((YEAR(V$2)-YEAR($F26))*12 + MONTH(V$2)-MONTH($F26)) / 12),
  0)</f>
        <v>0</v>
      </c>
      <c r="W26" s="291">
        <f>IF(AND($F26&lt;=W$2, OR($G26="",$G26&gt;=W$2)),
  $H26 * (1 + Assumptions!$C$7) ^ INT(((YEAR(W$2)-YEAR($F26))*12 + MONTH(W$2)-MONTH($F26)) / 12),
  0)</f>
        <v>0</v>
      </c>
      <c r="X26" s="291">
        <f>IF(AND($F26&lt;=X$2, OR($G26="",$G26&gt;=X$2)),
  $H26 * (1 + Assumptions!$C$7) ^ INT(((YEAR(X$2)-YEAR($F26))*12 + MONTH(X$2)-MONTH($F26)) / 12),
  0)</f>
        <v>0</v>
      </c>
      <c r="Y26" s="291">
        <f>IF(AND($F26&lt;=Y$2, OR($G26="",$G26&gt;=Y$2)),
  $H26 * (1 + Assumptions!$C$7) ^ INT(((YEAR(Y$2)-YEAR($F26))*12 + MONTH(Y$2)-MONTH($F26)) / 12),
  0)</f>
        <v>0</v>
      </c>
      <c r="Z26" s="291">
        <f>IF(AND($F26&lt;=Z$2, OR($G26="",$G26&gt;=Z$2)),
  $H26 * (1 + Assumptions!$C$7) ^ INT(((YEAR(Z$2)-YEAR($F26))*12 + MONTH(Z$2)-MONTH($F26)) / 12),
  0)</f>
        <v>0</v>
      </c>
      <c r="AA26" s="291">
        <f>IF(AND($F26&lt;=AA$2, OR($G26="",$G26&gt;=AA$2)),
  $H26 * (1 + Assumptions!$C$7) ^ INT(((YEAR(AA$2)-YEAR($F26))*12 + MONTH(AA$2)-MONTH($F26)) / 12),
  0)</f>
        <v>0</v>
      </c>
      <c r="AB26" s="291">
        <f>IF(AND($F26&lt;=AB$2, OR($G26="",$G26&gt;=AB$2)),
  $H26 * (1 + Assumptions!$C$7) ^ INT(((YEAR(AB$2)-YEAR($F26))*12 + MONTH(AB$2)-MONTH($F26)) / 12),
  0)</f>
        <v>0</v>
      </c>
      <c r="AC26" s="291">
        <f>IF(AND($F26&lt;=AC$2, OR($G26="",$G26&gt;=AC$2)),
  $H26 * (1 + Assumptions!$C$7) ^ INT(((YEAR(AC$2)-YEAR($F26))*12 + MONTH(AC$2)-MONTH($F26)) / 12),
  0)</f>
        <v>0</v>
      </c>
      <c r="AD26" s="291">
        <f>IF(AND($F26&lt;=AD$2, OR($G26="",$G26&gt;=AD$2)),
  $H26 * (1 + Assumptions!$C$7) ^ INT(((YEAR(AD$2)-YEAR($F26))*12 + MONTH(AD$2)-MONTH($F26)) / 12),
  0)</f>
        <v>0</v>
      </c>
      <c r="AE26" s="291">
        <f>IF(AND($F26&lt;=AE$2, OR($G26="",$G26&gt;=AE$2)),
  $H26 * (1 + Assumptions!$C$7) ^ INT(((YEAR(AE$2)-YEAR($F26))*12 + MONTH(AE$2)-MONTH($F26)) / 12),
  0)</f>
        <v>0</v>
      </c>
      <c r="AF26" s="291">
        <f>IF(AND($F26&lt;=AF$2, OR($G26="",$G26&gt;=AF$2)),
  $H26 * (1 + Assumptions!$C$7) ^ INT(((YEAR(AF$2)-YEAR($F26))*12 + MONTH(AF$2)-MONTH($F26)) / 12),
  0)</f>
        <v>0</v>
      </c>
      <c r="AG26" s="291">
        <f>IF(AND($F26&lt;=AG$2, OR($G26="",$G26&gt;=AG$2)),
  $H26 * (1 + Assumptions!$C$7) ^ INT(((YEAR(AG$2)-YEAR($F26))*12 + MONTH(AG$2)-MONTH($F26)) / 12),
  0)</f>
        <v>6500</v>
      </c>
      <c r="AH26" s="291">
        <f>IF(AND($F26&lt;=AH$2, OR($G26="",$G26&gt;=AH$2)),
  $H26 * (1 + Assumptions!$C$7) ^ INT(((YEAR(AH$2)-YEAR($F26))*12 + MONTH(AH$2)-MONTH($F26)) / 12),
  0)</f>
        <v>6500</v>
      </c>
      <c r="AI26" s="291">
        <f>IF(AND($F26&lt;=AI$2, OR($G26="",$G26&gt;=AI$2)),
  $H26 * (1 + Assumptions!$C$7) ^ INT(((YEAR(AI$2)-YEAR($F26))*12 + MONTH(AI$2)-MONTH($F26)) / 12),
  0)</f>
        <v>6500</v>
      </c>
      <c r="AJ26" s="291">
        <f>IF(AND($F26&lt;=AJ$2, OR($G26="",$G26&gt;=AJ$2)),
  $H26 * (1 + Assumptions!$C$7) ^ INT(((YEAR(AJ$2)-YEAR($F26))*12 + MONTH(AJ$2)-MONTH($F26)) / 12),
  0)</f>
        <v>6500</v>
      </c>
      <c r="AK26" s="291">
        <f>IF(AND($F26&lt;=AK$2, OR($G26="",$G26&gt;=AK$2)),
  $H26 * (1 + Assumptions!$C$7) ^ INT(((YEAR(AK$2)-YEAR($F26))*12 + MONTH(AK$2)-MONTH($F26)) / 12),
  0)</f>
        <v>6500</v>
      </c>
      <c r="AL26" s="291">
        <f>IF(AND($F26&lt;=AL$2, OR($G26="",$G26&gt;=AL$2)),
  $H26 * (1 + Assumptions!$C$7) ^ INT(((YEAR(AL$2)-YEAR($F26))*12 + MONTH(AL$2)-MONTH($F26)) / 12),
  0)</f>
        <v>6500</v>
      </c>
      <c r="AM26" s="291">
        <f>IF(AND($F26&lt;=AM$2, OR($G26="",$G26&gt;=AM$2)),
  $H26 * (1 + Assumptions!$C$7) ^ INT(((YEAR(AM$2)-YEAR($F26))*12 + MONTH(AM$2)-MONTH($F26)) / 12),
  0)</f>
        <v>6500</v>
      </c>
      <c r="AN26" s="291">
        <f>IF(AND($F26&lt;=AN$2, OR($G26="",$G26&gt;=AN$2)),
  $H26 * (1 + Assumptions!$C$7) ^ INT(((YEAR(AN$2)-YEAR($F26))*12 + MONTH(AN$2)-MONTH($F26)) / 12),
  0)</f>
        <v>6500</v>
      </c>
      <c r="AO26" s="291">
        <f>IF(AND($F26&lt;=AO$2, OR($G26="",$G26&gt;=AO$2)),
  $H26 * (1 + Assumptions!$C$7) ^ INT(((YEAR(AO$2)-YEAR($F26))*12 + MONTH(AO$2)-MONTH($F26)) / 12),
  0)</f>
        <v>6500</v>
      </c>
      <c r="AP26" s="291">
        <f>IF(AND($F26&lt;=AP$2, OR($G26="",$G26&gt;=AP$2)),
  $H26 * (1 + Assumptions!$C$7) ^ INT(((YEAR(AP$2)-YEAR($F26))*12 + MONTH(AP$2)-MONTH($F26)) / 12),
  0)</f>
        <v>6500</v>
      </c>
      <c r="AQ26" s="291">
        <f>IF(AND($F26&lt;=AQ$2, OR($G26="",$G26&gt;=AQ$2)),
  $H26 * (1 + Assumptions!$C$7) ^ INT(((YEAR(AQ$2)-YEAR($F26))*12 + MONTH(AQ$2)-MONTH($F26)) / 12),
  0)</f>
        <v>6500</v>
      </c>
      <c r="AR26" s="291">
        <f>IF(AND($F26&lt;=AR$2, OR($G26="",$G26&gt;=AR$2)),
  $H26 * (1 + Assumptions!$C$7) ^ INT(((YEAR(AR$2)-YEAR($F26))*12 + MONTH(AR$2)-MONTH($F26)) / 12),
  0)</f>
        <v>6500</v>
      </c>
      <c r="AS26" s="291">
        <f>IF(AND($F26&lt;=AS$2, OR($G26="",$G26&gt;=AS$2)),
  $H26 * (1 + Assumptions!$C$7) ^ INT(((YEAR(AS$2)-YEAR($F26))*12 + MONTH(AS$2)-MONTH($F26)) / 12),
  0)</f>
        <v>7020</v>
      </c>
      <c r="AT26" s="291">
        <f>IF(AND($F26&lt;=AT$2, OR($G26="",$G26&gt;=AT$2)),
  $H26 * (1 + Assumptions!$C$7) ^ INT(((YEAR(AT$2)-YEAR($F26))*12 + MONTH(AT$2)-MONTH($F26)) / 12),
  0)</f>
        <v>7020</v>
      </c>
      <c r="AU26" s="291">
        <f>IF(AND($F26&lt;=AU$2, OR($G26="",$G26&gt;=AU$2)),
  $H26 * (1 + Assumptions!$C$7) ^ INT(((YEAR(AU$2)-YEAR($F26))*12 + MONTH(AU$2)-MONTH($F26)) / 12),
  0)</f>
        <v>7020</v>
      </c>
      <c r="AV26" s="291">
        <f>IF(AND($F26&lt;=AV$2, OR($G26="",$G26&gt;=AV$2)),
  $H26 * (1 + Assumptions!$C$7) ^ INT(((YEAR(AV$2)-YEAR($F26))*12 + MONTH(AV$2)-MONTH($F26)) / 12),
  0)</f>
        <v>7020</v>
      </c>
      <c r="AW26" s="291">
        <f>IF(AND($F26&lt;=AW$2, OR($G26="",$G26&gt;=AW$2)),
  $H26 * (1 + Assumptions!$C$7) ^ INT(((YEAR(AW$2)-YEAR($F26))*12 + MONTH(AW$2)-MONTH($F26)) / 12),
  0)</f>
        <v>7020</v>
      </c>
      <c r="AX26" s="291">
        <f>IF(AND($F26&lt;=AX$2, OR($G26="",$G26&gt;=AX$2)),
  $H26 * (1 + Assumptions!$C$7) ^ INT(((YEAR(AX$2)-YEAR($F26))*12 + MONTH(AX$2)-MONTH($F26)) / 12),
  0)</f>
        <v>7020</v>
      </c>
      <c r="AY26" s="291">
        <f>IF(AND($F26&lt;=AY$2, OR($G26="",$G26&gt;=AY$2)),
  $H26 * (1 + Assumptions!$C$7) ^ INT(((YEAR(AY$2)-YEAR($F26))*12 + MONTH(AY$2)-MONTH($F26)) / 12),
  0)</f>
        <v>7020</v>
      </c>
      <c r="AZ26" s="291">
        <f>IF(AND($F26&lt;=AZ$2, OR($G26="",$G26&gt;=AZ$2)),
  $H26 * (1 + Assumptions!$C$7) ^ INT(((YEAR(AZ$2)-YEAR($F26))*12 + MONTH(AZ$2)-MONTH($F26)) / 12),
  0)</f>
        <v>7020</v>
      </c>
      <c r="BA26" s="291">
        <f>IF(AND($F26&lt;=BA$2, OR($G26="",$G26&gt;=BA$2)),
  $H26 * (1 + Assumptions!$C$7) ^ INT(((YEAR(BA$2)-YEAR($F26))*12 + MONTH(BA$2)-MONTH($F26)) / 12),
  0)</f>
        <v>7020</v>
      </c>
      <c r="BB26" s="291">
        <f>IF(AND($F26&lt;=BB$2, OR($G26="",$G26&gt;=BB$2)),
  $H26 * (1 + Assumptions!$C$7) ^ INT(((YEAR(BB$2)-YEAR($F26))*12 + MONTH(BB$2)-MONTH($F26)) / 12),
  0)</f>
        <v>7020</v>
      </c>
      <c r="BC26" s="291">
        <f>IF(AND($F26&lt;=BC$2, OR($G26="",$G26&gt;=BC$2)),
  $H26 * (1 + Assumptions!$C$7) ^ INT(((YEAR(BC$2)-YEAR($F26))*12 + MONTH(BC$2)-MONTH($F26)) / 12),
  0)</f>
        <v>7020</v>
      </c>
      <c r="BD26" s="291">
        <f>IF(AND($F26&lt;=BD$2, OR($G26="",$G26&gt;=BD$2)),
  $H26 * (1 + Assumptions!$C$7) ^ INT(((YEAR(BD$2)-YEAR($F26))*12 + MONTH(BD$2)-MONTH($F26)) / 12),
  0)</f>
        <v>7020</v>
      </c>
      <c r="BE26" s="291">
        <f>IF(AND($F26&lt;=BE$2, OR($G26="",$G26&gt;=BE$2)),
  $H26 * (1 + Assumptions!$C$7) ^ INT(((YEAR(BE$2)-YEAR($F26))*12 + MONTH(BE$2)-MONTH($F26)) / 12),
  0)</f>
        <v>7581.6</v>
      </c>
      <c r="BF26" s="291">
        <f>IF(AND($F26&lt;=BF$2, OR($G26="",$G26&gt;=BF$2)),
  $H26 * (1 + Assumptions!$C$7) ^ INT(((YEAR(BF$2)-YEAR($F26))*12 + MONTH(BF$2)-MONTH($F26)) / 12),
  0)</f>
        <v>7581.6</v>
      </c>
      <c r="BG26" s="291">
        <f>IF(AND($F26&lt;=BG$2, OR($G26="",$G26&gt;=BG$2)),
  $H26 * (1 + Assumptions!$C$7) ^ INT(((YEAR(BG$2)-YEAR($F26))*12 + MONTH(BG$2)-MONTH($F26)) / 12),
  0)</f>
        <v>7581.6</v>
      </c>
      <c r="BH26" s="291">
        <f>IF(AND($F26&lt;=BH$2, OR($G26="",$G26&gt;=BH$2)),
  $H26 * (1 + Assumptions!$C$7) ^ INT(((YEAR(BH$2)-YEAR($F26))*12 + MONTH(BH$2)-MONTH($F26)) / 12),
  0)</f>
        <v>7581.6</v>
      </c>
      <c r="BI26" s="291">
        <f>IF(AND($F26&lt;=BI$2, OR($G26="",$G26&gt;=BI$2)),
  $H26 * (1 + Assumptions!$C$7) ^ INT(((YEAR(BI$2)-YEAR($F26))*12 + MONTH(BI$2)-MONTH($F26)) / 12),
  0)</f>
        <v>7581.6</v>
      </c>
      <c r="BJ26" s="291">
        <f>IF(AND($F26&lt;=BJ$2, OR($G26="",$G26&gt;=BJ$2)),
  $H26 * (1 + Assumptions!$C$7) ^ INT(((YEAR(BJ$2)-YEAR($F26))*12 + MONTH(BJ$2)-MONTH($F26)) / 12),
  0)</f>
        <v>7581.6</v>
      </c>
      <c r="BK26" s="291">
        <f>IF(AND($F26&lt;=BK$2, OR($G26="",$G26&gt;=BK$2)),
  $H26 * (1 + Assumptions!$C$7) ^ INT(((YEAR(BK$2)-YEAR($F26))*12 + MONTH(BK$2)-MONTH($F26)) / 12),
  0)</f>
        <v>7581.6</v>
      </c>
      <c r="BL26" s="291">
        <f>IF(AND($F26&lt;=BL$2, OR($G26="",$G26&gt;=BL$2)),
  $H26 * (1 + Assumptions!$C$7) ^ INT(((YEAR(BL$2)-YEAR($F26))*12 + MONTH(BL$2)-MONTH($F26)) / 12),
  0)</f>
        <v>7581.6</v>
      </c>
      <c r="BM26" s="291">
        <f>IF(AND($F26&lt;=BM$2, OR($G26="",$G26&gt;=BM$2)),
  $H26 * (1 + Assumptions!$C$7) ^ INT(((YEAR(BM$2)-YEAR($F26))*12 + MONTH(BM$2)-MONTH($F26)) / 12),
  0)</f>
        <v>7581.6</v>
      </c>
      <c r="BN26" s="291">
        <f>IF(AND($F26&lt;=BN$2, OR($G26="",$G26&gt;=BN$2)),
  $H26 * (1 + Assumptions!$C$7) ^ INT(((YEAR(BN$2)-YEAR($F26))*12 + MONTH(BN$2)-MONTH($F26)) / 12),
  0)</f>
        <v>7581.6</v>
      </c>
      <c r="BO26" s="291">
        <f>IF(AND($F26&lt;=BO$2, OR($G26="",$G26&gt;=BO$2)),
  $H26 * (1 + Assumptions!$C$7) ^ INT(((YEAR(BO$2)-YEAR($F26))*12 + MONTH(BO$2)-MONTH($F26)) / 12),
  0)</f>
        <v>7581.6</v>
      </c>
      <c r="BP26" s="291">
        <f>IF(AND($F26&lt;=BP$2, OR($G26="",$G26&gt;=BP$2)),
  $H26 * (1 + Assumptions!$C$7) ^ INT(((YEAR(BP$2)-YEAR($F26))*12 + MONTH(BP$2)-MONTH($F26)) / 12),
  0)</f>
        <v>7581.6</v>
      </c>
      <c r="BQ26" s="37"/>
    </row>
    <row r="27" ht="15.75" customHeight="1">
      <c r="A27" s="298">
        <v>22.0</v>
      </c>
      <c r="B27" s="282" t="s">
        <v>335</v>
      </c>
      <c r="C27" s="282" t="s">
        <v>144</v>
      </c>
      <c r="D27" s="303" t="s">
        <v>322</v>
      </c>
      <c r="E27" s="289" t="s">
        <v>337</v>
      </c>
      <c r="F27" s="283">
        <v>46539.0</v>
      </c>
      <c r="G27" s="294"/>
      <c r="H27" s="285">
        <v>6500.0</v>
      </c>
      <c r="I27" s="291">
        <f>IF(AND($F27&lt;=I$2, OR($G27="",$G27&gt;=I$2)),
  $H27 * (1 + Assumptions!$C$7) ^ INT(((YEAR(I$2)-YEAR($F27))*12 + MONTH(I$2)-MONTH($F27)) / 12),
  0)</f>
        <v>0</v>
      </c>
      <c r="J27" s="291">
        <f>IF(AND($F27&lt;=J$2, OR($G27="",$G27&gt;=J$2)),
  $H27 * (1 + Assumptions!$C$7) ^ INT(((YEAR(J$2)-YEAR($F27))*12 + MONTH(J$2)-MONTH($F27)) / 12),
  0)</f>
        <v>0</v>
      </c>
      <c r="K27" s="291">
        <f>IF(AND($F27&lt;=K$2, OR($G27="",$G27&gt;=K$2)),
  $H27 * (1 + Assumptions!$C$7) ^ INT(((YEAR(K$2)-YEAR($F27))*12 + MONTH(K$2)-MONTH($F27)) / 12),
  0)</f>
        <v>0</v>
      </c>
      <c r="L27" s="291">
        <f>IF(AND($F27&lt;=L$2, OR($G27="",$G27&gt;=L$2)),
  $H27 * (1 + Assumptions!$C$7) ^ INT(((YEAR(L$2)-YEAR($F27))*12 + MONTH(L$2)-MONTH($F27)) / 12),
  0)</f>
        <v>0</v>
      </c>
      <c r="M27" s="291">
        <f>IF(AND($F27&lt;=M$2, OR($G27="",$G27&gt;=M$2)),
  $H27 * (1 + Assumptions!$C$7) ^ INT(((YEAR(M$2)-YEAR($F27))*12 + MONTH(M$2)-MONTH($F27)) / 12),
  0)</f>
        <v>0</v>
      </c>
      <c r="N27" s="291">
        <f>IF(AND($F27&lt;=N$2, OR($G27="",$G27&gt;=N$2)),
  $H27 * (1 + Assumptions!$C$7) ^ INT(((YEAR(N$2)-YEAR($F27))*12 + MONTH(N$2)-MONTH($F27)) / 12),
  0)</f>
        <v>0</v>
      </c>
      <c r="O27" s="291">
        <f>IF(AND($F27&lt;=O$2, OR($G27="",$G27&gt;=O$2)),
  $H27 * (1 + Assumptions!$C$7) ^ INT(((YEAR(O$2)-YEAR($F27))*12 + MONTH(O$2)-MONTH($F27)) / 12),
  0)</f>
        <v>0</v>
      </c>
      <c r="P27" s="291">
        <f>IF(AND($F27&lt;=P$2, OR($G27="",$G27&gt;=P$2)),
  $H27 * (1 + Assumptions!$C$7) ^ INT(((YEAR(P$2)-YEAR($F27))*12 + MONTH(P$2)-MONTH($F27)) / 12),
  0)</f>
        <v>0</v>
      </c>
      <c r="Q27" s="291">
        <f>IF(AND($F27&lt;=Q$2, OR($G27="",$G27&gt;=Q$2)),
  $H27 * (1 + Assumptions!$C$7) ^ INT(((YEAR(Q$2)-YEAR($F27))*12 + MONTH(Q$2)-MONTH($F27)) / 12),
  0)</f>
        <v>0</v>
      </c>
      <c r="R27" s="291">
        <f>IF(AND($F27&lt;=R$2, OR($G27="",$G27&gt;=R$2)),
  $H27 * (1 + Assumptions!$C$7) ^ INT(((YEAR(R$2)-YEAR($F27))*12 + MONTH(R$2)-MONTH($F27)) / 12),
  0)</f>
        <v>0</v>
      </c>
      <c r="S27" s="291">
        <f>IF(AND($F27&lt;=S$2, OR($G27="",$G27&gt;=S$2)),
  $H27 * (1 + Assumptions!$C$7) ^ INT(((YEAR(S$2)-YEAR($F27))*12 + MONTH(S$2)-MONTH($F27)) / 12),
  0)</f>
        <v>0</v>
      </c>
      <c r="T27" s="291">
        <f>IF(AND($F27&lt;=T$2, OR($G27="",$G27&gt;=T$2)),
  $H27 * (1 + Assumptions!$C$7) ^ INT(((YEAR(T$2)-YEAR($F27))*12 + MONTH(T$2)-MONTH($F27)) / 12),
  0)</f>
        <v>0</v>
      </c>
      <c r="U27" s="291">
        <f>IF(AND($F27&lt;=U$2, OR($G27="",$G27&gt;=U$2)),
  $H27 * (1 + Assumptions!$C$7) ^ INT(((YEAR(U$2)-YEAR($F27))*12 + MONTH(U$2)-MONTH($F27)) / 12),
  0)</f>
        <v>0</v>
      </c>
      <c r="V27" s="291">
        <f>IF(AND($F27&lt;=V$2, OR($G27="",$G27&gt;=V$2)),
  $H27 * (1 + Assumptions!$C$7) ^ INT(((YEAR(V$2)-YEAR($F27))*12 + MONTH(V$2)-MONTH($F27)) / 12),
  0)</f>
        <v>0</v>
      </c>
      <c r="W27" s="291">
        <f>IF(AND($F27&lt;=W$2, OR($G27="",$G27&gt;=W$2)),
  $H27 * (1 + Assumptions!$C$7) ^ INT(((YEAR(W$2)-YEAR($F27))*12 + MONTH(W$2)-MONTH($F27)) / 12),
  0)</f>
        <v>0</v>
      </c>
      <c r="X27" s="291">
        <f>IF(AND($F27&lt;=X$2, OR($G27="",$G27&gt;=X$2)),
  $H27 * (1 + Assumptions!$C$7) ^ INT(((YEAR(X$2)-YEAR($F27))*12 + MONTH(X$2)-MONTH($F27)) / 12),
  0)</f>
        <v>0</v>
      </c>
      <c r="Y27" s="291">
        <f>IF(AND($F27&lt;=Y$2, OR($G27="",$G27&gt;=Y$2)),
  $H27 * (1 + Assumptions!$C$7) ^ INT(((YEAR(Y$2)-YEAR($F27))*12 + MONTH(Y$2)-MONTH($F27)) / 12),
  0)</f>
        <v>0</v>
      </c>
      <c r="Z27" s="291">
        <f>IF(AND($F27&lt;=Z$2, OR($G27="",$G27&gt;=Z$2)),
  $H27 * (1 + Assumptions!$C$7) ^ INT(((YEAR(Z$2)-YEAR($F27))*12 + MONTH(Z$2)-MONTH($F27)) / 12),
  0)</f>
        <v>0</v>
      </c>
      <c r="AA27" s="291">
        <f>IF(AND($F27&lt;=AA$2, OR($G27="",$G27&gt;=AA$2)),
  $H27 * (1 + Assumptions!$C$7) ^ INT(((YEAR(AA$2)-YEAR($F27))*12 + MONTH(AA$2)-MONTH($F27)) / 12),
  0)</f>
        <v>0</v>
      </c>
      <c r="AB27" s="291">
        <f>IF(AND($F27&lt;=AB$2, OR($G27="",$G27&gt;=AB$2)),
  $H27 * (1 + Assumptions!$C$7) ^ INT(((YEAR(AB$2)-YEAR($F27))*12 + MONTH(AB$2)-MONTH($F27)) / 12),
  0)</f>
        <v>0</v>
      </c>
      <c r="AC27" s="291">
        <f>IF(AND($F27&lt;=AC$2, OR($G27="",$G27&gt;=AC$2)),
  $H27 * (1 + Assumptions!$C$7) ^ INT(((YEAR(AC$2)-YEAR($F27))*12 + MONTH(AC$2)-MONTH($F27)) / 12),
  0)</f>
        <v>0</v>
      </c>
      <c r="AD27" s="291">
        <f>IF(AND($F27&lt;=AD$2, OR($G27="",$G27&gt;=AD$2)),
  $H27 * (1 + Assumptions!$C$7) ^ INT(((YEAR(AD$2)-YEAR($F27))*12 + MONTH(AD$2)-MONTH($F27)) / 12),
  0)</f>
        <v>0</v>
      </c>
      <c r="AE27" s="291">
        <f>IF(AND($F27&lt;=AE$2, OR($G27="",$G27&gt;=AE$2)),
  $H27 * (1 + Assumptions!$C$7) ^ INT(((YEAR(AE$2)-YEAR($F27))*12 + MONTH(AE$2)-MONTH($F27)) / 12),
  0)</f>
        <v>0</v>
      </c>
      <c r="AF27" s="291">
        <f>IF(AND($F27&lt;=AF$2, OR($G27="",$G27&gt;=AF$2)),
  $H27 * (1 + Assumptions!$C$7) ^ INT(((YEAR(AF$2)-YEAR($F27))*12 + MONTH(AF$2)-MONTH($F27)) / 12),
  0)</f>
        <v>0</v>
      </c>
      <c r="AG27" s="291">
        <f>IF(AND($F27&lt;=AG$2, OR($G27="",$G27&gt;=AG$2)),
  $H27 * (1 + Assumptions!$C$7) ^ INT(((YEAR(AG$2)-YEAR($F27))*12 + MONTH(AG$2)-MONTH($F27)) / 12),
  0)</f>
        <v>0</v>
      </c>
      <c r="AH27" s="291">
        <f>IF(AND($F27&lt;=AH$2, OR($G27="",$G27&gt;=AH$2)),
  $H27 * (1 + Assumptions!$C$7) ^ INT(((YEAR(AH$2)-YEAR($F27))*12 + MONTH(AH$2)-MONTH($F27)) / 12),
  0)</f>
        <v>0</v>
      </c>
      <c r="AI27" s="291">
        <f>IF(AND($F27&lt;=AI$2, OR($G27="",$G27&gt;=AI$2)),
  $H27 * (1 + Assumptions!$C$7) ^ INT(((YEAR(AI$2)-YEAR($F27))*12 + MONTH(AI$2)-MONTH($F27)) / 12),
  0)</f>
        <v>0</v>
      </c>
      <c r="AJ27" s="291">
        <f>IF(AND($F27&lt;=AJ$2, OR($G27="",$G27&gt;=AJ$2)),
  $H27 * (1 + Assumptions!$C$7) ^ INT(((YEAR(AJ$2)-YEAR($F27))*12 + MONTH(AJ$2)-MONTH($F27)) / 12),
  0)</f>
        <v>0</v>
      </c>
      <c r="AK27" s="291">
        <f>IF(AND($F27&lt;=AK$2, OR($G27="",$G27&gt;=AK$2)),
  $H27 * (1 + Assumptions!$C$7) ^ INT(((YEAR(AK$2)-YEAR($F27))*12 + MONTH(AK$2)-MONTH($F27)) / 12),
  0)</f>
        <v>0</v>
      </c>
      <c r="AL27" s="291">
        <f>IF(AND($F27&lt;=AL$2, OR($G27="",$G27&gt;=AL$2)),
  $H27 * (1 + Assumptions!$C$7) ^ INT(((YEAR(AL$2)-YEAR($F27))*12 + MONTH(AL$2)-MONTH($F27)) / 12),
  0)</f>
        <v>6500</v>
      </c>
      <c r="AM27" s="291">
        <f>IF(AND($F27&lt;=AM$2, OR($G27="",$G27&gt;=AM$2)),
  $H27 * (1 + Assumptions!$C$7) ^ INT(((YEAR(AM$2)-YEAR($F27))*12 + MONTH(AM$2)-MONTH($F27)) / 12),
  0)</f>
        <v>6500</v>
      </c>
      <c r="AN27" s="291">
        <f>IF(AND($F27&lt;=AN$2, OR($G27="",$G27&gt;=AN$2)),
  $H27 * (1 + Assumptions!$C$7) ^ INT(((YEAR(AN$2)-YEAR($F27))*12 + MONTH(AN$2)-MONTH($F27)) / 12),
  0)</f>
        <v>6500</v>
      </c>
      <c r="AO27" s="291">
        <f>IF(AND($F27&lt;=AO$2, OR($G27="",$G27&gt;=AO$2)),
  $H27 * (1 + Assumptions!$C$7) ^ INT(((YEAR(AO$2)-YEAR($F27))*12 + MONTH(AO$2)-MONTH($F27)) / 12),
  0)</f>
        <v>6500</v>
      </c>
      <c r="AP27" s="291">
        <f>IF(AND($F27&lt;=AP$2, OR($G27="",$G27&gt;=AP$2)),
  $H27 * (1 + Assumptions!$C$7) ^ INT(((YEAR(AP$2)-YEAR($F27))*12 + MONTH(AP$2)-MONTH($F27)) / 12),
  0)</f>
        <v>6500</v>
      </c>
      <c r="AQ27" s="291">
        <f>IF(AND($F27&lt;=AQ$2, OR($G27="",$G27&gt;=AQ$2)),
  $H27 * (1 + Assumptions!$C$7) ^ INT(((YEAR(AQ$2)-YEAR($F27))*12 + MONTH(AQ$2)-MONTH($F27)) / 12),
  0)</f>
        <v>6500</v>
      </c>
      <c r="AR27" s="291">
        <f>IF(AND($F27&lt;=AR$2, OR($G27="",$G27&gt;=AR$2)),
  $H27 * (1 + Assumptions!$C$7) ^ INT(((YEAR(AR$2)-YEAR($F27))*12 + MONTH(AR$2)-MONTH($F27)) / 12),
  0)</f>
        <v>6500</v>
      </c>
      <c r="AS27" s="291">
        <f>IF(AND($F27&lt;=AS$2, OR($G27="",$G27&gt;=AS$2)),
  $H27 * (1 + Assumptions!$C$7) ^ INT(((YEAR(AS$2)-YEAR($F27))*12 + MONTH(AS$2)-MONTH($F27)) / 12),
  0)</f>
        <v>6500</v>
      </c>
      <c r="AT27" s="291">
        <f>IF(AND($F27&lt;=AT$2, OR($G27="",$G27&gt;=AT$2)),
  $H27 * (1 + Assumptions!$C$7) ^ INT(((YEAR(AT$2)-YEAR($F27))*12 + MONTH(AT$2)-MONTH($F27)) / 12),
  0)</f>
        <v>6500</v>
      </c>
      <c r="AU27" s="291">
        <f>IF(AND($F27&lt;=AU$2, OR($G27="",$G27&gt;=AU$2)),
  $H27 * (1 + Assumptions!$C$7) ^ INT(((YEAR(AU$2)-YEAR($F27))*12 + MONTH(AU$2)-MONTH($F27)) / 12),
  0)</f>
        <v>6500</v>
      </c>
      <c r="AV27" s="291">
        <f>IF(AND($F27&lt;=AV$2, OR($G27="",$G27&gt;=AV$2)),
  $H27 * (1 + Assumptions!$C$7) ^ INT(((YEAR(AV$2)-YEAR($F27))*12 + MONTH(AV$2)-MONTH($F27)) / 12),
  0)</f>
        <v>6500</v>
      </c>
      <c r="AW27" s="291">
        <f>IF(AND($F27&lt;=AW$2, OR($G27="",$G27&gt;=AW$2)),
  $H27 * (1 + Assumptions!$C$7) ^ INT(((YEAR(AW$2)-YEAR($F27))*12 + MONTH(AW$2)-MONTH($F27)) / 12),
  0)</f>
        <v>6500</v>
      </c>
      <c r="AX27" s="291">
        <f>IF(AND($F27&lt;=AX$2, OR($G27="",$G27&gt;=AX$2)),
  $H27 * (1 + Assumptions!$C$7) ^ INT(((YEAR(AX$2)-YEAR($F27))*12 + MONTH(AX$2)-MONTH($F27)) / 12),
  0)</f>
        <v>7020</v>
      </c>
      <c r="AY27" s="291">
        <f>IF(AND($F27&lt;=AY$2, OR($G27="",$G27&gt;=AY$2)),
  $H27 * (1 + Assumptions!$C$7) ^ INT(((YEAR(AY$2)-YEAR($F27))*12 + MONTH(AY$2)-MONTH($F27)) / 12),
  0)</f>
        <v>7020</v>
      </c>
      <c r="AZ27" s="291">
        <f>IF(AND($F27&lt;=AZ$2, OR($G27="",$G27&gt;=AZ$2)),
  $H27 * (1 + Assumptions!$C$7) ^ INT(((YEAR(AZ$2)-YEAR($F27))*12 + MONTH(AZ$2)-MONTH($F27)) / 12),
  0)</f>
        <v>7020</v>
      </c>
      <c r="BA27" s="291">
        <f>IF(AND($F27&lt;=BA$2, OR($G27="",$G27&gt;=BA$2)),
  $H27 * (1 + Assumptions!$C$7) ^ INT(((YEAR(BA$2)-YEAR($F27))*12 + MONTH(BA$2)-MONTH($F27)) / 12),
  0)</f>
        <v>7020</v>
      </c>
      <c r="BB27" s="291">
        <f>IF(AND($F27&lt;=BB$2, OR($G27="",$G27&gt;=BB$2)),
  $H27 * (1 + Assumptions!$C$7) ^ INT(((YEAR(BB$2)-YEAR($F27))*12 + MONTH(BB$2)-MONTH($F27)) / 12),
  0)</f>
        <v>7020</v>
      </c>
      <c r="BC27" s="291">
        <f>IF(AND($F27&lt;=BC$2, OR($G27="",$G27&gt;=BC$2)),
  $H27 * (1 + Assumptions!$C$7) ^ INT(((YEAR(BC$2)-YEAR($F27))*12 + MONTH(BC$2)-MONTH($F27)) / 12),
  0)</f>
        <v>7020</v>
      </c>
      <c r="BD27" s="291">
        <f>IF(AND($F27&lt;=BD$2, OR($G27="",$G27&gt;=BD$2)),
  $H27 * (1 + Assumptions!$C$7) ^ INT(((YEAR(BD$2)-YEAR($F27))*12 + MONTH(BD$2)-MONTH($F27)) / 12),
  0)</f>
        <v>7020</v>
      </c>
      <c r="BE27" s="291">
        <f>IF(AND($F27&lt;=BE$2, OR($G27="",$G27&gt;=BE$2)),
  $H27 * (1 + Assumptions!$C$7) ^ INT(((YEAR(BE$2)-YEAR($F27))*12 + MONTH(BE$2)-MONTH($F27)) / 12),
  0)</f>
        <v>7020</v>
      </c>
      <c r="BF27" s="291">
        <f>IF(AND($F27&lt;=BF$2, OR($G27="",$G27&gt;=BF$2)),
  $H27 * (1 + Assumptions!$C$7) ^ INT(((YEAR(BF$2)-YEAR($F27))*12 + MONTH(BF$2)-MONTH($F27)) / 12),
  0)</f>
        <v>7020</v>
      </c>
      <c r="BG27" s="291">
        <f>IF(AND($F27&lt;=BG$2, OR($G27="",$G27&gt;=BG$2)),
  $H27 * (1 + Assumptions!$C$7) ^ INT(((YEAR(BG$2)-YEAR($F27))*12 + MONTH(BG$2)-MONTH($F27)) / 12),
  0)</f>
        <v>7020</v>
      </c>
      <c r="BH27" s="291">
        <f>IF(AND($F27&lt;=BH$2, OR($G27="",$G27&gt;=BH$2)),
  $H27 * (1 + Assumptions!$C$7) ^ INT(((YEAR(BH$2)-YEAR($F27))*12 + MONTH(BH$2)-MONTH($F27)) / 12),
  0)</f>
        <v>7020</v>
      </c>
      <c r="BI27" s="291">
        <f>IF(AND($F27&lt;=BI$2, OR($G27="",$G27&gt;=BI$2)),
  $H27 * (1 + Assumptions!$C$7) ^ INT(((YEAR(BI$2)-YEAR($F27))*12 + MONTH(BI$2)-MONTH($F27)) / 12),
  0)</f>
        <v>7020</v>
      </c>
      <c r="BJ27" s="291">
        <f>IF(AND($F27&lt;=BJ$2, OR($G27="",$G27&gt;=BJ$2)),
  $H27 * (1 + Assumptions!$C$7) ^ INT(((YEAR(BJ$2)-YEAR($F27))*12 + MONTH(BJ$2)-MONTH($F27)) / 12),
  0)</f>
        <v>7581.6</v>
      </c>
      <c r="BK27" s="291">
        <f>IF(AND($F27&lt;=BK$2, OR($G27="",$G27&gt;=BK$2)),
  $H27 * (1 + Assumptions!$C$7) ^ INT(((YEAR(BK$2)-YEAR($F27))*12 + MONTH(BK$2)-MONTH($F27)) / 12),
  0)</f>
        <v>7581.6</v>
      </c>
      <c r="BL27" s="291">
        <f>IF(AND($F27&lt;=BL$2, OR($G27="",$G27&gt;=BL$2)),
  $H27 * (1 + Assumptions!$C$7) ^ INT(((YEAR(BL$2)-YEAR($F27))*12 + MONTH(BL$2)-MONTH($F27)) / 12),
  0)</f>
        <v>7581.6</v>
      </c>
      <c r="BM27" s="291">
        <f>IF(AND($F27&lt;=BM$2, OR($G27="",$G27&gt;=BM$2)),
  $H27 * (1 + Assumptions!$C$7) ^ INT(((YEAR(BM$2)-YEAR($F27))*12 + MONTH(BM$2)-MONTH($F27)) / 12),
  0)</f>
        <v>7581.6</v>
      </c>
      <c r="BN27" s="291">
        <f>IF(AND($F27&lt;=BN$2, OR($G27="",$G27&gt;=BN$2)),
  $H27 * (1 + Assumptions!$C$7) ^ INT(((YEAR(BN$2)-YEAR($F27))*12 + MONTH(BN$2)-MONTH($F27)) / 12),
  0)</f>
        <v>7581.6</v>
      </c>
      <c r="BO27" s="291">
        <f>IF(AND($F27&lt;=BO$2, OR($G27="",$G27&gt;=BO$2)),
  $H27 * (1 + Assumptions!$C$7) ^ INT(((YEAR(BO$2)-YEAR($F27))*12 + MONTH(BO$2)-MONTH($F27)) / 12),
  0)</f>
        <v>7581.6</v>
      </c>
      <c r="BP27" s="291">
        <f>IF(AND($F27&lt;=BP$2, OR($G27="",$G27&gt;=BP$2)),
  $H27 * (1 + Assumptions!$C$7) ^ INT(((YEAR(BP$2)-YEAR($F27))*12 + MONTH(BP$2)-MONTH($F27)) / 12),
  0)</f>
        <v>7581.6</v>
      </c>
      <c r="BQ27" s="37"/>
    </row>
    <row r="28" ht="15.75" customHeight="1">
      <c r="A28" s="298">
        <v>23.0</v>
      </c>
      <c r="B28" s="282" t="s">
        <v>335</v>
      </c>
      <c r="C28" s="282" t="s">
        <v>141</v>
      </c>
      <c r="D28" s="299" t="s">
        <v>344</v>
      </c>
      <c r="E28" s="289" t="s">
        <v>337</v>
      </c>
      <c r="F28" s="283">
        <v>46539.0</v>
      </c>
      <c r="G28" s="301"/>
      <c r="H28" s="285">
        <v>7500.0</v>
      </c>
      <c r="I28" s="291">
        <f>IF(AND($F28&lt;=I$2, OR($G28="",$G28&gt;=I$2)),
  $H28 * (1 + Assumptions!$C$7) ^ INT(((YEAR(I$2)-YEAR($F28))*12 + MONTH(I$2)-MONTH($F28)) / 12),
  0)</f>
        <v>0</v>
      </c>
      <c r="J28" s="291">
        <f>IF(AND($F28&lt;=J$2, OR($G28="",$G28&gt;=J$2)),
  $H28 * (1 + Assumptions!$C$7) ^ INT(((YEAR(J$2)-YEAR($F28))*12 + MONTH(J$2)-MONTH($F28)) / 12),
  0)</f>
        <v>0</v>
      </c>
      <c r="K28" s="291">
        <f>IF(AND($F28&lt;=K$2, OR($G28="",$G28&gt;=K$2)),
  $H28 * (1 + Assumptions!$C$7) ^ INT(((YEAR(K$2)-YEAR($F28))*12 + MONTH(K$2)-MONTH($F28)) / 12),
  0)</f>
        <v>0</v>
      </c>
      <c r="L28" s="291">
        <f>IF(AND($F28&lt;=L$2, OR($G28="",$G28&gt;=L$2)),
  $H28 * (1 + Assumptions!$C$7) ^ INT(((YEAR(L$2)-YEAR($F28))*12 + MONTH(L$2)-MONTH($F28)) / 12),
  0)</f>
        <v>0</v>
      </c>
      <c r="M28" s="291">
        <f>IF(AND($F28&lt;=M$2, OR($G28="",$G28&gt;=M$2)),
  $H28 * (1 + Assumptions!$C$7) ^ INT(((YEAR(M$2)-YEAR($F28))*12 + MONTH(M$2)-MONTH($F28)) / 12),
  0)</f>
        <v>0</v>
      </c>
      <c r="N28" s="291">
        <f>IF(AND($F28&lt;=N$2, OR($G28="",$G28&gt;=N$2)),
  $H28 * (1 + Assumptions!$C$7) ^ INT(((YEAR(N$2)-YEAR($F28))*12 + MONTH(N$2)-MONTH($F28)) / 12),
  0)</f>
        <v>0</v>
      </c>
      <c r="O28" s="291">
        <f>IF(AND($F28&lt;=O$2, OR($G28="",$G28&gt;=O$2)),
  $H28 * (1 + Assumptions!$C$7) ^ INT(((YEAR(O$2)-YEAR($F28))*12 + MONTH(O$2)-MONTH($F28)) / 12),
  0)</f>
        <v>0</v>
      </c>
      <c r="P28" s="291">
        <f>IF(AND($F28&lt;=P$2, OR($G28="",$G28&gt;=P$2)),
  $H28 * (1 + Assumptions!$C$7) ^ INT(((YEAR(P$2)-YEAR($F28))*12 + MONTH(P$2)-MONTH($F28)) / 12),
  0)</f>
        <v>0</v>
      </c>
      <c r="Q28" s="291">
        <f>IF(AND($F28&lt;=Q$2, OR($G28="",$G28&gt;=Q$2)),
  $H28 * (1 + Assumptions!$C$7) ^ INT(((YEAR(Q$2)-YEAR($F28))*12 + MONTH(Q$2)-MONTH($F28)) / 12),
  0)</f>
        <v>0</v>
      </c>
      <c r="R28" s="291">
        <f>IF(AND($F28&lt;=R$2, OR($G28="",$G28&gt;=R$2)),
  $H28 * (1 + Assumptions!$C$7) ^ INT(((YEAR(R$2)-YEAR($F28))*12 + MONTH(R$2)-MONTH($F28)) / 12),
  0)</f>
        <v>0</v>
      </c>
      <c r="S28" s="291">
        <f>IF(AND($F28&lt;=S$2, OR($G28="",$G28&gt;=S$2)),
  $H28 * (1 + Assumptions!$C$7) ^ INT(((YEAR(S$2)-YEAR($F28))*12 + MONTH(S$2)-MONTH($F28)) / 12),
  0)</f>
        <v>0</v>
      </c>
      <c r="T28" s="291">
        <f>IF(AND($F28&lt;=T$2, OR($G28="",$G28&gt;=T$2)),
  $H28 * (1 + Assumptions!$C$7) ^ INT(((YEAR(T$2)-YEAR($F28))*12 + MONTH(T$2)-MONTH($F28)) / 12),
  0)</f>
        <v>0</v>
      </c>
      <c r="U28" s="291">
        <f>IF(AND($F28&lt;=U$2, OR($G28="",$G28&gt;=U$2)),
  $H28 * (1 + Assumptions!$C$7) ^ INT(((YEAR(U$2)-YEAR($F28))*12 + MONTH(U$2)-MONTH($F28)) / 12),
  0)</f>
        <v>0</v>
      </c>
      <c r="V28" s="291">
        <f>IF(AND($F28&lt;=V$2, OR($G28="",$G28&gt;=V$2)),
  $H28 * (1 + Assumptions!$C$7) ^ INT(((YEAR(V$2)-YEAR($F28))*12 + MONTH(V$2)-MONTH($F28)) / 12),
  0)</f>
        <v>0</v>
      </c>
      <c r="W28" s="291">
        <f>IF(AND($F28&lt;=W$2, OR($G28="",$G28&gt;=W$2)),
  $H28 * (1 + Assumptions!$C$7) ^ INT(((YEAR(W$2)-YEAR($F28))*12 + MONTH(W$2)-MONTH($F28)) / 12),
  0)</f>
        <v>0</v>
      </c>
      <c r="X28" s="291">
        <f>IF(AND($F28&lt;=X$2, OR($G28="",$G28&gt;=X$2)),
  $H28 * (1 + Assumptions!$C$7) ^ INT(((YEAR(X$2)-YEAR($F28))*12 + MONTH(X$2)-MONTH($F28)) / 12),
  0)</f>
        <v>0</v>
      </c>
      <c r="Y28" s="291">
        <f>IF(AND($F28&lt;=Y$2, OR($G28="",$G28&gt;=Y$2)),
  $H28 * (1 + Assumptions!$C$7) ^ INT(((YEAR(Y$2)-YEAR($F28))*12 + MONTH(Y$2)-MONTH($F28)) / 12),
  0)</f>
        <v>0</v>
      </c>
      <c r="Z28" s="291">
        <f>IF(AND($F28&lt;=Z$2, OR($G28="",$G28&gt;=Z$2)),
  $H28 * (1 + Assumptions!$C$7) ^ INT(((YEAR(Z$2)-YEAR($F28))*12 + MONTH(Z$2)-MONTH($F28)) / 12),
  0)</f>
        <v>0</v>
      </c>
      <c r="AA28" s="291">
        <f>IF(AND($F28&lt;=AA$2, OR($G28="",$G28&gt;=AA$2)),
  $H28 * (1 + Assumptions!$C$7) ^ INT(((YEAR(AA$2)-YEAR($F28))*12 + MONTH(AA$2)-MONTH($F28)) / 12),
  0)</f>
        <v>0</v>
      </c>
      <c r="AB28" s="291">
        <f>IF(AND($F28&lt;=AB$2, OR($G28="",$G28&gt;=AB$2)),
  $H28 * (1 + Assumptions!$C$7) ^ INT(((YEAR(AB$2)-YEAR($F28))*12 + MONTH(AB$2)-MONTH($F28)) / 12),
  0)</f>
        <v>0</v>
      </c>
      <c r="AC28" s="291">
        <f>IF(AND($F28&lt;=AC$2, OR($G28="",$G28&gt;=AC$2)),
  $H28 * (1 + Assumptions!$C$7) ^ INT(((YEAR(AC$2)-YEAR($F28))*12 + MONTH(AC$2)-MONTH($F28)) / 12),
  0)</f>
        <v>0</v>
      </c>
      <c r="AD28" s="291">
        <f>IF(AND($F28&lt;=AD$2, OR($G28="",$G28&gt;=AD$2)),
  $H28 * (1 + Assumptions!$C$7) ^ INT(((YEAR(AD$2)-YEAR($F28))*12 + MONTH(AD$2)-MONTH($F28)) / 12),
  0)</f>
        <v>0</v>
      </c>
      <c r="AE28" s="291">
        <f>IF(AND($F28&lt;=AE$2, OR($G28="",$G28&gt;=AE$2)),
  $H28 * (1 + Assumptions!$C$7) ^ INT(((YEAR(AE$2)-YEAR($F28))*12 + MONTH(AE$2)-MONTH($F28)) / 12),
  0)</f>
        <v>0</v>
      </c>
      <c r="AF28" s="291">
        <f>IF(AND($F28&lt;=AF$2, OR($G28="",$G28&gt;=AF$2)),
  $H28 * (1 + Assumptions!$C$7) ^ INT(((YEAR(AF$2)-YEAR($F28))*12 + MONTH(AF$2)-MONTH($F28)) / 12),
  0)</f>
        <v>0</v>
      </c>
      <c r="AG28" s="291">
        <f>IF(AND($F28&lt;=AG$2, OR($G28="",$G28&gt;=AG$2)),
  $H28 * (1 + Assumptions!$C$7) ^ INT(((YEAR(AG$2)-YEAR($F28))*12 + MONTH(AG$2)-MONTH($F28)) / 12),
  0)</f>
        <v>0</v>
      </c>
      <c r="AH28" s="291">
        <f>IF(AND($F28&lt;=AH$2, OR($G28="",$G28&gt;=AH$2)),
  $H28 * (1 + Assumptions!$C$7) ^ INT(((YEAR(AH$2)-YEAR($F28))*12 + MONTH(AH$2)-MONTH($F28)) / 12),
  0)</f>
        <v>0</v>
      </c>
      <c r="AI28" s="291">
        <f>IF(AND($F28&lt;=AI$2, OR($G28="",$G28&gt;=AI$2)),
  $H28 * (1 + Assumptions!$C$7) ^ INT(((YEAR(AI$2)-YEAR($F28))*12 + MONTH(AI$2)-MONTH($F28)) / 12),
  0)</f>
        <v>0</v>
      </c>
      <c r="AJ28" s="291">
        <f>IF(AND($F28&lt;=AJ$2, OR($G28="",$G28&gt;=AJ$2)),
  $H28 * (1 + Assumptions!$C$7) ^ INT(((YEAR(AJ$2)-YEAR($F28))*12 + MONTH(AJ$2)-MONTH($F28)) / 12),
  0)</f>
        <v>0</v>
      </c>
      <c r="AK28" s="291">
        <f>IF(AND($F28&lt;=AK$2, OR($G28="",$G28&gt;=AK$2)),
  $H28 * (1 + Assumptions!$C$7) ^ INT(((YEAR(AK$2)-YEAR($F28))*12 + MONTH(AK$2)-MONTH($F28)) / 12),
  0)</f>
        <v>0</v>
      </c>
      <c r="AL28" s="291">
        <f>IF(AND($F28&lt;=AL$2, OR($G28="",$G28&gt;=AL$2)),
  $H28 * (1 + Assumptions!$C$7) ^ INT(((YEAR(AL$2)-YEAR($F28))*12 + MONTH(AL$2)-MONTH($F28)) / 12),
  0)</f>
        <v>7500</v>
      </c>
      <c r="AM28" s="291">
        <f>IF(AND($F28&lt;=AM$2, OR($G28="",$G28&gt;=AM$2)),
  $H28 * (1 + Assumptions!$C$7) ^ INT(((YEAR(AM$2)-YEAR($F28))*12 + MONTH(AM$2)-MONTH($F28)) / 12),
  0)</f>
        <v>7500</v>
      </c>
      <c r="AN28" s="291">
        <f>IF(AND($F28&lt;=AN$2, OR($G28="",$G28&gt;=AN$2)),
  $H28 * (1 + Assumptions!$C$7) ^ INT(((YEAR(AN$2)-YEAR($F28))*12 + MONTH(AN$2)-MONTH($F28)) / 12),
  0)</f>
        <v>7500</v>
      </c>
      <c r="AO28" s="291">
        <f>IF(AND($F28&lt;=AO$2, OR($G28="",$G28&gt;=AO$2)),
  $H28 * (1 + Assumptions!$C$7) ^ INT(((YEAR(AO$2)-YEAR($F28))*12 + MONTH(AO$2)-MONTH($F28)) / 12),
  0)</f>
        <v>7500</v>
      </c>
      <c r="AP28" s="291">
        <f>IF(AND($F28&lt;=AP$2, OR($G28="",$G28&gt;=AP$2)),
  $H28 * (1 + Assumptions!$C$7) ^ INT(((YEAR(AP$2)-YEAR($F28))*12 + MONTH(AP$2)-MONTH($F28)) / 12),
  0)</f>
        <v>7500</v>
      </c>
      <c r="AQ28" s="291">
        <f>IF(AND($F28&lt;=AQ$2, OR($G28="",$G28&gt;=AQ$2)),
  $H28 * (1 + Assumptions!$C$7) ^ INT(((YEAR(AQ$2)-YEAR($F28))*12 + MONTH(AQ$2)-MONTH($F28)) / 12),
  0)</f>
        <v>7500</v>
      </c>
      <c r="AR28" s="291">
        <f>IF(AND($F28&lt;=AR$2, OR($G28="",$G28&gt;=AR$2)),
  $H28 * (1 + Assumptions!$C$7) ^ INT(((YEAR(AR$2)-YEAR($F28))*12 + MONTH(AR$2)-MONTH($F28)) / 12),
  0)</f>
        <v>7500</v>
      </c>
      <c r="AS28" s="291">
        <f>IF(AND($F28&lt;=AS$2, OR($G28="",$G28&gt;=AS$2)),
  $H28 * (1 + Assumptions!$C$7) ^ INT(((YEAR(AS$2)-YEAR($F28))*12 + MONTH(AS$2)-MONTH($F28)) / 12),
  0)</f>
        <v>7500</v>
      </c>
      <c r="AT28" s="291">
        <f>IF(AND($F28&lt;=AT$2, OR($G28="",$G28&gt;=AT$2)),
  $H28 * (1 + Assumptions!$C$7) ^ INT(((YEAR(AT$2)-YEAR($F28))*12 + MONTH(AT$2)-MONTH($F28)) / 12),
  0)</f>
        <v>7500</v>
      </c>
      <c r="AU28" s="291">
        <f>IF(AND($F28&lt;=AU$2, OR($G28="",$G28&gt;=AU$2)),
  $H28 * (1 + Assumptions!$C$7) ^ INT(((YEAR(AU$2)-YEAR($F28))*12 + MONTH(AU$2)-MONTH($F28)) / 12),
  0)</f>
        <v>7500</v>
      </c>
      <c r="AV28" s="291">
        <f>IF(AND($F28&lt;=AV$2, OR($G28="",$G28&gt;=AV$2)),
  $H28 * (1 + Assumptions!$C$7) ^ INT(((YEAR(AV$2)-YEAR($F28))*12 + MONTH(AV$2)-MONTH($F28)) / 12),
  0)</f>
        <v>7500</v>
      </c>
      <c r="AW28" s="291">
        <f>IF(AND($F28&lt;=AW$2, OR($G28="",$G28&gt;=AW$2)),
  $H28 * (1 + Assumptions!$C$7) ^ INT(((YEAR(AW$2)-YEAR($F28))*12 + MONTH(AW$2)-MONTH($F28)) / 12),
  0)</f>
        <v>7500</v>
      </c>
      <c r="AX28" s="291">
        <f>IF(AND($F28&lt;=AX$2, OR($G28="",$G28&gt;=AX$2)),
  $H28 * (1 + Assumptions!$C$7) ^ INT(((YEAR(AX$2)-YEAR($F28))*12 + MONTH(AX$2)-MONTH($F28)) / 12),
  0)</f>
        <v>8100</v>
      </c>
      <c r="AY28" s="291">
        <f>IF(AND($F28&lt;=AY$2, OR($G28="",$G28&gt;=AY$2)),
  $H28 * (1 + Assumptions!$C$7) ^ INT(((YEAR(AY$2)-YEAR($F28))*12 + MONTH(AY$2)-MONTH($F28)) / 12),
  0)</f>
        <v>8100</v>
      </c>
      <c r="AZ28" s="291">
        <f>IF(AND($F28&lt;=AZ$2, OR($G28="",$G28&gt;=AZ$2)),
  $H28 * (1 + Assumptions!$C$7) ^ INT(((YEAR(AZ$2)-YEAR($F28))*12 + MONTH(AZ$2)-MONTH($F28)) / 12),
  0)</f>
        <v>8100</v>
      </c>
      <c r="BA28" s="291">
        <f>IF(AND($F28&lt;=BA$2, OR($G28="",$G28&gt;=BA$2)),
  $H28 * (1 + Assumptions!$C$7) ^ INT(((YEAR(BA$2)-YEAR($F28))*12 + MONTH(BA$2)-MONTH($F28)) / 12),
  0)</f>
        <v>8100</v>
      </c>
      <c r="BB28" s="291">
        <f>IF(AND($F28&lt;=BB$2, OR($G28="",$G28&gt;=BB$2)),
  $H28 * (1 + Assumptions!$C$7) ^ INT(((YEAR(BB$2)-YEAR($F28))*12 + MONTH(BB$2)-MONTH($F28)) / 12),
  0)</f>
        <v>8100</v>
      </c>
      <c r="BC28" s="291">
        <f>IF(AND($F28&lt;=BC$2, OR($G28="",$G28&gt;=BC$2)),
  $H28 * (1 + Assumptions!$C$7) ^ INT(((YEAR(BC$2)-YEAR($F28))*12 + MONTH(BC$2)-MONTH($F28)) / 12),
  0)</f>
        <v>8100</v>
      </c>
      <c r="BD28" s="291">
        <f>IF(AND($F28&lt;=BD$2, OR($G28="",$G28&gt;=BD$2)),
  $H28 * (1 + Assumptions!$C$7) ^ INT(((YEAR(BD$2)-YEAR($F28))*12 + MONTH(BD$2)-MONTH($F28)) / 12),
  0)</f>
        <v>8100</v>
      </c>
      <c r="BE28" s="291">
        <f>IF(AND($F28&lt;=BE$2, OR($G28="",$G28&gt;=BE$2)),
  $H28 * (1 + Assumptions!$C$7) ^ INT(((YEAR(BE$2)-YEAR($F28))*12 + MONTH(BE$2)-MONTH($F28)) / 12),
  0)</f>
        <v>8100</v>
      </c>
      <c r="BF28" s="291">
        <f>IF(AND($F28&lt;=BF$2, OR($G28="",$G28&gt;=BF$2)),
  $H28 * (1 + Assumptions!$C$7) ^ INT(((YEAR(BF$2)-YEAR($F28))*12 + MONTH(BF$2)-MONTH($F28)) / 12),
  0)</f>
        <v>8100</v>
      </c>
      <c r="BG28" s="291">
        <f>IF(AND($F28&lt;=BG$2, OR($G28="",$G28&gt;=BG$2)),
  $H28 * (1 + Assumptions!$C$7) ^ INT(((YEAR(BG$2)-YEAR($F28))*12 + MONTH(BG$2)-MONTH($F28)) / 12),
  0)</f>
        <v>8100</v>
      </c>
      <c r="BH28" s="291">
        <f>IF(AND($F28&lt;=BH$2, OR($G28="",$G28&gt;=BH$2)),
  $H28 * (1 + Assumptions!$C$7) ^ INT(((YEAR(BH$2)-YEAR($F28))*12 + MONTH(BH$2)-MONTH($F28)) / 12),
  0)</f>
        <v>8100</v>
      </c>
      <c r="BI28" s="291">
        <f>IF(AND($F28&lt;=BI$2, OR($G28="",$G28&gt;=BI$2)),
  $H28 * (1 + Assumptions!$C$7) ^ INT(((YEAR(BI$2)-YEAR($F28))*12 + MONTH(BI$2)-MONTH($F28)) / 12),
  0)</f>
        <v>8100</v>
      </c>
      <c r="BJ28" s="291">
        <f>IF(AND($F28&lt;=BJ$2, OR($G28="",$G28&gt;=BJ$2)),
  $H28 * (1 + Assumptions!$C$7) ^ INT(((YEAR(BJ$2)-YEAR($F28))*12 + MONTH(BJ$2)-MONTH($F28)) / 12),
  0)</f>
        <v>8748</v>
      </c>
      <c r="BK28" s="291">
        <f>IF(AND($F28&lt;=BK$2, OR($G28="",$G28&gt;=BK$2)),
  $H28 * (1 + Assumptions!$C$7) ^ INT(((YEAR(BK$2)-YEAR($F28))*12 + MONTH(BK$2)-MONTH($F28)) / 12),
  0)</f>
        <v>8748</v>
      </c>
      <c r="BL28" s="291">
        <f>IF(AND($F28&lt;=BL$2, OR($G28="",$G28&gt;=BL$2)),
  $H28 * (1 + Assumptions!$C$7) ^ INT(((YEAR(BL$2)-YEAR($F28))*12 + MONTH(BL$2)-MONTH($F28)) / 12),
  0)</f>
        <v>8748</v>
      </c>
      <c r="BM28" s="291">
        <f>IF(AND($F28&lt;=BM$2, OR($G28="",$G28&gt;=BM$2)),
  $H28 * (1 + Assumptions!$C$7) ^ INT(((YEAR(BM$2)-YEAR($F28))*12 + MONTH(BM$2)-MONTH($F28)) / 12),
  0)</f>
        <v>8748</v>
      </c>
      <c r="BN28" s="291">
        <f>IF(AND($F28&lt;=BN$2, OR($G28="",$G28&gt;=BN$2)),
  $H28 * (1 + Assumptions!$C$7) ^ INT(((YEAR(BN$2)-YEAR($F28))*12 + MONTH(BN$2)-MONTH($F28)) / 12),
  0)</f>
        <v>8748</v>
      </c>
      <c r="BO28" s="291">
        <f>IF(AND($F28&lt;=BO$2, OR($G28="",$G28&gt;=BO$2)),
  $H28 * (1 + Assumptions!$C$7) ^ INT(((YEAR(BO$2)-YEAR($F28))*12 + MONTH(BO$2)-MONTH($F28)) / 12),
  0)</f>
        <v>8748</v>
      </c>
      <c r="BP28" s="291">
        <f>IF(AND($F28&lt;=BP$2, OR($G28="",$G28&gt;=BP$2)),
  $H28 * (1 + Assumptions!$C$7) ^ INT(((YEAR(BP$2)-YEAR($F28))*12 + MONTH(BP$2)-MONTH($F28)) / 12),
  0)</f>
        <v>8748</v>
      </c>
      <c r="BQ28" s="30"/>
    </row>
    <row r="29" ht="15.75" customHeight="1">
      <c r="A29" s="298">
        <v>24.0</v>
      </c>
      <c r="B29" s="282" t="s">
        <v>335</v>
      </c>
      <c r="C29" s="282" t="s">
        <v>141</v>
      </c>
      <c r="D29" s="75" t="s">
        <v>340</v>
      </c>
      <c r="E29" s="289" t="s">
        <v>337</v>
      </c>
      <c r="F29" s="283">
        <v>46539.0</v>
      </c>
      <c r="G29" s="301"/>
      <c r="H29" s="285">
        <v>7500.0</v>
      </c>
      <c r="I29" s="291">
        <f>IF(AND($F29&lt;=I$2, OR($G29="",$G29&gt;=I$2)),
  $H29 * (1 + Assumptions!$C$7) ^ INT(((YEAR(I$2)-YEAR($F29))*12 + MONTH(I$2)-MONTH($F29)) / 12),
  0)</f>
        <v>0</v>
      </c>
      <c r="J29" s="291">
        <f>IF(AND($F29&lt;=J$2, OR($G29="",$G29&gt;=J$2)),
  $H29 * (1 + Assumptions!$C$7) ^ INT(((YEAR(J$2)-YEAR($F29))*12 + MONTH(J$2)-MONTH($F29)) / 12),
  0)</f>
        <v>0</v>
      </c>
      <c r="K29" s="291">
        <f>IF(AND($F29&lt;=K$2, OR($G29="",$G29&gt;=K$2)),
  $H29 * (1 + Assumptions!$C$7) ^ INT(((YEAR(K$2)-YEAR($F29))*12 + MONTH(K$2)-MONTH($F29)) / 12),
  0)</f>
        <v>0</v>
      </c>
      <c r="L29" s="291">
        <f>IF(AND($F29&lt;=L$2, OR($G29="",$G29&gt;=L$2)),
  $H29 * (1 + Assumptions!$C$7) ^ INT(((YEAR(L$2)-YEAR($F29))*12 + MONTH(L$2)-MONTH($F29)) / 12),
  0)</f>
        <v>0</v>
      </c>
      <c r="M29" s="291">
        <f>IF(AND($F29&lt;=M$2, OR($G29="",$G29&gt;=M$2)),
  $H29 * (1 + Assumptions!$C$7) ^ INT(((YEAR(M$2)-YEAR($F29))*12 + MONTH(M$2)-MONTH($F29)) / 12),
  0)</f>
        <v>0</v>
      </c>
      <c r="N29" s="291">
        <f>IF(AND($F29&lt;=N$2, OR($G29="",$G29&gt;=N$2)),
  $H29 * (1 + Assumptions!$C$7) ^ INT(((YEAR(N$2)-YEAR($F29))*12 + MONTH(N$2)-MONTH($F29)) / 12),
  0)</f>
        <v>0</v>
      </c>
      <c r="O29" s="291">
        <f>IF(AND($F29&lt;=O$2, OR($G29="",$G29&gt;=O$2)),
  $H29 * (1 + Assumptions!$C$7) ^ INT(((YEAR(O$2)-YEAR($F29))*12 + MONTH(O$2)-MONTH($F29)) / 12),
  0)</f>
        <v>0</v>
      </c>
      <c r="P29" s="291">
        <f>IF(AND($F29&lt;=P$2, OR($G29="",$G29&gt;=P$2)),
  $H29 * (1 + Assumptions!$C$7) ^ INT(((YEAR(P$2)-YEAR($F29))*12 + MONTH(P$2)-MONTH($F29)) / 12),
  0)</f>
        <v>0</v>
      </c>
      <c r="Q29" s="291">
        <f>IF(AND($F29&lt;=Q$2, OR($G29="",$G29&gt;=Q$2)),
  $H29 * (1 + Assumptions!$C$7) ^ INT(((YEAR(Q$2)-YEAR($F29))*12 + MONTH(Q$2)-MONTH($F29)) / 12),
  0)</f>
        <v>0</v>
      </c>
      <c r="R29" s="291">
        <f>IF(AND($F29&lt;=R$2, OR($G29="",$G29&gt;=R$2)),
  $H29 * (1 + Assumptions!$C$7) ^ INT(((YEAR(R$2)-YEAR($F29))*12 + MONTH(R$2)-MONTH($F29)) / 12),
  0)</f>
        <v>0</v>
      </c>
      <c r="S29" s="291">
        <f>IF(AND($F29&lt;=S$2, OR($G29="",$G29&gt;=S$2)),
  $H29 * (1 + Assumptions!$C$7) ^ INT(((YEAR(S$2)-YEAR($F29))*12 + MONTH(S$2)-MONTH($F29)) / 12),
  0)</f>
        <v>0</v>
      </c>
      <c r="T29" s="291">
        <f>IF(AND($F29&lt;=T$2, OR($G29="",$G29&gt;=T$2)),
  $H29 * (1 + Assumptions!$C$7) ^ INT(((YEAR(T$2)-YEAR($F29))*12 + MONTH(T$2)-MONTH($F29)) / 12),
  0)</f>
        <v>0</v>
      </c>
      <c r="U29" s="291">
        <f>IF(AND($F29&lt;=U$2, OR($G29="",$G29&gt;=U$2)),
  $H29 * (1 + Assumptions!$C$7) ^ INT(((YEAR(U$2)-YEAR($F29))*12 + MONTH(U$2)-MONTH($F29)) / 12),
  0)</f>
        <v>0</v>
      </c>
      <c r="V29" s="291">
        <f>IF(AND($F29&lt;=V$2, OR($G29="",$G29&gt;=V$2)),
  $H29 * (1 + Assumptions!$C$7) ^ INT(((YEAR(V$2)-YEAR($F29))*12 + MONTH(V$2)-MONTH($F29)) / 12),
  0)</f>
        <v>0</v>
      </c>
      <c r="W29" s="291">
        <f>IF(AND($F29&lt;=W$2, OR($G29="",$G29&gt;=W$2)),
  $H29 * (1 + Assumptions!$C$7) ^ INT(((YEAR(W$2)-YEAR($F29))*12 + MONTH(W$2)-MONTH($F29)) / 12),
  0)</f>
        <v>0</v>
      </c>
      <c r="X29" s="291">
        <f>IF(AND($F29&lt;=X$2, OR($G29="",$G29&gt;=X$2)),
  $H29 * (1 + Assumptions!$C$7) ^ INT(((YEAR(X$2)-YEAR($F29))*12 + MONTH(X$2)-MONTH($F29)) / 12),
  0)</f>
        <v>0</v>
      </c>
      <c r="Y29" s="291">
        <f>IF(AND($F29&lt;=Y$2, OR($G29="",$G29&gt;=Y$2)),
  $H29 * (1 + Assumptions!$C$7) ^ INT(((YEAR(Y$2)-YEAR($F29))*12 + MONTH(Y$2)-MONTH($F29)) / 12),
  0)</f>
        <v>0</v>
      </c>
      <c r="Z29" s="291">
        <f>IF(AND($F29&lt;=Z$2, OR($G29="",$G29&gt;=Z$2)),
  $H29 * (1 + Assumptions!$C$7) ^ INT(((YEAR(Z$2)-YEAR($F29))*12 + MONTH(Z$2)-MONTH($F29)) / 12),
  0)</f>
        <v>0</v>
      </c>
      <c r="AA29" s="291">
        <f>IF(AND($F29&lt;=AA$2, OR($G29="",$G29&gt;=AA$2)),
  $H29 * (1 + Assumptions!$C$7) ^ INT(((YEAR(AA$2)-YEAR($F29))*12 + MONTH(AA$2)-MONTH($F29)) / 12),
  0)</f>
        <v>0</v>
      </c>
      <c r="AB29" s="291">
        <f>IF(AND($F29&lt;=AB$2, OR($G29="",$G29&gt;=AB$2)),
  $H29 * (1 + Assumptions!$C$7) ^ INT(((YEAR(AB$2)-YEAR($F29))*12 + MONTH(AB$2)-MONTH($F29)) / 12),
  0)</f>
        <v>0</v>
      </c>
      <c r="AC29" s="291">
        <f>IF(AND($F29&lt;=AC$2, OR($G29="",$G29&gt;=AC$2)),
  $H29 * (1 + Assumptions!$C$7) ^ INT(((YEAR(AC$2)-YEAR($F29))*12 + MONTH(AC$2)-MONTH($F29)) / 12),
  0)</f>
        <v>0</v>
      </c>
      <c r="AD29" s="291">
        <f>IF(AND($F29&lt;=AD$2, OR($G29="",$G29&gt;=AD$2)),
  $H29 * (1 + Assumptions!$C$7) ^ INT(((YEAR(AD$2)-YEAR($F29))*12 + MONTH(AD$2)-MONTH($F29)) / 12),
  0)</f>
        <v>0</v>
      </c>
      <c r="AE29" s="291">
        <f>IF(AND($F29&lt;=AE$2, OR($G29="",$G29&gt;=AE$2)),
  $H29 * (1 + Assumptions!$C$7) ^ INT(((YEAR(AE$2)-YEAR($F29))*12 + MONTH(AE$2)-MONTH($F29)) / 12),
  0)</f>
        <v>0</v>
      </c>
      <c r="AF29" s="291">
        <f>IF(AND($F29&lt;=AF$2, OR($G29="",$G29&gt;=AF$2)),
  $H29 * (1 + Assumptions!$C$7) ^ INT(((YEAR(AF$2)-YEAR($F29))*12 + MONTH(AF$2)-MONTH($F29)) / 12),
  0)</f>
        <v>0</v>
      </c>
      <c r="AG29" s="291">
        <f>IF(AND($F29&lt;=AG$2, OR($G29="",$G29&gt;=AG$2)),
  $H29 * (1 + Assumptions!$C$7) ^ INT(((YEAR(AG$2)-YEAR($F29))*12 + MONTH(AG$2)-MONTH($F29)) / 12),
  0)</f>
        <v>0</v>
      </c>
      <c r="AH29" s="291">
        <f>IF(AND($F29&lt;=AH$2, OR($G29="",$G29&gt;=AH$2)),
  $H29 * (1 + Assumptions!$C$7) ^ INT(((YEAR(AH$2)-YEAR($F29))*12 + MONTH(AH$2)-MONTH($F29)) / 12),
  0)</f>
        <v>0</v>
      </c>
      <c r="AI29" s="291">
        <f>IF(AND($F29&lt;=AI$2, OR($G29="",$G29&gt;=AI$2)),
  $H29 * (1 + Assumptions!$C$7) ^ INT(((YEAR(AI$2)-YEAR($F29))*12 + MONTH(AI$2)-MONTH($F29)) / 12),
  0)</f>
        <v>0</v>
      </c>
      <c r="AJ29" s="291">
        <f>IF(AND($F29&lt;=AJ$2, OR($G29="",$G29&gt;=AJ$2)),
  $H29 * (1 + Assumptions!$C$7) ^ INT(((YEAR(AJ$2)-YEAR($F29))*12 + MONTH(AJ$2)-MONTH($F29)) / 12),
  0)</f>
        <v>0</v>
      </c>
      <c r="AK29" s="291">
        <f>IF(AND($F29&lt;=AK$2, OR($G29="",$G29&gt;=AK$2)),
  $H29 * (1 + Assumptions!$C$7) ^ INT(((YEAR(AK$2)-YEAR($F29))*12 + MONTH(AK$2)-MONTH($F29)) / 12),
  0)</f>
        <v>0</v>
      </c>
      <c r="AL29" s="291">
        <f>IF(AND($F29&lt;=AL$2, OR($G29="",$G29&gt;=AL$2)),
  $H29 * (1 + Assumptions!$C$7) ^ INT(((YEAR(AL$2)-YEAR($F29))*12 + MONTH(AL$2)-MONTH($F29)) / 12),
  0)</f>
        <v>7500</v>
      </c>
      <c r="AM29" s="291">
        <f>IF(AND($F29&lt;=AM$2, OR($G29="",$G29&gt;=AM$2)),
  $H29 * (1 + Assumptions!$C$7) ^ INT(((YEAR(AM$2)-YEAR($F29))*12 + MONTH(AM$2)-MONTH($F29)) / 12),
  0)</f>
        <v>7500</v>
      </c>
      <c r="AN29" s="291">
        <f>IF(AND($F29&lt;=AN$2, OR($G29="",$G29&gt;=AN$2)),
  $H29 * (1 + Assumptions!$C$7) ^ INT(((YEAR(AN$2)-YEAR($F29))*12 + MONTH(AN$2)-MONTH($F29)) / 12),
  0)</f>
        <v>7500</v>
      </c>
      <c r="AO29" s="291">
        <f>IF(AND($F29&lt;=AO$2, OR($G29="",$G29&gt;=AO$2)),
  $H29 * (1 + Assumptions!$C$7) ^ INT(((YEAR(AO$2)-YEAR($F29))*12 + MONTH(AO$2)-MONTH($F29)) / 12),
  0)</f>
        <v>7500</v>
      </c>
      <c r="AP29" s="291">
        <f>IF(AND($F29&lt;=AP$2, OR($G29="",$G29&gt;=AP$2)),
  $H29 * (1 + Assumptions!$C$7) ^ INT(((YEAR(AP$2)-YEAR($F29))*12 + MONTH(AP$2)-MONTH($F29)) / 12),
  0)</f>
        <v>7500</v>
      </c>
      <c r="AQ29" s="291">
        <f>IF(AND($F29&lt;=AQ$2, OR($G29="",$G29&gt;=AQ$2)),
  $H29 * (1 + Assumptions!$C$7) ^ INT(((YEAR(AQ$2)-YEAR($F29))*12 + MONTH(AQ$2)-MONTH($F29)) / 12),
  0)</f>
        <v>7500</v>
      </c>
      <c r="AR29" s="291">
        <f>IF(AND($F29&lt;=AR$2, OR($G29="",$G29&gt;=AR$2)),
  $H29 * (1 + Assumptions!$C$7) ^ INT(((YEAR(AR$2)-YEAR($F29))*12 + MONTH(AR$2)-MONTH($F29)) / 12),
  0)</f>
        <v>7500</v>
      </c>
      <c r="AS29" s="291">
        <f>IF(AND($F29&lt;=AS$2, OR($G29="",$G29&gt;=AS$2)),
  $H29 * (1 + Assumptions!$C$7) ^ INT(((YEAR(AS$2)-YEAR($F29))*12 + MONTH(AS$2)-MONTH($F29)) / 12),
  0)</f>
        <v>7500</v>
      </c>
      <c r="AT29" s="291">
        <f>IF(AND($F29&lt;=AT$2, OR($G29="",$G29&gt;=AT$2)),
  $H29 * (1 + Assumptions!$C$7) ^ INT(((YEAR(AT$2)-YEAR($F29))*12 + MONTH(AT$2)-MONTH($F29)) / 12),
  0)</f>
        <v>7500</v>
      </c>
      <c r="AU29" s="291">
        <f>IF(AND($F29&lt;=AU$2, OR($G29="",$G29&gt;=AU$2)),
  $H29 * (1 + Assumptions!$C$7) ^ INT(((YEAR(AU$2)-YEAR($F29))*12 + MONTH(AU$2)-MONTH($F29)) / 12),
  0)</f>
        <v>7500</v>
      </c>
      <c r="AV29" s="291">
        <f>IF(AND($F29&lt;=AV$2, OR($G29="",$G29&gt;=AV$2)),
  $H29 * (1 + Assumptions!$C$7) ^ INT(((YEAR(AV$2)-YEAR($F29))*12 + MONTH(AV$2)-MONTH($F29)) / 12),
  0)</f>
        <v>7500</v>
      </c>
      <c r="AW29" s="291">
        <f>IF(AND($F29&lt;=AW$2, OR($G29="",$G29&gt;=AW$2)),
  $H29 * (1 + Assumptions!$C$7) ^ INT(((YEAR(AW$2)-YEAR($F29))*12 + MONTH(AW$2)-MONTH($F29)) / 12),
  0)</f>
        <v>7500</v>
      </c>
      <c r="AX29" s="291">
        <f>IF(AND($F29&lt;=AX$2, OR($G29="",$G29&gt;=AX$2)),
  $H29 * (1 + Assumptions!$C$7) ^ INT(((YEAR(AX$2)-YEAR($F29))*12 + MONTH(AX$2)-MONTH($F29)) / 12),
  0)</f>
        <v>8100</v>
      </c>
      <c r="AY29" s="291">
        <f>IF(AND($F29&lt;=AY$2, OR($G29="",$G29&gt;=AY$2)),
  $H29 * (1 + Assumptions!$C$7) ^ INT(((YEAR(AY$2)-YEAR($F29))*12 + MONTH(AY$2)-MONTH($F29)) / 12),
  0)</f>
        <v>8100</v>
      </c>
      <c r="AZ29" s="291">
        <f>IF(AND($F29&lt;=AZ$2, OR($G29="",$G29&gt;=AZ$2)),
  $H29 * (1 + Assumptions!$C$7) ^ INT(((YEAR(AZ$2)-YEAR($F29))*12 + MONTH(AZ$2)-MONTH($F29)) / 12),
  0)</f>
        <v>8100</v>
      </c>
      <c r="BA29" s="291">
        <f>IF(AND($F29&lt;=BA$2, OR($G29="",$G29&gt;=BA$2)),
  $H29 * (1 + Assumptions!$C$7) ^ INT(((YEAR(BA$2)-YEAR($F29))*12 + MONTH(BA$2)-MONTH($F29)) / 12),
  0)</f>
        <v>8100</v>
      </c>
      <c r="BB29" s="291">
        <f>IF(AND($F29&lt;=BB$2, OR($G29="",$G29&gt;=BB$2)),
  $H29 * (1 + Assumptions!$C$7) ^ INT(((YEAR(BB$2)-YEAR($F29))*12 + MONTH(BB$2)-MONTH($F29)) / 12),
  0)</f>
        <v>8100</v>
      </c>
      <c r="BC29" s="291">
        <f>IF(AND($F29&lt;=BC$2, OR($G29="",$G29&gt;=BC$2)),
  $H29 * (1 + Assumptions!$C$7) ^ INT(((YEAR(BC$2)-YEAR($F29))*12 + MONTH(BC$2)-MONTH($F29)) / 12),
  0)</f>
        <v>8100</v>
      </c>
      <c r="BD29" s="291">
        <f>IF(AND($F29&lt;=BD$2, OR($G29="",$G29&gt;=BD$2)),
  $H29 * (1 + Assumptions!$C$7) ^ INT(((YEAR(BD$2)-YEAR($F29))*12 + MONTH(BD$2)-MONTH($F29)) / 12),
  0)</f>
        <v>8100</v>
      </c>
      <c r="BE29" s="291">
        <f>IF(AND($F29&lt;=BE$2, OR($G29="",$G29&gt;=BE$2)),
  $H29 * (1 + Assumptions!$C$7) ^ INT(((YEAR(BE$2)-YEAR($F29))*12 + MONTH(BE$2)-MONTH($F29)) / 12),
  0)</f>
        <v>8100</v>
      </c>
      <c r="BF29" s="291">
        <f>IF(AND($F29&lt;=BF$2, OR($G29="",$G29&gt;=BF$2)),
  $H29 * (1 + Assumptions!$C$7) ^ INT(((YEAR(BF$2)-YEAR($F29))*12 + MONTH(BF$2)-MONTH($F29)) / 12),
  0)</f>
        <v>8100</v>
      </c>
      <c r="BG29" s="291">
        <f>IF(AND($F29&lt;=BG$2, OR($G29="",$G29&gt;=BG$2)),
  $H29 * (1 + Assumptions!$C$7) ^ INT(((YEAR(BG$2)-YEAR($F29))*12 + MONTH(BG$2)-MONTH($F29)) / 12),
  0)</f>
        <v>8100</v>
      </c>
      <c r="BH29" s="291">
        <f>IF(AND($F29&lt;=BH$2, OR($G29="",$G29&gt;=BH$2)),
  $H29 * (1 + Assumptions!$C$7) ^ INT(((YEAR(BH$2)-YEAR($F29))*12 + MONTH(BH$2)-MONTH($F29)) / 12),
  0)</f>
        <v>8100</v>
      </c>
      <c r="BI29" s="291">
        <f>IF(AND($F29&lt;=BI$2, OR($G29="",$G29&gt;=BI$2)),
  $H29 * (1 + Assumptions!$C$7) ^ INT(((YEAR(BI$2)-YEAR($F29))*12 + MONTH(BI$2)-MONTH($F29)) / 12),
  0)</f>
        <v>8100</v>
      </c>
      <c r="BJ29" s="291">
        <f>IF(AND($F29&lt;=BJ$2, OR($G29="",$G29&gt;=BJ$2)),
  $H29 * (1 + Assumptions!$C$7) ^ INT(((YEAR(BJ$2)-YEAR($F29))*12 + MONTH(BJ$2)-MONTH($F29)) / 12),
  0)</f>
        <v>8748</v>
      </c>
      <c r="BK29" s="291">
        <f>IF(AND($F29&lt;=BK$2, OR($G29="",$G29&gt;=BK$2)),
  $H29 * (1 + Assumptions!$C$7) ^ INT(((YEAR(BK$2)-YEAR($F29))*12 + MONTH(BK$2)-MONTH($F29)) / 12),
  0)</f>
        <v>8748</v>
      </c>
      <c r="BL29" s="291">
        <f>IF(AND($F29&lt;=BL$2, OR($G29="",$G29&gt;=BL$2)),
  $H29 * (1 + Assumptions!$C$7) ^ INT(((YEAR(BL$2)-YEAR($F29))*12 + MONTH(BL$2)-MONTH($F29)) / 12),
  0)</f>
        <v>8748</v>
      </c>
      <c r="BM29" s="291">
        <f>IF(AND($F29&lt;=BM$2, OR($G29="",$G29&gt;=BM$2)),
  $H29 * (1 + Assumptions!$C$7) ^ INT(((YEAR(BM$2)-YEAR($F29))*12 + MONTH(BM$2)-MONTH($F29)) / 12),
  0)</f>
        <v>8748</v>
      </c>
      <c r="BN29" s="291">
        <f>IF(AND($F29&lt;=BN$2, OR($G29="",$G29&gt;=BN$2)),
  $H29 * (1 + Assumptions!$C$7) ^ INT(((YEAR(BN$2)-YEAR($F29))*12 + MONTH(BN$2)-MONTH($F29)) / 12),
  0)</f>
        <v>8748</v>
      </c>
      <c r="BO29" s="291">
        <f>IF(AND($F29&lt;=BO$2, OR($G29="",$G29&gt;=BO$2)),
  $H29 * (1 + Assumptions!$C$7) ^ INT(((YEAR(BO$2)-YEAR($F29))*12 + MONTH(BO$2)-MONTH($F29)) / 12),
  0)</f>
        <v>8748</v>
      </c>
      <c r="BP29" s="291">
        <f>IF(AND($F29&lt;=BP$2, OR($G29="",$G29&gt;=BP$2)),
  $H29 * (1 + Assumptions!$C$7) ^ INT(((YEAR(BP$2)-YEAR($F29))*12 + MONTH(BP$2)-MONTH($F29)) / 12),
  0)</f>
        <v>8748</v>
      </c>
      <c r="BQ29" s="30"/>
    </row>
    <row r="30" ht="15.75" customHeight="1">
      <c r="A30" s="298">
        <v>25.0</v>
      </c>
      <c r="B30" s="282" t="s">
        <v>335</v>
      </c>
      <c r="C30" s="282" t="s">
        <v>141</v>
      </c>
      <c r="D30" s="303" t="s">
        <v>341</v>
      </c>
      <c r="E30" s="289" t="s">
        <v>337</v>
      </c>
      <c r="F30" s="283">
        <v>46539.0</v>
      </c>
      <c r="G30" s="301"/>
      <c r="H30" s="285">
        <v>7500.0</v>
      </c>
      <c r="I30" s="291">
        <f>IF(AND($F30&lt;=I$2, OR($G30="",$G30&gt;=I$2)),
  $H30 * (1 + Assumptions!$C$7) ^ INT(((YEAR(I$2)-YEAR($F30))*12 + MONTH(I$2)-MONTH($F30)) / 12),
  0)</f>
        <v>0</v>
      </c>
      <c r="J30" s="291">
        <f>IF(AND($F30&lt;=J$2, OR($G30="",$G30&gt;=J$2)),
  $H30 * (1 + Assumptions!$C$7) ^ INT(((YEAR(J$2)-YEAR($F30))*12 + MONTH(J$2)-MONTH($F30)) / 12),
  0)</f>
        <v>0</v>
      </c>
      <c r="K30" s="291">
        <f>IF(AND($F30&lt;=K$2, OR($G30="",$G30&gt;=K$2)),
  $H30 * (1 + Assumptions!$C$7) ^ INT(((YEAR(K$2)-YEAR($F30))*12 + MONTH(K$2)-MONTH($F30)) / 12),
  0)</f>
        <v>0</v>
      </c>
      <c r="L30" s="291">
        <f>IF(AND($F30&lt;=L$2, OR($G30="",$G30&gt;=L$2)),
  $H30 * (1 + Assumptions!$C$7) ^ INT(((YEAR(L$2)-YEAR($F30))*12 + MONTH(L$2)-MONTH($F30)) / 12),
  0)</f>
        <v>0</v>
      </c>
      <c r="M30" s="291">
        <f>IF(AND($F30&lt;=M$2, OR($G30="",$G30&gt;=M$2)),
  $H30 * (1 + Assumptions!$C$7) ^ INT(((YEAR(M$2)-YEAR($F30))*12 + MONTH(M$2)-MONTH($F30)) / 12),
  0)</f>
        <v>0</v>
      </c>
      <c r="N30" s="291">
        <f>IF(AND($F30&lt;=N$2, OR($G30="",$G30&gt;=N$2)),
  $H30 * (1 + Assumptions!$C$7) ^ INT(((YEAR(N$2)-YEAR($F30))*12 + MONTH(N$2)-MONTH($F30)) / 12),
  0)</f>
        <v>0</v>
      </c>
      <c r="O30" s="291">
        <f>IF(AND($F30&lt;=O$2, OR($G30="",$G30&gt;=O$2)),
  $H30 * (1 + Assumptions!$C$7) ^ INT(((YEAR(O$2)-YEAR($F30))*12 + MONTH(O$2)-MONTH($F30)) / 12),
  0)</f>
        <v>0</v>
      </c>
      <c r="P30" s="291">
        <f>IF(AND($F30&lt;=P$2, OR($G30="",$G30&gt;=P$2)),
  $H30 * (1 + Assumptions!$C$7) ^ INT(((YEAR(P$2)-YEAR($F30))*12 + MONTH(P$2)-MONTH($F30)) / 12),
  0)</f>
        <v>0</v>
      </c>
      <c r="Q30" s="291">
        <f>IF(AND($F30&lt;=Q$2, OR($G30="",$G30&gt;=Q$2)),
  $H30 * (1 + Assumptions!$C$7) ^ INT(((YEAR(Q$2)-YEAR($F30))*12 + MONTH(Q$2)-MONTH($F30)) / 12),
  0)</f>
        <v>0</v>
      </c>
      <c r="R30" s="291">
        <f>IF(AND($F30&lt;=R$2, OR($G30="",$G30&gt;=R$2)),
  $H30 * (1 + Assumptions!$C$7) ^ INT(((YEAR(R$2)-YEAR($F30))*12 + MONTH(R$2)-MONTH($F30)) / 12),
  0)</f>
        <v>0</v>
      </c>
      <c r="S30" s="291">
        <f>IF(AND($F30&lt;=S$2, OR($G30="",$G30&gt;=S$2)),
  $H30 * (1 + Assumptions!$C$7) ^ INT(((YEAR(S$2)-YEAR($F30))*12 + MONTH(S$2)-MONTH($F30)) / 12),
  0)</f>
        <v>0</v>
      </c>
      <c r="T30" s="291">
        <f>IF(AND($F30&lt;=T$2, OR($G30="",$G30&gt;=T$2)),
  $H30 * (1 + Assumptions!$C$7) ^ INT(((YEAR(T$2)-YEAR($F30))*12 + MONTH(T$2)-MONTH($F30)) / 12),
  0)</f>
        <v>0</v>
      </c>
      <c r="U30" s="291">
        <f>IF(AND($F30&lt;=U$2, OR($G30="",$G30&gt;=U$2)),
  $H30 * (1 + Assumptions!$C$7) ^ INT(((YEAR(U$2)-YEAR($F30))*12 + MONTH(U$2)-MONTH($F30)) / 12),
  0)</f>
        <v>0</v>
      </c>
      <c r="V30" s="291">
        <f>IF(AND($F30&lt;=V$2, OR($G30="",$G30&gt;=V$2)),
  $H30 * (1 + Assumptions!$C$7) ^ INT(((YEAR(V$2)-YEAR($F30))*12 + MONTH(V$2)-MONTH($F30)) / 12),
  0)</f>
        <v>0</v>
      </c>
      <c r="W30" s="291">
        <f>IF(AND($F30&lt;=W$2, OR($G30="",$G30&gt;=W$2)),
  $H30 * (1 + Assumptions!$C$7) ^ INT(((YEAR(W$2)-YEAR($F30))*12 + MONTH(W$2)-MONTH($F30)) / 12),
  0)</f>
        <v>0</v>
      </c>
      <c r="X30" s="291">
        <f>IF(AND($F30&lt;=X$2, OR($G30="",$G30&gt;=X$2)),
  $H30 * (1 + Assumptions!$C$7) ^ INT(((YEAR(X$2)-YEAR($F30))*12 + MONTH(X$2)-MONTH($F30)) / 12),
  0)</f>
        <v>0</v>
      </c>
      <c r="Y30" s="291">
        <f>IF(AND($F30&lt;=Y$2, OR($G30="",$G30&gt;=Y$2)),
  $H30 * (1 + Assumptions!$C$7) ^ INT(((YEAR(Y$2)-YEAR($F30))*12 + MONTH(Y$2)-MONTH($F30)) / 12),
  0)</f>
        <v>0</v>
      </c>
      <c r="Z30" s="291">
        <f>IF(AND($F30&lt;=Z$2, OR($G30="",$G30&gt;=Z$2)),
  $H30 * (1 + Assumptions!$C$7) ^ INT(((YEAR(Z$2)-YEAR($F30))*12 + MONTH(Z$2)-MONTH($F30)) / 12),
  0)</f>
        <v>0</v>
      </c>
      <c r="AA30" s="291">
        <f>IF(AND($F30&lt;=AA$2, OR($G30="",$G30&gt;=AA$2)),
  $H30 * (1 + Assumptions!$C$7) ^ INT(((YEAR(AA$2)-YEAR($F30))*12 + MONTH(AA$2)-MONTH($F30)) / 12),
  0)</f>
        <v>0</v>
      </c>
      <c r="AB30" s="291">
        <f>IF(AND($F30&lt;=AB$2, OR($G30="",$G30&gt;=AB$2)),
  $H30 * (1 + Assumptions!$C$7) ^ INT(((YEAR(AB$2)-YEAR($F30))*12 + MONTH(AB$2)-MONTH($F30)) / 12),
  0)</f>
        <v>0</v>
      </c>
      <c r="AC30" s="291">
        <f>IF(AND($F30&lt;=AC$2, OR($G30="",$G30&gt;=AC$2)),
  $H30 * (1 + Assumptions!$C$7) ^ INT(((YEAR(AC$2)-YEAR($F30))*12 + MONTH(AC$2)-MONTH($F30)) / 12),
  0)</f>
        <v>0</v>
      </c>
      <c r="AD30" s="291">
        <f>IF(AND($F30&lt;=AD$2, OR($G30="",$G30&gt;=AD$2)),
  $H30 * (1 + Assumptions!$C$7) ^ INT(((YEAR(AD$2)-YEAR($F30))*12 + MONTH(AD$2)-MONTH($F30)) / 12),
  0)</f>
        <v>0</v>
      </c>
      <c r="AE30" s="291">
        <f>IF(AND($F30&lt;=AE$2, OR($G30="",$G30&gt;=AE$2)),
  $H30 * (1 + Assumptions!$C$7) ^ INT(((YEAR(AE$2)-YEAR($F30))*12 + MONTH(AE$2)-MONTH($F30)) / 12),
  0)</f>
        <v>0</v>
      </c>
      <c r="AF30" s="291">
        <f>IF(AND($F30&lt;=AF$2, OR($G30="",$G30&gt;=AF$2)),
  $H30 * (1 + Assumptions!$C$7) ^ INT(((YEAR(AF$2)-YEAR($F30))*12 + MONTH(AF$2)-MONTH($F30)) / 12),
  0)</f>
        <v>0</v>
      </c>
      <c r="AG30" s="291">
        <f>IF(AND($F30&lt;=AG$2, OR($G30="",$G30&gt;=AG$2)),
  $H30 * (1 + Assumptions!$C$7) ^ INT(((YEAR(AG$2)-YEAR($F30))*12 + MONTH(AG$2)-MONTH($F30)) / 12),
  0)</f>
        <v>0</v>
      </c>
      <c r="AH30" s="291">
        <f>IF(AND($F30&lt;=AH$2, OR($G30="",$G30&gt;=AH$2)),
  $H30 * (1 + Assumptions!$C$7) ^ INT(((YEAR(AH$2)-YEAR($F30))*12 + MONTH(AH$2)-MONTH($F30)) / 12),
  0)</f>
        <v>0</v>
      </c>
      <c r="AI30" s="291">
        <f>IF(AND($F30&lt;=AI$2, OR($G30="",$G30&gt;=AI$2)),
  $H30 * (1 + Assumptions!$C$7) ^ INT(((YEAR(AI$2)-YEAR($F30))*12 + MONTH(AI$2)-MONTH($F30)) / 12),
  0)</f>
        <v>0</v>
      </c>
      <c r="AJ30" s="291">
        <f>IF(AND($F30&lt;=AJ$2, OR($G30="",$G30&gt;=AJ$2)),
  $H30 * (1 + Assumptions!$C$7) ^ INT(((YEAR(AJ$2)-YEAR($F30))*12 + MONTH(AJ$2)-MONTH($F30)) / 12),
  0)</f>
        <v>0</v>
      </c>
      <c r="AK30" s="291">
        <f>IF(AND($F30&lt;=AK$2, OR($G30="",$G30&gt;=AK$2)),
  $H30 * (1 + Assumptions!$C$7) ^ INT(((YEAR(AK$2)-YEAR($F30))*12 + MONTH(AK$2)-MONTH($F30)) / 12),
  0)</f>
        <v>0</v>
      </c>
      <c r="AL30" s="291">
        <f>IF(AND($F30&lt;=AL$2, OR($G30="",$G30&gt;=AL$2)),
  $H30 * (1 + Assumptions!$C$7) ^ INT(((YEAR(AL$2)-YEAR($F30))*12 + MONTH(AL$2)-MONTH($F30)) / 12),
  0)</f>
        <v>7500</v>
      </c>
      <c r="AM30" s="291">
        <f>IF(AND($F30&lt;=AM$2, OR($G30="",$G30&gt;=AM$2)),
  $H30 * (1 + Assumptions!$C$7) ^ INT(((YEAR(AM$2)-YEAR($F30))*12 + MONTH(AM$2)-MONTH($F30)) / 12),
  0)</f>
        <v>7500</v>
      </c>
      <c r="AN30" s="291">
        <f>IF(AND($F30&lt;=AN$2, OR($G30="",$G30&gt;=AN$2)),
  $H30 * (1 + Assumptions!$C$7) ^ INT(((YEAR(AN$2)-YEAR($F30))*12 + MONTH(AN$2)-MONTH($F30)) / 12),
  0)</f>
        <v>7500</v>
      </c>
      <c r="AO30" s="291">
        <f>IF(AND($F30&lt;=AO$2, OR($G30="",$G30&gt;=AO$2)),
  $H30 * (1 + Assumptions!$C$7) ^ INT(((YEAR(AO$2)-YEAR($F30))*12 + MONTH(AO$2)-MONTH($F30)) / 12),
  0)</f>
        <v>7500</v>
      </c>
      <c r="AP30" s="291">
        <f>IF(AND($F30&lt;=AP$2, OR($G30="",$G30&gt;=AP$2)),
  $H30 * (1 + Assumptions!$C$7) ^ INT(((YEAR(AP$2)-YEAR($F30))*12 + MONTH(AP$2)-MONTH($F30)) / 12),
  0)</f>
        <v>7500</v>
      </c>
      <c r="AQ30" s="291">
        <f>IF(AND($F30&lt;=AQ$2, OR($G30="",$G30&gt;=AQ$2)),
  $H30 * (1 + Assumptions!$C$7) ^ INT(((YEAR(AQ$2)-YEAR($F30))*12 + MONTH(AQ$2)-MONTH($F30)) / 12),
  0)</f>
        <v>7500</v>
      </c>
      <c r="AR30" s="291">
        <f>IF(AND($F30&lt;=AR$2, OR($G30="",$G30&gt;=AR$2)),
  $H30 * (1 + Assumptions!$C$7) ^ INT(((YEAR(AR$2)-YEAR($F30))*12 + MONTH(AR$2)-MONTH($F30)) / 12),
  0)</f>
        <v>7500</v>
      </c>
      <c r="AS30" s="291">
        <f>IF(AND($F30&lt;=AS$2, OR($G30="",$G30&gt;=AS$2)),
  $H30 * (1 + Assumptions!$C$7) ^ INT(((YEAR(AS$2)-YEAR($F30))*12 + MONTH(AS$2)-MONTH($F30)) / 12),
  0)</f>
        <v>7500</v>
      </c>
      <c r="AT30" s="291">
        <f>IF(AND($F30&lt;=AT$2, OR($G30="",$G30&gt;=AT$2)),
  $H30 * (1 + Assumptions!$C$7) ^ INT(((YEAR(AT$2)-YEAR($F30))*12 + MONTH(AT$2)-MONTH($F30)) / 12),
  0)</f>
        <v>7500</v>
      </c>
      <c r="AU30" s="291">
        <f>IF(AND($F30&lt;=AU$2, OR($G30="",$G30&gt;=AU$2)),
  $H30 * (1 + Assumptions!$C$7) ^ INT(((YEAR(AU$2)-YEAR($F30))*12 + MONTH(AU$2)-MONTH($F30)) / 12),
  0)</f>
        <v>7500</v>
      </c>
      <c r="AV30" s="291">
        <f>IF(AND($F30&lt;=AV$2, OR($G30="",$G30&gt;=AV$2)),
  $H30 * (1 + Assumptions!$C$7) ^ INT(((YEAR(AV$2)-YEAR($F30))*12 + MONTH(AV$2)-MONTH($F30)) / 12),
  0)</f>
        <v>7500</v>
      </c>
      <c r="AW30" s="291">
        <f>IF(AND($F30&lt;=AW$2, OR($G30="",$G30&gt;=AW$2)),
  $H30 * (1 + Assumptions!$C$7) ^ INT(((YEAR(AW$2)-YEAR($F30))*12 + MONTH(AW$2)-MONTH($F30)) / 12),
  0)</f>
        <v>7500</v>
      </c>
      <c r="AX30" s="291">
        <f>IF(AND($F30&lt;=AX$2, OR($G30="",$G30&gt;=AX$2)),
  $H30 * (1 + Assumptions!$C$7) ^ INT(((YEAR(AX$2)-YEAR($F30))*12 + MONTH(AX$2)-MONTH($F30)) / 12),
  0)</f>
        <v>8100</v>
      </c>
      <c r="AY30" s="291">
        <f>IF(AND($F30&lt;=AY$2, OR($G30="",$G30&gt;=AY$2)),
  $H30 * (1 + Assumptions!$C$7) ^ INT(((YEAR(AY$2)-YEAR($F30))*12 + MONTH(AY$2)-MONTH($F30)) / 12),
  0)</f>
        <v>8100</v>
      </c>
      <c r="AZ30" s="291">
        <f>IF(AND($F30&lt;=AZ$2, OR($G30="",$G30&gt;=AZ$2)),
  $H30 * (1 + Assumptions!$C$7) ^ INT(((YEAR(AZ$2)-YEAR($F30))*12 + MONTH(AZ$2)-MONTH($F30)) / 12),
  0)</f>
        <v>8100</v>
      </c>
      <c r="BA30" s="291">
        <f>IF(AND($F30&lt;=BA$2, OR($G30="",$G30&gt;=BA$2)),
  $H30 * (1 + Assumptions!$C$7) ^ INT(((YEAR(BA$2)-YEAR($F30))*12 + MONTH(BA$2)-MONTH($F30)) / 12),
  0)</f>
        <v>8100</v>
      </c>
      <c r="BB30" s="291">
        <f>IF(AND($F30&lt;=BB$2, OR($G30="",$G30&gt;=BB$2)),
  $H30 * (1 + Assumptions!$C$7) ^ INT(((YEAR(BB$2)-YEAR($F30))*12 + MONTH(BB$2)-MONTH($F30)) / 12),
  0)</f>
        <v>8100</v>
      </c>
      <c r="BC30" s="291">
        <f>IF(AND($F30&lt;=BC$2, OR($G30="",$G30&gt;=BC$2)),
  $H30 * (1 + Assumptions!$C$7) ^ INT(((YEAR(BC$2)-YEAR($F30))*12 + MONTH(BC$2)-MONTH($F30)) / 12),
  0)</f>
        <v>8100</v>
      </c>
      <c r="BD30" s="291">
        <f>IF(AND($F30&lt;=BD$2, OR($G30="",$G30&gt;=BD$2)),
  $H30 * (1 + Assumptions!$C$7) ^ INT(((YEAR(BD$2)-YEAR($F30))*12 + MONTH(BD$2)-MONTH($F30)) / 12),
  0)</f>
        <v>8100</v>
      </c>
      <c r="BE30" s="291">
        <f>IF(AND($F30&lt;=BE$2, OR($G30="",$G30&gt;=BE$2)),
  $H30 * (1 + Assumptions!$C$7) ^ INT(((YEAR(BE$2)-YEAR($F30))*12 + MONTH(BE$2)-MONTH($F30)) / 12),
  0)</f>
        <v>8100</v>
      </c>
      <c r="BF30" s="291">
        <f>IF(AND($F30&lt;=BF$2, OR($G30="",$G30&gt;=BF$2)),
  $H30 * (1 + Assumptions!$C$7) ^ INT(((YEAR(BF$2)-YEAR($F30))*12 + MONTH(BF$2)-MONTH($F30)) / 12),
  0)</f>
        <v>8100</v>
      </c>
      <c r="BG30" s="291">
        <f>IF(AND($F30&lt;=BG$2, OR($G30="",$G30&gt;=BG$2)),
  $H30 * (1 + Assumptions!$C$7) ^ INT(((YEAR(BG$2)-YEAR($F30))*12 + MONTH(BG$2)-MONTH($F30)) / 12),
  0)</f>
        <v>8100</v>
      </c>
      <c r="BH30" s="291">
        <f>IF(AND($F30&lt;=BH$2, OR($G30="",$G30&gt;=BH$2)),
  $H30 * (1 + Assumptions!$C$7) ^ INT(((YEAR(BH$2)-YEAR($F30))*12 + MONTH(BH$2)-MONTH($F30)) / 12),
  0)</f>
        <v>8100</v>
      </c>
      <c r="BI30" s="291">
        <f>IF(AND($F30&lt;=BI$2, OR($G30="",$G30&gt;=BI$2)),
  $H30 * (1 + Assumptions!$C$7) ^ INT(((YEAR(BI$2)-YEAR($F30))*12 + MONTH(BI$2)-MONTH($F30)) / 12),
  0)</f>
        <v>8100</v>
      </c>
      <c r="BJ30" s="291">
        <f>IF(AND($F30&lt;=BJ$2, OR($G30="",$G30&gt;=BJ$2)),
  $H30 * (1 + Assumptions!$C$7) ^ INT(((YEAR(BJ$2)-YEAR($F30))*12 + MONTH(BJ$2)-MONTH($F30)) / 12),
  0)</f>
        <v>8748</v>
      </c>
      <c r="BK30" s="291">
        <f>IF(AND($F30&lt;=BK$2, OR($G30="",$G30&gt;=BK$2)),
  $H30 * (1 + Assumptions!$C$7) ^ INT(((YEAR(BK$2)-YEAR($F30))*12 + MONTH(BK$2)-MONTH($F30)) / 12),
  0)</f>
        <v>8748</v>
      </c>
      <c r="BL30" s="291">
        <f>IF(AND($F30&lt;=BL$2, OR($G30="",$G30&gt;=BL$2)),
  $H30 * (1 + Assumptions!$C$7) ^ INT(((YEAR(BL$2)-YEAR($F30))*12 + MONTH(BL$2)-MONTH($F30)) / 12),
  0)</f>
        <v>8748</v>
      </c>
      <c r="BM30" s="291">
        <f>IF(AND($F30&lt;=BM$2, OR($G30="",$G30&gt;=BM$2)),
  $H30 * (1 + Assumptions!$C$7) ^ INT(((YEAR(BM$2)-YEAR($F30))*12 + MONTH(BM$2)-MONTH($F30)) / 12),
  0)</f>
        <v>8748</v>
      </c>
      <c r="BN30" s="291">
        <f>IF(AND($F30&lt;=BN$2, OR($G30="",$G30&gt;=BN$2)),
  $H30 * (1 + Assumptions!$C$7) ^ INT(((YEAR(BN$2)-YEAR($F30))*12 + MONTH(BN$2)-MONTH($F30)) / 12),
  0)</f>
        <v>8748</v>
      </c>
      <c r="BO30" s="291">
        <f>IF(AND($F30&lt;=BO$2, OR($G30="",$G30&gt;=BO$2)),
  $H30 * (1 + Assumptions!$C$7) ^ INT(((YEAR(BO$2)-YEAR($F30))*12 + MONTH(BO$2)-MONTH($F30)) / 12),
  0)</f>
        <v>8748</v>
      </c>
      <c r="BP30" s="291">
        <f>IF(AND($F30&lt;=BP$2, OR($G30="",$G30&gt;=BP$2)),
  $H30 * (1 + Assumptions!$C$7) ^ INT(((YEAR(BP$2)-YEAR($F30))*12 + MONTH(BP$2)-MONTH($F30)) / 12),
  0)</f>
        <v>8748</v>
      </c>
      <c r="BQ30" s="30"/>
    </row>
    <row r="31" ht="15.75" customHeight="1">
      <c r="A31" s="298">
        <v>26.0</v>
      </c>
      <c r="B31" s="282" t="s">
        <v>335</v>
      </c>
      <c r="C31" s="26" t="s">
        <v>137</v>
      </c>
      <c r="D31" s="303" t="s">
        <v>345</v>
      </c>
      <c r="E31" s="289" t="s">
        <v>337</v>
      </c>
      <c r="F31" s="300">
        <v>46753.0</v>
      </c>
      <c r="G31" s="301"/>
      <c r="H31" s="285">
        <v>7500.0</v>
      </c>
      <c r="I31" s="291">
        <f>IF(AND($F31&lt;=I$2, OR($G31="",$G31&gt;=I$2)),
  $H31 * (1 + Assumptions!$C$7) ^ INT(((YEAR(I$2)-YEAR($F31))*12 + MONTH(I$2)-MONTH($F31)) / 12),
  0)</f>
        <v>0</v>
      </c>
      <c r="J31" s="291">
        <f>IF(AND($F31&lt;=J$2, OR($G31="",$G31&gt;=J$2)),
  $H31 * (1 + Assumptions!$C$7) ^ INT(((YEAR(J$2)-YEAR($F31))*12 + MONTH(J$2)-MONTH($F31)) / 12),
  0)</f>
        <v>0</v>
      </c>
      <c r="K31" s="291">
        <f>IF(AND($F31&lt;=K$2, OR($G31="",$G31&gt;=K$2)),
  $H31 * (1 + Assumptions!$C$7) ^ INT(((YEAR(K$2)-YEAR($F31))*12 + MONTH(K$2)-MONTH($F31)) / 12),
  0)</f>
        <v>0</v>
      </c>
      <c r="L31" s="291">
        <f>IF(AND($F31&lt;=L$2, OR($G31="",$G31&gt;=L$2)),
  $H31 * (1 + Assumptions!$C$7) ^ INT(((YEAR(L$2)-YEAR($F31))*12 + MONTH(L$2)-MONTH($F31)) / 12),
  0)</f>
        <v>0</v>
      </c>
      <c r="M31" s="291">
        <f>IF(AND($F31&lt;=M$2, OR($G31="",$G31&gt;=M$2)),
  $H31 * (1 + Assumptions!$C$7) ^ INT(((YEAR(M$2)-YEAR($F31))*12 + MONTH(M$2)-MONTH($F31)) / 12),
  0)</f>
        <v>0</v>
      </c>
      <c r="N31" s="291">
        <f>IF(AND($F31&lt;=N$2, OR($G31="",$G31&gt;=N$2)),
  $H31 * (1 + Assumptions!$C$7) ^ INT(((YEAR(N$2)-YEAR($F31))*12 + MONTH(N$2)-MONTH($F31)) / 12),
  0)</f>
        <v>0</v>
      </c>
      <c r="O31" s="291">
        <f>IF(AND($F31&lt;=O$2, OR($G31="",$G31&gt;=O$2)),
  $H31 * (1 + Assumptions!$C$7) ^ INT(((YEAR(O$2)-YEAR($F31))*12 + MONTH(O$2)-MONTH($F31)) / 12),
  0)</f>
        <v>0</v>
      </c>
      <c r="P31" s="291">
        <f>IF(AND($F31&lt;=P$2, OR($G31="",$G31&gt;=P$2)),
  $H31 * (1 + Assumptions!$C$7) ^ INT(((YEAR(P$2)-YEAR($F31))*12 + MONTH(P$2)-MONTH($F31)) / 12),
  0)</f>
        <v>0</v>
      </c>
      <c r="Q31" s="291">
        <f>IF(AND($F31&lt;=Q$2, OR($G31="",$G31&gt;=Q$2)),
  $H31 * (1 + Assumptions!$C$7) ^ INT(((YEAR(Q$2)-YEAR($F31))*12 + MONTH(Q$2)-MONTH($F31)) / 12),
  0)</f>
        <v>0</v>
      </c>
      <c r="R31" s="291">
        <f>IF(AND($F31&lt;=R$2, OR($G31="",$G31&gt;=R$2)),
  $H31 * (1 + Assumptions!$C$7) ^ INT(((YEAR(R$2)-YEAR($F31))*12 + MONTH(R$2)-MONTH($F31)) / 12),
  0)</f>
        <v>0</v>
      </c>
      <c r="S31" s="291">
        <f>IF(AND($F31&lt;=S$2, OR($G31="",$G31&gt;=S$2)),
  $H31 * (1 + Assumptions!$C$7) ^ INT(((YEAR(S$2)-YEAR($F31))*12 + MONTH(S$2)-MONTH($F31)) / 12),
  0)</f>
        <v>0</v>
      </c>
      <c r="T31" s="291">
        <f>IF(AND($F31&lt;=T$2, OR($G31="",$G31&gt;=T$2)),
  $H31 * (1 + Assumptions!$C$7) ^ INT(((YEAR(T$2)-YEAR($F31))*12 + MONTH(T$2)-MONTH($F31)) / 12),
  0)</f>
        <v>0</v>
      </c>
      <c r="U31" s="291">
        <f>IF(AND($F31&lt;=U$2, OR($G31="",$G31&gt;=U$2)),
  $H31 * (1 + Assumptions!$C$7) ^ INT(((YEAR(U$2)-YEAR($F31))*12 + MONTH(U$2)-MONTH($F31)) / 12),
  0)</f>
        <v>0</v>
      </c>
      <c r="V31" s="291">
        <f>IF(AND($F31&lt;=V$2, OR($G31="",$G31&gt;=V$2)),
  $H31 * (1 + Assumptions!$C$7) ^ INT(((YEAR(V$2)-YEAR($F31))*12 + MONTH(V$2)-MONTH($F31)) / 12),
  0)</f>
        <v>0</v>
      </c>
      <c r="W31" s="291">
        <f>IF(AND($F31&lt;=W$2, OR($G31="",$G31&gt;=W$2)),
  $H31 * (1 + Assumptions!$C$7) ^ INT(((YEAR(W$2)-YEAR($F31))*12 + MONTH(W$2)-MONTH($F31)) / 12),
  0)</f>
        <v>0</v>
      </c>
      <c r="X31" s="291">
        <f>IF(AND($F31&lt;=X$2, OR($G31="",$G31&gt;=X$2)),
  $H31 * (1 + Assumptions!$C$7) ^ INT(((YEAR(X$2)-YEAR($F31))*12 + MONTH(X$2)-MONTH($F31)) / 12),
  0)</f>
        <v>0</v>
      </c>
      <c r="Y31" s="291">
        <f>IF(AND($F31&lt;=Y$2, OR($G31="",$G31&gt;=Y$2)),
  $H31 * (1 + Assumptions!$C$7) ^ INT(((YEAR(Y$2)-YEAR($F31))*12 + MONTH(Y$2)-MONTH($F31)) / 12),
  0)</f>
        <v>0</v>
      </c>
      <c r="Z31" s="291">
        <f>IF(AND($F31&lt;=Z$2, OR($G31="",$G31&gt;=Z$2)),
  $H31 * (1 + Assumptions!$C$7) ^ INT(((YEAR(Z$2)-YEAR($F31))*12 + MONTH(Z$2)-MONTH($F31)) / 12),
  0)</f>
        <v>0</v>
      </c>
      <c r="AA31" s="291">
        <f>IF(AND($F31&lt;=AA$2, OR($G31="",$G31&gt;=AA$2)),
  $H31 * (1 + Assumptions!$C$7) ^ INT(((YEAR(AA$2)-YEAR($F31))*12 + MONTH(AA$2)-MONTH($F31)) / 12),
  0)</f>
        <v>0</v>
      </c>
      <c r="AB31" s="291">
        <f>IF(AND($F31&lt;=AB$2, OR($G31="",$G31&gt;=AB$2)),
  $H31 * (1 + Assumptions!$C$7) ^ INT(((YEAR(AB$2)-YEAR($F31))*12 + MONTH(AB$2)-MONTH($F31)) / 12),
  0)</f>
        <v>0</v>
      </c>
      <c r="AC31" s="291">
        <f>IF(AND($F31&lt;=AC$2, OR($G31="",$G31&gt;=AC$2)),
  $H31 * (1 + Assumptions!$C$7) ^ INT(((YEAR(AC$2)-YEAR($F31))*12 + MONTH(AC$2)-MONTH($F31)) / 12),
  0)</f>
        <v>0</v>
      </c>
      <c r="AD31" s="291">
        <f>IF(AND($F31&lt;=AD$2, OR($G31="",$G31&gt;=AD$2)),
  $H31 * (1 + Assumptions!$C$7) ^ INT(((YEAR(AD$2)-YEAR($F31))*12 + MONTH(AD$2)-MONTH($F31)) / 12),
  0)</f>
        <v>0</v>
      </c>
      <c r="AE31" s="291">
        <f>IF(AND($F31&lt;=AE$2, OR($G31="",$G31&gt;=AE$2)),
  $H31 * (1 + Assumptions!$C$7) ^ INT(((YEAR(AE$2)-YEAR($F31))*12 + MONTH(AE$2)-MONTH($F31)) / 12),
  0)</f>
        <v>0</v>
      </c>
      <c r="AF31" s="291">
        <f>IF(AND($F31&lt;=AF$2, OR($G31="",$G31&gt;=AF$2)),
  $H31 * (1 + Assumptions!$C$7) ^ INT(((YEAR(AF$2)-YEAR($F31))*12 + MONTH(AF$2)-MONTH($F31)) / 12),
  0)</f>
        <v>0</v>
      </c>
      <c r="AG31" s="291">
        <f>IF(AND($F31&lt;=AG$2, OR($G31="",$G31&gt;=AG$2)),
  $H31 * (1 + Assumptions!$C$7) ^ INT(((YEAR(AG$2)-YEAR($F31))*12 + MONTH(AG$2)-MONTH($F31)) / 12),
  0)</f>
        <v>0</v>
      </c>
      <c r="AH31" s="291">
        <f>IF(AND($F31&lt;=AH$2, OR($G31="",$G31&gt;=AH$2)),
  $H31 * (1 + Assumptions!$C$7) ^ INT(((YEAR(AH$2)-YEAR($F31))*12 + MONTH(AH$2)-MONTH($F31)) / 12),
  0)</f>
        <v>0</v>
      </c>
      <c r="AI31" s="291">
        <f>IF(AND($F31&lt;=AI$2, OR($G31="",$G31&gt;=AI$2)),
  $H31 * (1 + Assumptions!$C$7) ^ INT(((YEAR(AI$2)-YEAR($F31))*12 + MONTH(AI$2)-MONTH($F31)) / 12),
  0)</f>
        <v>0</v>
      </c>
      <c r="AJ31" s="291">
        <f>IF(AND($F31&lt;=AJ$2, OR($G31="",$G31&gt;=AJ$2)),
  $H31 * (1 + Assumptions!$C$7) ^ INT(((YEAR(AJ$2)-YEAR($F31))*12 + MONTH(AJ$2)-MONTH($F31)) / 12),
  0)</f>
        <v>0</v>
      </c>
      <c r="AK31" s="291">
        <f>IF(AND($F31&lt;=AK$2, OR($G31="",$G31&gt;=AK$2)),
  $H31 * (1 + Assumptions!$C$7) ^ INT(((YEAR(AK$2)-YEAR($F31))*12 + MONTH(AK$2)-MONTH($F31)) / 12),
  0)</f>
        <v>0</v>
      </c>
      <c r="AL31" s="291">
        <f>IF(AND($F31&lt;=AL$2, OR($G31="",$G31&gt;=AL$2)),
  $H31 * (1 + Assumptions!$C$7) ^ INT(((YEAR(AL$2)-YEAR($F31))*12 + MONTH(AL$2)-MONTH($F31)) / 12),
  0)</f>
        <v>0</v>
      </c>
      <c r="AM31" s="291">
        <f>IF(AND($F31&lt;=AM$2, OR($G31="",$G31&gt;=AM$2)),
  $H31 * (1 + Assumptions!$C$7) ^ INT(((YEAR(AM$2)-YEAR($F31))*12 + MONTH(AM$2)-MONTH($F31)) / 12),
  0)</f>
        <v>0</v>
      </c>
      <c r="AN31" s="291">
        <f>IF(AND($F31&lt;=AN$2, OR($G31="",$G31&gt;=AN$2)),
  $H31 * (1 + Assumptions!$C$7) ^ INT(((YEAR(AN$2)-YEAR($F31))*12 + MONTH(AN$2)-MONTH($F31)) / 12),
  0)</f>
        <v>0</v>
      </c>
      <c r="AO31" s="291">
        <f>IF(AND($F31&lt;=AO$2, OR($G31="",$G31&gt;=AO$2)),
  $H31 * (1 + Assumptions!$C$7) ^ INT(((YEAR(AO$2)-YEAR($F31))*12 + MONTH(AO$2)-MONTH($F31)) / 12),
  0)</f>
        <v>0</v>
      </c>
      <c r="AP31" s="291">
        <f>IF(AND($F31&lt;=AP$2, OR($G31="",$G31&gt;=AP$2)),
  $H31 * (1 + Assumptions!$C$7) ^ INT(((YEAR(AP$2)-YEAR($F31))*12 + MONTH(AP$2)-MONTH($F31)) / 12),
  0)</f>
        <v>0</v>
      </c>
      <c r="AQ31" s="291">
        <f>IF(AND($F31&lt;=AQ$2, OR($G31="",$G31&gt;=AQ$2)),
  $H31 * (1 + Assumptions!$C$7) ^ INT(((YEAR(AQ$2)-YEAR($F31))*12 + MONTH(AQ$2)-MONTH($F31)) / 12),
  0)</f>
        <v>0</v>
      </c>
      <c r="AR31" s="291">
        <f>IF(AND($F31&lt;=AR$2, OR($G31="",$G31&gt;=AR$2)),
  $H31 * (1 + Assumptions!$C$7) ^ INT(((YEAR(AR$2)-YEAR($F31))*12 + MONTH(AR$2)-MONTH($F31)) / 12),
  0)</f>
        <v>0</v>
      </c>
      <c r="AS31" s="291">
        <f>IF(AND($F31&lt;=AS$2, OR($G31="",$G31&gt;=AS$2)),
  $H31 * (1 + Assumptions!$C$7) ^ INT(((YEAR(AS$2)-YEAR($F31))*12 + MONTH(AS$2)-MONTH($F31)) / 12),
  0)</f>
        <v>7500</v>
      </c>
      <c r="AT31" s="291">
        <f>IF(AND($F31&lt;=AT$2, OR($G31="",$G31&gt;=AT$2)),
  $H31 * (1 + Assumptions!$C$7) ^ INT(((YEAR(AT$2)-YEAR($F31))*12 + MONTH(AT$2)-MONTH($F31)) / 12),
  0)</f>
        <v>7500</v>
      </c>
      <c r="AU31" s="291">
        <f>IF(AND($F31&lt;=AU$2, OR($G31="",$G31&gt;=AU$2)),
  $H31 * (1 + Assumptions!$C$7) ^ INT(((YEAR(AU$2)-YEAR($F31))*12 + MONTH(AU$2)-MONTH($F31)) / 12),
  0)</f>
        <v>7500</v>
      </c>
      <c r="AV31" s="291">
        <f>IF(AND($F31&lt;=AV$2, OR($G31="",$G31&gt;=AV$2)),
  $H31 * (1 + Assumptions!$C$7) ^ INT(((YEAR(AV$2)-YEAR($F31))*12 + MONTH(AV$2)-MONTH($F31)) / 12),
  0)</f>
        <v>7500</v>
      </c>
      <c r="AW31" s="291">
        <f>IF(AND($F31&lt;=AW$2, OR($G31="",$G31&gt;=AW$2)),
  $H31 * (1 + Assumptions!$C$7) ^ INT(((YEAR(AW$2)-YEAR($F31))*12 + MONTH(AW$2)-MONTH($F31)) / 12),
  0)</f>
        <v>7500</v>
      </c>
      <c r="AX31" s="291">
        <f>IF(AND($F31&lt;=AX$2, OR($G31="",$G31&gt;=AX$2)),
  $H31 * (1 + Assumptions!$C$7) ^ INT(((YEAR(AX$2)-YEAR($F31))*12 + MONTH(AX$2)-MONTH($F31)) / 12),
  0)</f>
        <v>7500</v>
      </c>
      <c r="AY31" s="291">
        <f>IF(AND($F31&lt;=AY$2, OR($G31="",$G31&gt;=AY$2)),
  $H31 * (1 + Assumptions!$C$7) ^ INT(((YEAR(AY$2)-YEAR($F31))*12 + MONTH(AY$2)-MONTH($F31)) / 12),
  0)</f>
        <v>7500</v>
      </c>
      <c r="AZ31" s="291">
        <f>IF(AND($F31&lt;=AZ$2, OR($G31="",$G31&gt;=AZ$2)),
  $H31 * (1 + Assumptions!$C$7) ^ INT(((YEAR(AZ$2)-YEAR($F31))*12 + MONTH(AZ$2)-MONTH($F31)) / 12),
  0)</f>
        <v>7500</v>
      </c>
      <c r="BA31" s="291">
        <f>IF(AND($F31&lt;=BA$2, OR($G31="",$G31&gt;=BA$2)),
  $H31 * (1 + Assumptions!$C$7) ^ INT(((YEAR(BA$2)-YEAR($F31))*12 + MONTH(BA$2)-MONTH($F31)) / 12),
  0)</f>
        <v>7500</v>
      </c>
      <c r="BB31" s="291">
        <f>IF(AND($F31&lt;=BB$2, OR($G31="",$G31&gt;=BB$2)),
  $H31 * (1 + Assumptions!$C$7) ^ INT(((YEAR(BB$2)-YEAR($F31))*12 + MONTH(BB$2)-MONTH($F31)) / 12),
  0)</f>
        <v>7500</v>
      </c>
      <c r="BC31" s="291">
        <f>IF(AND($F31&lt;=BC$2, OR($G31="",$G31&gt;=BC$2)),
  $H31 * (1 + Assumptions!$C$7) ^ INT(((YEAR(BC$2)-YEAR($F31))*12 + MONTH(BC$2)-MONTH($F31)) / 12),
  0)</f>
        <v>7500</v>
      </c>
      <c r="BD31" s="291">
        <f>IF(AND($F31&lt;=BD$2, OR($G31="",$G31&gt;=BD$2)),
  $H31 * (1 + Assumptions!$C$7) ^ INT(((YEAR(BD$2)-YEAR($F31))*12 + MONTH(BD$2)-MONTH($F31)) / 12),
  0)</f>
        <v>7500</v>
      </c>
      <c r="BE31" s="291">
        <f>IF(AND($F31&lt;=BE$2, OR($G31="",$G31&gt;=BE$2)),
  $H31 * (1 + Assumptions!$C$7) ^ INT(((YEAR(BE$2)-YEAR($F31))*12 + MONTH(BE$2)-MONTH($F31)) / 12),
  0)</f>
        <v>8100</v>
      </c>
      <c r="BF31" s="291">
        <f>IF(AND($F31&lt;=BF$2, OR($G31="",$G31&gt;=BF$2)),
  $H31 * (1 + Assumptions!$C$7) ^ INT(((YEAR(BF$2)-YEAR($F31))*12 + MONTH(BF$2)-MONTH($F31)) / 12),
  0)</f>
        <v>8100</v>
      </c>
      <c r="BG31" s="291">
        <f>IF(AND($F31&lt;=BG$2, OR($G31="",$G31&gt;=BG$2)),
  $H31 * (1 + Assumptions!$C$7) ^ INT(((YEAR(BG$2)-YEAR($F31))*12 + MONTH(BG$2)-MONTH($F31)) / 12),
  0)</f>
        <v>8100</v>
      </c>
      <c r="BH31" s="291">
        <f>IF(AND($F31&lt;=BH$2, OR($G31="",$G31&gt;=BH$2)),
  $H31 * (1 + Assumptions!$C$7) ^ INT(((YEAR(BH$2)-YEAR($F31))*12 + MONTH(BH$2)-MONTH($F31)) / 12),
  0)</f>
        <v>8100</v>
      </c>
      <c r="BI31" s="291">
        <f>IF(AND($F31&lt;=BI$2, OR($G31="",$G31&gt;=BI$2)),
  $H31 * (1 + Assumptions!$C$7) ^ INT(((YEAR(BI$2)-YEAR($F31))*12 + MONTH(BI$2)-MONTH($F31)) / 12),
  0)</f>
        <v>8100</v>
      </c>
      <c r="BJ31" s="291">
        <f>IF(AND($F31&lt;=BJ$2, OR($G31="",$G31&gt;=BJ$2)),
  $H31 * (1 + Assumptions!$C$7) ^ INT(((YEAR(BJ$2)-YEAR($F31))*12 + MONTH(BJ$2)-MONTH($F31)) / 12),
  0)</f>
        <v>8100</v>
      </c>
      <c r="BK31" s="291">
        <f>IF(AND($F31&lt;=BK$2, OR($G31="",$G31&gt;=BK$2)),
  $H31 * (1 + Assumptions!$C$7) ^ INT(((YEAR(BK$2)-YEAR($F31))*12 + MONTH(BK$2)-MONTH($F31)) / 12),
  0)</f>
        <v>8100</v>
      </c>
      <c r="BL31" s="291">
        <f>IF(AND($F31&lt;=BL$2, OR($G31="",$G31&gt;=BL$2)),
  $H31 * (1 + Assumptions!$C$7) ^ INT(((YEAR(BL$2)-YEAR($F31))*12 + MONTH(BL$2)-MONTH($F31)) / 12),
  0)</f>
        <v>8100</v>
      </c>
      <c r="BM31" s="291">
        <f>IF(AND($F31&lt;=BM$2, OR($G31="",$G31&gt;=BM$2)),
  $H31 * (1 + Assumptions!$C$7) ^ INT(((YEAR(BM$2)-YEAR($F31))*12 + MONTH(BM$2)-MONTH($F31)) / 12),
  0)</f>
        <v>8100</v>
      </c>
      <c r="BN31" s="291">
        <f>IF(AND($F31&lt;=BN$2, OR($G31="",$G31&gt;=BN$2)),
  $H31 * (1 + Assumptions!$C$7) ^ INT(((YEAR(BN$2)-YEAR($F31))*12 + MONTH(BN$2)-MONTH($F31)) / 12),
  0)</f>
        <v>8100</v>
      </c>
      <c r="BO31" s="291">
        <f>IF(AND($F31&lt;=BO$2, OR($G31="",$G31&gt;=BO$2)),
  $H31 * (1 + Assumptions!$C$7) ^ INT(((YEAR(BO$2)-YEAR($F31))*12 + MONTH(BO$2)-MONTH($F31)) / 12),
  0)</f>
        <v>8100</v>
      </c>
      <c r="BP31" s="291">
        <f>IF(AND($F31&lt;=BP$2, OR($G31="",$G31&gt;=BP$2)),
  $H31 * (1 + Assumptions!$C$7) ^ INT(((YEAR(BP$2)-YEAR($F31))*12 + MONTH(BP$2)-MONTH($F31)) / 12),
  0)</f>
        <v>8100</v>
      </c>
      <c r="BQ31" s="30"/>
    </row>
    <row r="32" ht="15.75" customHeight="1">
      <c r="A32" s="298">
        <v>27.0</v>
      </c>
      <c r="B32" s="282" t="s">
        <v>335</v>
      </c>
      <c r="C32" s="282" t="s">
        <v>141</v>
      </c>
      <c r="D32" s="75" t="s">
        <v>321</v>
      </c>
      <c r="E32" s="289" t="s">
        <v>337</v>
      </c>
      <c r="F32" s="300">
        <v>46753.0</v>
      </c>
      <c r="G32" s="301"/>
      <c r="H32" s="285">
        <v>7500.0</v>
      </c>
      <c r="I32" s="291">
        <f>IF(AND($F32&lt;=I$2, OR($G32="",$G32&gt;=I$2)),
  $H32 * (1 + Assumptions!$C$7) ^ INT(((YEAR(I$2)-YEAR($F32))*12 + MONTH(I$2)-MONTH($F32)) / 12),
  0)</f>
        <v>0</v>
      </c>
      <c r="J32" s="291">
        <f>IF(AND($F32&lt;=J$2, OR($G32="",$G32&gt;=J$2)),
  $H32 * (1 + Assumptions!$C$7) ^ INT(((YEAR(J$2)-YEAR($F32))*12 + MONTH(J$2)-MONTH($F32)) / 12),
  0)</f>
        <v>0</v>
      </c>
      <c r="K32" s="291">
        <f>IF(AND($F32&lt;=K$2, OR($G32="",$G32&gt;=K$2)),
  $H32 * (1 + Assumptions!$C$7) ^ INT(((YEAR(K$2)-YEAR($F32))*12 + MONTH(K$2)-MONTH($F32)) / 12),
  0)</f>
        <v>0</v>
      </c>
      <c r="L32" s="291">
        <f>IF(AND($F32&lt;=L$2, OR($G32="",$G32&gt;=L$2)),
  $H32 * (1 + Assumptions!$C$7) ^ INT(((YEAR(L$2)-YEAR($F32))*12 + MONTH(L$2)-MONTH($F32)) / 12),
  0)</f>
        <v>0</v>
      </c>
      <c r="M32" s="291">
        <f>IF(AND($F32&lt;=M$2, OR($G32="",$G32&gt;=M$2)),
  $H32 * (1 + Assumptions!$C$7) ^ INT(((YEAR(M$2)-YEAR($F32))*12 + MONTH(M$2)-MONTH($F32)) / 12),
  0)</f>
        <v>0</v>
      </c>
      <c r="N32" s="291">
        <f>IF(AND($F32&lt;=N$2, OR($G32="",$G32&gt;=N$2)),
  $H32 * (1 + Assumptions!$C$7) ^ INT(((YEAR(N$2)-YEAR($F32))*12 + MONTH(N$2)-MONTH($F32)) / 12),
  0)</f>
        <v>0</v>
      </c>
      <c r="O32" s="291">
        <f>IF(AND($F32&lt;=O$2, OR($G32="",$G32&gt;=O$2)),
  $H32 * (1 + Assumptions!$C$7) ^ INT(((YEAR(O$2)-YEAR($F32))*12 + MONTH(O$2)-MONTH($F32)) / 12),
  0)</f>
        <v>0</v>
      </c>
      <c r="P32" s="291">
        <f>IF(AND($F32&lt;=P$2, OR($G32="",$G32&gt;=P$2)),
  $H32 * (1 + Assumptions!$C$7) ^ INT(((YEAR(P$2)-YEAR($F32))*12 + MONTH(P$2)-MONTH($F32)) / 12),
  0)</f>
        <v>0</v>
      </c>
      <c r="Q32" s="291">
        <f>IF(AND($F32&lt;=Q$2, OR($G32="",$G32&gt;=Q$2)),
  $H32 * (1 + Assumptions!$C$7) ^ INT(((YEAR(Q$2)-YEAR($F32))*12 + MONTH(Q$2)-MONTH($F32)) / 12),
  0)</f>
        <v>0</v>
      </c>
      <c r="R32" s="291">
        <f>IF(AND($F32&lt;=R$2, OR($G32="",$G32&gt;=R$2)),
  $H32 * (1 + Assumptions!$C$7) ^ INT(((YEAR(R$2)-YEAR($F32))*12 + MONTH(R$2)-MONTH($F32)) / 12),
  0)</f>
        <v>0</v>
      </c>
      <c r="S32" s="291">
        <f>IF(AND($F32&lt;=S$2, OR($G32="",$G32&gt;=S$2)),
  $H32 * (1 + Assumptions!$C$7) ^ INT(((YEAR(S$2)-YEAR($F32))*12 + MONTH(S$2)-MONTH($F32)) / 12),
  0)</f>
        <v>0</v>
      </c>
      <c r="T32" s="291">
        <f>IF(AND($F32&lt;=T$2, OR($G32="",$G32&gt;=T$2)),
  $H32 * (1 + Assumptions!$C$7) ^ INT(((YEAR(T$2)-YEAR($F32))*12 + MONTH(T$2)-MONTH($F32)) / 12),
  0)</f>
        <v>0</v>
      </c>
      <c r="U32" s="291">
        <f>IF(AND($F32&lt;=U$2, OR($G32="",$G32&gt;=U$2)),
  $H32 * (1 + Assumptions!$C$7) ^ INT(((YEAR(U$2)-YEAR($F32))*12 + MONTH(U$2)-MONTH($F32)) / 12),
  0)</f>
        <v>0</v>
      </c>
      <c r="V32" s="291">
        <f>IF(AND($F32&lt;=V$2, OR($G32="",$G32&gt;=V$2)),
  $H32 * (1 + Assumptions!$C$7) ^ INT(((YEAR(V$2)-YEAR($F32))*12 + MONTH(V$2)-MONTH($F32)) / 12),
  0)</f>
        <v>0</v>
      </c>
      <c r="W32" s="291">
        <f>IF(AND($F32&lt;=W$2, OR($G32="",$G32&gt;=W$2)),
  $H32 * (1 + Assumptions!$C$7) ^ INT(((YEAR(W$2)-YEAR($F32))*12 + MONTH(W$2)-MONTH($F32)) / 12),
  0)</f>
        <v>0</v>
      </c>
      <c r="X32" s="291">
        <f>IF(AND($F32&lt;=X$2, OR($G32="",$G32&gt;=X$2)),
  $H32 * (1 + Assumptions!$C$7) ^ INT(((YEAR(X$2)-YEAR($F32))*12 + MONTH(X$2)-MONTH($F32)) / 12),
  0)</f>
        <v>0</v>
      </c>
      <c r="Y32" s="291">
        <f>IF(AND($F32&lt;=Y$2, OR($G32="",$G32&gt;=Y$2)),
  $H32 * (1 + Assumptions!$C$7) ^ INT(((YEAR(Y$2)-YEAR($F32))*12 + MONTH(Y$2)-MONTH($F32)) / 12),
  0)</f>
        <v>0</v>
      </c>
      <c r="Z32" s="291">
        <f>IF(AND($F32&lt;=Z$2, OR($G32="",$G32&gt;=Z$2)),
  $H32 * (1 + Assumptions!$C$7) ^ INT(((YEAR(Z$2)-YEAR($F32))*12 + MONTH(Z$2)-MONTH($F32)) / 12),
  0)</f>
        <v>0</v>
      </c>
      <c r="AA32" s="291">
        <f>IF(AND($F32&lt;=AA$2, OR($G32="",$G32&gt;=AA$2)),
  $H32 * (1 + Assumptions!$C$7) ^ INT(((YEAR(AA$2)-YEAR($F32))*12 + MONTH(AA$2)-MONTH($F32)) / 12),
  0)</f>
        <v>0</v>
      </c>
      <c r="AB32" s="291">
        <f>IF(AND($F32&lt;=AB$2, OR($G32="",$G32&gt;=AB$2)),
  $H32 * (1 + Assumptions!$C$7) ^ INT(((YEAR(AB$2)-YEAR($F32))*12 + MONTH(AB$2)-MONTH($F32)) / 12),
  0)</f>
        <v>0</v>
      </c>
      <c r="AC32" s="291">
        <f>IF(AND($F32&lt;=AC$2, OR($G32="",$G32&gt;=AC$2)),
  $H32 * (1 + Assumptions!$C$7) ^ INT(((YEAR(AC$2)-YEAR($F32))*12 + MONTH(AC$2)-MONTH($F32)) / 12),
  0)</f>
        <v>0</v>
      </c>
      <c r="AD32" s="291">
        <f>IF(AND($F32&lt;=AD$2, OR($G32="",$G32&gt;=AD$2)),
  $H32 * (1 + Assumptions!$C$7) ^ INT(((YEAR(AD$2)-YEAR($F32))*12 + MONTH(AD$2)-MONTH($F32)) / 12),
  0)</f>
        <v>0</v>
      </c>
      <c r="AE32" s="291">
        <f>IF(AND($F32&lt;=AE$2, OR($G32="",$G32&gt;=AE$2)),
  $H32 * (1 + Assumptions!$C$7) ^ INT(((YEAR(AE$2)-YEAR($F32))*12 + MONTH(AE$2)-MONTH($F32)) / 12),
  0)</f>
        <v>0</v>
      </c>
      <c r="AF32" s="291">
        <f>IF(AND($F32&lt;=AF$2, OR($G32="",$G32&gt;=AF$2)),
  $H32 * (1 + Assumptions!$C$7) ^ INT(((YEAR(AF$2)-YEAR($F32))*12 + MONTH(AF$2)-MONTH($F32)) / 12),
  0)</f>
        <v>0</v>
      </c>
      <c r="AG32" s="291">
        <f>IF(AND($F32&lt;=AG$2, OR($G32="",$G32&gt;=AG$2)),
  $H32 * (1 + Assumptions!$C$7) ^ INT(((YEAR(AG$2)-YEAR($F32))*12 + MONTH(AG$2)-MONTH($F32)) / 12),
  0)</f>
        <v>0</v>
      </c>
      <c r="AH32" s="291">
        <f>IF(AND($F32&lt;=AH$2, OR($G32="",$G32&gt;=AH$2)),
  $H32 * (1 + Assumptions!$C$7) ^ INT(((YEAR(AH$2)-YEAR($F32))*12 + MONTH(AH$2)-MONTH($F32)) / 12),
  0)</f>
        <v>0</v>
      </c>
      <c r="AI32" s="291">
        <f>IF(AND($F32&lt;=AI$2, OR($G32="",$G32&gt;=AI$2)),
  $H32 * (1 + Assumptions!$C$7) ^ INT(((YEAR(AI$2)-YEAR($F32))*12 + MONTH(AI$2)-MONTH($F32)) / 12),
  0)</f>
        <v>0</v>
      </c>
      <c r="AJ32" s="291">
        <f>IF(AND($F32&lt;=AJ$2, OR($G32="",$G32&gt;=AJ$2)),
  $H32 * (1 + Assumptions!$C$7) ^ INT(((YEAR(AJ$2)-YEAR($F32))*12 + MONTH(AJ$2)-MONTH($F32)) / 12),
  0)</f>
        <v>0</v>
      </c>
      <c r="AK32" s="291">
        <f>IF(AND($F32&lt;=AK$2, OR($G32="",$G32&gt;=AK$2)),
  $H32 * (1 + Assumptions!$C$7) ^ INT(((YEAR(AK$2)-YEAR($F32))*12 + MONTH(AK$2)-MONTH($F32)) / 12),
  0)</f>
        <v>0</v>
      </c>
      <c r="AL32" s="291">
        <f>IF(AND($F32&lt;=AL$2, OR($G32="",$G32&gt;=AL$2)),
  $H32 * (1 + Assumptions!$C$7) ^ INT(((YEAR(AL$2)-YEAR($F32))*12 + MONTH(AL$2)-MONTH($F32)) / 12),
  0)</f>
        <v>0</v>
      </c>
      <c r="AM32" s="291">
        <f>IF(AND($F32&lt;=AM$2, OR($G32="",$G32&gt;=AM$2)),
  $H32 * (1 + Assumptions!$C$7) ^ INT(((YEAR(AM$2)-YEAR($F32))*12 + MONTH(AM$2)-MONTH($F32)) / 12),
  0)</f>
        <v>0</v>
      </c>
      <c r="AN32" s="291">
        <f>IF(AND($F32&lt;=AN$2, OR($G32="",$G32&gt;=AN$2)),
  $H32 * (1 + Assumptions!$C$7) ^ INT(((YEAR(AN$2)-YEAR($F32))*12 + MONTH(AN$2)-MONTH($F32)) / 12),
  0)</f>
        <v>0</v>
      </c>
      <c r="AO32" s="291">
        <f>IF(AND($F32&lt;=AO$2, OR($G32="",$G32&gt;=AO$2)),
  $H32 * (1 + Assumptions!$C$7) ^ INT(((YEAR(AO$2)-YEAR($F32))*12 + MONTH(AO$2)-MONTH($F32)) / 12),
  0)</f>
        <v>0</v>
      </c>
      <c r="AP32" s="291">
        <f>IF(AND($F32&lt;=AP$2, OR($G32="",$G32&gt;=AP$2)),
  $H32 * (1 + Assumptions!$C$7) ^ INT(((YEAR(AP$2)-YEAR($F32))*12 + MONTH(AP$2)-MONTH($F32)) / 12),
  0)</f>
        <v>0</v>
      </c>
      <c r="AQ32" s="291">
        <f>IF(AND($F32&lt;=AQ$2, OR($G32="",$G32&gt;=AQ$2)),
  $H32 * (1 + Assumptions!$C$7) ^ INT(((YEAR(AQ$2)-YEAR($F32))*12 + MONTH(AQ$2)-MONTH($F32)) / 12),
  0)</f>
        <v>0</v>
      </c>
      <c r="AR32" s="291">
        <f>IF(AND($F32&lt;=AR$2, OR($G32="",$G32&gt;=AR$2)),
  $H32 * (1 + Assumptions!$C$7) ^ INT(((YEAR(AR$2)-YEAR($F32))*12 + MONTH(AR$2)-MONTH($F32)) / 12),
  0)</f>
        <v>0</v>
      </c>
      <c r="AS32" s="291">
        <f>IF(AND($F32&lt;=AS$2, OR($G32="",$G32&gt;=AS$2)),
  $H32 * (1 + Assumptions!$C$7) ^ INT(((YEAR(AS$2)-YEAR($F32))*12 + MONTH(AS$2)-MONTH($F32)) / 12),
  0)</f>
        <v>7500</v>
      </c>
      <c r="AT32" s="291">
        <f>IF(AND($F32&lt;=AT$2, OR($G32="",$G32&gt;=AT$2)),
  $H32 * (1 + Assumptions!$C$7) ^ INT(((YEAR(AT$2)-YEAR($F32))*12 + MONTH(AT$2)-MONTH($F32)) / 12),
  0)</f>
        <v>7500</v>
      </c>
      <c r="AU32" s="291">
        <f>IF(AND($F32&lt;=AU$2, OR($G32="",$G32&gt;=AU$2)),
  $H32 * (1 + Assumptions!$C$7) ^ INT(((YEAR(AU$2)-YEAR($F32))*12 + MONTH(AU$2)-MONTH($F32)) / 12),
  0)</f>
        <v>7500</v>
      </c>
      <c r="AV32" s="291">
        <f>IF(AND($F32&lt;=AV$2, OR($G32="",$G32&gt;=AV$2)),
  $H32 * (1 + Assumptions!$C$7) ^ INT(((YEAR(AV$2)-YEAR($F32))*12 + MONTH(AV$2)-MONTH($F32)) / 12),
  0)</f>
        <v>7500</v>
      </c>
      <c r="AW32" s="291">
        <f>IF(AND($F32&lt;=AW$2, OR($G32="",$G32&gt;=AW$2)),
  $H32 * (1 + Assumptions!$C$7) ^ INT(((YEAR(AW$2)-YEAR($F32))*12 + MONTH(AW$2)-MONTH($F32)) / 12),
  0)</f>
        <v>7500</v>
      </c>
      <c r="AX32" s="291">
        <f>IF(AND($F32&lt;=AX$2, OR($G32="",$G32&gt;=AX$2)),
  $H32 * (1 + Assumptions!$C$7) ^ INT(((YEAR(AX$2)-YEAR($F32))*12 + MONTH(AX$2)-MONTH($F32)) / 12),
  0)</f>
        <v>7500</v>
      </c>
      <c r="AY32" s="291">
        <f>IF(AND($F32&lt;=AY$2, OR($G32="",$G32&gt;=AY$2)),
  $H32 * (1 + Assumptions!$C$7) ^ INT(((YEAR(AY$2)-YEAR($F32))*12 + MONTH(AY$2)-MONTH($F32)) / 12),
  0)</f>
        <v>7500</v>
      </c>
      <c r="AZ32" s="291">
        <f>IF(AND($F32&lt;=AZ$2, OR($G32="",$G32&gt;=AZ$2)),
  $H32 * (1 + Assumptions!$C$7) ^ INT(((YEAR(AZ$2)-YEAR($F32))*12 + MONTH(AZ$2)-MONTH($F32)) / 12),
  0)</f>
        <v>7500</v>
      </c>
      <c r="BA32" s="291">
        <f>IF(AND($F32&lt;=BA$2, OR($G32="",$G32&gt;=BA$2)),
  $H32 * (1 + Assumptions!$C$7) ^ INT(((YEAR(BA$2)-YEAR($F32))*12 + MONTH(BA$2)-MONTH($F32)) / 12),
  0)</f>
        <v>7500</v>
      </c>
      <c r="BB32" s="291">
        <f>IF(AND($F32&lt;=BB$2, OR($G32="",$G32&gt;=BB$2)),
  $H32 * (1 + Assumptions!$C$7) ^ INT(((YEAR(BB$2)-YEAR($F32))*12 + MONTH(BB$2)-MONTH($F32)) / 12),
  0)</f>
        <v>7500</v>
      </c>
      <c r="BC32" s="291">
        <f>IF(AND($F32&lt;=BC$2, OR($G32="",$G32&gt;=BC$2)),
  $H32 * (1 + Assumptions!$C$7) ^ INT(((YEAR(BC$2)-YEAR($F32))*12 + MONTH(BC$2)-MONTH($F32)) / 12),
  0)</f>
        <v>7500</v>
      </c>
      <c r="BD32" s="291">
        <f>IF(AND($F32&lt;=BD$2, OR($G32="",$G32&gt;=BD$2)),
  $H32 * (1 + Assumptions!$C$7) ^ INT(((YEAR(BD$2)-YEAR($F32))*12 + MONTH(BD$2)-MONTH($F32)) / 12),
  0)</f>
        <v>7500</v>
      </c>
      <c r="BE32" s="291">
        <f>IF(AND($F32&lt;=BE$2, OR($G32="",$G32&gt;=BE$2)),
  $H32 * (1 + Assumptions!$C$7) ^ INT(((YEAR(BE$2)-YEAR($F32))*12 + MONTH(BE$2)-MONTH($F32)) / 12),
  0)</f>
        <v>8100</v>
      </c>
      <c r="BF32" s="291">
        <f>IF(AND($F32&lt;=BF$2, OR($G32="",$G32&gt;=BF$2)),
  $H32 * (1 + Assumptions!$C$7) ^ INT(((YEAR(BF$2)-YEAR($F32))*12 + MONTH(BF$2)-MONTH($F32)) / 12),
  0)</f>
        <v>8100</v>
      </c>
      <c r="BG32" s="291">
        <f>IF(AND($F32&lt;=BG$2, OR($G32="",$G32&gt;=BG$2)),
  $H32 * (1 + Assumptions!$C$7) ^ INT(((YEAR(BG$2)-YEAR($F32))*12 + MONTH(BG$2)-MONTH($F32)) / 12),
  0)</f>
        <v>8100</v>
      </c>
      <c r="BH32" s="291">
        <f>IF(AND($F32&lt;=BH$2, OR($G32="",$G32&gt;=BH$2)),
  $H32 * (1 + Assumptions!$C$7) ^ INT(((YEAR(BH$2)-YEAR($F32))*12 + MONTH(BH$2)-MONTH($F32)) / 12),
  0)</f>
        <v>8100</v>
      </c>
      <c r="BI32" s="291">
        <f>IF(AND($F32&lt;=BI$2, OR($G32="",$G32&gt;=BI$2)),
  $H32 * (1 + Assumptions!$C$7) ^ INT(((YEAR(BI$2)-YEAR($F32))*12 + MONTH(BI$2)-MONTH($F32)) / 12),
  0)</f>
        <v>8100</v>
      </c>
      <c r="BJ32" s="291">
        <f>IF(AND($F32&lt;=BJ$2, OR($G32="",$G32&gt;=BJ$2)),
  $H32 * (1 + Assumptions!$C$7) ^ INT(((YEAR(BJ$2)-YEAR($F32))*12 + MONTH(BJ$2)-MONTH($F32)) / 12),
  0)</f>
        <v>8100</v>
      </c>
      <c r="BK32" s="291">
        <f>IF(AND($F32&lt;=BK$2, OR($G32="",$G32&gt;=BK$2)),
  $H32 * (1 + Assumptions!$C$7) ^ INT(((YEAR(BK$2)-YEAR($F32))*12 + MONTH(BK$2)-MONTH($F32)) / 12),
  0)</f>
        <v>8100</v>
      </c>
      <c r="BL32" s="291">
        <f>IF(AND($F32&lt;=BL$2, OR($G32="",$G32&gt;=BL$2)),
  $H32 * (1 + Assumptions!$C$7) ^ INT(((YEAR(BL$2)-YEAR($F32))*12 + MONTH(BL$2)-MONTH($F32)) / 12),
  0)</f>
        <v>8100</v>
      </c>
      <c r="BM32" s="291">
        <f>IF(AND($F32&lt;=BM$2, OR($G32="",$G32&gt;=BM$2)),
  $H32 * (1 + Assumptions!$C$7) ^ INT(((YEAR(BM$2)-YEAR($F32))*12 + MONTH(BM$2)-MONTH($F32)) / 12),
  0)</f>
        <v>8100</v>
      </c>
      <c r="BN32" s="291">
        <f>IF(AND($F32&lt;=BN$2, OR($G32="",$G32&gt;=BN$2)),
  $H32 * (1 + Assumptions!$C$7) ^ INT(((YEAR(BN$2)-YEAR($F32))*12 + MONTH(BN$2)-MONTH($F32)) / 12),
  0)</f>
        <v>8100</v>
      </c>
      <c r="BO32" s="291">
        <f>IF(AND($F32&lt;=BO$2, OR($G32="",$G32&gt;=BO$2)),
  $H32 * (1 + Assumptions!$C$7) ^ INT(((YEAR(BO$2)-YEAR($F32))*12 + MONTH(BO$2)-MONTH($F32)) / 12),
  0)</f>
        <v>8100</v>
      </c>
      <c r="BP32" s="291">
        <f>IF(AND($F32&lt;=BP$2, OR($G32="",$G32&gt;=BP$2)),
  $H32 * (1 + Assumptions!$C$7) ^ INT(((YEAR(BP$2)-YEAR($F32))*12 + MONTH(BP$2)-MONTH($F32)) / 12),
  0)</f>
        <v>8100</v>
      </c>
      <c r="BQ32" s="30"/>
    </row>
    <row r="33" ht="15.75" customHeight="1">
      <c r="A33" s="298">
        <v>28.0</v>
      </c>
      <c r="B33" s="282" t="s">
        <v>335</v>
      </c>
      <c r="C33" s="282" t="s">
        <v>141</v>
      </c>
      <c r="D33" s="299" t="s">
        <v>344</v>
      </c>
      <c r="E33" s="289" t="s">
        <v>337</v>
      </c>
      <c r="F33" s="300">
        <v>46753.0</v>
      </c>
      <c r="G33" s="301"/>
      <c r="H33" s="285">
        <v>7500.0</v>
      </c>
      <c r="I33" s="291">
        <f>IF(AND($F33&lt;=I$2, OR($G33="",$G33&gt;=I$2)),
  $H33 * (1 + Assumptions!$C$7) ^ INT(((YEAR(I$2)-YEAR($F33))*12 + MONTH(I$2)-MONTH($F33)) / 12),
  0)</f>
        <v>0</v>
      </c>
      <c r="J33" s="291">
        <f>IF(AND($F33&lt;=J$2, OR($G33="",$G33&gt;=J$2)),
  $H33 * (1 + Assumptions!$C$7) ^ INT(((YEAR(J$2)-YEAR($F33))*12 + MONTH(J$2)-MONTH($F33)) / 12),
  0)</f>
        <v>0</v>
      </c>
      <c r="K33" s="291">
        <f>IF(AND($F33&lt;=K$2, OR($G33="",$G33&gt;=K$2)),
  $H33 * (1 + Assumptions!$C$7) ^ INT(((YEAR(K$2)-YEAR($F33))*12 + MONTH(K$2)-MONTH($F33)) / 12),
  0)</f>
        <v>0</v>
      </c>
      <c r="L33" s="291">
        <f>IF(AND($F33&lt;=L$2, OR($G33="",$G33&gt;=L$2)),
  $H33 * (1 + Assumptions!$C$7) ^ INT(((YEAR(L$2)-YEAR($F33))*12 + MONTH(L$2)-MONTH($F33)) / 12),
  0)</f>
        <v>0</v>
      </c>
      <c r="M33" s="291">
        <f>IF(AND($F33&lt;=M$2, OR($G33="",$G33&gt;=M$2)),
  $H33 * (1 + Assumptions!$C$7) ^ INT(((YEAR(M$2)-YEAR($F33))*12 + MONTH(M$2)-MONTH($F33)) / 12),
  0)</f>
        <v>0</v>
      </c>
      <c r="N33" s="291">
        <f>IF(AND($F33&lt;=N$2, OR($G33="",$G33&gt;=N$2)),
  $H33 * (1 + Assumptions!$C$7) ^ INT(((YEAR(N$2)-YEAR($F33))*12 + MONTH(N$2)-MONTH($F33)) / 12),
  0)</f>
        <v>0</v>
      </c>
      <c r="O33" s="291">
        <f>IF(AND($F33&lt;=O$2, OR($G33="",$G33&gt;=O$2)),
  $H33 * (1 + Assumptions!$C$7) ^ INT(((YEAR(O$2)-YEAR($F33))*12 + MONTH(O$2)-MONTH($F33)) / 12),
  0)</f>
        <v>0</v>
      </c>
      <c r="P33" s="291">
        <f>IF(AND($F33&lt;=P$2, OR($G33="",$G33&gt;=P$2)),
  $H33 * (1 + Assumptions!$C$7) ^ INT(((YEAR(P$2)-YEAR($F33))*12 + MONTH(P$2)-MONTH($F33)) / 12),
  0)</f>
        <v>0</v>
      </c>
      <c r="Q33" s="291">
        <f>IF(AND($F33&lt;=Q$2, OR($G33="",$G33&gt;=Q$2)),
  $H33 * (1 + Assumptions!$C$7) ^ INT(((YEAR(Q$2)-YEAR($F33))*12 + MONTH(Q$2)-MONTH($F33)) / 12),
  0)</f>
        <v>0</v>
      </c>
      <c r="R33" s="291">
        <f>IF(AND($F33&lt;=R$2, OR($G33="",$G33&gt;=R$2)),
  $H33 * (1 + Assumptions!$C$7) ^ INT(((YEAR(R$2)-YEAR($F33))*12 + MONTH(R$2)-MONTH($F33)) / 12),
  0)</f>
        <v>0</v>
      </c>
      <c r="S33" s="291">
        <f>IF(AND($F33&lt;=S$2, OR($G33="",$G33&gt;=S$2)),
  $H33 * (1 + Assumptions!$C$7) ^ INT(((YEAR(S$2)-YEAR($F33))*12 + MONTH(S$2)-MONTH($F33)) / 12),
  0)</f>
        <v>0</v>
      </c>
      <c r="T33" s="291">
        <f>IF(AND($F33&lt;=T$2, OR($G33="",$G33&gt;=T$2)),
  $H33 * (1 + Assumptions!$C$7) ^ INT(((YEAR(T$2)-YEAR($F33))*12 + MONTH(T$2)-MONTH($F33)) / 12),
  0)</f>
        <v>0</v>
      </c>
      <c r="U33" s="291">
        <f>IF(AND($F33&lt;=U$2, OR($G33="",$G33&gt;=U$2)),
  $H33 * (1 + Assumptions!$C$7) ^ INT(((YEAR(U$2)-YEAR($F33))*12 + MONTH(U$2)-MONTH($F33)) / 12),
  0)</f>
        <v>0</v>
      </c>
      <c r="V33" s="291">
        <f>IF(AND($F33&lt;=V$2, OR($G33="",$G33&gt;=V$2)),
  $H33 * (1 + Assumptions!$C$7) ^ INT(((YEAR(V$2)-YEAR($F33))*12 + MONTH(V$2)-MONTH($F33)) / 12),
  0)</f>
        <v>0</v>
      </c>
      <c r="W33" s="291">
        <f>IF(AND($F33&lt;=W$2, OR($G33="",$G33&gt;=W$2)),
  $H33 * (1 + Assumptions!$C$7) ^ INT(((YEAR(W$2)-YEAR($F33))*12 + MONTH(W$2)-MONTH($F33)) / 12),
  0)</f>
        <v>0</v>
      </c>
      <c r="X33" s="291">
        <f>IF(AND($F33&lt;=X$2, OR($G33="",$G33&gt;=X$2)),
  $H33 * (1 + Assumptions!$C$7) ^ INT(((YEAR(X$2)-YEAR($F33))*12 + MONTH(X$2)-MONTH($F33)) / 12),
  0)</f>
        <v>0</v>
      </c>
      <c r="Y33" s="291">
        <f>IF(AND($F33&lt;=Y$2, OR($G33="",$G33&gt;=Y$2)),
  $H33 * (1 + Assumptions!$C$7) ^ INT(((YEAR(Y$2)-YEAR($F33))*12 + MONTH(Y$2)-MONTH($F33)) / 12),
  0)</f>
        <v>0</v>
      </c>
      <c r="Z33" s="291">
        <f>IF(AND($F33&lt;=Z$2, OR($G33="",$G33&gt;=Z$2)),
  $H33 * (1 + Assumptions!$C$7) ^ INT(((YEAR(Z$2)-YEAR($F33))*12 + MONTH(Z$2)-MONTH($F33)) / 12),
  0)</f>
        <v>0</v>
      </c>
      <c r="AA33" s="291">
        <f>IF(AND($F33&lt;=AA$2, OR($G33="",$G33&gt;=AA$2)),
  $H33 * (1 + Assumptions!$C$7) ^ INT(((YEAR(AA$2)-YEAR($F33))*12 + MONTH(AA$2)-MONTH($F33)) / 12),
  0)</f>
        <v>0</v>
      </c>
      <c r="AB33" s="291">
        <f>IF(AND($F33&lt;=AB$2, OR($G33="",$G33&gt;=AB$2)),
  $H33 * (1 + Assumptions!$C$7) ^ INT(((YEAR(AB$2)-YEAR($F33))*12 + MONTH(AB$2)-MONTH($F33)) / 12),
  0)</f>
        <v>0</v>
      </c>
      <c r="AC33" s="291">
        <f>IF(AND($F33&lt;=AC$2, OR($G33="",$G33&gt;=AC$2)),
  $H33 * (1 + Assumptions!$C$7) ^ INT(((YEAR(AC$2)-YEAR($F33))*12 + MONTH(AC$2)-MONTH($F33)) / 12),
  0)</f>
        <v>0</v>
      </c>
      <c r="AD33" s="291">
        <f>IF(AND($F33&lt;=AD$2, OR($G33="",$G33&gt;=AD$2)),
  $H33 * (1 + Assumptions!$C$7) ^ INT(((YEAR(AD$2)-YEAR($F33))*12 + MONTH(AD$2)-MONTH($F33)) / 12),
  0)</f>
        <v>0</v>
      </c>
      <c r="AE33" s="291">
        <f>IF(AND($F33&lt;=AE$2, OR($G33="",$G33&gt;=AE$2)),
  $H33 * (1 + Assumptions!$C$7) ^ INT(((YEAR(AE$2)-YEAR($F33))*12 + MONTH(AE$2)-MONTH($F33)) / 12),
  0)</f>
        <v>0</v>
      </c>
      <c r="AF33" s="291">
        <f>IF(AND($F33&lt;=AF$2, OR($G33="",$G33&gt;=AF$2)),
  $H33 * (1 + Assumptions!$C$7) ^ INT(((YEAR(AF$2)-YEAR($F33))*12 + MONTH(AF$2)-MONTH($F33)) / 12),
  0)</f>
        <v>0</v>
      </c>
      <c r="AG33" s="291">
        <f>IF(AND($F33&lt;=AG$2, OR($G33="",$G33&gt;=AG$2)),
  $H33 * (1 + Assumptions!$C$7) ^ INT(((YEAR(AG$2)-YEAR($F33))*12 + MONTH(AG$2)-MONTH($F33)) / 12),
  0)</f>
        <v>0</v>
      </c>
      <c r="AH33" s="291">
        <f>IF(AND($F33&lt;=AH$2, OR($G33="",$G33&gt;=AH$2)),
  $H33 * (1 + Assumptions!$C$7) ^ INT(((YEAR(AH$2)-YEAR($F33))*12 + MONTH(AH$2)-MONTH($F33)) / 12),
  0)</f>
        <v>0</v>
      </c>
      <c r="AI33" s="291">
        <f>IF(AND($F33&lt;=AI$2, OR($G33="",$G33&gt;=AI$2)),
  $H33 * (1 + Assumptions!$C$7) ^ INT(((YEAR(AI$2)-YEAR($F33))*12 + MONTH(AI$2)-MONTH($F33)) / 12),
  0)</f>
        <v>0</v>
      </c>
      <c r="AJ33" s="291">
        <f>IF(AND($F33&lt;=AJ$2, OR($G33="",$G33&gt;=AJ$2)),
  $H33 * (1 + Assumptions!$C$7) ^ INT(((YEAR(AJ$2)-YEAR($F33))*12 + MONTH(AJ$2)-MONTH($F33)) / 12),
  0)</f>
        <v>0</v>
      </c>
      <c r="AK33" s="291">
        <f>IF(AND($F33&lt;=AK$2, OR($G33="",$G33&gt;=AK$2)),
  $H33 * (1 + Assumptions!$C$7) ^ INT(((YEAR(AK$2)-YEAR($F33))*12 + MONTH(AK$2)-MONTH($F33)) / 12),
  0)</f>
        <v>0</v>
      </c>
      <c r="AL33" s="291">
        <f>IF(AND($F33&lt;=AL$2, OR($G33="",$G33&gt;=AL$2)),
  $H33 * (1 + Assumptions!$C$7) ^ INT(((YEAR(AL$2)-YEAR($F33))*12 + MONTH(AL$2)-MONTH($F33)) / 12),
  0)</f>
        <v>0</v>
      </c>
      <c r="AM33" s="291">
        <f>IF(AND($F33&lt;=AM$2, OR($G33="",$G33&gt;=AM$2)),
  $H33 * (1 + Assumptions!$C$7) ^ INT(((YEAR(AM$2)-YEAR($F33))*12 + MONTH(AM$2)-MONTH($F33)) / 12),
  0)</f>
        <v>0</v>
      </c>
      <c r="AN33" s="291">
        <f>IF(AND($F33&lt;=AN$2, OR($G33="",$G33&gt;=AN$2)),
  $H33 * (1 + Assumptions!$C$7) ^ INT(((YEAR(AN$2)-YEAR($F33))*12 + MONTH(AN$2)-MONTH($F33)) / 12),
  0)</f>
        <v>0</v>
      </c>
      <c r="AO33" s="291">
        <f>IF(AND($F33&lt;=AO$2, OR($G33="",$G33&gt;=AO$2)),
  $H33 * (1 + Assumptions!$C$7) ^ INT(((YEAR(AO$2)-YEAR($F33))*12 + MONTH(AO$2)-MONTH($F33)) / 12),
  0)</f>
        <v>0</v>
      </c>
      <c r="AP33" s="291">
        <f>IF(AND($F33&lt;=AP$2, OR($G33="",$G33&gt;=AP$2)),
  $H33 * (1 + Assumptions!$C$7) ^ INT(((YEAR(AP$2)-YEAR($F33))*12 + MONTH(AP$2)-MONTH($F33)) / 12),
  0)</f>
        <v>0</v>
      </c>
      <c r="AQ33" s="291">
        <f>IF(AND($F33&lt;=AQ$2, OR($G33="",$G33&gt;=AQ$2)),
  $H33 * (1 + Assumptions!$C$7) ^ INT(((YEAR(AQ$2)-YEAR($F33))*12 + MONTH(AQ$2)-MONTH($F33)) / 12),
  0)</f>
        <v>0</v>
      </c>
      <c r="AR33" s="291">
        <f>IF(AND($F33&lt;=AR$2, OR($G33="",$G33&gt;=AR$2)),
  $H33 * (1 + Assumptions!$C$7) ^ INT(((YEAR(AR$2)-YEAR($F33))*12 + MONTH(AR$2)-MONTH($F33)) / 12),
  0)</f>
        <v>0</v>
      </c>
      <c r="AS33" s="291">
        <f>IF(AND($F33&lt;=AS$2, OR($G33="",$G33&gt;=AS$2)),
  $H33 * (1 + Assumptions!$C$7) ^ INT(((YEAR(AS$2)-YEAR($F33))*12 + MONTH(AS$2)-MONTH($F33)) / 12),
  0)</f>
        <v>7500</v>
      </c>
      <c r="AT33" s="291">
        <f>IF(AND($F33&lt;=AT$2, OR($G33="",$G33&gt;=AT$2)),
  $H33 * (1 + Assumptions!$C$7) ^ INT(((YEAR(AT$2)-YEAR($F33))*12 + MONTH(AT$2)-MONTH($F33)) / 12),
  0)</f>
        <v>7500</v>
      </c>
      <c r="AU33" s="291">
        <f>IF(AND($F33&lt;=AU$2, OR($G33="",$G33&gt;=AU$2)),
  $H33 * (1 + Assumptions!$C$7) ^ INT(((YEAR(AU$2)-YEAR($F33))*12 + MONTH(AU$2)-MONTH($F33)) / 12),
  0)</f>
        <v>7500</v>
      </c>
      <c r="AV33" s="291">
        <f>IF(AND($F33&lt;=AV$2, OR($G33="",$G33&gt;=AV$2)),
  $H33 * (1 + Assumptions!$C$7) ^ INT(((YEAR(AV$2)-YEAR($F33))*12 + MONTH(AV$2)-MONTH($F33)) / 12),
  0)</f>
        <v>7500</v>
      </c>
      <c r="AW33" s="291">
        <f>IF(AND($F33&lt;=AW$2, OR($G33="",$G33&gt;=AW$2)),
  $H33 * (1 + Assumptions!$C$7) ^ INT(((YEAR(AW$2)-YEAR($F33))*12 + MONTH(AW$2)-MONTH($F33)) / 12),
  0)</f>
        <v>7500</v>
      </c>
      <c r="AX33" s="291">
        <f>IF(AND($F33&lt;=AX$2, OR($G33="",$G33&gt;=AX$2)),
  $H33 * (1 + Assumptions!$C$7) ^ INT(((YEAR(AX$2)-YEAR($F33))*12 + MONTH(AX$2)-MONTH($F33)) / 12),
  0)</f>
        <v>7500</v>
      </c>
      <c r="AY33" s="291">
        <f>IF(AND($F33&lt;=AY$2, OR($G33="",$G33&gt;=AY$2)),
  $H33 * (1 + Assumptions!$C$7) ^ INT(((YEAR(AY$2)-YEAR($F33))*12 + MONTH(AY$2)-MONTH($F33)) / 12),
  0)</f>
        <v>7500</v>
      </c>
      <c r="AZ33" s="291">
        <f>IF(AND($F33&lt;=AZ$2, OR($G33="",$G33&gt;=AZ$2)),
  $H33 * (1 + Assumptions!$C$7) ^ INT(((YEAR(AZ$2)-YEAR($F33))*12 + MONTH(AZ$2)-MONTH($F33)) / 12),
  0)</f>
        <v>7500</v>
      </c>
      <c r="BA33" s="291">
        <f>IF(AND($F33&lt;=BA$2, OR($G33="",$G33&gt;=BA$2)),
  $H33 * (1 + Assumptions!$C$7) ^ INT(((YEAR(BA$2)-YEAR($F33))*12 + MONTH(BA$2)-MONTH($F33)) / 12),
  0)</f>
        <v>7500</v>
      </c>
      <c r="BB33" s="291">
        <f>IF(AND($F33&lt;=BB$2, OR($G33="",$G33&gt;=BB$2)),
  $H33 * (1 + Assumptions!$C$7) ^ INT(((YEAR(BB$2)-YEAR($F33))*12 + MONTH(BB$2)-MONTH($F33)) / 12),
  0)</f>
        <v>7500</v>
      </c>
      <c r="BC33" s="291">
        <f>IF(AND($F33&lt;=BC$2, OR($G33="",$G33&gt;=BC$2)),
  $H33 * (1 + Assumptions!$C$7) ^ INT(((YEAR(BC$2)-YEAR($F33))*12 + MONTH(BC$2)-MONTH($F33)) / 12),
  0)</f>
        <v>7500</v>
      </c>
      <c r="BD33" s="291">
        <f>IF(AND($F33&lt;=BD$2, OR($G33="",$G33&gt;=BD$2)),
  $H33 * (1 + Assumptions!$C$7) ^ INT(((YEAR(BD$2)-YEAR($F33))*12 + MONTH(BD$2)-MONTH($F33)) / 12),
  0)</f>
        <v>7500</v>
      </c>
      <c r="BE33" s="291">
        <f>IF(AND($F33&lt;=BE$2, OR($G33="",$G33&gt;=BE$2)),
  $H33 * (1 + Assumptions!$C$7) ^ INT(((YEAR(BE$2)-YEAR($F33))*12 + MONTH(BE$2)-MONTH($F33)) / 12),
  0)</f>
        <v>8100</v>
      </c>
      <c r="BF33" s="291">
        <f>IF(AND($F33&lt;=BF$2, OR($G33="",$G33&gt;=BF$2)),
  $H33 * (1 + Assumptions!$C$7) ^ INT(((YEAR(BF$2)-YEAR($F33))*12 + MONTH(BF$2)-MONTH($F33)) / 12),
  0)</f>
        <v>8100</v>
      </c>
      <c r="BG33" s="291">
        <f>IF(AND($F33&lt;=BG$2, OR($G33="",$G33&gt;=BG$2)),
  $H33 * (1 + Assumptions!$C$7) ^ INT(((YEAR(BG$2)-YEAR($F33))*12 + MONTH(BG$2)-MONTH($F33)) / 12),
  0)</f>
        <v>8100</v>
      </c>
      <c r="BH33" s="291">
        <f>IF(AND($F33&lt;=BH$2, OR($G33="",$G33&gt;=BH$2)),
  $H33 * (1 + Assumptions!$C$7) ^ INT(((YEAR(BH$2)-YEAR($F33))*12 + MONTH(BH$2)-MONTH($F33)) / 12),
  0)</f>
        <v>8100</v>
      </c>
      <c r="BI33" s="291">
        <f>IF(AND($F33&lt;=BI$2, OR($G33="",$G33&gt;=BI$2)),
  $H33 * (1 + Assumptions!$C$7) ^ INT(((YEAR(BI$2)-YEAR($F33))*12 + MONTH(BI$2)-MONTH($F33)) / 12),
  0)</f>
        <v>8100</v>
      </c>
      <c r="BJ33" s="291">
        <f>IF(AND($F33&lt;=BJ$2, OR($G33="",$G33&gt;=BJ$2)),
  $H33 * (1 + Assumptions!$C$7) ^ INT(((YEAR(BJ$2)-YEAR($F33))*12 + MONTH(BJ$2)-MONTH($F33)) / 12),
  0)</f>
        <v>8100</v>
      </c>
      <c r="BK33" s="291">
        <f>IF(AND($F33&lt;=BK$2, OR($G33="",$G33&gt;=BK$2)),
  $H33 * (1 + Assumptions!$C$7) ^ INT(((YEAR(BK$2)-YEAR($F33))*12 + MONTH(BK$2)-MONTH($F33)) / 12),
  0)</f>
        <v>8100</v>
      </c>
      <c r="BL33" s="291">
        <f>IF(AND($F33&lt;=BL$2, OR($G33="",$G33&gt;=BL$2)),
  $H33 * (1 + Assumptions!$C$7) ^ INT(((YEAR(BL$2)-YEAR($F33))*12 + MONTH(BL$2)-MONTH($F33)) / 12),
  0)</f>
        <v>8100</v>
      </c>
      <c r="BM33" s="291">
        <f>IF(AND($F33&lt;=BM$2, OR($G33="",$G33&gt;=BM$2)),
  $H33 * (1 + Assumptions!$C$7) ^ INT(((YEAR(BM$2)-YEAR($F33))*12 + MONTH(BM$2)-MONTH($F33)) / 12),
  0)</f>
        <v>8100</v>
      </c>
      <c r="BN33" s="291">
        <f>IF(AND($F33&lt;=BN$2, OR($G33="",$G33&gt;=BN$2)),
  $H33 * (1 + Assumptions!$C$7) ^ INT(((YEAR(BN$2)-YEAR($F33))*12 + MONTH(BN$2)-MONTH($F33)) / 12),
  0)</f>
        <v>8100</v>
      </c>
      <c r="BO33" s="291">
        <f>IF(AND($F33&lt;=BO$2, OR($G33="",$G33&gt;=BO$2)),
  $H33 * (1 + Assumptions!$C$7) ^ INT(((YEAR(BO$2)-YEAR($F33))*12 + MONTH(BO$2)-MONTH($F33)) / 12),
  0)</f>
        <v>8100</v>
      </c>
      <c r="BP33" s="291">
        <f>IF(AND($F33&lt;=BP$2, OR($G33="",$G33&gt;=BP$2)),
  $H33 * (1 + Assumptions!$C$7) ^ INT(((YEAR(BP$2)-YEAR($F33))*12 + MONTH(BP$2)-MONTH($F33)) / 12),
  0)</f>
        <v>8100</v>
      </c>
      <c r="BQ33" s="30"/>
    </row>
    <row r="34" ht="15.75" customHeight="1">
      <c r="A34" s="298">
        <v>29.0</v>
      </c>
      <c r="B34" s="282" t="s">
        <v>335</v>
      </c>
      <c r="C34" s="282" t="s">
        <v>141</v>
      </c>
      <c r="D34" s="299" t="s">
        <v>344</v>
      </c>
      <c r="E34" s="289" t="s">
        <v>337</v>
      </c>
      <c r="F34" s="300">
        <v>46906.0</v>
      </c>
      <c r="G34" s="301"/>
      <c r="H34" s="285">
        <v>7500.0</v>
      </c>
      <c r="I34" s="291">
        <f>IF(AND($F34&lt;=I$2, OR($G34="",$G34&gt;=I$2)),
  $H34 * (1 + Assumptions!$C$7) ^ INT(((YEAR(I$2)-YEAR($F34))*12 + MONTH(I$2)-MONTH($F34)) / 12),
  0)</f>
        <v>0</v>
      </c>
      <c r="J34" s="291">
        <f>IF(AND($F34&lt;=J$2, OR($G34="",$G34&gt;=J$2)),
  $H34 * (1 + Assumptions!$C$7) ^ INT(((YEAR(J$2)-YEAR($F34))*12 + MONTH(J$2)-MONTH($F34)) / 12),
  0)</f>
        <v>0</v>
      </c>
      <c r="K34" s="291">
        <f>IF(AND($F34&lt;=K$2, OR($G34="",$G34&gt;=K$2)),
  $H34 * (1 + Assumptions!$C$7) ^ INT(((YEAR(K$2)-YEAR($F34))*12 + MONTH(K$2)-MONTH($F34)) / 12),
  0)</f>
        <v>0</v>
      </c>
      <c r="L34" s="291">
        <f>IF(AND($F34&lt;=L$2, OR($G34="",$G34&gt;=L$2)),
  $H34 * (1 + Assumptions!$C$7) ^ INT(((YEAR(L$2)-YEAR($F34))*12 + MONTH(L$2)-MONTH($F34)) / 12),
  0)</f>
        <v>0</v>
      </c>
      <c r="M34" s="291">
        <f>IF(AND($F34&lt;=M$2, OR($G34="",$G34&gt;=M$2)),
  $H34 * (1 + Assumptions!$C$7) ^ INT(((YEAR(M$2)-YEAR($F34))*12 + MONTH(M$2)-MONTH($F34)) / 12),
  0)</f>
        <v>0</v>
      </c>
      <c r="N34" s="291">
        <f>IF(AND($F34&lt;=N$2, OR($G34="",$G34&gt;=N$2)),
  $H34 * (1 + Assumptions!$C$7) ^ INT(((YEAR(N$2)-YEAR($F34))*12 + MONTH(N$2)-MONTH($F34)) / 12),
  0)</f>
        <v>0</v>
      </c>
      <c r="O34" s="291">
        <f>IF(AND($F34&lt;=O$2, OR($G34="",$G34&gt;=O$2)),
  $H34 * (1 + Assumptions!$C$7) ^ INT(((YEAR(O$2)-YEAR($F34))*12 + MONTH(O$2)-MONTH($F34)) / 12),
  0)</f>
        <v>0</v>
      </c>
      <c r="P34" s="291">
        <f>IF(AND($F34&lt;=P$2, OR($G34="",$G34&gt;=P$2)),
  $H34 * (1 + Assumptions!$C$7) ^ INT(((YEAR(P$2)-YEAR($F34))*12 + MONTH(P$2)-MONTH($F34)) / 12),
  0)</f>
        <v>0</v>
      </c>
      <c r="Q34" s="291">
        <f>IF(AND($F34&lt;=Q$2, OR($G34="",$G34&gt;=Q$2)),
  $H34 * (1 + Assumptions!$C$7) ^ INT(((YEAR(Q$2)-YEAR($F34))*12 + MONTH(Q$2)-MONTH($F34)) / 12),
  0)</f>
        <v>0</v>
      </c>
      <c r="R34" s="291">
        <f>IF(AND($F34&lt;=R$2, OR($G34="",$G34&gt;=R$2)),
  $H34 * (1 + Assumptions!$C$7) ^ INT(((YEAR(R$2)-YEAR($F34))*12 + MONTH(R$2)-MONTH($F34)) / 12),
  0)</f>
        <v>0</v>
      </c>
      <c r="S34" s="291">
        <f>IF(AND($F34&lt;=S$2, OR($G34="",$G34&gt;=S$2)),
  $H34 * (1 + Assumptions!$C$7) ^ INT(((YEAR(S$2)-YEAR($F34))*12 + MONTH(S$2)-MONTH($F34)) / 12),
  0)</f>
        <v>0</v>
      </c>
      <c r="T34" s="291">
        <f>IF(AND($F34&lt;=T$2, OR($G34="",$G34&gt;=T$2)),
  $H34 * (1 + Assumptions!$C$7) ^ INT(((YEAR(T$2)-YEAR($F34))*12 + MONTH(T$2)-MONTH($F34)) / 12),
  0)</f>
        <v>0</v>
      </c>
      <c r="U34" s="291">
        <f>IF(AND($F34&lt;=U$2, OR($G34="",$G34&gt;=U$2)),
  $H34 * (1 + Assumptions!$C$7) ^ INT(((YEAR(U$2)-YEAR($F34))*12 + MONTH(U$2)-MONTH($F34)) / 12),
  0)</f>
        <v>0</v>
      </c>
      <c r="V34" s="291">
        <f>IF(AND($F34&lt;=V$2, OR($G34="",$G34&gt;=V$2)),
  $H34 * (1 + Assumptions!$C$7) ^ INT(((YEAR(V$2)-YEAR($F34))*12 + MONTH(V$2)-MONTH($F34)) / 12),
  0)</f>
        <v>0</v>
      </c>
      <c r="W34" s="291">
        <f>IF(AND($F34&lt;=W$2, OR($G34="",$G34&gt;=W$2)),
  $H34 * (1 + Assumptions!$C$7) ^ INT(((YEAR(W$2)-YEAR($F34))*12 + MONTH(W$2)-MONTH($F34)) / 12),
  0)</f>
        <v>0</v>
      </c>
      <c r="X34" s="291">
        <f>IF(AND($F34&lt;=X$2, OR($G34="",$G34&gt;=X$2)),
  $H34 * (1 + Assumptions!$C$7) ^ INT(((YEAR(X$2)-YEAR($F34))*12 + MONTH(X$2)-MONTH($F34)) / 12),
  0)</f>
        <v>0</v>
      </c>
      <c r="Y34" s="291">
        <f>IF(AND($F34&lt;=Y$2, OR($G34="",$G34&gt;=Y$2)),
  $H34 * (1 + Assumptions!$C$7) ^ INT(((YEAR(Y$2)-YEAR($F34))*12 + MONTH(Y$2)-MONTH($F34)) / 12),
  0)</f>
        <v>0</v>
      </c>
      <c r="Z34" s="291">
        <f>IF(AND($F34&lt;=Z$2, OR($G34="",$G34&gt;=Z$2)),
  $H34 * (1 + Assumptions!$C$7) ^ INT(((YEAR(Z$2)-YEAR($F34))*12 + MONTH(Z$2)-MONTH($F34)) / 12),
  0)</f>
        <v>0</v>
      </c>
      <c r="AA34" s="291">
        <f>IF(AND($F34&lt;=AA$2, OR($G34="",$G34&gt;=AA$2)),
  $H34 * (1 + Assumptions!$C$7) ^ INT(((YEAR(AA$2)-YEAR($F34))*12 + MONTH(AA$2)-MONTH($F34)) / 12),
  0)</f>
        <v>0</v>
      </c>
      <c r="AB34" s="291">
        <f>IF(AND($F34&lt;=AB$2, OR($G34="",$G34&gt;=AB$2)),
  $H34 * (1 + Assumptions!$C$7) ^ INT(((YEAR(AB$2)-YEAR($F34))*12 + MONTH(AB$2)-MONTH($F34)) / 12),
  0)</f>
        <v>0</v>
      </c>
      <c r="AC34" s="291">
        <f>IF(AND($F34&lt;=AC$2, OR($G34="",$G34&gt;=AC$2)),
  $H34 * (1 + Assumptions!$C$7) ^ INT(((YEAR(AC$2)-YEAR($F34))*12 + MONTH(AC$2)-MONTH($F34)) / 12),
  0)</f>
        <v>0</v>
      </c>
      <c r="AD34" s="291">
        <f>IF(AND($F34&lt;=AD$2, OR($G34="",$G34&gt;=AD$2)),
  $H34 * (1 + Assumptions!$C$7) ^ INT(((YEAR(AD$2)-YEAR($F34))*12 + MONTH(AD$2)-MONTH($F34)) / 12),
  0)</f>
        <v>0</v>
      </c>
      <c r="AE34" s="291">
        <f>IF(AND($F34&lt;=AE$2, OR($G34="",$G34&gt;=AE$2)),
  $H34 * (1 + Assumptions!$C$7) ^ INT(((YEAR(AE$2)-YEAR($F34))*12 + MONTH(AE$2)-MONTH($F34)) / 12),
  0)</f>
        <v>0</v>
      </c>
      <c r="AF34" s="291">
        <f>IF(AND($F34&lt;=AF$2, OR($G34="",$G34&gt;=AF$2)),
  $H34 * (1 + Assumptions!$C$7) ^ INT(((YEAR(AF$2)-YEAR($F34))*12 + MONTH(AF$2)-MONTH($F34)) / 12),
  0)</f>
        <v>0</v>
      </c>
      <c r="AG34" s="291">
        <f>IF(AND($F34&lt;=AG$2, OR($G34="",$G34&gt;=AG$2)),
  $H34 * (1 + Assumptions!$C$7) ^ INT(((YEAR(AG$2)-YEAR($F34))*12 + MONTH(AG$2)-MONTH($F34)) / 12),
  0)</f>
        <v>0</v>
      </c>
      <c r="AH34" s="291">
        <f>IF(AND($F34&lt;=AH$2, OR($G34="",$G34&gt;=AH$2)),
  $H34 * (1 + Assumptions!$C$7) ^ INT(((YEAR(AH$2)-YEAR($F34))*12 + MONTH(AH$2)-MONTH($F34)) / 12),
  0)</f>
        <v>0</v>
      </c>
      <c r="AI34" s="291">
        <f>IF(AND($F34&lt;=AI$2, OR($G34="",$G34&gt;=AI$2)),
  $H34 * (1 + Assumptions!$C$7) ^ INT(((YEAR(AI$2)-YEAR($F34))*12 + MONTH(AI$2)-MONTH($F34)) / 12),
  0)</f>
        <v>0</v>
      </c>
      <c r="AJ34" s="291">
        <f>IF(AND($F34&lt;=AJ$2, OR($G34="",$G34&gt;=AJ$2)),
  $H34 * (1 + Assumptions!$C$7) ^ INT(((YEAR(AJ$2)-YEAR($F34))*12 + MONTH(AJ$2)-MONTH($F34)) / 12),
  0)</f>
        <v>0</v>
      </c>
      <c r="AK34" s="291">
        <f>IF(AND($F34&lt;=AK$2, OR($G34="",$G34&gt;=AK$2)),
  $H34 * (1 + Assumptions!$C$7) ^ INT(((YEAR(AK$2)-YEAR($F34))*12 + MONTH(AK$2)-MONTH($F34)) / 12),
  0)</f>
        <v>0</v>
      </c>
      <c r="AL34" s="291">
        <f>IF(AND($F34&lt;=AL$2, OR($G34="",$G34&gt;=AL$2)),
  $H34 * (1 + Assumptions!$C$7) ^ INT(((YEAR(AL$2)-YEAR($F34))*12 + MONTH(AL$2)-MONTH($F34)) / 12),
  0)</f>
        <v>0</v>
      </c>
      <c r="AM34" s="291">
        <f>IF(AND($F34&lt;=AM$2, OR($G34="",$G34&gt;=AM$2)),
  $H34 * (1 + Assumptions!$C$7) ^ INT(((YEAR(AM$2)-YEAR($F34))*12 + MONTH(AM$2)-MONTH($F34)) / 12),
  0)</f>
        <v>0</v>
      </c>
      <c r="AN34" s="291">
        <f>IF(AND($F34&lt;=AN$2, OR($G34="",$G34&gt;=AN$2)),
  $H34 * (1 + Assumptions!$C$7) ^ INT(((YEAR(AN$2)-YEAR($F34))*12 + MONTH(AN$2)-MONTH($F34)) / 12),
  0)</f>
        <v>0</v>
      </c>
      <c r="AO34" s="291">
        <f>IF(AND($F34&lt;=AO$2, OR($G34="",$G34&gt;=AO$2)),
  $H34 * (1 + Assumptions!$C$7) ^ INT(((YEAR(AO$2)-YEAR($F34))*12 + MONTH(AO$2)-MONTH($F34)) / 12),
  0)</f>
        <v>0</v>
      </c>
      <c r="AP34" s="291">
        <f>IF(AND($F34&lt;=AP$2, OR($G34="",$G34&gt;=AP$2)),
  $H34 * (1 + Assumptions!$C$7) ^ INT(((YEAR(AP$2)-YEAR($F34))*12 + MONTH(AP$2)-MONTH($F34)) / 12),
  0)</f>
        <v>0</v>
      </c>
      <c r="AQ34" s="291">
        <f>IF(AND($F34&lt;=AQ$2, OR($G34="",$G34&gt;=AQ$2)),
  $H34 * (1 + Assumptions!$C$7) ^ INT(((YEAR(AQ$2)-YEAR($F34))*12 + MONTH(AQ$2)-MONTH($F34)) / 12),
  0)</f>
        <v>0</v>
      </c>
      <c r="AR34" s="291">
        <f>IF(AND($F34&lt;=AR$2, OR($G34="",$G34&gt;=AR$2)),
  $H34 * (1 + Assumptions!$C$7) ^ INT(((YEAR(AR$2)-YEAR($F34))*12 + MONTH(AR$2)-MONTH($F34)) / 12),
  0)</f>
        <v>0</v>
      </c>
      <c r="AS34" s="291">
        <f>IF(AND($F34&lt;=AS$2, OR($G34="",$G34&gt;=AS$2)),
  $H34 * (1 + Assumptions!$C$7) ^ INT(((YEAR(AS$2)-YEAR($F34))*12 + MONTH(AS$2)-MONTH($F34)) / 12),
  0)</f>
        <v>0</v>
      </c>
      <c r="AT34" s="291">
        <f>IF(AND($F34&lt;=AT$2, OR($G34="",$G34&gt;=AT$2)),
  $H34 * (1 + Assumptions!$C$7) ^ INT(((YEAR(AT$2)-YEAR($F34))*12 + MONTH(AT$2)-MONTH($F34)) / 12),
  0)</f>
        <v>0</v>
      </c>
      <c r="AU34" s="291">
        <f>IF(AND($F34&lt;=AU$2, OR($G34="",$G34&gt;=AU$2)),
  $H34 * (1 + Assumptions!$C$7) ^ INT(((YEAR(AU$2)-YEAR($F34))*12 + MONTH(AU$2)-MONTH($F34)) / 12),
  0)</f>
        <v>0</v>
      </c>
      <c r="AV34" s="291">
        <f>IF(AND($F34&lt;=AV$2, OR($G34="",$G34&gt;=AV$2)),
  $H34 * (1 + Assumptions!$C$7) ^ INT(((YEAR(AV$2)-YEAR($F34))*12 + MONTH(AV$2)-MONTH($F34)) / 12),
  0)</f>
        <v>0</v>
      </c>
      <c r="AW34" s="291">
        <f>IF(AND($F34&lt;=AW$2, OR($G34="",$G34&gt;=AW$2)),
  $H34 * (1 + Assumptions!$C$7) ^ INT(((YEAR(AW$2)-YEAR($F34))*12 + MONTH(AW$2)-MONTH($F34)) / 12),
  0)</f>
        <v>0</v>
      </c>
      <c r="AX34" s="291">
        <f>IF(AND($F34&lt;=AX$2, OR($G34="",$G34&gt;=AX$2)),
  $H34 * (1 + Assumptions!$C$7) ^ INT(((YEAR(AX$2)-YEAR($F34))*12 + MONTH(AX$2)-MONTH($F34)) / 12),
  0)</f>
        <v>0</v>
      </c>
      <c r="AY34" s="291">
        <f>IF(AND($F34&lt;=AY$2, OR($G34="",$G34&gt;=AY$2)),
  $H34 * (1 + Assumptions!$C$7) ^ INT(((YEAR(AY$2)-YEAR($F34))*12 + MONTH(AY$2)-MONTH($F34)) / 12),
  0)</f>
        <v>7500</v>
      </c>
      <c r="AZ34" s="291">
        <f>IF(AND($F34&lt;=AZ$2, OR($G34="",$G34&gt;=AZ$2)),
  $H34 * (1 + Assumptions!$C$7) ^ INT(((YEAR(AZ$2)-YEAR($F34))*12 + MONTH(AZ$2)-MONTH($F34)) / 12),
  0)</f>
        <v>7500</v>
      </c>
      <c r="BA34" s="291">
        <f>IF(AND($F34&lt;=BA$2, OR($G34="",$G34&gt;=BA$2)),
  $H34 * (1 + Assumptions!$C$7) ^ INT(((YEAR(BA$2)-YEAR($F34))*12 + MONTH(BA$2)-MONTH($F34)) / 12),
  0)</f>
        <v>7500</v>
      </c>
      <c r="BB34" s="291">
        <f>IF(AND($F34&lt;=BB$2, OR($G34="",$G34&gt;=BB$2)),
  $H34 * (1 + Assumptions!$C$7) ^ INT(((YEAR(BB$2)-YEAR($F34))*12 + MONTH(BB$2)-MONTH($F34)) / 12),
  0)</f>
        <v>7500</v>
      </c>
      <c r="BC34" s="291">
        <f>IF(AND($F34&lt;=BC$2, OR($G34="",$G34&gt;=BC$2)),
  $H34 * (1 + Assumptions!$C$7) ^ INT(((YEAR(BC$2)-YEAR($F34))*12 + MONTH(BC$2)-MONTH($F34)) / 12),
  0)</f>
        <v>7500</v>
      </c>
      <c r="BD34" s="291">
        <f>IF(AND($F34&lt;=BD$2, OR($G34="",$G34&gt;=BD$2)),
  $H34 * (1 + Assumptions!$C$7) ^ INT(((YEAR(BD$2)-YEAR($F34))*12 + MONTH(BD$2)-MONTH($F34)) / 12),
  0)</f>
        <v>7500</v>
      </c>
      <c r="BE34" s="291">
        <f>IF(AND($F34&lt;=BE$2, OR($G34="",$G34&gt;=BE$2)),
  $H34 * (1 + Assumptions!$C$7) ^ INT(((YEAR(BE$2)-YEAR($F34))*12 + MONTH(BE$2)-MONTH($F34)) / 12),
  0)</f>
        <v>7500</v>
      </c>
      <c r="BF34" s="291">
        <f>IF(AND($F34&lt;=BF$2, OR($G34="",$G34&gt;=BF$2)),
  $H34 * (1 + Assumptions!$C$7) ^ INT(((YEAR(BF$2)-YEAR($F34))*12 + MONTH(BF$2)-MONTH($F34)) / 12),
  0)</f>
        <v>7500</v>
      </c>
      <c r="BG34" s="291">
        <f>IF(AND($F34&lt;=BG$2, OR($G34="",$G34&gt;=BG$2)),
  $H34 * (1 + Assumptions!$C$7) ^ INT(((YEAR(BG$2)-YEAR($F34))*12 + MONTH(BG$2)-MONTH($F34)) / 12),
  0)</f>
        <v>7500</v>
      </c>
      <c r="BH34" s="291">
        <f>IF(AND($F34&lt;=BH$2, OR($G34="",$G34&gt;=BH$2)),
  $H34 * (1 + Assumptions!$C$7) ^ INT(((YEAR(BH$2)-YEAR($F34))*12 + MONTH(BH$2)-MONTH($F34)) / 12),
  0)</f>
        <v>7500</v>
      </c>
      <c r="BI34" s="291">
        <f>IF(AND($F34&lt;=BI$2, OR($G34="",$G34&gt;=BI$2)),
  $H34 * (1 + Assumptions!$C$7) ^ INT(((YEAR(BI$2)-YEAR($F34))*12 + MONTH(BI$2)-MONTH($F34)) / 12),
  0)</f>
        <v>7500</v>
      </c>
      <c r="BJ34" s="291">
        <f>IF(AND($F34&lt;=BJ$2, OR($G34="",$G34&gt;=BJ$2)),
  $H34 * (1 + Assumptions!$C$7) ^ INT(((YEAR(BJ$2)-YEAR($F34))*12 + MONTH(BJ$2)-MONTH($F34)) / 12),
  0)</f>
        <v>8100</v>
      </c>
      <c r="BK34" s="291">
        <f>IF(AND($F34&lt;=BK$2, OR($G34="",$G34&gt;=BK$2)),
  $H34 * (1 + Assumptions!$C$7) ^ INT(((YEAR(BK$2)-YEAR($F34))*12 + MONTH(BK$2)-MONTH($F34)) / 12),
  0)</f>
        <v>8100</v>
      </c>
      <c r="BL34" s="291">
        <f>IF(AND($F34&lt;=BL$2, OR($G34="",$G34&gt;=BL$2)),
  $H34 * (1 + Assumptions!$C$7) ^ INT(((YEAR(BL$2)-YEAR($F34))*12 + MONTH(BL$2)-MONTH($F34)) / 12),
  0)</f>
        <v>8100</v>
      </c>
      <c r="BM34" s="291">
        <f>IF(AND($F34&lt;=BM$2, OR($G34="",$G34&gt;=BM$2)),
  $H34 * (1 + Assumptions!$C$7) ^ INT(((YEAR(BM$2)-YEAR($F34))*12 + MONTH(BM$2)-MONTH($F34)) / 12),
  0)</f>
        <v>8100</v>
      </c>
      <c r="BN34" s="291">
        <f>IF(AND($F34&lt;=BN$2, OR($G34="",$G34&gt;=BN$2)),
  $H34 * (1 + Assumptions!$C$7) ^ INT(((YEAR(BN$2)-YEAR($F34))*12 + MONTH(BN$2)-MONTH($F34)) / 12),
  0)</f>
        <v>8100</v>
      </c>
      <c r="BO34" s="291">
        <f>IF(AND($F34&lt;=BO$2, OR($G34="",$G34&gt;=BO$2)),
  $H34 * (1 + Assumptions!$C$7) ^ INT(((YEAR(BO$2)-YEAR($F34))*12 + MONTH(BO$2)-MONTH($F34)) / 12),
  0)</f>
        <v>8100</v>
      </c>
      <c r="BP34" s="291">
        <f>IF(AND($F34&lt;=BP$2, OR($G34="",$G34&gt;=BP$2)),
  $H34 * (1 + Assumptions!$C$7) ^ INT(((YEAR(BP$2)-YEAR($F34))*12 + MONTH(BP$2)-MONTH($F34)) / 12),
  0)</f>
        <v>8100</v>
      </c>
      <c r="BQ34" s="30"/>
    </row>
    <row r="35" ht="15.75" customHeight="1">
      <c r="A35" s="298">
        <v>30.0</v>
      </c>
      <c r="B35" s="282" t="s">
        <v>335</v>
      </c>
      <c r="C35" s="26" t="s">
        <v>141</v>
      </c>
      <c r="D35" s="303" t="s">
        <v>346</v>
      </c>
      <c r="E35" s="289" t="s">
        <v>337</v>
      </c>
      <c r="F35" s="300">
        <v>46907.0</v>
      </c>
      <c r="G35" s="301"/>
      <c r="H35" s="285">
        <v>8000.0</v>
      </c>
      <c r="I35" s="291">
        <f>IF(AND($F35&lt;=I$2, OR($G35="",$G35&gt;=I$2)),
  $H35 * (1 + Assumptions!$C$7) ^ INT(((YEAR(I$2)-YEAR($F35))*12 + MONTH(I$2)-MONTH($F35)) / 12),
  0)</f>
        <v>0</v>
      </c>
      <c r="J35" s="291">
        <f>IF(AND($F35&lt;=J$2, OR($G35="",$G35&gt;=J$2)),
  $H35 * (1 + Assumptions!$C$7) ^ INT(((YEAR(J$2)-YEAR($F35))*12 + MONTH(J$2)-MONTH($F35)) / 12),
  0)</f>
        <v>0</v>
      </c>
      <c r="K35" s="291">
        <f>IF(AND($F35&lt;=K$2, OR($G35="",$G35&gt;=K$2)),
  $H35 * (1 + Assumptions!$C$7) ^ INT(((YEAR(K$2)-YEAR($F35))*12 + MONTH(K$2)-MONTH($F35)) / 12),
  0)</f>
        <v>0</v>
      </c>
      <c r="L35" s="291">
        <f>IF(AND($F35&lt;=L$2, OR($G35="",$G35&gt;=L$2)),
  $H35 * (1 + Assumptions!$C$7) ^ INT(((YEAR(L$2)-YEAR($F35))*12 + MONTH(L$2)-MONTH($F35)) / 12),
  0)</f>
        <v>0</v>
      </c>
      <c r="M35" s="291">
        <f>IF(AND($F35&lt;=M$2, OR($G35="",$G35&gt;=M$2)),
  $H35 * (1 + Assumptions!$C$7) ^ INT(((YEAR(M$2)-YEAR($F35))*12 + MONTH(M$2)-MONTH($F35)) / 12),
  0)</f>
        <v>0</v>
      </c>
      <c r="N35" s="291">
        <f>IF(AND($F35&lt;=N$2, OR($G35="",$G35&gt;=N$2)),
  $H35 * (1 + Assumptions!$C$7) ^ INT(((YEAR(N$2)-YEAR($F35))*12 + MONTH(N$2)-MONTH($F35)) / 12),
  0)</f>
        <v>0</v>
      </c>
      <c r="O35" s="291">
        <f>IF(AND($F35&lt;=O$2, OR($G35="",$G35&gt;=O$2)),
  $H35 * (1 + Assumptions!$C$7) ^ INT(((YEAR(O$2)-YEAR($F35))*12 + MONTH(O$2)-MONTH($F35)) / 12),
  0)</f>
        <v>0</v>
      </c>
      <c r="P35" s="291">
        <f>IF(AND($F35&lt;=P$2, OR($G35="",$G35&gt;=P$2)),
  $H35 * (1 + Assumptions!$C$7) ^ INT(((YEAR(P$2)-YEAR($F35))*12 + MONTH(P$2)-MONTH($F35)) / 12),
  0)</f>
        <v>0</v>
      </c>
      <c r="Q35" s="291">
        <f>IF(AND($F35&lt;=Q$2, OR($G35="",$G35&gt;=Q$2)),
  $H35 * (1 + Assumptions!$C$7) ^ INT(((YEAR(Q$2)-YEAR($F35))*12 + MONTH(Q$2)-MONTH($F35)) / 12),
  0)</f>
        <v>0</v>
      </c>
      <c r="R35" s="291">
        <f>IF(AND($F35&lt;=R$2, OR($G35="",$G35&gt;=R$2)),
  $H35 * (1 + Assumptions!$C$7) ^ INT(((YEAR(R$2)-YEAR($F35))*12 + MONTH(R$2)-MONTH($F35)) / 12),
  0)</f>
        <v>0</v>
      </c>
      <c r="S35" s="291">
        <f>IF(AND($F35&lt;=S$2, OR($G35="",$G35&gt;=S$2)),
  $H35 * (1 + Assumptions!$C$7) ^ INT(((YEAR(S$2)-YEAR($F35))*12 + MONTH(S$2)-MONTH($F35)) / 12),
  0)</f>
        <v>0</v>
      </c>
      <c r="T35" s="291">
        <f>IF(AND($F35&lt;=T$2, OR($G35="",$G35&gt;=T$2)),
  $H35 * (1 + Assumptions!$C$7) ^ INT(((YEAR(T$2)-YEAR($F35))*12 + MONTH(T$2)-MONTH($F35)) / 12),
  0)</f>
        <v>0</v>
      </c>
      <c r="U35" s="291">
        <f>IF(AND($F35&lt;=U$2, OR($G35="",$G35&gt;=U$2)),
  $H35 * (1 + Assumptions!$C$7) ^ INT(((YEAR(U$2)-YEAR($F35))*12 + MONTH(U$2)-MONTH($F35)) / 12),
  0)</f>
        <v>0</v>
      </c>
      <c r="V35" s="291">
        <f>IF(AND($F35&lt;=V$2, OR($G35="",$G35&gt;=V$2)),
  $H35 * (1 + Assumptions!$C$7) ^ INT(((YEAR(V$2)-YEAR($F35))*12 + MONTH(V$2)-MONTH($F35)) / 12),
  0)</f>
        <v>0</v>
      </c>
      <c r="W35" s="291">
        <f>IF(AND($F35&lt;=W$2, OR($G35="",$G35&gt;=W$2)),
  $H35 * (1 + Assumptions!$C$7) ^ INT(((YEAR(W$2)-YEAR($F35))*12 + MONTH(W$2)-MONTH($F35)) / 12),
  0)</f>
        <v>0</v>
      </c>
      <c r="X35" s="291">
        <f>IF(AND($F35&lt;=X$2, OR($G35="",$G35&gt;=X$2)),
  $H35 * (1 + Assumptions!$C$7) ^ INT(((YEAR(X$2)-YEAR($F35))*12 + MONTH(X$2)-MONTH($F35)) / 12),
  0)</f>
        <v>0</v>
      </c>
      <c r="Y35" s="291">
        <f>IF(AND($F35&lt;=Y$2, OR($G35="",$G35&gt;=Y$2)),
  $H35 * (1 + Assumptions!$C$7) ^ INT(((YEAR(Y$2)-YEAR($F35))*12 + MONTH(Y$2)-MONTH($F35)) / 12),
  0)</f>
        <v>0</v>
      </c>
      <c r="Z35" s="291">
        <f>IF(AND($F35&lt;=Z$2, OR($G35="",$G35&gt;=Z$2)),
  $H35 * (1 + Assumptions!$C$7) ^ INT(((YEAR(Z$2)-YEAR($F35))*12 + MONTH(Z$2)-MONTH($F35)) / 12),
  0)</f>
        <v>0</v>
      </c>
      <c r="AA35" s="291">
        <f>IF(AND($F35&lt;=AA$2, OR($G35="",$G35&gt;=AA$2)),
  $H35 * (1 + Assumptions!$C$7) ^ INT(((YEAR(AA$2)-YEAR($F35))*12 + MONTH(AA$2)-MONTH($F35)) / 12),
  0)</f>
        <v>0</v>
      </c>
      <c r="AB35" s="291">
        <f>IF(AND($F35&lt;=AB$2, OR($G35="",$G35&gt;=AB$2)),
  $H35 * (1 + Assumptions!$C$7) ^ INT(((YEAR(AB$2)-YEAR($F35))*12 + MONTH(AB$2)-MONTH($F35)) / 12),
  0)</f>
        <v>0</v>
      </c>
      <c r="AC35" s="291">
        <f>IF(AND($F35&lt;=AC$2, OR($G35="",$G35&gt;=AC$2)),
  $H35 * (1 + Assumptions!$C$7) ^ INT(((YEAR(AC$2)-YEAR($F35))*12 + MONTH(AC$2)-MONTH($F35)) / 12),
  0)</f>
        <v>0</v>
      </c>
      <c r="AD35" s="291">
        <f>IF(AND($F35&lt;=AD$2, OR($G35="",$G35&gt;=AD$2)),
  $H35 * (1 + Assumptions!$C$7) ^ INT(((YEAR(AD$2)-YEAR($F35))*12 + MONTH(AD$2)-MONTH($F35)) / 12),
  0)</f>
        <v>0</v>
      </c>
      <c r="AE35" s="291">
        <f>IF(AND($F35&lt;=AE$2, OR($G35="",$G35&gt;=AE$2)),
  $H35 * (1 + Assumptions!$C$7) ^ INT(((YEAR(AE$2)-YEAR($F35))*12 + MONTH(AE$2)-MONTH($F35)) / 12),
  0)</f>
        <v>0</v>
      </c>
      <c r="AF35" s="291">
        <f>IF(AND($F35&lt;=AF$2, OR($G35="",$G35&gt;=AF$2)),
  $H35 * (1 + Assumptions!$C$7) ^ INT(((YEAR(AF$2)-YEAR($F35))*12 + MONTH(AF$2)-MONTH($F35)) / 12),
  0)</f>
        <v>0</v>
      </c>
      <c r="AG35" s="291">
        <f>IF(AND($F35&lt;=AG$2, OR($G35="",$G35&gt;=AG$2)),
  $H35 * (1 + Assumptions!$C$7) ^ INT(((YEAR(AG$2)-YEAR($F35))*12 + MONTH(AG$2)-MONTH($F35)) / 12),
  0)</f>
        <v>0</v>
      </c>
      <c r="AH35" s="291">
        <f>IF(AND($F35&lt;=AH$2, OR($G35="",$G35&gt;=AH$2)),
  $H35 * (1 + Assumptions!$C$7) ^ INT(((YEAR(AH$2)-YEAR($F35))*12 + MONTH(AH$2)-MONTH($F35)) / 12),
  0)</f>
        <v>0</v>
      </c>
      <c r="AI35" s="291">
        <f>IF(AND($F35&lt;=AI$2, OR($G35="",$G35&gt;=AI$2)),
  $H35 * (1 + Assumptions!$C$7) ^ INT(((YEAR(AI$2)-YEAR($F35))*12 + MONTH(AI$2)-MONTH($F35)) / 12),
  0)</f>
        <v>0</v>
      </c>
      <c r="AJ35" s="291">
        <f>IF(AND($F35&lt;=AJ$2, OR($G35="",$G35&gt;=AJ$2)),
  $H35 * (1 + Assumptions!$C$7) ^ INT(((YEAR(AJ$2)-YEAR($F35))*12 + MONTH(AJ$2)-MONTH($F35)) / 12),
  0)</f>
        <v>0</v>
      </c>
      <c r="AK35" s="291">
        <f>IF(AND($F35&lt;=AK$2, OR($G35="",$G35&gt;=AK$2)),
  $H35 * (1 + Assumptions!$C$7) ^ INT(((YEAR(AK$2)-YEAR($F35))*12 + MONTH(AK$2)-MONTH($F35)) / 12),
  0)</f>
        <v>0</v>
      </c>
      <c r="AL35" s="291">
        <f>IF(AND($F35&lt;=AL$2, OR($G35="",$G35&gt;=AL$2)),
  $H35 * (1 + Assumptions!$C$7) ^ INT(((YEAR(AL$2)-YEAR($F35))*12 + MONTH(AL$2)-MONTH($F35)) / 12),
  0)</f>
        <v>0</v>
      </c>
      <c r="AM35" s="291">
        <f>IF(AND($F35&lt;=AM$2, OR($G35="",$G35&gt;=AM$2)),
  $H35 * (1 + Assumptions!$C$7) ^ INT(((YEAR(AM$2)-YEAR($F35))*12 + MONTH(AM$2)-MONTH($F35)) / 12),
  0)</f>
        <v>0</v>
      </c>
      <c r="AN35" s="291">
        <f>IF(AND($F35&lt;=AN$2, OR($G35="",$G35&gt;=AN$2)),
  $H35 * (1 + Assumptions!$C$7) ^ INT(((YEAR(AN$2)-YEAR($F35))*12 + MONTH(AN$2)-MONTH($F35)) / 12),
  0)</f>
        <v>0</v>
      </c>
      <c r="AO35" s="291">
        <f>IF(AND($F35&lt;=AO$2, OR($G35="",$G35&gt;=AO$2)),
  $H35 * (1 + Assumptions!$C$7) ^ INT(((YEAR(AO$2)-YEAR($F35))*12 + MONTH(AO$2)-MONTH($F35)) / 12),
  0)</f>
        <v>0</v>
      </c>
      <c r="AP35" s="291">
        <f>IF(AND($F35&lt;=AP$2, OR($G35="",$G35&gt;=AP$2)),
  $H35 * (1 + Assumptions!$C$7) ^ INT(((YEAR(AP$2)-YEAR($F35))*12 + MONTH(AP$2)-MONTH($F35)) / 12),
  0)</f>
        <v>0</v>
      </c>
      <c r="AQ35" s="291">
        <f>IF(AND($F35&lt;=AQ$2, OR($G35="",$G35&gt;=AQ$2)),
  $H35 * (1 + Assumptions!$C$7) ^ INT(((YEAR(AQ$2)-YEAR($F35))*12 + MONTH(AQ$2)-MONTH($F35)) / 12),
  0)</f>
        <v>0</v>
      </c>
      <c r="AR35" s="291">
        <f>IF(AND($F35&lt;=AR$2, OR($G35="",$G35&gt;=AR$2)),
  $H35 * (1 + Assumptions!$C$7) ^ INT(((YEAR(AR$2)-YEAR($F35))*12 + MONTH(AR$2)-MONTH($F35)) / 12),
  0)</f>
        <v>0</v>
      </c>
      <c r="AS35" s="291">
        <f>IF(AND($F35&lt;=AS$2, OR($G35="",$G35&gt;=AS$2)),
  $H35 * (1 + Assumptions!$C$7) ^ INT(((YEAR(AS$2)-YEAR($F35))*12 + MONTH(AS$2)-MONTH($F35)) / 12),
  0)</f>
        <v>0</v>
      </c>
      <c r="AT35" s="291">
        <f>IF(AND($F35&lt;=AT$2, OR($G35="",$G35&gt;=AT$2)),
  $H35 * (1 + Assumptions!$C$7) ^ INT(((YEAR(AT$2)-YEAR($F35))*12 + MONTH(AT$2)-MONTH($F35)) / 12),
  0)</f>
        <v>0</v>
      </c>
      <c r="AU35" s="291">
        <f>IF(AND($F35&lt;=AU$2, OR($G35="",$G35&gt;=AU$2)),
  $H35 * (1 + Assumptions!$C$7) ^ INT(((YEAR(AU$2)-YEAR($F35))*12 + MONTH(AU$2)-MONTH($F35)) / 12),
  0)</f>
        <v>0</v>
      </c>
      <c r="AV35" s="291">
        <f>IF(AND($F35&lt;=AV$2, OR($G35="",$G35&gt;=AV$2)),
  $H35 * (1 + Assumptions!$C$7) ^ INT(((YEAR(AV$2)-YEAR($F35))*12 + MONTH(AV$2)-MONTH($F35)) / 12),
  0)</f>
        <v>0</v>
      </c>
      <c r="AW35" s="291">
        <f>IF(AND($F35&lt;=AW$2, OR($G35="",$G35&gt;=AW$2)),
  $H35 * (1 + Assumptions!$C$7) ^ INT(((YEAR(AW$2)-YEAR($F35))*12 + MONTH(AW$2)-MONTH($F35)) / 12),
  0)</f>
        <v>0</v>
      </c>
      <c r="AX35" s="291">
        <f>IF(AND($F35&lt;=AX$2, OR($G35="",$G35&gt;=AX$2)),
  $H35 * (1 + Assumptions!$C$7) ^ INT(((YEAR(AX$2)-YEAR($F35))*12 + MONTH(AX$2)-MONTH($F35)) / 12),
  0)</f>
        <v>0</v>
      </c>
      <c r="AY35" s="291">
        <f>IF(AND($F35&lt;=AY$2, OR($G35="",$G35&gt;=AY$2)),
  $H35 * (1 + Assumptions!$C$7) ^ INT(((YEAR(AY$2)-YEAR($F35))*12 + MONTH(AY$2)-MONTH($F35)) / 12),
  0)</f>
        <v>8000</v>
      </c>
      <c r="AZ35" s="291">
        <f>IF(AND($F35&lt;=AZ$2, OR($G35="",$G35&gt;=AZ$2)),
  $H35 * (1 + Assumptions!$C$7) ^ INT(((YEAR(AZ$2)-YEAR($F35))*12 + MONTH(AZ$2)-MONTH($F35)) / 12),
  0)</f>
        <v>8000</v>
      </c>
      <c r="BA35" s="291">
        <f>IF(AND($F35&lt;=BA$2, OR($G35="",$G35&gt;=BA$2)),
  $H35 * (1 + Assumptions!$C$7) ^ INT(((YEAR(BA$2)-YEAR($F35))*12 + MONTH(BA$2)-MONTH($F35)) / 12),
  0)</f>
        <v>8000</v>
      </c>
      <c r="BB35" s="291">
        <f>IF(AND($F35&lt;=BB$2, OR($G35="",$G35&gt;=BB$2)),
  $H35 * (1 + Assumptions!$C$7) ^ INT(((YEAR(BB$2)-YEAR($F35))*12 + MONTH(BB$2)-MONTH($F35)) / 12),
  0)</f>
        <v>8000</v>
      </c>
      <c r="BC35" s="291">
        <f>IF(AND($F35&lt;=BC$2, OR($G35="",$G35&gt;=BC$2)),
  $H35 * (1 + Assumptions!$C$7) ^ INT(((YEAR(BC$2)-YEAR($F35))*12 + MONTH(BC$2)-MONTH($F35)) / 12),
  0)</f>
        <v>8000</v>
      </c>
      <c r="BD35" s="291">
        <f>IF(AND($F35&lt;=BD$2, OR($G35="",$G35&gt;=BD$2)),
  $H35 * (1 + Assumptions!$C$7) ^ INT(((YEAR(BD$2)-YEAR($F35))*12 + MONTH(BD$2)-MONTH($F35)) / 12),
  0)</f>
        <v>8000</v>
      </c>
      <c r="BE35" s="291">
        <f>IF(AND($F35&lt;=BE$2, OR($G35="",$G35&gt;=BE$2)),
  $H35 * (1 + Assumptions!$C$7) ^ INT(((YEAR(BE$2)-YEAR($F35))*12 + MONTH(BE$2)-MONTH($F35)) / 12),
  0)</f>
        <v>8000</v>
      </c>
      <c r="BF35" s="291">
        <f>IF(AND($F35&lt;=BF$2, OR($G35="",$G35&gt;=BF$2)),
  $H35 * (1 + Assumptions!$C$7) ^ INT(((YEAR(BF$2)-YEAR($F35))*12 + MONTH(BF$2)-MONTH($F35)) / 12),
  0)</f>
        <v>8000</v>
      </c>
      <c r="BG35" s="291">
        <f>IF(AND($F35&lt;=BG$2, OR($G35="",$G35&gt;=BG$2)),
  $H35 * (1 + Assumptions!$C$7) ^ INT(((YEAR(BG$2)-YEAR($F35))*12 + MONTH(BG$2)-MONTH($F35)) / 12),
  0)</f>
        <v>8000</v>
      </c>
      <c r="BH35" s="291">
        <f>IF(AND($F35&lt;=BH$2, OR($G35="",$G35&gt;=BH$2)),
  $H35 * (1 + Assumptions!$C$7) ^ INT(((YEAR(BH$2)-YEAR($F35))*12 + MONTH(BH$2)-MONTH($F35)) / 12),
  0)</f>
        <v>8000</v>
      </c>
      <c r="BI35" s="291">
        <f>IF(AND($F35&lt;=BI$2, OR($G35="",$G35&gt;=BI$2)),
  $H35 * (1 + Assumptions!$C$7) ^ INT(((YEAR(BI$2)-YEAR($F35))*12 + MONTH(BI$2)-MONTH($F35)) / 12),
  0)</f>
        <v>8000</v>
      </c>
      <c r="BJ35" s="291">
        <f>IF(AND($F35&lt;=BJ$2, OR($G35="",$G35&gt;=BJ$2)),
  $H35 * (1 + Assumptions!$C$7) ^ INT(((YEAR(BJ$2)-YEAR($F35))*12 + MONTH(BJ$2)-MONTH($F35)) / 12),
  0)</f>
        <v>8640</v>
      </c>
      <c r="BK35" s="291">
        <f>IF(AND($F35&lt;=BK$2, OR($G35="",$G35&gt;=BK$2)),
  $H35 * (1 + Assumptions!$C$7) ^ INT(((YEAR(BK$2)-YEAR($F35))*12 + MONTH(BK$2)-MONTH($F35)) / 12),
  0)</f>
        <v>8640</v>
      </c>
      <c r="BL35" s="291">
        <f>IF(AND($F35&lt;=BL$2, OR($G35="",$G35&gt;=BL$2)),
  $H35 * (1 + Assumptions!$C$7) ^ INT(((YEAR(BL$2)-YEAR($F35))*12 + MONTH(BL$2)-MONTH($F35)) / 12),
  0)</f>
        <v>8640</v>
      </c>
      <c r="BM35" s="291">
        <f>IF(AND($F35&lt;=BM$2, OR($G35="",$G35&gt;=BM$2)),
  $H35 * (1 + Assumptions!$C$7) ^ INT(((YEAR(BM$2)-YEAR($F35))*12 + MONTH(BM$2)-MONTH($F35)) / 12),
  0)</f>
        <v>8640</v>
      </c>
      <c r="BN35" s="291">
        <f>IF(AND($F35&lt;=BN$2, OR($G35="",$G35&gt;=BN$2)),
  $H35 * (1 + Assumptions!$C$7) ^ INT(((YEAR(BN$2)-YEAR($F35))*12 + MONTH(BN$2)-MONTH($F35)) / 12),
  0)</f>
        <v>8640</v>
      </c>
      <c r="BO35" s="291">
        <f>IF(AND($F35&lt;=BO$2, OR($G35="",$G35&gt;=BO$2)),
  $H35 * (1 + Assumptions!$C$7) ^ INT(((YEAR(BO$2)-YEAR($F35))*12 + MONTH(BO$2)-MONTH($F35)) / 12),
  0)</f>
        <v>8640</v>
      </c>
      <c r="BP35" s="291">
        <f>IF(AND($F35&lt;=BP$2, OR($G35="",$G35&gt;=BP$2)),
  $H35 * (1 + Assumptions!$C$7) ^ INT(((YEAR(BP$2)-YEAR($F35))*12 + MONTH(BP$2)-MONTH($F35)) / 12),
  0)</f>
        <v>8640</v>
      </c>
      <c r="BQ35" s="30"/>
    </row>
    <row r="36" ht="15.75" customHeight="1">
      <c r="A36" s="298">
        <v>31.0</v>
      </c>
      <c r="B36" s="282" t="s">
        <v>335</v>
      </c>
      <c r="C36" s="26" t="s">
        <v>141</v>
      </c>
      <c r="D36" s="303" t="s">
        <v>346</v>
      </c>
      <c r="E36" s="289" t="s">
        <v>337</v>
      </c>
      <c r="F36" s="300">
        <v>46908.0</v>
      </c>
      <c r="G36" s="301"/>
      <c r="H36" s="285">
        <v>8000.0</v>
      </c>
      <c r="I36" s="291">
        <f>IF(AND($F36&lt;=I$2, OR($G36="",$G36&gt;=I$2)),
  $H36 * (1 + Assumptions!$C$7) ^ INT(((YEAR(I$2)-YEAR($F36))*12 + MONTH(I$2)-MONTH($F36)) / 12),
  0)</f>
        <v>0</v>
      </c>
      <c r="J36" s="291">
        <f>IF(AND($F36&lt;=J$2, OR($G36="",$G36&gt;=J$2)),
  $H36 * (1 + Assumptions!$C$7) ^ INT(((YEAR(J$2)-YEAR($F36))*12 + MONTH(J$2)-MONTH($F36)) / 12),
  0)</f>
        <v>0</v>
      </c>
      <c r="K36" s="291">
        <f>IF(AND($F36&lt;=K$2, OR($G36="",$G36&gt;=K$2)),
  $H36 * (1 + Assumptions!$C$7) ^ INT(((YEAR(K$2)-YEAR($F36))*12 + MONTH(K$2)-MONTH($F36)) / 12),
  0)</f>
        <v>0</v>
      </c>
      <c r="L36" s="291">
        <f>IF(AND($F36&lt;=L$2, OR($G36="",$G36&gt;=L$2)),
  $H36 * (1 + Assumptions!$C$7) ^ INT(((YEAR(L$2)-YEAR($F36))*12 + MONTH(L$2)-MONTH($F36)) / 12),
  0)</f>
        <v>0</v>
      </c>
      <c r="M36" s="291">
        <f>IF(AND($F36&lt;=M$2, OR($G36="",$G36&gt;=M$2)),
  $H36 * (1 + Assumptions!$C$7) ^ INT(((YEAR(M$2)-YEAR($F36))*12 + MONTH(M$2)-MONTH($F36)) / 12),
  0)</f>
        <v>0</v>
      </c>
      <c r="N36" s="291">
        <f>IF(AND($F36&lt;=N$2, OR($G36="",$G36&gt;=N$2)),
  $H36 * (1 + Assumptions!$C$7) ^ INT(((YEAR(N$2)-YEAR($F36))*12 + MONTH(N$2)-MONTH($F36)) / 12),
  0)</f>
        <v>0</v>
      </c>
      <c r="O36" s="291">
        <f>IF(AND($F36&lt;=O$2, OR($G36="",$G36&gt;=O$2)),
  $H36 * (1 + Assumptions!$C$7) ^ INT(((YEAR(O$2)-YEAR($F36))*12 + MONTH(O$2)-MONTH($F36)) / 12),
  0)</f>
        <v>0</v>
      </c>
      <c r="P36" s="291">
        <f>IF(AND($F36&lt;=P$2, OR($G36="",$G36&gt;=P$2)),
  $H36 * (1 + Assumptions!$C$7) ^ INT(((YEAR(P$2)-YEAR($F36))*12 + MONTH(P$2)-MONTH($F36)) / 12),
  0)</f>
        <v>0</v>
      </c>
      <c r="Q36" s="291">
        <f>IF(AND($F36&lt;=Q$2, OR($G36="",$G36&gt;=Q$2)),
  $H36 * (1 + Assumptions!$C$7) ^ INT(((YEAR(Q$2)-YEAR($F36))*12 + MONTH(Q$2)-MONTH($F36)) / 12),
  0)</f>
        <v>0</v>
      </c>
      <c r="R36" s="291">
        <f>IF(AND($F36&lt;=R$2, OR($G36="",$G36&gt;=R$2)),
  $H36 * (1 + Assumptions!$C$7) ^ INT(((YEAR(R$2)-YEAR($F36))*12 + MONTH(R$2)-MONTH($F36)) / 12),
  0)</f>
        <v>0</v>
      </c>
      <c r="S36" s="291">
        <f>IF(AND($F36&lt;=S$2, OR($G36="",$G36&gt;=S$2)),
  $H36 * (1 + Assumptions!$C$7) ^ INT(((YEAR(S$2)-YEAR($F36))*12 + MONTH(S$2)-MONTH($F36)) / 12),
  0)</f>
        <v>0</v>
      </c>
      <c r="T36" s="291">
        <f>IF(AND($F36&lt;=T$2, OR($G36="",$G36&gt;=T$2)),
  $H36 * (1 + Assumptions!$C$7) ^ INT(((YEAR(T$2)-YEAR($F36))*12 + MONTH(T$2)-MONTH($F36)) / 12),
  0)</f>
        <v>0</v>
      </c>
      <c r="U36" s="291">
        <f>IF(AND($F36&lt;=U$2, OR($G36="",$G36&gt;=U$2)),
  $H36 * (1 + Assumptions!$C$7) ^ INT(((YEAR(U$2)-YEAR($F36))*12 + MONTH(U$2)-MONTH($F36)) / 12),
  0)</f>
        <v>0</v>
      </c>
      <c r="V36" s="291">
        <f>IF(AND($F36&lt;=V$2, OR($G36="",$G36&gt;=V$2)),
  $H36 * (1 + Assumptions!$C$7) ^ INT(((YEAR(V$2)-YEAR($F36))*12 + MONTH(V$2)-MONTH($F36)) / 12),
  0)</f>
        <v>0</v>
      </c>
      <c r="W36" s="291">
        <f>IF(AND($F36&lt;=W$2, OR($G36="",$G36&gt;=W$2)),
  $H36 * (1 + Assumptions!$C$7) ^ INT(((YEAR(W$2)-YEAR($F36))*12 + MONTH(W$2)-MONTH($F36)) / 12),
  0)</f>
        <v>0</v>
      </c>
      <c r="X36" s="291">
        <f>IF(AND($F36&lt;=X$2, OR($G36="",$G36&gt;=X$2)),
  $H36 * (1 + Assumptions!$C$7) ^ INT(((YEAR(X$2)-YEAR($F36))*12 + MONTH(X$2)-MONTH($F36)) / 12),
  0)</f>
        <v>0</v>
      </c>
      <c r="Y36" s="291">
        <f>IF(AND($F36&lt;=Y$2, OR($G36="",$G36&gt;=Y$2)),
  $H36 * (1 + Assumptions!$C$7) ^ INT(((YEAR(Y$2)-YEAR($F36))*12 + MONTH(Y$2)-MONTH($F36)) / 12),
  0)</f>
        <v>0</v>
      </c>
      <c r="Z36" s="291">
        <f>IF(AND($F36&lt;=Z$2, OR($G36="",$G36&gt;=Z$2)),
  $H36 * (1 + Assumptions!$C$7) ^ INT(((YEAR(Z$2)-YEAR($F36))*12 + MONTH(Z$2)-MONTH($F36)) / 12),
  0)</f>
        <v>0</v>
      </c>
      <c r="AA36" s="291">
        <f>IF(AND($F36&lt;=AA$2, OR($G36="",$G36&gt;=AA$2)),
  $H36 * (1 + Assumptions!$C$7) ^ INT(((YEAR(AA$2)-YEAR($F36))*12 + MONTH(AA$2)-MONTH($F36)) / 12),
  0)</f>
        <v>0</v>
      </c>
      <c r="AB36" s="291">
        <f>IF(AND($F36&lt;=AB$2, OR($G36="",$G36&gt;=AB$2)),
  $H36 * (1 + Assumptions!$C$7) ^ INT(((YEAR(AB$2)-YEAR($F36))*12 + MONTH(AB$2)-MONTH($F36)) / 12),
  0)</f>
        <v>0</v>
      </c>
      <c r="AC36" s="291">
        <f>IF(AND($F36&lt;=AC$2, OR($G36="",$G36&gt;=AC$2)),
  $H36 * (1 + Assumptions!$C$7) ^ INT(((YEAR(AC$2)-YEAR($F36))*12 + MONTH(AC$2)-MONTH($F36)) / 12),
  0)</f>
        <v>0</v>
      </c>
      <c r="AD36" s="291">
        <f>IF(AND($F36&lt;=AD$2, OR($G36="",$G36&gt;=AD$2)),
  $H36 * (1 + Assumptions!$C$7) ^ INT(((YEAR(AD$2)-YEAR($F36))*12 + MONTH(AD$2)-MONTH($F36)) / 12),
  0)</f>
        <v>0</v>
      </c>
      <c r="AE36" s="291">
        <f>IF(AND($F36&lt;=AE$2, OR($G36="",$G36&gt;=AE$2)),
  $H36 * (1 + Assumptions!$C$7) ^ INT(((YEAR(AE$2)-YEAR($F36))*12 + MONTH(AE$2)-MONTH($F36)) / 12),
  0)</f>
        <v>0</v>
      </c>
      <c r="AF36" s="291">
        <f>IF(AND($F36&lt;=AF$2, OR($G36="",$G36&gt;=AF$2)),
  $H36 * (1 + Assumptions!$C$7) ^ INT(((YEAR(AF$2)-YEAR($F36))*12 + MONTH(AF$2)-MONTH($F36)) / 12),
  0)</f>
        <v>0</v>
      </c>
      <c r="AG36" s="291">
        <f>IF(AND($F36&lt;=AG$2, OR($G36="",$G36&gt;=AG$2)),
  $H36 * (1 + Assumptions!$C$7) ^ INT(((YEAR(AG$2)-YEAR($F36))*12 + MONTH(AG$2)-MONTH($F36)) / 12),
  0)</f>
        <v>0</v>
      </c>
      <c r="AH36" s="291">
        <f>IF(AND($F36&lt;=AH$2, OR($G36="",$G36&gt;=AH$2)),
  $H36 * (1 + Assumptions!$C$7) ^ INT(((YEAR(AH$2)-YEAR($F36))*12 + MONTH(AH$2)-MONTH($F36)) / 12),
  0)</f>
        <v>0</v>
      </c>
      <c r="AI36" s="291">
        <f>IF(AND($F36&lt;=AI$2, OR($G36="",$G36&gt;=AI$2)),
  $H36 * (1 + Assumptions!$C$7) ^ INT(((YEAR(AI$2)-YEAR($F36))*12 + MONTH(AI$2)-MONTH($F36)) / 12),
  0)</f>
        <v>0</v>
      </c>
      <c r="AJ36" s="291">
        <f>IF(AND($F36&lt;=AJ$2, OR($G36="",$G36&gt;=AJ$2)),
  $H36 * (1 + Assumptions!$C$7) ^ INT(((YEAR(AJ$2)-YEAR($F36))*12 + MONTH(AJ$2)-MONTH($F36)) / 12),
  0)</f>
        <v>0</v>
      </c>
      <c r="AK36" s="291">
        <f>IF(AND($F36&lt;=AK$2, OR($G36="",$G36&gt;=AK$2)),
  $H36 * (1 + Assumptions!$C$7) ^ INT(((YEAR(AK$2)-YEAR($F36))*12 + MONTH(AK$2)-MONTH($F36)) / 12),
  0)</f>
        <v>0</v>
      </c>
      <c r="AL36" s="291">
        <f>IF(AND($F36&lt;=AL$2, OR($G36="",$G36&gt;=AL$2)),
  $H36 * (1 + Assumptions!$C$7) ^ INT(((YEAR(AL$2)-YEAR($F36))*12 + MONTH(AL$2)-MONTH($F36)) / 12),
  0)</f>
        <v>0</v>
      </c>
      <c r="AM36" s="291">
        <f>IF(AND($F36&lt;=AM$2, OR($G36="",$G36&gt;=AM$2)),
  $H36 * (1 + Assumptions!$C$7) ^ INT(((YEAR(AM$2)-YEAR($F36))*12 + MONTH(AM$2)-MONTH($F36)) / 12),
  0)</f>
        <v>0</v>
      </c>
      <c r="AN36" s="291">
        <f>IF(AND($F36&lt;=AN$2, OR($G36="",$G36&gt;=AN$2)),
  $H36 * (1 + Assumptions!$C$7) ^ INT(((YEAR(AN$2)-YEAR($F36))*12 + MONTH(AN$2)-MONTH($F36)) / 12),
  0)</f>
        <v>0</v>
      </c>
      <c r="AO36" s="291">
        <f>IF(AND($F36&lt;=AO$2, OR($G36="",$G36&gt;=AO$2)),
  $H36 * (1 + Assumptions!$C$7) ^ INT(((YEAR(AO$2)-YEAR($F36))*12 + MONTH(AO$2)-MONTH($F36)) / 12),
  0)</f>
        <v>0</v>
      </c>
      <c r="AP36" s="291">
        <f>IF(AND($F36&lt;=AP$2, OR($G36="",$G36&gt;=AP$2)),
  $H36 * (1 + Assumptions!$C$7) ^ INT(((YEAR(AP$2)-YEAR($F36))*12 + MONTH(AP$2)-MONTH($F36)) / 12),
  0)</f>
        <v>0</v>
      </c>
      <c r="AQ36" s="291">
        <f>IF(AND($F36&lt;=AQ$2, OR($G36="",$G36&gt;=AQ$2)),
  $H36 * (1 + Assumptions!$C$7) ^ INT(((YEAR(AQ$2)-YEAR($F36))*12 + MONTH(AQ$2)-MONTH($F36)) / 12),
  0)</f>
        <v>0</v>
      </c>
      <c r="AR36" s="291">
        <f>IF(AND($F36&lt;=AR$2, OR($G36="",$G36&gt;=AR$2)),
  $H36 * (1 + Assumptions!$C$7) ^ INT(((YEAR(AR$2)-YEAR($F36))*12 + MONTH(AR$2)-MONTH($F36)) / 12),
  0)</f>
        <v>0</v>
      </c>
      <c r="AS36" s="291">
        <f>IF(AND($F36&lt;=AS$2, OR($G36="",$G36&gt;=AS$2)),
  $H36 * (1 + Assumptions!$C$7) ^ INT(((YEAR(AS$2)-YEAR($F36))*12 + MONTH(AS$2)-MONTH($F36)) / 12),
  0)</f>
        <v>0</v>
      </c>
      <c r="AT36" s="291">
        <f>IF(AND($F36&lt;=AT$2, OR($G36="",$G36&gt;=AT$2)),
  $H36 * (1 + Assumptions!$C$7) ^ INT(((YEAR(AT$2)-YEAR($F36))*12 + MONTH(AT$2)-MONTH($F36)) / 12),
  0)</f>
        <v>0</v>
      </c>
      <c r="AU36" s="291">
        <f>IF(AND($F36&lt;=AU$2, OR($G36="",$G36&gt;=AU$2)),
  $H36 * (1 + Assumptions!$C$7) ^ INT(((YEAR(AU$2)-YEAR($F36))*12 + MONTH(AU$2)-MONTH($F36)) / 12),
  0)</f>
        <v>0</v>
      </c>
      <c r="AV36" s="291">
        <f>IF(AND($F36&lt;=AV$2, OR($G36="",$G36&gt;=AV$2)),
  $H36 * (1 + Assumptions!$C$7) ^ INT(((YEAR(AV$2)-YEAR($F36))*12 + MONTH(AV$2)-MONTH($F36)) / 12),
  0)</f>
        <v>0</v>
      </c>
      <c r="AW36" s="291">
        <f>IF(AND($F36&lt;=AW$2, OR($G36="",$G36&gt;=AW$2)),
  $H36 * (1 + Assumptions!$C$7) ^ INT(((YEAR(AW$2)-YEAR($F36))*12 + MONTH(AW$2)-MONTH($F36)) / 12),
  0)</f>
        <v>0</v>
      </c>
      <c r="AX36" s="291">
        <f>IF(AND($F36&lt;=AX$2, OR($G36="",$G36&gt;=AX$2)),
  $H36 * (1 + Assumptions!$C$7) ^ INT(((YEAR(AX$2)-YEAR($F36))*12 + MONTH(AX$2)-MONTH($F36)) / 12),
  0)</f>
        <v>0</v>
      </c>
      <c r="AY36" s="291">
        <f>IF(AND($F36&lt;=AY$2, OR($G36="",$G36&gt;=AY$2)),
  $H36 * (1 + Assumptions!$C$7) ^ INT(((YEAR(AY$2)-YEAR($F36))*12 + MONTH(AY$2)-MONTH($F36)) / 12),
  0)</f>
        <v>8000</v>
      </c>
      <c r="AZ36" s="291">
        <f>IF(AND($F36&lt;=AZ$2, OR($G36="",$G36&gt;=AZ$2)),
  $H36 * (1 + Assumptions!$C$7) ^ INT(((YEAR(AZ$2)-YEAR($F36))*12 + MONTH(AZ$2)-MONTH($F36)) / 12),
  0)</f>
        <v>8000</v>
      </c>
      <c r="BA36" s="291">
        <f>IF(AND($F36&lt;=BA$2, OR($G36="",$G36&gt;=BA$2)),
  $H36 * (1 + Assumptions!$C$7) ^ INT(((YEAR(BA$2)-YEAR($F36))*12 + MONTH(BA$2)-MONTH($F36)) / 12),
  0)</f>
        <v>8000</v>
      </c>
      <c r="BB36" s="291">
        <f>IF(AND($F36&lt;=BB$2, OR($G36="",$G36&gt;=BB$2)),
  $H36 * (1 + Assumptions!$C$7) ^ INT(((YEAR(BB$2)-YEAR($F36))*12 + MONTH(BB$2)-MONTH($F36)) / 12),
  0)</f>
        <v>8000</v>
      </c>
      <c r="BC36" s="291">
        <f>IF(AND($F36&lt;=BC$2, OR($G36="",$G36&gt;=BC$2)),
  $H36 * (1 + Assumptions!$C$7) ^ INT(((YEAR(BC$2)-YEAR($F36))*12 + MONTH(BC$2)-MONTH($F36)) / 12),
  0)</f>
        <v>8000</v>
      </c>
      <c r="BD36" s="291">
        <f>IF(AND($F36&lt;=BD$2, OR($G36="",$G36&gt;=BD$2)),
  $H36 * (1 + Assumptions!$C$7) ^ INT(((YEAR(BD$2)-YEAR($F36))*12 + MONTH(BD$2)-MONTH($F36)) / 12),
  0)</f>
        <v>8000</v>
      </c>
      <c r="BE36" s="291">
        <f>IF(AND($F36&lt;=BE$2, OR($G36="",$G36&gt;=BE$2)),
  $H36 * (1 + Assumptions!$C$7) ^ INT(((YEAR(BE$2)-YEAR($F36))*12 + MONTH(BE$2)-MONTH($F36)) / 12),
  0)</f>
        <v>8000</v>
      </c>
      <c r="BF36" s="291">
        <f>IF(AND($F36&lt;=BF$2, OR($G36="",$G36&gt;=BF$2)),
  $H36 * (1 + Assumptions!$C$7) ^ INT(((YEAR(BF$2)-YEAR($F36))*12 + MONTH(BF$2)-MONTH($F36)) / 12),
  0)</f>
        <v>8000</v>
      </c>
      <c r="BG36" s="291">
        <f>IF(AND($F36&lt;=BG$2, OR($G36="",$G36&gt;=BG$2)),
  $H36 * (1 + Assumptions!$C$7) ^ INT(((YEAR(BG$2)-YEAR($F36))*12 + MONTH(BG$2)-MONTH($F36)) / 12),
  0)</f>
        <v>8000</v>
      </c>
      <c r="BH36" s="291">
        <f>IF(AND($F36&lt;=BH$2, OR($G36="",$G36&gt;=BH$2)),
  $H36 * (1 + Assumptions!$C$7) ^ INT(((YEAR(BH$2)-YEAR($F36))*12 + MONTH(BH$2)-MONTH($F36)) / 12),
  0)</f>
        <v>8000</v>
      </c>
      <c r="BI36" s="291">
        <f>IF(AND($F36&lt;=BI$2, OR($G36="",$G36&gt;=BI$2)),
  $H36 * (1 + Assumptions!$C$7) ^ INT(((YEAR(BI$2)-YEAR($F36))*12 + MONTH(BI$2)-MONTH($F36)) / 12),
  0)</f>
        <v>8000</v>
      </c>
      <c r="BJ36" s="291">
        <f>IF(AND($F36&lt;=BJ$2, OR($G36="",$G36&gt;=BJ$2)),
  $H36 * (1 + Assumptions!$C$7) ^ INT(((YEAR(BJ$2)-YEAR($F36))*12 + MONTH(BJ$2)-MONTH($F36)) / 12),
  0)</f>
        <v>8640</v>
      </c>
      <c r="BK36" s="291">
        <f>IF(AND($F36&lt;=BK$2, OR($G36="",$G36&gt;=BK$2)),
  $H36 * (1 + Assumptions!$C$7) ^ INT(((YEAR(BK$2)-YEAR($F36))*12 + MONTH(BK$2)-MONTH($F36)) / 12),
  0)</f>
        <v>8640</v>
      </c>
      <c r="BL36" s="291">
        <f>IF(AND($F36&lt;=BL$2, OR($G36="",$G36&gt;=BL$2)),
  $H36 * (1 + Assumptions!$C$7) ^ INT(((YEAR(BL$2)-YEAR($F36))*12 + MONTH(BL$2)-MONTH($F36)) / 12),
  0)</f>
        <v>8640</v>
      </c>
      <c r="BM36" s="291">
        <f>IF(AND($F36&lt;=BM$2, OR($G36="",$G36&gt;=BM$2)),
  $H36 * (1 + Assumptions!$C$7) ^ INT(((YEAR(BM$2)-YEAR($F36))*12 + MONTH(BM$2)-MONTH($F36)) / 12),
  0)</f>
        <v>8640</v>
      </c>
      <c r="BN36" s="291">
        <f>IF(AND($F36&lt;=BN$2, OR($G36="",$G36&gt;=BN$2)),
  $H36 * (1 + Assumptions!$C$7) ^ INT(((YEAR(BN$2)-YEAR($F36))*12 + MONTH(BN$2)-MONTH($F36)) / 12),
  0)</f>
        <v>8640</v>
      </c>
      <c r="BO36" s="291">
        <f>IF(AND($F36&lt;=BO$2, OR($G36="",$G36&gt;=BO$2)),
  $H36 * (1 + Assumptions!$C$7) ^ INT(((YEAR(BO$2)-YEAR($F36))*12 + MONTH(BO$2)-MONTH($F36)) / 12),
  0)</f>
        <v>8640</v>
      </c>
      <c r="BP36" s="291">
        <f>IF(AND($F36&lt;=BP$2, OR($G36="",$G36&gt;=BP$2)),
  $H36 * (1 + Assumptions!$C$7) ^ INT(((YEAR(BP$2)-YEAR($F36))*12 + MONTH(BP$2)-MONTH($F36)) / 12),
  0)</f>
        <v>8640</v>
      </c>
      <c r="BQ36" s="30"/>
    </row>
    <row r="37" ht="15.75" customHeight="1">
      <c r="A37" s="298">
        <v>32.0</v>
      </c>
      <c r="B37" s="282" t="s">
        <v>335</v>
      </c>
      <c r="C37" s="299" t="s">
        <v>137</v>
      </c>
      <c r="D37" s="303" t="s">
        <v>343</v>
      </c>
      <c r="E37" s="289" t="s">
        <v>337</v>
      </c>
      <c r="F37" s="300">
        <v>47027.0</v>
      </c>
      <c r="G37" s="301"/>
      <c r="H37" s="285">
        <v>6500.0</v>
      </c>
      <c r="I37" s="291">
        <f>IF(AND($F37&lt;=I$2, OR($G37="",$G37&gt;=I$2)),
  $H37 * (1 + Assumptions!$C$7) ^ INT(((YEAR(I$2)-YEAR($F37))*12 + MONTH(I$2)-MONTH($F37)) / 12),
  0)</f>
        <v>0</v>
      </c>
      <c r="J37" s="291">
        <f>IF(AND($F37&lt;=J$2, OR($G37="",$G37&gt;=J$2)),
  $H37 * (1 + Assumptions!$C$7) ^ INT(((YEAR(J$2)-YEAR($F37))*12 + MONTH(J$2)-MONTH($F37)) / 12),
  0)</f>
        <v>0</v>
      </c>
      <c r="K37" s="291">
        <f>IF(AND($F37&lt;=K$2, OR($G37="",$G37&gt;=K$2)),
  $H37 * (1 + Assumptions!$C$7) ^ INT(((YEAR(K$2)-YEAR($F37))*12 + MONTH(K$2)-MONTH($F37)) / 12),
  0)</f>
        <v>0</v>
      </c>
      <c r="L37" s="291">
        <f>IF(AND($F37&lt;=L$2, OR($G37="",$G37&gt;=L$2)),
  $H37 * (1 + Assumptions!$C$7) ^ INT(((YEAR(L$2)-YEAR($F37))*12 + MONTH(L$2)-MONTH($F37)) / 12),
  0)</f>
        <v>0</v>
      </c>
      <c r="M37" s="291">
        <f>IF(AND($F37&lt;=M$2, OR($G37="",$G37&gt;=M$2)),
  $H37 * (1 + Assumptions!$C$7) ^ INT(((YEAR(M$2)-YEAR($F37))*12 + MONTH(M$2)-MONTH($F37)) / 12),
  0)</f>
        <v>0</v>
      </c>
      <c r="N37" s="291">
        <f>IF(AND($F37&lt;=N$2, OR($G37="",$G37&gt;=N$2)),
  $H37 * (1 + Assumptions!$C$7) ^ INT(((YEAR(N$2)-YEAR($F37))*12 + MONTH(N$2)-MONTH($F37)) / 12),
  0)</f>
        <v>0</v>
      </c>
      <c r="O37" s="291">
        <f>IF(AND($F37&lt;=O$2, OR($G37="",$G37&gt;=O$2)),
  $H37 * (1 + Assumptions!$C$7) ^ INT(((YEAR(O$2)-YEAR($F37))*12 + MONTH(O$2)-MONTH($F37)) / 12),
  0)</f>
        <v>0</v>
      </c>
      <c r="P37" s="291">
        <f>IF(AND($F37&lt;=P$2, OR($G37="",$G37&gt;=P$2)),
  $H37 * (1 + Assumptions!$C$7) ^ INT(((YEAR(P$2)-YEAR($F37))*12 + MONTH(P$2)-MONTH($F37)) / 12),
  0)</f>
        <v>0</v>
      </c>
      <c r="Q37" s="291">
        <f>IF(AND($F37&lt;=Q$2, OR($G37="",$G37&gt;=Q$2)),
  $H37 * (1 + Assumptions!$C$7) ^ INT(((YEAR(Q$2)-YEAR($F37))*12 + MONTH(Q$2)-MONTH($F37)) / 12),
  0)</f>
        <v>0</v>
      </c>
      <c r="R37" s="291">
        <f>IF(AND($F37&lt;=R$2, OR($G37="",$G37&gt;=R$2)),
  $H37 * (1 + Assumptions!$C$7) ^ INT(((YEAR(R$2)-YEAR($F37))*12 + MONTH(R$2)-MONTH($F37)) / 12),
  0)</f>
        <v>0</v>
      </c>
      <c r="S37" s="291">
        <f>IF(AND($F37&lt;=S$2, OR($G37="",$G37&gt;=S$2)),
  $H37 * (1 + Assumptions!$C$7) ^ INT(((YEAR(S$2)-YEAR($F37))*12 + MONTH(S$2)-MONTH($F37)) / 12),
  0)</f>
        <v>0</v>
      </c>
      <c r="T37" s="291">
        <f>IF(AND($F37&lt;=T$2, OR($G37="",$G37&gt;=T$2)),
  $H37 * (1 + Assumptions!$C$7) ^ INT(((YEAR(T$2)-YEAR($F37))*12 + MONTH(T$2)-MONTH($F37)) / 12),
  0)</f>
        <v>0</v>
      </c>
      <c r="U37" s="291">
        <f>IF(AND($F37&lt;=U$2, OR($G37="",$G37&gt;=U$2)),
  $H37 * (1 + Assumptions!$C$7) ^ INT(((YEAR(U$2)-YEAR($F37))*12 + MONTH(U$2)-MONTH($F37)) / 12),
  0)</f>
        <v>0</v>
      </c>
      <c r="V37" s="291">
        <f>IF(AND($F37&lt;=V$2, OR($G37="",$G37&gt;=V$2)),
  $H37 * (1 + Assumptions!$C$7) ^ INT(((YEAR(V$2)-YEAR($F37))*12 + MONTH(V$2)-MONTH($F37)) / 12),
  0)</f>
        <v>0</v>
      </c>
      <c r="W37" s="291">
        <f>IF(AND($F37&lt;=W$2, OR($G37="",$G37&gt;=W$2)),
  $H37 * (1 + Assumptions!$C$7) ^ INT(((YEAR(W$2)-YEAR($F37))*12 + MONTH(W$2)-MONTH($F37)) / 12),
  0)</f>
        <v>0</v>
      </c>
      <c r="X37" s="291">
        <f>IF(AND($F37&lt;=X$2, OR($G37="",$G37&gt;=X$2)),
  $H37 * (1 + Assumptions!$C$7) ^ INT(((YEAR(X$2)-YEAR($F37))*12 + MONTH(X$2)-MONTH($F37)) / 12),
  0)</f>
        <v>0</v>
      </c>
      <c r="Y37" s="291">
        <f>IF(AND($F37&lt;=Y$2, OR($G37="",$G37&gt;=Y$2)),
  $H37 * (1 + Assumptions!$C$7) ^ INT(((YEAR(Y$2)-YEAR($F37))*12 + MONTH(Y$2)-MONTH($F37)) / 12),
  0)</f>
        <v>0</v>
      </c>
      <c r="Z37" s="291">
        <f>IF(AND($F37&lt;=Z$2, OR($G37="",$G37&gt;=Z$2)),
  $H37 * (1 + Assumptions!$C$7) ^ INT(((YEAR(Z$2)-YEAR($F37))*12 + MONTH(Z$2)-MONTH($F37)) / 12),
  0)</f>
        <v>0</v>
      </c>
      <c r="AA37" s="291">
        <f>IF(AND($F37&lt;=AA$2, OR($G37="",$G37&gt;=AA$2)),
  $H37 * (1 + Assumptions!$C$7) ^ INT(((YEAR(AA$2)-YEAR($F37))*12 + MONTH(AA$2)-MONTH($F37)) / 12),
  0)</f>
        <v>0</v>
      </c>
      <c r="AB37" s="291">
        <f>IF(AND($F37&lt;=AB$2, OR($G37="",$G37&gt;=AB$2)),
  $H37 * (1 + Assumptions!$C$7) ^ INT(((YEAR(AB$2)-YEAR($F37))*12 + MONTH(AB$2)-MONTH($F37)) / 12),
  0)</f>
        <v>0</v>
      </c>
      <c r="AC37" s="291">
        <f>IF(AND($F37&lt;=AC$2, OR($G37="",$G37&gt;=AC$2)),
  $H37 * (1 + Assumptions!$C$7) ^ INT(((YEAR(AC$2)-YEAR($F37))*12 + MONTH(AC$2)-MONTH($F37)) / 12),
  0)</f>
        <v>0</v>
      </c>
      <c r="AD37" s="291">
        <f>IF(AND($F37&lt;=AD$2, OR($G37="",$G37&gt;=AD$2)),
  $H37 * (1 + Assumptions!$C$7) ^ INT(((YEAR(AD$2)-YEAR($F37))*12 + MONTH(AD$2)-MONTH($F37)) / 12),
  0)</f>
        <v>0</v>
      </c>
      <c r="AE37" s="291">
        <f>IF(AND($F37&lt;=AE$2, OR($G37="",$G37&gt;=AE$2)),
  $H37 * (1 + Assumptions!$C$7) ^ INT(((YEAR(AE$2)-YEAR($F37))*12 + MONTH(AE$2)-MONTH($F37)) / 12),
  0)</f>
        <v>0</v>
      </c>
      <c r="AF37" s="291">
        <f>IF(AND($F37&lt;=AF$2, OR($G37="",$G37&gt;=AF$2)),
  $H37 * (1 + Assumptions!$C$7) ^ INT(((YEAR(AF$2)-YEAR($F37))*12 + MONTH(AF$2)-MONTH($F37)) / 12),
  0)</f>
        <v>0</v>
      </c>
      <c r="AG37" s="291">
        <f>IF(AND($F37&lt;=AG$2, OR($G37="",$G37&gt;=AG$2)),
  $H37 * (1 + Assumptions!$C$7) ^ INT(((YEAR(AG$2)-YEAR($F37))*12 + MONTH(AG$2)-MONTH($F37)) / 12),
  0)</f>
        <v>0</v>
      </c>
      <c r="AH37" s="291">
        <f>IF(AND($F37&lt;=AH$2, OR($G37="",$G37&gt;=AH$2)),
  $H37 * (1 + Assumptions!$C$7) ^ INT(((YEAR(AH$2)-YEAR($F37))*12 + MONTH(AH$2)-MONTH($F37)) / 12),
  0)</f>
        <v>0</v>
      </c>
      <c r="AI37" s="291">
        <f>IF(AND($F37&lt;=AI$2, OR($G37="",$G37&gt;=AI$2)),
  $H37 * (1 + Assumptions!$C$7) ^ INT(((YEAR(AI$2)-YEAR($F37))*12 + MONTH(AI$2)-MONTH($F37)) / 12),
  0)</f>
        <v>0</v>
      </c>
      <c r="AJ37" s="291">
        <f>IF(AND($F37&lt;=AJ$2, OR($G37="",$G37&gt;=AJ$2)),
  $H37 * (1 + Assumptions!$C$7) ^ INT(((YEAR(AJ$2)-YEAR($F37))*12 + MONTH(AJ$2)-MONTH($F37)) / 12),
  0)</f>
        <v>0</v>
      </c>
      <c r="AK37" s="291">
        <f>IF(AND($F37&lt;=AK$2, OR($G37="",$G37&gt;=AK$2)),
  $H37 * (1 + Assumptions!$C$7) ^ INT(((YEAR(AK$2)-YEAR($F37))*12 + MONTH(AK$2)-MONTH($F37)) / 12),
  0)</f>
        <v>0</v>
      </c>
      <c r="AL37" s="291">
        <f>IF(AND($F37&lt;=AL$2, OR($G37="",$G37&gt;=AL$2)),
  $H37 * (1 + Assumptions!$C$7) ^ INT(((YEAR(AL$2)-YEAR($F37))*12 + MONTH(AL$2)-MONTH($F37)) / 12),
  0)</f>
        <v>0</v>
      </c>
      <c r="AM37" s="291">
        <f>IF(AND($F37&lt;=AM$2, OR($G37="",$G37&gt;=AM$2)),
  $H37 * (1 + Assumptions!$C$7) ^ INT(((YEAR(AM$2)-YEAR($F37))*12 + MONTH(AM$2)-MONTH($F37)) / 12),
  0)</f>
        <v>0</v>
      </c>
      <c r="AN37" s="291">
        <f>IF(AND($F37&lt;=AN$2, OR($G37="",$G37&gt;=AN$2)),
  $H37 * (1 + Assumptions!$C$7) ^ INT(((YEAR(AN$2)-YEAR($F37))*12 + MONTH(AN$2)-MONTH($F37)) / 12),
  0)</f>
        <v>0</v>
      </c>
      <c r="AO37" s="291">
        <f>IF(AND($F37&lt;=AO$2, OR($G37="",$G37&gt;=AO$2)),
  $H37 * (1 + Assumptions!$C$7) ^ INT(((YEAR(AO$2)-YEAR($F37))*12 + MONTH(AO$2)-MONTH($F37)) / 12),
  0)</f>
        <v>0</v>
      </c>
      <c r="AP37" s="291">
        <f>IF(AND($F37&lt;=AP$2, OR($G37="",$G37&gt;=AP$2)),
  $H37 * (1 + Assumptions!$C$7) ^ INT(((YEAR(AP$2)-YEAR($F37))*12 + MONTH(AP$2)-MONTH($F37)) / 12),
  0)</f>
        <v>0</v>
      </c>
      <c r="AQ37" s="291">
        <f>IF(AND($F37&lt;=AQ$2, OR($G37="",$G37&gt;=AQ$2)),
  $H37 * (1 + Assumptions!$C$7) ^ INT(((YEAR(AQ$2)-YEAR($F37))*12 + MONTH(AQ$2)-MONTH($F37)) / 12),
  0)</f>
        <v>0</v>
      </c>
      <c r="AR37" s="291">
        <f>IF(AND($F37&lt;=AR$2, OR($G37="",$G37&gt;=AR$2)),
  $H37 * (1 + Assumptions!$C$7) ^ INT(((YEAR(AR$2)-YEAR($F37))*12 + MONTH(AR$2)-MONTH($F37)) / 12),
  0)</f>
        <v>0</v>
      </c>
      <c r="AS37" s="291">
        <f>IF(AND($F37&lt;=AS$2, OR($G37="",$G37&gt;=AS$2)),
  $H37 * (1 + Assumptions!$C$7) ^ INT(((YEAR(AS$2)-YEAR($F37))*12 + MONTH(AS$2)-MONTH($F37)) / 12),
  0)</f>
        <v>0</v>
      </c>
      <c r="AT37" s="291">
        <f>IF(AND($F37&lt;=AT$2, OR($G37="",$G37&gt;=AT$2)),
  $H37 * (1 + Assumptions!$C$7) ^ INT(((YEAR(AT$2)-YEAR($F37))*12 + MONTH(AT$2)-MONTH($F37)) / 12),
  0)</f>
        <v>0</v>
      </c>
      <c r="AU37" s="291">
        <f>IF(AND($F37&lt;=AU$2, OR($G37="",$G37&gt;=AU$2)),
  $H37 * (1 + Assumptions!$C$7) ^ INT(((YEAR(AU$2)-YEAR($F37))*12 + MONTH(AU$2)-MONTH($F37)) / 12),
  0)</f>
        <v>0</v>
      </c>
      <c r="AV37" s="291">
        <f>IF(AND($F37&lt;=AV$2, OR($G37="",$G37&gt;=AV$2)),
  $H37 * (1 + Assumptions!$C$7) ^ INT(((YEAR(AV$2)-YEAR($F37))*12 + MONTH(AV$2)-MONTH($F37)) / 12),
  0)</f>
        <v>0</v>
      </c>
      <c r="AW37" s="291">
        <f>IF(AND($F37&lt;=AW$2, OR($G37="",$G37&gt;=AW$2)),
  $H37 * (1 + Assumptions!$C$7) ^ INT(((YEAR(AW$2)-YEAR($F37))*12 + MONTH(AW$2)-MONTH($F37)) / 12),
  0)</f>
        <v>0</v>
      </c>
      <c r="AX37" s="291">
        <f>IF(AND($F37&lt;=AX$2, OR($G37="",$G37&gt;=AX$2)),
  $H37 * (1 + Assumptions!$C$7) ^ INT(((YEAR(AX$2)-YEAR($F37))*12 + MONTH(AX$2)-MONTH($F37)) / 12),
  0)</f>
        <v>0</v>
      </c>
      <c r="AY37" s="291">
        <f>IF(AND($F37&lt;=AY$2, OR($G37="",$G37&gt;=AY$2)),
  $H37 * (1 + Assumptions!$C$7) ^ INT(((YEAR(AY$2)-YEAR($F37))*12 + MONTH(AY$2)-MONTH($F37)) / 12),
  0)</f>
        <v>0</v>
      </c>
      <c r="AZ37" s="291">
        <f>IF(AND($F37&lt;=AZ$2, OR($G37="",$G37&gt;=AZ$2)),
  $H37 * (1 + Assumptions!$C$7) ^ INT(((YEAR(AZ$2)-YEAR($F37))*12 + MONTH(AZ$2)-MONTH($F37)) / 12),
  0)</f>
        <v>0</v>
      </c>
      <c r="BA37" s="291">
        <f>IF(AND($F37&lt;=BA$2, OR($G37="",$G37&gt;=BA$2)),
  $H37 * (1 + Assumptions!$C$7) ^ INT(((YEAR(BA$2)-YEAR($F37))*12 + MONTH(BA$2)-MONTH($F37)) / 12),
  0)</f>
        <v>0</v>
      </c>
      <c r="BB37" s="291">
        <f>IF(AND($F37&lt;=BB$2, OR($G37="",$G37&gt;=BB$2)),
  $H37 * (1 + Assumptions!$C$7) ^ INT(((YEAR(BB$2)-YEAR($F37))*12 + MONTH(BB$2)-MONTH($F37)) / 12),
  0)</f>
        <v>6500</v>
      </c>
      <c r="BC37" s="291">
        <f>IF(AND($F37&lt;=BC$2, OR($G37="",$G37&gt;=BC$2)),
  $H37 * (1 + Assumptions!$C$7) ^ INT(((YEAR(BC$2)-YEAR($F37))*12 + MONTH(BC$2)-MONTH($F37)) / 12),
  0)</f>
        <v>6500</v>
      </c>
      <c r="BD37" s="291">
        <f>IF(AND($F37&lt;=BD$2, OR($G37="",$G37&gt;=BD$2)),
  $H37 * (1 + Assumptions!$C$7) ^ INT(((YEAR(BD$2)-YEAR($F37))*12 + MONTH(BD$2)-MONTH($F37)) / 12),
  0)</f>
        <v>6500</v>
      </c>
      <c r="BE37" s="291">
        <f>IF(AND($F37&lt;=BE$2, OR($G37="",$G37&gt;=BE$2)),
  $H37 * (1 + Assumptions!$C$7) ^ INT(((YEAR(BE$2)-YEAR($F37))*12 + MONTH(BE$2)-MONTH($F37)) / 12),
  0)</f>
        <v>6500</v>
      </c>
      <c r="BF37" s="291">
        <f>IF(AND($F37&lt;=BF$2, OR($G37="",$G37&gt;=BF$2)),
  $H37 * (1 + Assumptions!$C$7) ^ INT(((YEAR(BF$2)-YEAR($F37))*12 + MONTH(BF$2)-MONTH($F37)) / 12),
  0)</f>
        <v>6500</v>
      </c>
      <c r="BG37" s="291">
        <f>IF(AND($F37&lt;=BG$2, OR($G37="",$G37&gt;=BG$2)),
  $H37 * (1 + Assumptions!$C$7) ^ INT(((YEAR(BG$2)-YEAR($F37))*12 + MONTH(BG$2)-MONTH($F37)) / 12),
  0)</f>
        <v>6500</v>
      </c>
      <c r="BH37" s="291">
        <f>IF(AND($F37&lt;=BH$2, OR($G37="",$G37&gt;=BH$2)),
  $H37 * (1 + Assumptions!$C$7) ^ INT(((YEAR(BH$2)-YEAR($F37))*12 + MONTH(BH$2)-MONTH($F37)) / 12),
  0)</f>
        <v>6500</v>
      </c>
      <c r="BI37" s="291">
        <f>IF(AND($F37&lt;=BI$2, OR($G37="",$G37&gt;=BI$2)),
  $H37 * (1 + Assumptions!$C$7) ^ INT(((YEAR(BI$2)-YEAR($F37))*12 + MONTH(BI$2)-MONTH($F37)) / 12),
  0)</f>
        <v>6500</v>
      </c>
      <c r="BJ37" s="291">
        <f>IF(AND($F37&lt;=BJ$2, OR($G37="",$G37&gt;=BJ$2)),
  $H37 * (1 + Assumptions!$C$7) ^ INT(((YEAR(BJ$2)-YEAR($F37))*12 + MONTH(BJ$2)-MONTH($F37)) / 12),
  0)</f>
        <v>6500</v>
      </c>
      <c r="BK37" s="291">
        <f>IF(AND($F37&lt;=BK$2, OR($G37="",$G37&gt;=BK$2)),
  $H37 * (1 + Assumptions!$C$7) ^ INT(((YEAR(BK$2)-YEAR($F37))*12 + MONTH(BK$2)-MONTH($F37)) / 12),
  0)</f>
        <v>6500</v>
      </c>
      <c r="BL37" s="291">
        <f>IF(AND($F37&lt;=BL$2, OR($G37="",$G37&gt;=BL$2)),
  $H37 * (1 + Assumptions!$C$7) ^ INT(((YEAR(BL$2)-YEAR($F37))*12 + MONTH(BL$2)-MONTH($F37)) / 12),
  0)</f>
        <v>6500</v>
      </c>
      <c r="BM37" s="291">
        <f>IF(AND($F37&lt;=BM$2, OR($G37="",$G37&gt;=BM$2)),
  $H37 * (1 + Assumptions!$C$7) ^ INT(((YEAR(BM$2)-YEAR($F37))*12 + MONTH(BM$2)-MONTH($F37)) / 12),
  0)</f>
        <v>6500</v>
      </c>
      <c r="BN37" s="291">
        <f>IF(AND($F37&lt;=BN$2, OR($G37="",$G37&gt;=BN$2)),
  $H37 * (1 + Assumptions!$C$7) ^ INT(((YEAR(BN$2)-YEAR($F37))*12 + MONTH(BN$2)-MONTH($F37)) / 12),
  0)</f>
        <v>7020</v>
      </c>
      <c r="BO37" s="291">
        <f>IF(AND($F37&lt;=BO$2, OR($G37="",$G37&gt;=BO$2)),
  $H37 * (1 + Assumptions!$C$7) ^ INT(((YEAR(BO$2)-YEAR($F37))*12 + MONTH(BO$2)-MONTH($F37)) / 12),
  0)</f>
        <v>7020</v>
      </c>
      <c r="BP37" s="291">
        <f>IF(AND($F37&lt;=BP$2, OR($G37="",$G37&gt;=BP$2)),
  $H37 * (1 + Assumptions!$C$7) ^ INT(((YEAR(BP$2)-YEAR($F37))*12 + MONTH(BP$2)-MONTH($F37)) / 12),
  0)</f>
        <v>7020</v>
      </c>
      <c r="BQ37" s="37"/>
    </row>
    <row r="38" ht="15.75" customHeight="1">
      <c r="A38" s="298">
        <v>33.0</v>
      </c>
      <c r="B38" s="282" t="s">
        <v>335</v>
      </c>
      <c r="C38" s="26" t="s">
        <v>141</v>
      </c>
      <c r="D38" s="303" t="s">
        <v>346</v>
      </c>
      <c r="E38" s="289" t="s">
        <v>337</v>
      </c>
      <c r="F38" s="300">
        <v>47027.0</v>
      </c>
      <c r="G38" s="301"/>
      <c r="H38" s="285">
        <v>8000.0</v>
      </c>
      <c r="I38" s="291">
        <f>IF(AND($F38&lt;=I$2, OR($G38="",$G38&gt;=I$2)),
  $H38 * (1 + Assumptions!$C$7) ^ INT(((YEAR(I$2)-YEAR($F38))*12 + MONTH(I$2)-MONTH($F38)) / 12),
  0)</f>
        <v>0</v>
      </c>
      <c r="J38" s="291">
        <f>IF(AND($F38&lt;=J$2, OR($G38="",$G38&gt;=J$2)),
  $H38 * (1 + Assumptions!$C$7) ^ INT(((YEAR(J$2)-YEAR($F38))*12 + MONTH(J$2)-MONTH($F38)) / 12),
  0)</f>
        <v>0</v>
      </c>
      <c r="K38" s="291">
        <f>IF(AND($F38&lt;=K$2, OR($G38="",$G38&gt;=K$2)),
  $H38 * (1 + Assumptions!$C$7) ^ INT(((YEAR(K$2)-YEAR($F38))*12 + MONTH(K$2)-MONTH($F38)) / 12),
  0)</f>
        <v>0</v>
      </c>
      <c r="L38" s="291">
        <f>IF(AND($F38&lt;=L$2, OR($G38="",$G38&gt;=L$2)),
  $H38 * (1 + Assumptions!$C$7) ^ INT(((YEAR(L$2)-YEAR($F38))*12 + MONTH(L$2)-MONTH($F38)) / 12),
  0)</f>
        <v>0</v>
      </c>
      <c r="M38" s="291">
        <f>IF(AND($F38&lt;=M$2, OR($G38="",$G38&gt;=M$2)),
  $H38 * (1 + Assumptions!$C$7) ^ INT(((YEAR(M$2)-YEAR($F38))*12 + MONTH(M$2)-MONTH($F38)) / 12),
  0)</f>
        <v>0</v>
      </c>
      <c r="N38" s="291">
        <f>IF(AND($F38&lt;=N$2, OR($G38="",$G38&gt;=N$2)),
  $H38 * (1 + Assumptions!$C$7) ^ INT(((YEAR(N$2)-YEAR($F38))*12 + MONTH(N$2)-MONTH($F38)) / 12),
  0)</f>
        <v>0</v>
      </c>
      <c r="O38" s="291">
        <f>IF(AND($F38&lt;=O$2, OR($G38="",$G38&gt;=O$2)),
  $H38 * (1 + Assumptions!$C$7) ^ INT(((YEAR(O$2)-YEAR($F38))*12 + MONTH(O$2)-MONTH($F38)) / 12),
  0)</f>
        <v>0</v>
      </c>
      <c r="P38" s="291">
        <f>IF(AND($F38&lt;=P$2, OR($G38="",$G38&gt;=P$2)),
  $H38 * (1 + Assumptions!$C$7) ^ INT(((YEAR(P$2)-YEAR($F38))*12 + MONTH(P$2)-MONTH($F38)) / 12),
  0)</f>
        <v>0</v>
      </c>
      <c r="Q38" s="291">
        <f>IF(AND($F38&lt;=Q$2, OR($G38="",$G38&gt;=Q$2)),
  $H38 * (1 + Assumptions!$C$7) ^ INT(((YEAR(Q$2)-YEAR($F38))*12 + MONTH(Q$2)-MONTH($F38)) / 12),
  0)</f>
        <v>0</v>
      </c>
      <c r="R38" s="291">
        <f>IF(AND($F38&lt;=R$2, OR($G38="",$G38&gt;=R$2)),
  $H38 * (1 + Assumptions!$C$7) ^ INT(((YEAR(R$2)-YEAR($F38))*12 + MONTH(R$2)-MONTH($F38)) / 12),
  0)</f>
        <v>0</v>
      </c>
      <c r="S38" s="291">
        <f>IF(AND($F38&lt;=S$2, OR($G38="",$G38&gt;=S$2)),
  $H38 * (1 + Assumptions!$C$7) ^ INT(((YEAR(S$2)-YEAR($F38))*12 + MONTH(S$2)-MONTH($F38)) / 12),
  0)</f>
        <v>0</v>
      </c>
      <c r="T38" s="291">
        <f>IF(AND($F38&lt;=T$2, OR($G38="",$G38&gt;=T$2)),
  $H38 * (1 + Assumptions!$C$7) ^ INT(((YEAR(T$2)-YEAR($F38))*12 + MONTH(T$2)-MONTH($F38)) / 12),
  0)</f>
        <v>0</v>
      </c>
      <c r="U38" s="291">
        <f>IF(AND($F38&lt;=U$2, OR($G38="",$G38&gt;=U$2)),
  $H38 * (1 + Assumptions!$C$7) ^ INT(((YEAR(U$2)-YEAR($F38))*12 + MONTH(U$2)-MONTH($F38)) / 12),
  0)</f>
        <v>0</v>
      </c>
      <c r="V38" s="291">
        <f>IF(AND($F38&lt;=V$2, OR($G38="",$G38&gt;=V$2)),
  $H38 * (1 + Assumptions!$C$7) ^ INT(((YEAR(V$2)-YEAR($F38))*12 + MONTH(V$2)-MONTH($F38)) / 12),
  0)</f>
        <v>0</v>
      </c>
      <c r="W38" s="291">
        <f>IF(AND($F38&lt;=W$2, OR($G38="",$G38&gt;=W$2)),
  $H38 * (1 + Assumptions!$C$7) ^ INT(((YEAR(W$2)-YEAR($F38))*12 + MONTH(W$2)-MONTH($F38)) / 12),
  0)</f>
        <v>0</v>
      </c>
      <c r="X38" s="291">
        <f>IF(AND($F38&lt;=X$2, OR($G38="",$G38&gt;=X$2)),
  $H38 * (1 + Assumptions!$C$7) ^ INT(((YEAR(X$2)-YEAR($F38))*12 + MONTH(X$2)-MONTH($F38)) / 12),
  0)</f>
        <v>0</v>
      </c>
      <c r="Y38" s="291">
        <f>IF(AND($F38&lt;=Y$2, OR($G38="",$G38&gt;=Y$2)),
  $H38 * (1 + Assumptions!$C$7) ^ INT(((YEAR(Y$2)-YEAR($F38))*12 + MONTH(Y$2)-MONTH($F38)) / 12),
  0)</f>
        <v>0</v>
      </c>
      <c r="Z38" s="291">
        <f>IF(AND($F38&lt;=Z$2, OR($G38="",$G38&gt;=Z$2)),
  $H38 * (1 + Assumptions!$C$7) ^ INT(((YEAR(Z$2)-YEAR($F38))*12 + MONTH(Z$2)-MONTH($F38)) / 12),
  0)</f>
        <v>0</v>
      </c>
      <c r="AA38" s="291">
        <f>IF(AND($F38&lt;=AA$2, OR($G38="",$G38&gt;=AA$2)),
  $H38 * (1 + Assumptions!$C$7) ^ INT(((YEAR(AA$2)-YEAR($F38))*12 + MONTH(AA$2)-MONTH($F38)) / 12),
  0)</f>
        <v>0</v>
      </c>
      <c r="AB38" s="291">
        <f>IF(AND($F38&lt;=AB$2, OR($G38="",$G38&gt;=AB$2)),
  $H38 * (1 + Assumptions!$C$7) ^ INT(((YEAR(AB$2)-YEAR($F38))*12 + MONTH(AB$2)-MONTH($F38)) / 12),
  0)</f>
        <v>0</v>
      </c>
      <c r="AC38" s="291">
        <f>IF(AND($F38&lt;=AC$2, OR($G38="",$G38&gt;=AC$2)),
  $H38 * (1 + Assumptions!$C$7) ^ INT(((YEAR(AC$2)-YEAR($F38))*12 + MONTH(AC$2)-MONTH($F38)) / 12),
  0)</f>
        <v>0</v>
      </c>
      <c r="AD38" s="291">
        <f>IF(AND($F38&lt;=AD$2, OR($G38="",$G38&gt;=AD$2)),
  $H38 * (1 + Assumptions!$C$7) ^ INT(((YEAR(AD$2)-YEAR($F38))*12 + MONTH(AD$2)-MONTH($F38)) / 12),
  0)</f>
        <v>0</v>
      </c>
      <c r="AE38" s="291">
        <f>IF(AND($F38&lt;=AE$2, OR($G38="",$G38&gt;=AE$2)),
  $H38 * (1 + Assumptions!$C$7) ^ INT(((YEAR(AE$2)-YEAR($F38))*12 + MONTH(AE$2)-MONTH($F38)) / 12),
  0)</f>
        <v>0</v>
      </c>
      <c r="AF38" s="291">
        <f>IF(AND($F38&lt;=AF$2, OR($G38="",$G38&gt;=AF$2)),
  $H38 * (1 + Assumptions!$C$7) ^ INT(((YEAR(AF$2)-YEAR($F38))*12 + MONTH(AF$2)-MONTH($F38)) / 12),
  0)</f>
        <v>0</v>
      </c>
      <c r="AG38" s="291">
        <f>IF(AND($F38&lt;=AG$2, OR($G38="",$G38&gt;=AG$2)),
  $H38 * (1 + Assumptions!$C$7) ^ INT(((YEAR(AG$2)-YEAR($F38))*12 + MONTH(AG$2)-MONTH($F38)) / 12),
  0)</f>
        <v>0</v>
      </c>
      <c r="AH38" s="291">
        <f>IF(AND($F38&lt;=AH$2, OR($G38="",$G38&gt;=AH$2)),
  $H38 * (1 + Assumptions!$C$7) ^ INT(((YEAR(AH$2)-YEAR($F38))*12 + MONTH(AH$2)-MONTH($F38)) / 12),
  0)</f>
        <v>0</v>
      </c>
      <c r="AI38" s="291">
        <f>IF(AND($F38&lt;=AI$2, OR($G38="",$G38&gt;=AI$2)),
  $H38 * (1 + Assumptions!$C$7) ^ INT(((YEAR(AI$2)-YEAR($F38))*12 + MONTH(AI$2)-MONTH($F38)) / 12),
  0)</f>
        <v>0</v>
      </c>
      <c r="AJ38" s="291">
        <f>IF(AND($F38&lt;=AJ$2, OR($G38="",$G38&gt;=AJ$2)),
  $H38 * (1 + Assumptions!$C$7) ^ INT(((YEAR(AJ$2)-YEAR($F38))*12 + MONTH(AJ$2)-MONTH($F38)) / 12),
  0)</f>
        <v>0</v>
      </c>
      <c r="AK38" s="291">
        <f>IF(AND($F38&lt;=AK$2, OR($G38="",$G38&gt;=AK$2)),
  $H38 * (1 + Assumptions!$C$7) ^ INT(((YEAR(AK$2)-YEAR($F38))*12 + MONTH(AK$2)-MONTH($F38)) / 12),
  0)</f>
        <v>0</v>
      </c>
      <c r="AL38" s="291">
        <f>IF(AND($F38&lt;=AL$2, OR($G38="",$G38&gt;=AL$2)),
  $H38 * (1 + Assumptions!$C$7) ^ INT(((YEAR(AL$2)-YEAR($F38))*12 + MONTH(AL$2)-MONTH($F38)) / 12),
  0)</f>
        <v>0</v>
      </c>
      <c r="AM38" s="291">
        <f>IF(AND($F38&lt;=AM$2, OR($G38="",$G38&gt;=AM$2)),
  $H38 * (1 + Assumptions!$C$7) ^ INT(((YEAR(AM$2)-YEAR($F38))*12 + MONTH(AM$2)-MONTH($F38)) / 12),
  0)</f>
        <v>0</v>
      </c>
      <c r="AN38" s="291">
        <f>IF(AND($F38&lt;=AN$2, OR($G38="",$G38&gt;=AN$2)),
  $H38 * (1 + Assumptions!$C$7) ^ INT(((YEAR(AN$2)-YEAR($F38))*12 + MONTH(AN$2)-MONTH($F38)) / 12),
  0)</f>
        <v>0</v>
      </c>
      <c r="AO38" s="291">
        <f>IF(AND($F38&lt;=AO$2, OR($G38="",$G38&gt;=AO$2)),
  $H38 * (1 + Assumptions!$C$7) ^ INT(((YEAR(AO$2)-YEAR($F38))*12 + MONTH(AO$2)-MONTH($F38)) / 12),
  0)</f>
        <v>0</v>
      </c>
      <c r="AP38" s="291">
        <f>IF(AND($F38&lt;=AP$2, OR($G38="",$G38&gt;=AP$2)),
  $H38 * (1 + Assumptions!$C$7) ^ INT(((YEAR(AP$2)-YEAR($F38))*12 + MONTH(AP$2)-MONTH($F38)) / 12),
  0)</f>
        <v>0</v>
      </c>
      <c r="AQ38" s="291">
        <f>IF(AND($F38&lt;=AQ$2, OR($G38="",$G38&gt;=AQ$2)),
  $H38 * (1 + Assumptions!$C$7) ^ INT(((YEAR(AQ$2)-YEAR($F38))*12 + MONTH(AQ$2)-MONTH($F38)) / 12),
  0)</f>
        <v>0</v>
      </c>
      <c r="AR38" s="291">
        <f>IF(AND($F38&lt;=AR$2, OR($G38="",$G38&gt;=AR$2)),
  $H38 * (1 + Assumptions!$C$7) ^ INT(((YEAR(AR$2)-YEAR($F38))*12 + MONTH(AR$2)-MONTH($F38)) / 12),
  0)</f>
        <v>0</v>
      </c>
      <c r="AS38" s="291">
        <f>IF(AND($F38&lt;=AS$2, OR($G38="",$G38&gt;=AS$2)),
  $H38 * (1 + Assumptions!$C$7) ^ INT(((YEAR(AS$2)-YEAR($F38))*12 + MONTH(AS$2)-MONTH($F38)) / 12),
  0)</f>
        <v>0</v>
      </c>
      <c r="AT38" s="291">
        <f>IF(AND($F38&lt;=AT$2, OR($G38="",$G38&gt;=AT$2)),
  $H38 * (1 + Assumptions!$C$7) ^ INT(((YEAR(AT$2)-YEAR($F38))*12 + MONTH(AT$2)-MONTH($F38)) / 12),
  0)</f>
        <v>0</v>
      </c>
      <c r="AU38" s="291">
        <f>IF(AND($F38&lt;=AU$2, OR($G38="",$G38&gt;=AU$2)),
  $H38 * (1 + Assumptions!$C$7) ^ INT(((YEAR(AU$2)-YEAR($F38))*12 + MONTH(AU$2)-MONTH($F38)) / 12),
  0)</f>
        <v>0</v>
      </c>
      <c r="AV38" s="291">
        <f>IF(AND($F38&lt;=AV$2, OR($G38="",$G38&gt;=AV$2)),
  $H38 * (1 + Assumptions!$C$7) ^ INT(((YEAR(AV$2)-YEAR($F38))*12 + MONTH(AV$2)-MONTH($F38)) / 12),
  0)</f>
        <v>0</v>
      </c>
      <c r="AW38" s="291">
        <f>IF(AND($F38&lt;=AW$2, OR($G38="",$G38&gt;=AW$2)),
  $H38 * (1 + Assumptions!$C$7) ^ INT(((YEAR(AW$2)-YEAR($F38))*12 + MONTH(AW$2)-MONTH($F38)) / 12),
  0)</f>
        <v>0</v>
      </c>
      <c r="AX38" s="291">
        <f>IF(AND($F38&lt;=AX$2, OR($G38="",$G38&gt;=AX$2)),
  $H38 * (1 + Assumptions!$C$7) ^ INT(((YEAR(AX$2)-YEAR($F38))*12 + MONTH(AX$2)-MONTH($F38)) / 12),
  0)</f>
        <v>0</v>
      </c>
      <c r="AY38" s="291">
        <f>IF(AND($F38&lt;=AY$2, OR($G38="",$G38&gt;=AY$2)),
  $H38 * (1 + Assumptions!$C$7) ^ INT(((YEAR(AY$2)-YEAR($F38))*12 + MONTH(AY$2)-MONTH($F38)) / 12),
  0)</f>
        <v>0</v>
      </c>
      <c r="AZ38" s="291">
        <f>IF(AND($F38&lt;=AZ$2, OR($G38="",$G38&gt;=AZ$2)),
  $H38 * (1 + Assumptions!$C$7) ^ INT(((YEAR(AZ$2)-YEAR($F38))*12 + MONTH(AZ$2)-MONTH($F38)) / 12),
  0)</f>
        <v>0</v>
      </c>
      <c r="BA38" s="291">
        <f>IF(AND($F38&lt;=BA$2, OR($G38="",$G38&gt;=BA$2)),
  $H38 * (1 + Assumptions!$C$7) ^ INT(((YEAR(BA$2)-YEAR($F38))*12 + MONTH(BA$2)-MONTH($F38)) / 12),
  0)</f>
        <v>0</v>
      </c>
      <c r="BB38" s="291">
        <f>IF(AND($F38&lt;=BB$2, OR($G38="",$G38&gt;=BB$2)),
  $H38 * (1 + Assumptions!$C$7) ^ INT(((YEAR(BB$2)-YEAR($F38))*12 + MONTH(BB$2)-MONTH($F38)) / 12),
  0)</f>
        <v>8000</v>
      </c>
      <c r="BC38" s="291">
        <f>IF(AND($F38&lt;=BC$2, OR($G38="",$G38&gt;=BC$2)),
  $H38 * (1 + Assumptions!$C$7) ^ INT(((YEAR(BC$2)-YEAR($F38))*12 + MONTH(BC$2)-MONTH($F38)) / 12),
  0)</f>
        <v>8000</v>
      </c>
      <c r="BD38" s="291">
        <f>IF(AND($F38&lt;=BD$2, OR($G38="",$G38&gt;=BD$2)),
  $H38 * (1 + Assumptions!$C$7) ^ INT(((YEAR(BD$2)-YEAR($F38))*12 + MONTH(BD$2)-MONTH($F38)) / 12),
  0)</f>
        <v>8000</v>
      </c>
      <c r="BE38" s="291">
        <f>IF(AND($F38&lt;=BE$2, OR($G38="",$G38&gt;=BE$2)),
  $H38 * (1 + Assumptions!$C$7) ^ INT(((YEAR(BE$2)-YEAR($F38))*12 + MONTH(BE$2)-MONTH($F38)) / 12),
  0)</f>
        <v>8000</v>
      </c>
      <c r="BF38" s="291">
        <f>IF(AND($F38&lt;=BF$2, OR($G38="",$G38&gt;=BF$2)),
  $H38 * (1 + Assumptions!$C$7) ^ INT(((YEAR(BF$2)-YEAR($F38))*12 + MONTH(BF$2)-MONTH($F38)) / 12),
  0)</f>
        <v>8000</v>
      </c>
      <c r="BG38" s="291">
        <f>IF(AND($F38&lt;=BG$2, OR($G38="",$G38&gt;=BG$2)),
  $H38 * (1 + Assumptions!$C$7) ^ INT(((YEAR(BG$2)-YEAR($F38))*12 + MONTH(BG$2)-MONTH($F38)) / 12),
  0)</f>
        <v>8000</v>
      </c>
      <c r="BH38" s="291">
        <f>IF(AND($F38&lt;=BH$2, OR($G38="",$G38&gt;=BH$2)),
  $H38 * (1 + Assumptions!$C$7) ^ INT(((YEAR(BH$2)-YEAR($F38))*12 + MONTH(BH$2)-MONTH($F38)) / 12),
  0)</f>
        <v>8000</v>
      </c>
      <c r="BI38" s="291">
        <f>IF(AND($F38&lt;=BI$2, OR($G38="",$G38&gt;=BI$2)),
  $H38 * (1 + Assumptions!$C$7) ^ INT(((YEAR(BI$2)-YEAR($F38))*12 + MONTH(BI$2)-MONTH($F38)) / 12),
  0)</f>
        <v>8000</v>
      </c>
      <c r="BJ38" s="291">
        <f>IF(AND($F38&lt;=BJ$2, OR($G38="",$G38&gt;=BJ$2)),
  $H38 * (1 + Assumptions!$C$7) ^ INT(((YEAR(BJ$2)-YEAR($F38))*12 + MONTH(BJ$2)-MONTH($F38)) / 12),
  0)</f>
        <v>8000</v>
      </c>
      <c r="BK38" s="291">
        <f>IF(AND($F38&lt;=BK$2, OR($G38="",$G38&gt;=BK$2)),
  $H38 * (1 + Assumptions!$C$7) ^ INT(((YEAR(BK$2)-YEAR($F38))*12 + MONTH(BK$2)-MONTH($F38)) / 12),
  0)</f>
        <v>8000</v>
      </c>
      <c r="BL38" s="291">
        <f>IF(AND($F38&lt;=BL$2, OR($G38="",$G38&gt;=BL$2)),
  $H38 * (1 + Assumptions!$C$7) ^ INT(((YEAR(BL$2)-YEAR($F38))*12 + MONTH(BL$2)-MONTH($F38)) / 12),
  0)</f>
        <v>8000</v>
      </c>
      <c r="BM38" s="291">
        <f>IF(AND($F38&lt;=BM$2, OR($G38="",$G38&gt;=BM$2)),
  $H38 * (1 + Assumptions!$C$7) ^ INT(((YEAR(BM$2)-YEAR($F38))*12 + MONTH(BM$2)-MONTH($F38)) / 12),
  0)</f>
        <v>8000</v>
      </c>
      <c r="BN38" s="291">
        <f>IF(AND($F38&lt;=BN$2, OR($G38="",$G38&gt;=BN$2)),
  $H38 * (1 + Assumptions!$C$7) ^ INT(((YEAR(BN$2)-YEAR($F38))*12 + MONTH(BN$2)-MONTH($F38)) / 12),
  0)</f>
        <v>8640</v>
      </c>
      <c r="BO38" s="291">
        <f>IF(AND($F38&lt;=BO$2, OR($G38="",$G38&gt;=BO$2)),
  $H38 * (1 + Assumptions!$C$7) ^ INT(((YEAR(BO$2)-YEAR($F38))*12 + MONTH(BO$2)-MONTH($F38)) / 12),
  0)</f>
        <v>8640</v>
      </c>
      <c r="BP38" s="291">
        <f>IF(AND($F38&lt;=BP$2, OR($G38="",$G38&gt;=BP$2)),
  $H38 * (1 + Assumptions!$C$7) ^ INT(((YEAR(BP$2)-YEAR($F38))*12 + MONTH(BP$2)-MONTH($F38)) / 12),
  0)</f>
        <v>8640</v>
      </c>
      <c r="BQ38" s="30"/>
    </row>
    <row r="39" ht="15.75" customHeight="1">
      <c r="A39" s="298">
        <v>34.0</v>
      </c>
      <c r="B39" s="282" t="s">
        <v>335</v>
      </c>
      <c r="C39" s="26" t="s">
        <v>141</v>
      </c>
      <c r="D39" s="303" t="s">
        <v>341</v>
      </c>
      <c r="E39" s="289" t="s">
        <v>337</v>
      </c>
      <c r="F39" s="300">
        <v>47027.0</v>
      </c>
      <c r="G39" s="301"/>
      <c r="H39" s="285">
        <v>6500.0</v>
      </c>
      <c r="I39" s="291">
        <f>IF(AND($F39&lt;=I$2, OR($G39="",$G39&gt;=I$2)),
  $H39 * (1 + Assumptions!$C$7) ^ INT(((YEAR(I$2)-YEAR($F39))*12 + MONTH(I$2)-MONTH($F39)) / 12),
  0)</f>
        <v>0</v>
      </c>
      <c r="J39" s="291">
        <f>IF(AND($F39&lt;=J$2, OR($G39="",$G39&gt;=J$2)),
  $H39 * (1 + Assumptions!$C$7) ^ INT(((YEAR(J$2)-YEAR($F39))*12 + MONTH(J$2)-MONTH($F39)) / 12),
  0)</f>
        <v>0</v>
      </c>
      <c r="K39" s="291">
        <f>IF(AND($F39&lt;=K$2, OR($G39="",$G39&gt;=K$2)),
  $H39 * (1 + Assumptions!$C$7) ^ INT(((YEAR(K$2)-YEAR($F39))*12 + MONTH(K$2)-MONTH($F39)) / 12),
  0)</f>
        <v>0</v>
      </c>
      <c r="L39" s="291">
        <f>IF(AND($F39&lt;=L$2, OR($G39="",$G39&gt;=L$2)),
  $H39 * (1 + Assumptions!$C$7) ^ INT(((YEAR(L$2)-YEAR($F39))*12 + MONTH(L$2)-MONTH($F39)) / 12),
  0)</f>
        <v>0</v>
      </c>
      <c r="M39" s="291">
        <f>IF(AND($F39&lt;=M$2, OR($G39="",$G39&gt;=M$2)),
  $H39 * (1 + Assumptions!$C$7) ^ INT(((YEAR(M$2)-YEAR($F39))*12 + MONTH(M$2)-MONTH($F39)) / 12),
  0)</f>
        <v>0</v>
      </c>
      <c r="N39" s="291">
        <f>IF(AND($F39&lt;=N$2, OR($G39="",$G39&gt;=N$2)),
  $H39 * (1 + Assumptions!$C$7) ^ INT(((YEAR(N$2)-YEAR($F39))*12 + MONTH(N$2)-MONTH($F39)) / 12),
  0)</f>
        <v>0</v>
      </c>
      <c r="O39" s="291">
        <f>IF(AND($F39&lt;=O$2, OR($G39="",$G39&gt;=O$2)),
  $H39 * (1 + Assumptions!$C$7) ^ INT(((YEAR(O$2)-YEAR($F39))*12 + MONTH(O$2)-MONTH($F39)) / 12),
  0)</f>
        <v>0</v>
      </c>
      <c r="P39" s="291">
        <f>IF(AND($F39&lt;=P$2, OR($G39="",$G39&gt;=P$2)),
  $H39 * (1 + Assumptions!$C$7) ^ INT(((YEAR(P$2)-YEAR($F39))*12 + MONTH(P$2)-MONTH($F39)) / 12),
  0)</f>
        <v>0</v>
      </c>
      <c r="Q39" s="291">
        <f>IF(AND($F39&lt;=Q$2, OR($G39="",$G39&gt;=Q$2)),
  $H39 * (1 + Assumptions!$C$7) ^ INT(((YEAR(Q$2)-YEAR($F39))*12 + MONTH(Q$2)-MONTH($F39)) / 12),
  0)</f>
        <v>0</v>
      </c>
      <c r="R39" s="291">
        <f>IF(AND($F39&lt;=R$2, OR($G39="",$G39&gt;=R$2)),
  $H39 * (1 + Assumptions!$C$7) ^ INT(((YEAR(R$2)-YEAR($F39))*12 + MONTH(R$2)-MONTH($F39)) / 12),
  0)</f>
        <v>0</v>
      </c>
      <c r="S39" s="291">
        <f>IF(AND($F39&lt;=S$2, OR($G39="",$G39&gt;=S$2)),
  $H39 * (1 + Assumptions!$C$7) ^ INT(((YEAR(S$2)-YEAR($F39))*12 + MONTH(S$2)-MONTH($F39)) / 12),
  0)</f>
        <v>0</v>
      </c>
      <c r="T39" s="291">
        <f>IF(AND($F39&lt;=T$2, OR($G39="",$G39&gt;=T$2)),
  $H39 * (1 + Assumptions!$C$7) ^ INT(((YEAR(T$2)-YEAR($F39))*12 + MONTH(T$2)-MONTH($F39)) / 12),
  0)</f>
        <v>0</v>
      </c>
      <c r="U39" s="291">
        <f>IF(AND($F39&lt;=U$2, OR($G39="",$G39&gt;=U$2)),
  $H39 * (1 + Assumptions!$C$7) ^ INT(((YEAR(U$2)-YEAR($F39))*12 + MONTH(U$2)-MONTH($F39)) / 12),
  0)</f>
        <v>0</v>
      </c>
      <c r="V39" s="291">
        <f>IF(AND($F39&lt;=V$2, OR($G39="",$G39&gt;=V$2)),
  $H39 * (1 + Assumptions!$C$7) ^ INT(((YEAR(V$2)-YEAR($F39))*12 + MONTH(V$2)-MONTH($F39)) / 12),
  0)</f>
        <v>0</v>
      </c>
      <c r="W39" s="291">
        <f>IF(AND($F39&lt;=W$2, OR($G39="",$G39&gt;=W$2)),
  $H39 * (1 + Assumptions!$C$7) ^ INT(((YEAR(W$2)-YEAR($F39))*12 + MONTH(W$2)-MONTH($F39)) / 12),
  0)</f>
        <v>0</v>
      </c>
      <c r="X39" s="291">
        <f>IF(AND($F39&lt;=X$2, OR($G39="",$G39&gt;=X$2)),
  $H39 * (1 + Assumptions!$C$7) ^ INT(((YEAR(X$2)-YEAR($F39))*12 + MONTH(X$2)-MONTH($F39)) / 12),
  0)</f>
        <v>0</v>
      </c>
      <c r="Y39" s="291">
        <f>IF(AND($F39&lt;=Y$2, OR($G39="",$G39&gt;=Y$2)),
  $H39 * (1 + Assumptions!$C$7) ^ INT(((YEAR(Y$2)-YEAR($F39))*12 + MONTH(Y$2)-MONTH($F39)) / 12),
  0)</f>
        <v>0</v>
      </c>
      <c r="Z39" s="291">
        <f>IF(AND($F39&lt;=Z$2, OR($G39="",$G39&gt;=Z$2)),
  $H39 * (1 + Assumptions!$C$7) ^ INT(((YEAR(Z$2)-YEAR($F39))*12 + MONTH(Z$2)-MONTH($F39)) / 12),
  0)</f>
        <v>0</v>
      </c>
      <c r="AA39" s="291">
        <f>IF(AND($F39&lt;=AA$2, OR($G39="",$G39&gt;=AA$2)),
  $H39 * (1 + Assumptions!$C$7) ^ INT(((YEAR(AA$2)-YEAR($F39))*12 + MONTH(AA$2)-MONTH($F39)) / 12),
  0)</f>
        <v>0</v>
      </c>
      <c r="AB39" s="291">
        <f>IF(AND($F39&lt;=AB$2, OR($G39="",$G39&gt;=AB$2)),
  $H39 * (1 + Assumptions!$C$7) ^ INT(((YEAR(AB$2)-YEAR($F39))*12 + MONTH(AB$2)-MONTH($F39)) / 12),
  0)</f>
        <v>0</v>
      </c>
      <c r="AC39" s="291">
        <f>IF(AND($F39&lt;=AC$2, OR($G39="",$G39&gt;=AC$2)),
  $H39 * (1 + Assumptions!$C$7) ^ INT(((YEAR(AC$2)-YEAR($F39))*12 + MONTH(AC$2)-MONTH($F39)) / 12),
  0)</f>
        <v>0</v>
      </c>
      <c r="AD39" s="291">
        <f>IF(AND($F39&lt;=AD$2, OR($G39="",$G39&gt;=AD$2)),
  $H39 * (1 + Assumptions!$C$7) ^ INT(((YEAR(AD$2)-YEAR($F39))*12 + MONTH(AD$2)-MONTH($F39)) / 12),
  0)</f>
        <v>0</v>
      </c>
      <c r="AE39" s="291">
        <f>IF(AND($F39&lt;=AE$2, OR($G39="",$G39&gt;=AE$2)),
  $H39 * (1 + Assumptions!$C$7) ^ INT(((YEAR(AE$2)-YEAR($F39))*12 + MONTH(AE$2)-MONTH($F39)) / 12),
  0)</f>
        <v>0</v>
      </c>
      <c r="AF39" s="291">
        <f>IF(AND($F39&lt;=AF$2, OR($G39="",$G39&gt;=AF$2)),
  $H39 * (1 + Assumptions!$C$7) ^ INT(((YEAR(AF$2)-YEAR($F39))*12 + MONTH(AF$2)-MONTH($F39)) / 12),
  0)</f>
        <v>0</v>
      </c>
      <c r="AG39" s="291">
        <f>IF(AND($F39&lt;=AG$2, OR($G39="",$G39&gt;=AG$2)),
  $H39 * (1 + Assumptions!$C$7) ^ INT(((YEAR(AG$2)-YEAR($F39))*12 + MONTH(AG$2)-MONTH($F39)) / 12),
  0)</f>
        <v>0</v>
      </c>
      <c r="AH39" s="291">
        <f>IF(AND($F39&lt;=AH$2, OR($G39="",$G39&gt;=AH$2)),
  $H39 * (1 + Assumptions!$C$7) ^ INT(((YEAR(AH$2)-YEAR($F39))*12 + MONTH(AH$2)-MONTH($F39)) / 12),
  0)</f>
        <v>0</v>
      </c>
      <c r="AI39" s="291">
        <f>IF(AND($F39&lt;=AI$2, OR($G39="",$G39&gt;=AI$2)),
  $H39 * (1 + Assumptions!$C$7) ^ INT(((YEAR(AI$2)-YEAR($F39))*12 + MONTH(AI$2)-MONTH($F39)) / 12),
  0)</f>
        <v>0</v>
      </c>
      <c r="AJ39" s="291">
        <f>IF(AND($F39&lt;=AJ$2, OR($G39="",$G39&gt;=AJ$2)),
  $H39 * (1 + Assumptions!$C$7) ^ INT(((YEAR(AJ$2)-YEAR($F39))*12 + MONTH(AJ$2)-MONTH($F39)) / 12),
  0)</f>
        <v>0</v>
      </c>
      <c r="AK39" s="291">
        <f>IF(AND($F39&lt;=AK$2, OR($G39="",$G39&gt;=AK$2)),
  $H39 * (1 + Assumptions!$C$7) ^ INT(((YEAR(AK$2)-YEAR($F39))*12 + MONTH(AK$2)-MONTH($F39)) / 12),
  0)</f>
        <v>0</v>
      </c>
      <c r="AL39" s="291">
        <f>IF(AND($F39&lt;=AL$2, OR($G39="",$G39&gt;=AL$2)),
  $H39 * (1 + Assumptions!$C$7) ^ INT(((YEAR(AL$2)-YEAR($F39))*12 + MONTH(AL$2)-MONTH($F39)) / 12),
  0)</f>
        <v>0</v>
      </c>
      <c r="AM39" s="291">
        <f>IF(AND($F39&lt;=AM$2, OR($G39="",$G39&gt;=AM$2)),
  $H39 * (1 + Assumptions!$C$7) ^ INT(((YEAR(AM$2)-YEAR($F39))*12 + MONTH(AM$2)-MONTH($F39)) / 12),
  0)</f>
        <v>0</v>
      </c>
      <c r="AN39" s="291">
        <f>IF(AND($F39&lt;=AN$2, OR($G39="",$G39&gt;=AN$2)),
  $H39 * (1 + Assumptions!$C$7) ^ INT(((YEAR(AN$2)-YEAR($F39))*12 + MONTH(AN$2)-MONTH($F39)) / 12),
  0)</f>
        <v>0</v>
      </c>
      <c r="AO39" s="291">
        <f>IF(AND($F39&lt;=AO$2, OR($G39="",$G39&gt;=AO$2)),
  $H39 * (1 + Assumptions!$C$7) ^ INT(((YEAR(AO$2)-YEAR($F39))*12 + MONTH(AO$2)-MONTH($F39)) / 12),
  0)</f>
        <v>0</v>
      </c>
      <c r="AP39" s="291">
        <f>IF(AND($F39&lt;=AP$2, OR($G39="",$G39&gt;=AP$2)),
  $H39 * (1 + Assumptions!$C$7) ^ INT(((YEAR(AP$2)-YEAR($F39))*12 + MONTH(AP$2)-MONTH($F39)) / 12),
  0)</f>
        <v>0</v>
      </c>
      <c r="AQ39" s="291">
        <f>IF(AND($F39&lt;=AQ$2, OR($G39="",$G39&gt;=AQ$2)),
  $H39 * (1 + Assumptions!$C$7) ^ INT(((YEAR(AQ$2)-YEAR($F39))*12 + MONTH(AQ$2)-MONTH($F39)) / 12),
  0)</f>
        <v>0</v>
      </c>
      <c r="AR39" s="291">
        <f>IF(AND($F39&lt;=AR$2, OR($G39="",$G39&gt;=AR$2)),
  $H39 * (1 + Assumptions!$C$7) ^ INT(((YEAR(AR$2)-YEAR($F39))*12 + MONTH(AR$2)-MONTH($F39)) / 12),
  0)</f>
        <v>0</v>
      </c>
      <c r="AS39" s="291">
        <f>IF(AND($F39&lt;=AS$2, OR($G39="",$G39&gt;=AS$2)),
  $H39 * (1 + Assumptions!$C$7) ^ INT(((YEAR(AS$2)-YEAR($F39))*12 + MONTH(AS$2)-MONTH($F39)) / 12),
  0)</f>
        <v>0</v>
      </c>
      <c r="AT39" s="291">
        <f>IF(AND($F39&lt;=AT$2, OR($G39="",$G39&gt;=AT$2)),
  $H39 * (1 + Assumptions!$C$7) ^ INT(((YEAR(AT$2)-YEAR($F39))*12 + MONTH(AT$2)-MONTH($F39)) / 12),
  0)</f>
        <v>0</v>
      </c>
      <c r="AU39" s="291">
        <f>IF(AND($F39&lt;=AU$2, OR($G39="",$G39&gt;=AU$2)),
  $H39 * (1 + Assumptions!$C$7) ^ INT(((YEAR(AU$2)-YEAR($F39))*12 + MONTH(AU$2)-MONTH($F39)) / 12),
  0)</f>
        <v>0</v>
      </c>
      <c r="AV39" s="291">
        <f>IF(AND($F39&lt;=AV$2, OR($G39="",$G39&gt;=AV$2)),
  $H39 * (1 + Assumptions!$C$7) ^ INT(((YEAR(AV$2)-YEAR($F39))*12 + MONTH(AV$2)-MONTH($F39)) / 12),
  0)</f>
        <v>0</v>
      </c>
      <c r="AW39" s="291">
        <f>IF(AND($F39&lt;=AW$2, OR($G39="",$G39&gt;=AW$2)),
  $H39 * (1 + Assumptions!$C$7) ^ INT(((YEAR(AW$2)-YEAR($F39))*12 + MONTH(AW$2)-MONTH($F39)) / 12),
  0)</f>
        <v>0</v>
      </c>
      <c r="AX39" s="291">
        <f>IF(AND($F39&lt;=AX$2, OR($G39="",$G39&gt;=AX$2)),
  $H39 * (1 + Assumptions!$C$7) ^ INT(((YEAR(AX$2)-YEAR($F39))*12 + MONTH(AX$2)-MONTH($F39)) / 12),
  0)</f>
        <v>0</v>
      </c>
      <c r="AY39" s="291">
        <f>IF(AND($F39&lt;=AY$2, OR($G39="",$G39&gt;=AY$2)),
  $H39 * (1 + Assumptions!$C$7) ^ INT(((YEAR(AY$2)-YEAR($F39))*12 + MONTH(AY$2)-MONTH($F39)) / 12),
  0)</f>
        <v>0</v>
      </c>
      <c r="AZ39" s="291">
        <f>IF(AND($F39&lt;=AZ$2, OR($G39="",$G39&gt;=AZ$2)),
  $H39 * (1 + Assumptions!$C$7) ^ INT(((YEAR(AZ$2)-YEAR($F39))*12 + MONTH(AZ$2)-MONTH($F39)) / 12),
  0)</f>
        <v>0</v>
      </c>
      <c r="BA39" s="291">
        <f>IF(AND($F39&lt;=BA$2, OR($G39="",$G39&gt;=BA$2)),
  $H39 * (1 + Assumptions!$C$7) ^ INT(((YEAR(BA$2)-YEAR($F39))*12 + MONTH(BA$2)-MONTH($F39)) / 12),
  0)</f>
        <v>0</v>
      </c>
      <c r="BB39" s="291">
        <f>IF(AND($F39&lt;=BB$2, OR($G39="",$G39&gt;=BB$2)),
  $H39 * (1 + Assumptions!$C$7) ^ INT(((YEAR(BB$2)-YEAR($F39))*12 + MONTH(BB$2)-MONTH($F39)) / 12),
  0)</f>
        <v>6500</v>
      </c>
      <c r="BC39" s="291">
        <f>IF(AND($F39&lt;=BC$2, OR($G39="",$G39&gt;=BC$2)),
  $H39 * (1 + Assumptions!$C$7) ^ INT(((YEAR(BC$2)-YEAR($F39))*12 + MONTH(BC$2)-MONTH($F39)) / 12),
  0)</f>
        <v>6500</v>
      </c>
      <c r="BD39" s="291">
        <f>IF(AND($F39&lt;=BD$2, OR($G39="",$G39&gt;=BD$2)),
  $H39 * (1 + Assumptions!$C$7) ^ INT(((YEAR(BD$2)-YEAR($F39))*12 + MONTH(BD$2)-MONTH($F39)) / 12),
  0)</f>
        <v>6500</v>
      </c>
      <c r="BE39" s="291">
        <f>IF(AND($F39&lt;=BE$2, OR($G39="",$G39&gt;=BE$2)),
  $H39 * (1 + Assumptions!$C$7) ^ INT(((YEAR(BE$2)-YEAR($F39))*12 + MONTH(BE$2)-MONTH($F39)) / 12),
  0)</f>
        <v>6500</v>
      </c>
      <c r="BF39" s="291">
        <f>IF(AND($F39&lt;=BF$2, OR($G39="",$G39&gt;=BF$2)),
  $H39 * (1 + Assumptions!$C$7) ^ INT(((YEAR(BF$2)-YEAR($F39))*12 + MONTH(BF$2)-MONTH($F39)) / 12),
  0)</f>
        <v>6500</v>
      </c>
      <c r="BG39" s="291">
        <f>IF(AND($F39&lt;=BG$2, OR($G39="",$G39&gt;=BG$2)),
  $H39 * (1 + Assumptions!$C$7) ^ INT(((YEAR(BG$2)-YEAR($F39))*12 + MONTH(BG$2)-MONTH($F39)) / 12),
  0)</f>
        <v>6500</v>
      </c>
      <c r="BH39" s="291">
        <f>IF(AND($F39&lt;=BH$2, OR($G39="",$G39&gt;=BH$2)),
  $H39 * (1 + Assumptions!$C$7) ^ INT(((YEAR(BH$2)-YEAR($F39))*12 + MONTH(BH$2)-MONTH($F39)) / 12),
  0)</f>
        <v>6500</v>
      </c>
      <c r="BI39" s="291">
        <f>IF(AND($F39&lt;=BI$2, OR($G39="",$G39&gt;=BI$2)),
  $H39 * (1 + Assumptions!$C$7) ^ INT(((YEAR(BI$2)-YEAR($F39))*12 + MONTH(BI$2)-MONTH($F39)) / 12),
  0)</f>
        <v>6500</v>
      </c>
      <c r="BJ39" s="291">
        <f>IF(AND($F39&lt;=BJ$2, OR($G39="",$G39&gt;=BJ$2)),
  $H39 * (1 + Assumptions!$C$7) ^ INT(((YEAR(BJ$2)-YEAR($F39))*12 + MONTH(BJ$2)-MONTH($F39)) / 12),
  0)</f>
        <v>6500</v>
      </c>
      <c r="BK39" s="291">
        <f>IF(AND($F39&lt;=BK$2, OR($G39="",$G39&gt;=BK$2)),
  $H39 * (1 + Assumptions!$C$7) ^ INT(((YEAR(BK$2)-YEAR($F39))*12 + MONTH(BK$2)-MONTH($F39)) / 12),
  0)</f>
        <v>6500</v>
      </c>
      <c r="BL39" s="291">
        <f>IF(AND($F39&lt;=BL$2, OR($G39="",$G39&gt;=BL$2)),
  $H39 * (1 + Assumptions!$C$7) ^ INT(((YEAR(BL$2)-YEAR($F39))*12 + MONTH(BL$2)-MONTH($F39)) / 12),
  0)</f>
        <v>6500</v>
      </c>
      <c r="BM39" s="291">
        <f>IF(AND($F39&lt;=BM$2, OR($G39="",$G39&gt;=BM$2)),
  $H39 * (1 + Assumptions!$C$7) ^ INT(((YEAR(BM$2)-YEAR($F39))*12 + MONTH(BM$2)-MONTH($F39)) / 12),
  0)</f>
        <v>6500</v>
      </c>
      <c r="BN39" s="291">
        <f>IF(AND($F39&lt;=BN$2, OR($G39="",$G39&gt;=BN$2)),
  $H39 * (1 + Assumptions!$C$7) ^ INT(((YEAR(BN$2)-YEAR($F39))*12 + MONTH(BN$2)-MONTH($F39)) / 12),
  0)</f>
        <v>7020</v>
      </c>
      <c r="BO39" s="291">
        <f>IF(AND($F39&lt;=BO$2, OR($G39="",$G39&gt;=BO$2)),
  $H39 * (1 + Assumptions!$C$7) ^ INT(((YEAR(BO$2)-YEAR($F39))*12 + MONTH(BO$2)-MONTH($F39)) / 12),
  0)</f>
        <v>7020</v>
      </c>
      <c r="BP39" s="291">
        <f>IF(AND($F39&lt;=BP$2, OR($G39="",$G39&gt;=BP$2)),
  $H39 * (1 + Assumptions!$C$7) ^ INT(((YEAR(BP$2)-YEAR($F39))*12 + MONTH(BP$2)-MONTH($F39)) / 12),
  0)</f>
        <v>7020</v>
      </c>
      <c r="BQ39" s="30"/>
    </row>
    <row r="40" ht="15.75" customHeight="1">
      <c r="A40" s="298">
        <v>35.0</v>
      </c>
      <c r="B40" s="282" t="s">
        <v>335</v>
      </c>
      <c r="C40" s="26" t="s">
        <v>141</v>
      </c>
      <c r="D40" s="303" t="s">
        <v>341</v>
      </c>
      <c r="E40" s="289" t="s">
        <v>337</v>
      </c>
      <c r="F40" s="300">
        <v>47028.0</v>
      </c>
      <c r="G40" s="301"/>
      <c r="H40" s="285">
        <v>6500.0</v>
      </c>
      <c r="I40" s="291">
        <f>IF(AND($F40&lt;=I$2, OR($G40="",$G40&gt;=I$2)),
  $H40 * (1 + Assumptions!$C$7) ^ INT(((YEAR(I$2)-YEAR($F40))*12 + MONTH(I$2)-MONTH($F40)) / 12),
  0)</f>
        <v>0</v>
      </c>
      <c r="J40" s="291">
        <f>IF(AND($F40&lt;=J$2, OR($G40="",$G40&gt;=J$2)),
  $H40 * (1 + Assumptions!$C$7) ^ INT(((YEAR(J$2)-YEAR($F40))*12 + MONTH(J$2)-MONTH($F40)) / 12),
  0)</f>
        <v>0</v>
      </c>
      <c r="K40" s="291">
        <f>IF(AND($F40&lt;=K$2, OR($G40="",$G40&gt;=K$2)),
  $H40 * (1 + Assumptions!$C$7) ^ INT(((YEAR(K$2)-YEAR($F40))*12 + MONTH(K$2)-MONTH($F40)) / 12),
  0)</f>
        <v>0</v>
      </c>
      <c r="L40" s="291">
        <f>IF(AND($F40&lt;=L$2, OR($G40="",$G40&gt;=L$2)),
  $H40 * (1 + Assumptions!$C$7) ^ INT(((YEAR(L$2)-YEAR($F40))*12 + MONTH(L$2)-MONTH($F40)) / 12),
  0)</f>
        <v>0</v>
      </c>
      <c r="M40" s="291">
        <f>IF(AND($F40&lt;=M$2, OR($G40="",$G40&gt;=M$2)),
  $H40 * (1 + Assumptions!$C$7) ^ INT(((YEAR(M$2)-YEAR($F40))*12 + MONTH(M$2)-MONTH($F40)) / 12),
  0)</f>
        <v>0</v>
      </c>
      <c r="N40" s="291">
        <f>IF(AND($F40&lt;=N$2, OR($G40="",$G40&gt;=N$2)),
  $H40 * (1 + Assumptions!$C$7) ^ INT(((YEAR(N$2)-YEAR($F40))*12 + MONTH(N$2)-MONTH($F40)) / 12),
  0)</f>
        <v>0</v>
      </c>
      <c r="O40" s="291">
        <f>IF(AND($F40&lt;=O$2, OR($G40="",$G40&gt;=O$2)),
  $H40 * (1 + Assumptions!$C$7) ^ INT(((YEAR(O$2)-YEAR($F40))*12 + MONTH(O$2)-MONTH($F40)) / 12),
  0)</f>
        <v>0</v>
      </c>
      <c r="P40" s="291">
        <f>IF(AND($F40&lt;=P$2, OR($G40="",$G40&gt;=P$2)),
  $H40 * (1 + Assumptions!$C$7) ^ INT(((YEAR(P$2)-YEAR($F40))*12 + MONTH(P$2)-MONTH($F40)) / 12),
  0)</f>
        <v>0</v>
      </c>
      <c r="Q40" s="291">
        <f>IF(AND($F40&lt;=Q$2, OR($G40="",$G40&gt;=Q$2)),
  $H40 * (1 + Assumptions!$C$7) ^ INT(((YEAR(Q$2)-YEAR($F40))*12 + MONTH(Q$2)-MONTH($F40)) / 12),
  0)</f>
        <v>0</v>
      </c>
      <c r="R40" s="291">
        <f>IF(AND($F40&lt;=R$2, OR($G40="",$G40&gt;=R$2)),
  $H40 * (1 + Assumptions!$C$7) ^ INT(((YEAR(R$2)-YEAR($F40))*12 + MONTH(R$2)-MONTH($F40)) / 12),
  0)</f>
        <v>0</v>
      </c>
      <c r="S40" s="291">
        <f>IF(AND($F40&lt;=S$2, OR($G40="",$G40&gt;=S$2)),
  $H40 * (1 + Assumptions!$C$7) ^ INT(((YEAR(S$2)-YEAR($F40))*12 + MONTH(S$2)-MONTH($F40)) / 12),
  0)</f>
        <v>0</v>
      </c>
      <c r="T40" s="291">
        <f>IF(AND($F40&lt;=T$2, OR($G40="",$G40&gt;=T$2)),
  $H40 * (1 + Assumptions!$C$7) ^ INT(((YEAR(T$2)-YEAR($F40))*12 + MONTH(T$2)-MONTH($F40)) / 12),
  0)</f>
        <v>0</v>
      </c>
      <c r="U40" s="291">
        <f>IF(AND($F40&lt;=U$2, OR($G40="",$G40&gt;=U$2)),
  $H40 * (1 + Assumptions!$C$7) ^ INT(((YEAR(U$2)-YEAR($F40))*12 + MONTH(U$2)-MONTH($F40)) / 12),
  0)</f>
        <v>0</v>
      </c>
      <c r="V40" s="291">
        <f>IF(AND($F40&lt;=V$2, OR($G40="",$G40&gt;=V$2)),
  $H40 * (1 + Assumptions!$C$7) ^ INT(((YEAR(V$2)-YEAR($F40))*12 + MONTH(V$2)-MONTH($F40)) / 12),
  0)</f>
        <v>0</v>
      </c>
      <c r="W40" s="291">
        <f>IF(AND($F40&lt;=W$2, OR($G40="",$G40&gt;=W$2)),
  $H40 * (1 + Assumptions!$C$7) ^ INT(((YEAR(W$2)-YEAR($F40))*12 + MONTH(W$2)-MONTH($F40)) / 12),
  0)</f>
        <v>0</v>
      </c>
      <c r="X40" s="291">
        <f>IF(AND($F40&lt;=X$2, OR($G40="",$G40&gt;=X$2)),
  $H40 * (1 + Assumptions!$C$7) ^ INT(((YEAR(X$2)-YEAR($F40))*12 + MONTH(X$2)-MONTH($F40)) / 12),
  0)</f>
        <v>0</v>
      </c>
      <c r="Y40" s="291">
        <f>IF(AND($F40&lt;=Y$2, OR($G40="",$G40&gt;=Y$2)),
  $H40 * (1 + Assumptions!$C$7) ^ INT(((YEAR(Y$2)-YEAR($F40))*12 + MONTH(Y$2)-MONTH($F40)) / 12),
  0)</f>
        <v>0</v>
      </c>
      <c r="Z40" s="291">
        <f>IF(AND($F40&lt;=Z$2, OR($G40="",$G40&gt;=Z$2)),
  $H40 * (1 + Assumptions!$C$7) ^ INT(((YEAR(Z$2)-YEAR($F40))*12 + MONTH(Z$2)-MONTH($F40)) / 12),
  0)</f>
        <v>0</v>
      </c>
      <c r="AA40" s="291">
        <f>IF(AND($F40&lt;=AA$2, OR($G40="",$G40&gt;=AA$2)),
  $H40 * (1 + Assumptions!$C$7) ^ INT(((YEAR(AA$2)-YEAR($F40))*12 + MONTH(AA$2)-MONTH($F40)) / 12),
  0)</f>
        <v>0</v>
      </c>
      <c r="AB40" s="291">
        <f>IF(AND($F40&lt;=AB$2, OR($G40="",$G40&gt;=AB$2)),
  $H40 * (1 + Assumptions!$C$7) ^ INT(((YEAR(AB$2)-YEAR($F40))*12 + MONTH(AB$2)-MONTH($F40)) / 12),
  0)</f>
        <v>0</v>
      </c>
      <c r="AC40" s="291">
        <f>IF(AND($F40&lt;=AC$2, OR($G40="",$G40&gt;=AC$2)),
  $H40 * (1 + Assumptions!$C$7) ^ INT(((YEAR(AC$2)-YEAR($F40))*12 + MONTH(AC$2)-MONTH($F40)) / 12),
  0)</f>
        <v>0</v>
      </c>
      <c r="AD40" s="291">
        <f>IF(AND($F40&lt;=AD$2, OR($G40="",$G40&gt;=AD$2)),
  $H40 * (1 + Assumptions!$C$7) ^ INT(((YEAR(AD$2)-YEAR($F40))*12 + MONTH(AD$2)-MONTH($F40)) / 12),
  0)</f>
        <v>0</v>
      </c>
      <c r="AE40" s="291">
        <f>IF(AND($F40&lt;=AE$2, OR($G40="",$G40&gt;=AE$2)),
  $H40 * (1 + Assumptions!$C$7) ^ INT(((YEAR(AE$2)-YEAR($F40))*12 + MONTH(AE$2)-MONTH($F40)) / 12),
  0)</f>
        <v>0</v>
      </c>
      <c r="AF40" s="291">
        <f>IF(AND($F40&lt;=AF$2, OR($G40="",$G40&gt;=AF$2)),
  $H40 * (1 + Assumptions!$C$7) ^ INT(((YEAR(AF$2)-YEAR($F40))*12 + MONTH(AF$2)-MONTH($F40)) / 12),
  0)</f>
        <v>0</v>
      </c>
      <c r="AG40" s="291">
        <f>IF(AND($F40&lt;=AG$2, OR($G40="",$G40&gt;=AG$2)),
  $H40 * (1 + Assumptions!$C$7) ^ INT(((YEAR(AG$2)-YEAR($F40))*12 + MONTH(AG$2)-MONTH($F40)) / 12),
  0)</f>
        <v>0</v>
      </c>
      <c r="AH40" s="291">
        <f>IF(AND($F40&lt;=AH$2, OR($G40="",$G40&gt;=AH$2)),
  $H40 * (1 + Assumptions!$C$7) ^ INT(((YEAR(AH$2)-YEAR($F40))*12 + MONTH(AH$2)-MONTH($F40)) / 12),
  0)</f>
        <v>0</v>
      </c>
      <c r="AI40" s="291">
        <f>IF(AND($F40&lt;=AI$2, OR($G40="",$G40&gt;=AI$2)),
  $H40 * (1 + Assumptions!$C$7) ^ INT(((YEAR(AI$2)-YEAR($F40))*12 + MONTH(AI$2)-MONTH($F40)) / 12),
  0)</f>
        <v>0</v>
      </c>
      <c r="AJ40" s="291">
        <f>IF(AND($F40&lt;=AJ$2, OR($G40="",$G40&gt;=AJ$2)),
  $H40 * (1 + Assumptions!$C$7) ^ INT(((YEAR(AJ$2)-YEAR($F40))*12 + MONTH(AJ$2)-MONTH($F40)) / 12),
  0)</f>
        <v>0</v>
      </c>
      <c r="AK40" s="291">
        <f>IF(AND($F40&lt;=AK$2, OR($G40="",$G40&gt;=AK$2)),
  $H40 * (1 + Assumptions!$C$7) ^ INT(((YEAR(AK$2)-YEAR($F40))*12 + MONTH(AK$2)-MONTH($F40)) / 12),
  0)</f>
        <v>0</v>
      </c>
      <c r="AL40" s="291">
        <f>IF(AND($F40&lt;=AL$2, OR($G40="",$G40&gt;=AL$2)),
  $H40 * (1 + Assumptions!$C$7) ^ INT(((YEAR(AL$2)-YEAR($F40))*12 + MONTH(AL$2)-MONTH($F40)) / 12),
  0)</f>
        <v>0</v>
      </c>
      <c r="AM40" s="291">
        <f>IF(AND($F40&lt;=AM$2, OR($G40="",$G40&gt;=AM$2)),
  $H40 * (1 + Assumptions!$C$7) ^ INT(((YEAR(AM$2)-YEAR($F40))*12 + MONTH(AM$2)-MONTH($F40)) / 12),
  0)</f>
        <v>0</v>
      </c>
      <c r="AN40" s="291">
        <f>IF(AND($F40&lt;=AN$2, OR($G40="",$G40&gt;=AN$2)),
  $H40 * (1 + Assumptions!$C$7) ^ INT(((YEAR(AN$2)-YEAR($F40))*12 + MONTH(AN$2)-MONTH($F40)) / 12),
  0)</f>
        <v>0</v>
      </c>
      <c r="AO40" s="291">
        <f>IF(AND($F40&lt;=AO$2, OR($G40="",$G40&gt;=AO$2)),
  $H40 * (1 + Assumptions!$C$7) ^ INT(((YEAR(AO$2)-YEAR($F40))*12 + MONTH(AO$2)-MONTH($F40)) / 12),
  0)</f>
        <v>0</v>
      </c>
      <c r="AP40" s="291">
        <f>IF(AND($F40&lt;=AP$2, OR($G40="",$G40&gt;=AP$2)),
  $H40 * (1 + Assumptions!$C$7) ^ INT(((YEAR(AP$2)-YEAR($F40))*12 + MONTH(AP$2)-MONTH($F40)) / 12),
  0)</f>
        <v>0</v>
      </c>
      <c r="AQ40" s="291">
        <f>IF(AND($F40&lt;=AQ$2, OR($G40="",$G40&gt;=AQ$2)),
  $H40 * (1 + Assumptions!$C$7) ^ INT(((YEAR(AQ$2)-YEAR($F40))*12 + MONTH(AQ$2)-MONTH($F40)) / 12),
  0)</f>
        <v>0</v>
      </c>
      <c r="AR40" s="291">
        <f>IF(AND($F40&lt;=AR$2, OR($G40="",$G40&gt;=AR$2)),
  $H40 * (1 + Assumptions!$C$7) ^ INT(((YEAR(AR$2)-YEAR($F40))*12 + MONTH(AR$2)-MONTH($F40)) / 12),
  0)</f>
        <v>0</v>
      </c>
      <c r="AS40" s="291">
        <f>IF(AND($F40&lt;=AS$2, OR($G40="",$G40&gt;=AS$2)),
  $H40 * (1 + Assumptions!$C$7) ^ INT(((YEAR(AS$2)-YEAR($F40))*12 + MONTH(AS$2)-MONTH($F40)) / 12),
  0)</f>
        <v>0</v>
      </c>
      <c r="AT40" s="291">
        <f>IF(AND($F40&lt;=AT$2, OR($G40="",$G40&gt;=AT$2)),
  $H40 * (1 + Assumptions!$C$7) ^ INT(((YEAR(AT$2)-YEAR($F40))*12 + MONTH(AT$2)-MONTH($F40)) / 12),
  0)</f>
        <v>0</v>
      </c>
      <c r="AU40" s="291">
        <f>IF(AND($F40&lt;=AU$2, OR($G40="",$G40&gt;=AU$2)),
  $H40 * (1 + Assumptions!$C$7) ^ INT(((YEAR(AU$2)-YEAR($F40))*12 + MONTH(AU$2)-MONTH($F40)) / 12),
  0)</f>
        <v>0</v>
      </c>
      <c r="AV40" s="291">
        <f>IF(AND($F40&lt;=AV$2, OR($G40="",$G40&gt;=AV$2)),
  $H40 * (1 + Assumptions!$C$7) ^ INT(((YEAR(AV$2)-YEAR($F40))*12 + MONTH(AV$2)-MONTH($F40)) / 12),
  0)</f>
        <v>0</v>
      </c>
      <c r="AW40" s="291">
        <f>IF(AND($F40&lt;=AW$2, OR($G40="",$G40&gt;=AW$2)),
  $H40 * (1 + Assumptions!$C$7) ^ INT(((YEAR(AW$2)-YEAR($F40))*12 + MONTH(AW$2)-MONTH($F40)) / 12),
  0)</f>
        <v>0</v>
      </c>
      <c r="AX40" s="291">
        <f>IF(AND($F40&lt;=AX$2, OR($G40="",$G40&gt;=AX$2)),
  $H40 * (1 + Assumptions!$C$7) ^ INT(((YEAR(AX$2)-YEAR($F40))*12 + MONTH(AX$2)-MONTH($F40)) / 12),
  0)</f>
        <v>0</v>
      </c>
      <c r="AY40" s="291">
        <f>IF(AND($F40&lt;=AY$2, OR($G40="",$G40&gt;=AY$2)),
  $H40 * (1 + Assumptions!$C$7) ^ INT(((YEAR(AY$2)-YEAR($F40))*12 + MONTH(AY$2)-MONTH($F40)) / 12),
  0)</f>
        <v>0</v>
      </c>
      <c r="AZ40" s="291">
        <f>IF(AND($F40&lt;=AZ$2, OR($G40="",$G40&gt;=AZ$2)),
  $H40 * (1 + Assumptions!$C$7) ^ INT(((YEAR(AZ$2)-YEAR($F40))*12 + MONTH(AZ$2)-MONTH($F40)) / 12),
  0)</f>
        <v>0</v>
      </c>
      <c r="BA40" s="291">
        <f>IF(AND($F40&lt;=BA$2, OR($G40="",$G40&gt;=BA$2)),
  $H40 * (1 + Assumptions!$C$7) ^ INT(((YEAR(BA$2)-YEAR($F40))*12 + MONTH(BA$2)-MONTH($F40)) / 12),
  0)</f>
        <v>0</v>
      </c>
      <c r="BB40" s="291">
        <f>IF(AND($F40&lt;=BB$2, OR($G40="",$G40&gt;=BB$2)),
  $H40 * (1 + Assumptions!$C$7) ^ INT(((YEAR(BB$2)-YEAR($F40))*12 + MONTH(BB$2)-MONTH($F40)) / 12),
  0)</f>
        <v>0</v>
      </c>
      <c r="BC40" s="291">
        <f>IF(AND($F40&lt;=BC$2, OR($G40="",$G40&gt;=BC$2)),
  $H40 * (1 + Assumptions!$C$7) ^ INT(((YEAR(BC$2)-YEAR($F40))*12 + MONTH(BC$2)-MONTH($F40)) / 12),
  0)</f>
        <v>6500</v>
      </c>
      <c r="BD40" s="291">
        <f>IF(AND($F40&lt;=BD$2, OR($G40="",$G40&gt;=BD$2)),
  $H40 * (1 + Assumptions!$C$7) ^ INT(((YEAR(BD$2)-YEAR($F40))*12 + MONTH(BD$2)-MONTH($F40)) / 12),
  0)</f>
        <v>6500</v>
      </c>
      <c r="BE40" s="291">
        <f>IF(AND($F40&lt;=BE$2, OR($G40="",$G40&gt;=BE$2)),
  $H40 * (1 + Assumptions!$C$7) ^ INT(((YEAR(BE$2)-YEAR($F40))*12 + MONTH(BE$2)-MONTH($F40)) / 12),
  0)</f>
        <v>6500</v>
      </c>
      <c r="BF40" s="291">
        <f>IF(AND($F40&lt;=BF$2, OR($G40="",$G40&gt;=BF$2)),
  $H40 * (1 + Assumptions!$C$7) ^ INT(((YEAR(BF$2)-YEAR($F40))*12 + MONTH(BF$2)-MONTH($F40)) / 12),
  0)</f>
        <v>6500</v>
      </c>
      <c r="BG40" s="291">
        <f>IF(AND($F40&lt;=BG$2, OR($G40="",$G40&gt;=BG$2)),
  $H40 * (1 + Assumptions!$C$7) ^ INT(((YEAR(BG$2)-YEAR($F40))*12 + MONTH(BG$2)-MONTH($F40)) / 12),
  0)</f>
        <v>6500</v>
      </c>
      <c r="BH40" s="291">
        <f>IF(AND($F40&lt;=BH$2, OR($G40="",$G40&gt;=BH$2)),
  $H40 * (1 + Assumptions!$C$7) ^ INT(((YEAR(BH$2)-YEAR($F40))*12 + MONTH(BH$2)-MONTH($F40)) / 12),
  0)</f>
        <v>6500</v>
      </c>
      <c r="BI40" s="291">
        <f>IF(AND($F40&lt;=BI$2, OR($G40="",$G40&gt;=BI$2)),
  $H40 * (1 + Assumptions!$C$7) ^ INT(((YEAR(BI$2)-YEAR($F40))*12 + MONTH(BI$2)-MONTH($F40)) / 12),
  0)</f>
        <v>6500</v>
      </c>
      <c r="BJ40" s="291">
        <f>IF(AND($F40&lt;=BJ$2, OR($G40="",$G40&gt;=BJ$2)),
  $H40 * (1 + Assumptions!$C$7) ^ INT(((YEAR(BJ$2)-YEAR($F40))*12 + MONTH(BJ$2)-MONTH($F40)) / 12),
  0)</f>
        <v>6500</v>
      </c>
      <c r="BK40" s="291">
        <f>IF(AND($F40&lt;=BK$2, OR($G40="",$G40&gt;=BK$2)),
  $H40 * (1 + Assumptions!$C$7) ^ INT(((YEAR(BK$2)-YEAR($F40))*12 + MONTH(BK$2)-MONTH($F40)) / 12),
  0)</f>
        <v>6500</v>
      </c>
      <c r="BL40" s="291">
        <f>IF(AND($F40&lt;=BL$2, OR($G40="",$G40&gt;=BL$2)),
  $H40 * (1 + Assumptions!$C$7) ^ INT(((YEAR(BL$2)-YEAR($F40))*12 + MONTH(BL$2)-MONTH($F40)) / 12),
  0)</f>
        <v>6500</v>
      </c>
      <c r="BM40" s="291">
        <f>IF(AND($F40&lt;=BM$2, OR($G40="",$G40&gt;=BM$2)),
  $H40 * (1 + Assumptions!$C$7) ^ INT(((YEAR(BM$2)-YEAR($F40))*12 + MONTH(BM$2)-MONTH($F40)) / 12),
  0)</f>
        <v>6500</v>
      </c>
      <c r="BN40" s="291">
        <f>IF(AND($F40&lt;=BN$2, OR($G40="",$G40&gt;=BN$2)),
  $H40 * (1 + Assumptions!$C$7) ^ INT(((YEAR(BN$2)-YEAR($F40))*12 + MONTH(BN$2)-MONTH($F40)) / 12),
  0)</f>
        <v>7020</v>
      </c>
      <c r="BO40" s="291">
        <f>IF(AND($F40&lt;=BO$2, OR($G40="",$G40&gt;=BO$2)),
  $H40 * (1 + Assumptions!$C$7) ^ INT(((YEAR(BO$2)-YEAR($F40))*12 + MONTH(BO$2)-MONTH($F40)) / 12),
  0)</f>
        <v>7020</v>
      </c>
      <c r="BP40" s="291">
        <f>IF(AND($F40&lt;=BP$2, OR($G40="",$G40&gt;=BP$2)),
  $H40 * (1 + Assumptions!$C$7) ^ INT(((YEAR(BP$2)-YEAR($F40))*12 + MONTH(BP$2)-MONTH($F40)) / 12),
  0)</f>
        <v>7020</v>
      </c>
      <c r="BQ40" s="30"/>
    </row>
    <row r="41" ht="15.75" customHeight="1">
      <c r="A41" s="298">
        <v>36.0</v>
      </c>
      <c r="B41" s="282" t="s">
        <v>335</v>
      </c>
      <c r="C41" s="26" t="s">
        <v>144</v>
      </c>
      <c r="D41" s="303" t="s">
        <v>322</v>
      </c>
      <c r="E41" s="289" t="s">
        <v>337</v>
      </c>
      <c r="F41" s="283">
        <v>47119.0</v>
      </c>
      <c r="G41" s="301"/>
      <c r="H41" s="285">
        <v>6500.0</v>
      </c>
      <c r="I41" s="291">
        <f>IF(AND($F41&lt;=I$2, OR($G41="",$G41&gt;=I$2)),
  $H41 * (1 + Assumptions!$C$7) ^ INT(((YEAR(I$2)-YEAR($F41))*12 + MONTH(I$2)-MONTH($F41)) / 12),
  0)</f>
        <v>0</v>
      </c>
      <c r="J41" s="291">
        <f>IF(AND($F41&lt;=J$2, OR($G41="",$G41&gt;=J$2)),
  $H41 * (1 + Assumptions!$C$7) ^ INT(((YEAR(J$2)-YEAR($F41))*12 + MONTH(J$2)-MONTH($F41)) / 12),
  0)</f>
        <v>0</v>
      </c>
      <c r="K41" s="291">
        <f>IF(AND($F41&lt;=K$2, OR($G41="",$G41&gt;=K$2)),
  $H41 * (1 + Assumptions!$C$7) ^ INT(((YEAR(K$2)-YEAR($F41))*12 + MONTH(K$2)-MONTH($F41)) / 12),
  0)</f>
        <v>0</v>
      </c>
      <c r="L41" s="291">
        <f>IF(AND($F41&lt;=L$2, OR($G41="",$G41&gt;=L$2)),
  $H41 * (1 + Assumptions!$C$7) ^ INT(((YEAR(L$2)-YEAR($F41))*12 + MONTH(L$2)-MONTH($F41)) / 12),
  0)</f>
        <v>0</v>
      </c>
      <c r="M41" s="291">
        <f>IF(AND($F41&lt;=M$2, OR($G41="",$G41&gt;=M$2)),
  $H41 * (1 + Assumptions!$C$7) ^ INT(((YEAR(M$2)-YEAR($F41))*12 + MONTH(M$2)-MONTH($F41)) / 12),
  0)</f>
        <v>0</v>
      </c>
      <c r="N41" s="291">
        <f>IF(AND($F41&lt;=N$2, OR($G41="",$G41&gt;=N$2)),
  $H41 * (1 + Assumptions!$C$7) ^ INT(((YEAR(N$2)-YEAR($F41))*12 + MONTH(N$2)-MONTH($F41)) / 12),
  0)</f>
        <v>0</v>
      </c>
      <c r="O41" s="291">
        <f>IF(AND($F41&lt;=O$2, OR($G41="",$G41&gt;=O$2)),
  $H41 * (1 + Assumptions!$C$7) ^ INT(((YEAR(O$2)-YEAR($F41))*12 + MONTH(O$2)-MONTH($F41)) / 12),
  0)</f>
        <v>0</v>
      </c>
      <c r="P41" s="291">
        <f>IF(AND($F41&lt;=P$2, OR($G41="",$G41&gt;=P$2)),
  $H41 * (1 + Assumptions!$C$7) ^ INT(((YEAR(P$2)-YEAR($F41))*12 + MONTH(P$2)-MONTH($F41)) / 12),
  0)</f>
        <v>0</v>
      </c>
      <c r="Q41" s="291">
        <f>IF(AND($F41&lt;=Q$2, OR($G41="",$G41&gt;=Q$2)),
  $H41 * (1 + Assumptions!$C$7) ^ INT(((YEAR(Q$2)-YEAR($F41))*12 + MONTH(Q$2)-MONTH($F41)) / 12),
  0)</f>
        <v>0</v>
      </c>
      <c r="R41" s="291">
        <f>IF(AND($F41&lt;=R$2, OR($G41="",$G41&gt;=R$2)),
  $H41 * (1 + Assumptions!$C$7) ^ INT(((YEAR(R$2)-YEAR($F41))*12 + MONTH(R$2)-MONTH($F41)) / 12),
  0)</f>
        <v>0</v>
      </c>
      <c r="S41" s="291">
        <f>IF(AND($F41&lt;=S$2, OR($G41="",$G41&gt;=S$2)),
  $H41 * (1 + Assumptions!$C$7) ^ INT(((YEAR(S$2)-YEAR($F41))*12 + MONTH(S$2)-MONTH($F41)) / 12),
  0)</f>
        <v>0</v>
      </c>
      <c r="T41" s="291">
        <f>IF(AND($F41&lt;=T$2, OR($G41="",$G41&gt;=T$2)),
  $H41 * (1 + Assumptions!$C$7) ^ INT(((YEAR(T$2)-YEAR($F41))*12 + MONTH(T$2)-MONTH($F41)) / 12),
  0)</f>
        <v>0</v>
      </c>
      <c r="U41" s="291">
        <f>IF(AND($F41&lt;=U$2, OR($G41="",$G41&gt;=U$2)),
  $H41 * (1 + Assumptions!$C$7) ^ INT(((YEAR(U$2)-YEAR($F41))*12 + MONTH(U$2)-MONTH($F41)) / 12),
  0)</f>
        <v>0</v>
      </c>
      <c r="V41" s="291">
        <f>IF(AND($F41&lt;=V$2, OR($G41="",$G41&gt;=V$2)),
  $H41 * (1 + Assumptions!$C$7) ^ INT(((YEAR(V$2)-YEAR($F41))*12 + MONTH(V$2)-MONTH($F41)) / 12),
  0)</f>
        <v>0</v>
      </c>
      <c r="W41" s="291">
        <f>IF(AND($F41&lt;=W$2, OR($G41="",$G41&gt;=W$2)),
  $H41 * (1 + Assumptions!$C$7) ^ INT(((YEAR(W$2)-YEAR($F41))*12 + MONTH(W$2)-MONTH($F41)) / 12),
  0)</f>
        <v>0</v>
      </c>
      <c r="X41" s="291">
        <f>IF(AND($F41&lt;=X$2, OR($G41="",$G41&gt;=X$2)),
  $H41 * (1 + Assumptions!$C$7) ^ INT(((YEAR(X$2)-YEAR($F41))*12 + MONTH(X$2)-MONTH($F41)) / 12),
  0)</f>
        <v>0</v>
      </c>
      <c r="Y41" s="291">
        <f>IF(AND($F41&lt;=Y$2, OR($G41="",$G41&gt;=Y$2)),
  $H41 * (1 + Assumptions!$C$7) ^ INT(((YEAR(Y$2)-YEAR($F41))*12 + MONTH(Y$2)-MONTH($F41)) / 12),
  0)</f>
        <v>0</v>
      </c>
      <c r="Z41" s="291">
        <f>IF(AND($F41&lt;=Z$2, OR($G41="",$G41&gt;=Z$2)),
  $H41 * (1 + Assumptions!$C$7) ^ INT(((YEAR(Z$2)-YEAR($F41))*12 + MONTH(Z$2)-MONTH($F41)) / 12),
  0)</f>
        <v>0</v>
      </c>
      <c r="AA41" s="291">
        <f>IF(AND($F41&lt;=AA$2, OR($G41="",$G41&gt;=AA$2)),
  $H41 * (1 + Assumptions!$C$7) ^ INT(((YEAR(AA$2)-YEAR($F41))*12 + MONTH(AA$2)-MONTH($F41)) / 12),
  0)</f>
        <v>0</v>
      </c>
      <c r="AB41" s="291">
        <f>IF(AND($F41&lt;=AB$2, OR($G41="",$G41&gt;=AB$2)),
  $H41 * (1 + Assumptions!$C$7) ^ INT(((YEAR(AB$2)-YEAR($F41))*12 + MONTH(AB$2)-MONTH($F41)) / 12),
  0)</f>
        <v>0</v>
      </c>
      <c r="AC41" s="291">
        <f>IF(AND($F41&lt;=AC$2, OR($G41="",$G41&gt;=AC$2)),
  $H41 * (1 + Assumptions!$C$7) ^ INT(((YEAR(AC$2)-YEAR($F41))*12 + MONTH(AC$2)-MONTH($F41)) / 12),
  0)</f>
        <v>0</v>
      </c>
      <c r="AD41" s="291">
        <f>IF(AND($F41&lt;=AD$2, OR($G41="",$G41&gt;=AD$2)),
  $H41 * (1 + Assumptions!$C$7) ^ INT(((YEAR(AD$2)-YEAR($F41))*12 + MONTH(AD$2)-MONTH($F41)) / 12),
  0)</f>
        <v>0</v>
      </c>
      <c r="AE41" s="291">
        <f>IF(AND($F41&lt;=AE$2, OR($G41="",$G41&gt;=AE$2)),
  $H41 * (1 + Assumptions!$C$7) ^ INT(((YEAR(AE$2)-YEAR($F41))*12 + MONTH(AE$2)-MONTH($F41)) / 12),
  0)</f>
        <v>0</v>
      </c>
      <c r="AF41" s="291">
        <f>IF(AND($F41&lt;=AF$2, OR($G41="",$G41&gt;=AF$2)),
  $H41 * (1 + Assumptions!$C$7) ^ INT(((YEAR(AF$2)-YEAR($F41))*12 + MONTH(AF$2)-MONTH($F41)) / 12),
  0)</f>
        <v>0</v>
      </c>
      <c r="AG41" s="291">
        <f>IF(AND($F41&lt;=AG$2, OR($G41="",$G41&gt;=AG$2)),
  $H41 * (1 + Assumptions!$C$7) ^ INT(((YEAR(AG$2)-YEAR($F41))*12 + MONTH(AG$2)-MONTH($F41)) / 12),
  0)</f>
        <v>0</v>
      </c>
      <c r="AH41" s="291">
        <f>IF(AND($F41&lt;=AH$2, OR($G41="",$G41&gt;=AH$2)),
  $H41 * (1 + Assumptions!$C$7) ^ INT(((YEAR(AH$2)-YEAR($F41))*12 + MONTH(AH$2)-MONTH($F41)) / 12),
  0)</f>
        <v>0</v>
      </c>
      <c r="AI41" s="291">
        <f>IF(AND($F41&lt;=AI$2, OR($G41="",$G41&gt;=AI$2)),
  $H41 * (1 + Assumptions!$C$7) ^ INT(((YEAR(AI$2)-YEAR($F41))*12 + MONTH(AI$2)-MONTH($F41)) / 12),
  0)</f>
        <v>0</v>
      </c>
      <c r="AJ41" s="291">
        <f>IF(AND($F41&lt;=AJ$2, OR($G41="",$G41&gt;=AJ$2)),
  $H41 * (1 + Assumptions!$C$7) ^ INT(((YEAR(AJ$2)-YEAR($F41))*12 + MONTH(AJ$2)-MONTH($F41)) / 12),
  0)</f>
        <v>0</v>
      </c>
      <c r="AK41" s="291">
        <f>IF(AND($F41&lt;=AK$2, OR($G41="",$G41&gt;=AK$2)),
  $H41 * (1 + Assumptions!$C$7) ^ INT(((YEAR(AK$2)-YEAR($F41))*12 + MONTH(AK$2)-MONTH($F41)) / 12),
  0)</f>
        <v>0</v>
      </c>
      <c r="AL41" s="291">
        <f>IF(AND($F41&lt;=AL$2, OR($G41="",$G41&gt;=AL$2)),
  $H41 * (1 + Assumptions!$C$7) ^ INT(((YEAR(AL$2)-YEAR($F41))*12 + MONTH(AL$2)-MONTH($F41)) / 12),
  0)</f>
        <v>0</v>
      </c>
      <c r="AM41" s="291">
        <f>IF(AND($F41&lt;=AM$2, OR($G41="",$G41&gt;=AM$2)),
  $H41 * (1 + Assumptions!$C$7) ^ INT(((YEAR(AM$2)-YEAR($F41))*12 + MONTH(AM$2)-MONTH($F41)) / 12),
  0)</f>
        <v>0</v>
      </c>
      <c r="AN41" s="291">
        <f>IF(AND($F41&lt;=AN$2, OR($G41="",$G41&gt;=AN$2)),
  $H41 * (1 + Assumptions!$C$7) ^ INT(((YEAR(AN$2)-YEAR($F41))*12 + MONTH(AN$2)-MONTH($F41)) / 12),
  0)</f>
        <v>0</v>
      </c>
      <c r="AO41" s="291">
        <f>IF(AND($F41&lt;=AO$2, OR($G41="",$G41&gt;=AO$2)),
  $H41 * (1 + Assumptions!$C$7) ^ INT(((YEAR(AO$2)-YEAR($F41))*12 + MONTH(AO$2)-MONTH($F41)) / 12),
  0)</f>
        <v>0</v>
      </c>
      <c r="AP41" s="291">
        <f>IF(AND($F41&lt;=AP$2, OR($G41="",$G41&gt;=AP$2)),
  $H41 * (1 + Assumptions!$C$7) ^ INT(((YEAR(AP$2)-YEAR($F41))*12 + MONTH(AP$2)-MONTH($F41)) / 12),
  0)</f>
        <v>0</v>
      </c>
      <c r="AQ41" s="291">
        <f>IF(AND($F41&lt;=AQ$2, OR($G41="",$G41&gt;=AQ$2)),
  $H41 * (1 + Assumptions!$C$7) ^ INT(((YEAR(AQ$2)-YEAR($F41))*12 + MONTH(AQ$2)-MONTH($F41)) / 12),
  0)</f>
        <v>0</v>
      </c>
      <c r="AR41" s="291">
        <f>IF(AND($F41&lt;=AR$2, OR($G41="",$G41&gt;=AR$2)),
  $H41 * (1 + Assumptions!$C$7) ^ INT(((YEAR(AR$2)-YEAR($F41))*12 + MONTH(AR$2)-MONTH($F41)) / 12),
  0)</f>
        <v>0</v>
      </c>
      <c r="AS41" s="291">
        <f>IF(AND($F41&lt;=AS$2, OR($G41="",$G41&gt;=AS$2)),
  $H41 * (1 + Assumptions!$C$7) ^ INT(((YEAR(AS$2)-YEAR($F41))*12 + MONTH(AS$2)-MONTH($F41)) / 12),
  0)</f>
        <v>0</v>
      </c>
      <c r="AT41" s="291">
        <f>IF(AND($F41&lt;=AT$2, OR($G41="",$G41&gt;=AT$2)),
  $H41 * (1 + Assumptions!$C$7) ^ INT(((YEAR(AT$2)-YEAR($F41))*12 + MONTH(AT$2)-MONTH($F41)) / 12),
  0)</f>
        <v>0</v>
      </c>
      <c r="AU41" s="291">
        <f>IF(AND($F41&lt;=AU$2, OR($G41="",$G41&gt;=AU$2)),
  $H41 * (1 + Assumptions!$C$7) ^ INT(((YEAR(AU$2)-YEAR($F41))*12 + MONTH(AU$2)-MONTH($F41)) / 12),
  0)</f>
        <v>0</v>
      </c>
      <c r="AV41" s="291">
        <f>IF(AND($F41&lt;=AV$2, OR($G41="",$G41&gt;=AV$2)),
  $H41 * (1 + Assumptions!$C$7) ^ INT(((YEAR(AV$2)-YEAR($F41))*12 + MONTH(AV$2)-MONTH($F41)) / 12),
  0)</f>
        <v>0</v>
      </c>
      <c r="AW41" s="291">
        <f>IF(AND($F41&lt;=AW$2, OR($G41="",$G41&gt;=AW$2)),
  $H41 * (1 + Assumptions!$C$7) ^ INT(((YEAR(AW$2)-YEAR($F41))*12 + MONTH(AW$2)-MONTH($F41)) / 12),
  0)</f>
        <v>0</v>
      </c>
      <c r="AX41" s="291">
        <f>IF(AND($F41&lt;=AX$2, OR($G41="",$G41&gt;=AX$2)),
  $H41 * (1 + Assumptions!$C$7) ^ INT(((YEAR(AX$2)-YEAR($F41))*12 + MONTH(AX$2)-MONTH($F41)) / 12),
  0)</f>
        <v>0</v>
      </c>
      <c r="AY41" s="291">
        <f>IF(AND($F41&lt;=AY$2, OR($G41="",$G41&gt;=AY$2)),
  $H41 * (1 + Assumptions!$C$7) ^ INT(((YEAR(AY$2)-YEAR($F41))*12 + MONTH(AY$2)-MONTH($F41)) / 12),
  0)</f>
        <v>0</v>
      </c>
      <c r="AZ41" s="291">
        <f>IF(AND($F41&lt;=AZ$2, OR($G41="",$G41&gt;=AZ$2)),
  $H41 * (1 + Assumptions!$C$7) ^ INT(((YEAR(AZ$2)-YEAR($F41))*12 + MONTH(AZ$2)-MONTH($F41)) / 12),
  0)</f>
        <v>0</v>
      </c>
      <c r="BA41" s="291">
        <f>IF(AND($F41&lt;=BA$2, OR($G41="",$G41&gt;=BA$2)),
  $H41 * (1 + Assumptions!$C$7) ^ INT(((YEAR(BA$2)-YEAR($F41))*12 + MONTH(BA$2)-MONTH($F41)) / 12),
  0)</f>
        <v>0</v>
      </c>
      <c r="BB41" s="291">
        <f>IF(AND($F41&lt;=BB$2, OR($G41="",$G41&gt;=BB$2)),
  $H41 * (1 + Assumptions!$C$7) ^ INT(((YEAR(BB$2)-YEAR($F41))*12 + MONTH(BB$2)-MONTH($F41)) / 12),
  0)</f>
        <v>0</v>
      </c>
      <c r="BC41" s="291">
        <f>IF(AND($F41&lt;=BC$2, OR($G41="",$G41&gt;=BC$2)),
  $H41 * (1 + Assumptions!$C$7) ^ INT(((YEAR(BC$2)-YEAR($F41))*12 + MONTH(BC$2)-MONTH($F41)) / 12),
  0)</f>
        <v>0</v>
      </c>
      <c r="BD41" s="291">
        <f>IF(AND($F41&lt;=BD$2, OR($G41="",$G41&gt;=BD$2)),
  $H41 * (1 + Assumptions!$C$7) ^ INT(((YEAR(BD$2)-YEAR($F41))*12 + MONTH(BD$2)-MONTH($F41)) / 12),
  0)</f>
        <v>0</v>
      </c>
      <c r="BE41" s="291">
        <f>IF(AND($F41&lt;=BE$2, OR($G41="",$G41&gt;=BE$2)),
  $H41 * (1 + Assumptions!$C$7) ^ INT(((YEAR(BE$2)-YEAR($F41))*12 + MONTH(BE$2)-MONTH($F41)) / 12),
  0)</f>
        <v>6500</v>
      </c>
      <c r="BF41" s="291">
        <f>IF(AND($F41&lt;=BF$2, OR($G41="",$G41&gt;=BF$2)),
  $H41 * (1 + Assumptions!$C$7) ^ INT(((YEAR(BF$2)-YEAR($F41))*12 + MONTH(BF$2)-MONTH($F41)) / 12),
  0)</f>
        <v>6500</v>
      </c>
      <c r="BG41" s="291">
        <f>IF(AND($F41&lt;=BG$2, OR($G41="",$G41&gt;=BG$2)),
  $H41 * (1 + Assumptions!$C$7) ^ INT(((YEAR(BG$2)-YEAR($F41))*12 + MONTH(BG$2)-MONTH($F41)) / 12),
  0)</f>
        <v>6500</v>
      </c>
      <c r="BH41" s="291">
        <f>IF(AND($F41&lt;=BH$2, OR($G41="",$G41&gt;=BH$2)),
  $H41 * (1 + Assumptions!$C$7) ^ INT(((YEAR(BH$2)-YEAR($F41))*12 + MONTH(BH$2)-MONTH($F41)) / 12),
  0)</f>
        <v>6500</v>
      </c>
      <c r="BI41" s="291">
        <f>IF(AND($F41&lt;=BI$2, OR($G41="",$G41&gt;=BI$2)),
  $H41 * (1 + Assumptions!$C$7) ^ INT(((YEAR(BI$2)-YEAR($F41))*12 + MONTH(BI$2)-MONTH($F41)) / 12),
  0)</f>
        <v>6500</v>
      </c>
      <c r="BJ41" s="291">
        <f>IF(AND($F41&lt;=BJ$2, OR($G41="",$G41&gt;=BJ$2)),
  $H41 * (1 + Assumptions!$C$7) ^ INT(((YEAR(BJ$2)-YEAR($F41))*12 + MONTH(BJ$2)-MONTH($F41)) / 12),
  0)</f>
        <v>6500</v>
      </c>
      <c r="BK41" s="291">
        <f>IF(AND($F41&lt;=BK$2, OR($G41="",$G41&gt;=BK$2)),
  $H41 * (1 + Assumptions!$C$7) ^ INT(((YEAR(BK$2)-YEAR($F41))*12 + MONTH(BK$2)-MONTH($F41)) / 12),
  0)</f>
        <v>6500</v>
      </c>
      <c r="BL41" s="291">
        <f>IF(AND($F41&lt;=BL$2, OR($G41="",$G41&gt;=BL$2)),
  $H41 * (1 + Assumptions!$C$7) ^ INT(((YEAR(BL$2)-YEAR($F41))*12 + MONTH(BL$2)-MONTH($F41)) / 12),
  0)</f>
        <v>6500</v>
      </c>
      <c r="BM41" s="291">
        <f>IF(AND($F41&lt;=BM$2, OR($G41="",$G41&gt;=BM$2)),
  $H41 * (1 + Assumptions!$C$7) ^ INT(((YEAR(BM$2)-YEAR($F41))*12 + MONTH(BM$2)-MONTH($F41)) / 12),
  0)</f>
        <v>6500</v>
      </c>
      <c r="BN41" s="291">
        <f>IF(AND($F41&lt;=BN$2, OR($G41="",$G41&gt;=BN$2)),
  $H41 * (1 + Assumptions!$C$7) ^ INT(((YEAR(BN$2)-YEAR($F41))*12 + MONTH(BN$2)-MONTH($F41)) / 12),
  0)</f>
        <v>6500</v>
      </c>
      <c r="BO41" s="291">
        <f>IF(AND($F41&lt;=BO$2, OR($G41="",$G41&gt;=BO$2)),
  $H41 * (1 + Assumptions!$C$7) ^ INT(((YEAR(BO$2)-YEAR($F41))*12 + MONTH(BO$2)-MONTH($F41)) / 12),
  0)</f>
        <v>6500</v>
      </c>
      <c r="BP41" s="291">
        <f>IF(AND($F41&lt;=BP$2, OR($G41="",$G41&gt;=BP$2)),
  $H41 * (1 + Assumptions!$C$7) ^ INT(((YEAR(BP$2)-YEAR($F41))*12 + MONTH(BP$2)-MONTH($F41)) / 12),
  0)</f>
        <v>6500</v>
      </c>
      <c r="BQ41" s="30"/>
    </row>
    <row r="42" ht="15.75" customHeight="1">
      <c r="A42" s="298">
        <v>37.0</v>
      </c>
      <c r="B42" s="282" t="s">
        <v>335</v>
      </c>
      <c r="C42" s="26" t="s">
        <v>144</v>
      </c>
      <c r="D42" s="303" t="s">
        <v>322</v>
      </c>
      <c r="E42" s="289" t="s">
        <v>337</v>
      </c>
      <c r="F42" s="283">
        <v>47119.0</v>
      </c>
      <c r="G42" s="301"/>
      <c r="H42" s="285">
        <v>6500.0</v>
      </c>
      <c r="I42" s="291">
        <f>IF(AND($F42&lt;=I$2, OR($G42="",$G42&gt;=I$2)),
  $H42 * (1 + Assumptions!$C$7) ^ INT(((YEAR(I$2)-YEAR($F42))*12 + MONTH(I$2)-MONTH($F42)) / 12),
  0)</f>
        <v>0</v>
      </c>
      <c r="J42" s="291">
        <f>IF(AND($F42&lt;=J$2, OR($G42="",$G42&gt;=J$2)),
  $H42 * (1 + Assumptions!$C$7) ^ INT(((YEAR(J$2)-YEAR($F42))*12 + MONTH(J$2)-MONTH($F42)) / 12),
  0)</f>
        <v>0</v>
      </c>
      <c r="K42" s="291">
        <f>IF(AND($F42&lt;=K$2, OR($G42="",$G42&gt;=K$2)),
  $H42 * (1 + Assumptions!$C$7) ^ INT(((YEAR(K$2)-YEAR($F42))*12 + MONTH(K$2)-MONTH($F42)) / 12),
  0)</f>
        <v>0</v>
      </c>
      <c r="L42" s="291">
        <f>IF(AND($F42&lt;=L$2, OR($G42="",$G42&gt;=L$2)),
  $H42 * (1 + Assumptions!$C$7) ^ INT(((YEAR(L$2)-YEAR($F42))*12 + MONTH(L$2)-MONTH($F42)) / 12),
  0)</f>
        <v>0</v>
      </c>
      <c r="M42" s="291">
        <f>IF(AND($F42&lt;=M$2, OR($G42="",$G42&gt;=M$2)),
  $H42 * (1 + Assumptions!$C$7) ^ INT(((YEAR(M$2)-YEAR($F42))*12 + MONTH(M$2)-MONTH($F42)) / 12),
  0)</f>
        <v>0</v>
      </c>
      <c r="N42" s="291">
        <f>IF(AND($F42&lt;=N$2, OR($G42="",$G42&gt;=N$2)),
  $H42 * (1 + Assumptions!$C$7) ^ INT(((YEAR(N$2)-YEAR($F42))*12 + MONTH(N$2)-MONTH($F42)) / 12),
  0)</f>
        <v>0</v>
      </c>
      <c r="O42" s="291">
        <f>IF(AND($F42&lt;=O$2, OR($G42="",$G42&gt;=O$2)),
  $H42 * (1 + Assumptions!$C$7) ^ INT(((YEAR(O$2)-YEAR($F42))*12 + MONTH(O$2)-MONTH($F42)) / 12),
  0)</f>
        <v>0</v>
      </c>
      <c r="P42" s="291">
        <f>IF(AND($F42&lt;=P$2, OR($G42="",$G42&gt;=P$2)),
  $H42 * (1 + Assumptions!$C$7) ^ INT(((YEAR(P$2)-YEAR($F42))*12 + MONTH(P$2)-MONTH($F42)) / 12),
  0)</f>
        <v>0</v>
      </c>
      <c r="Q42" s="291">
        <f>IF(AND($F42&lt;=Q$2, OR($G42="",$G42&gt;=Q$2)),
  $H42 * (1 + Assumptions!$C$7) ^ INT(((YEAR(Q$2)-YEAR($F42))*12 + MONTH(Q$2)-MONTH($F42)) / 12),
  0)</f>
        <v>0</v>
      </c>
      <c r="R42" s="291">
        <f>IF(AND($F42&lt;=R$2, OR($G42="",$G42&gt;=R$2)),
  $H42 * (1 + Assumptions!$C$7) ^ INT(((YEAR(R$2)-YEAR($F42))*12 + MONTH(R$2)-MONTH($F42)) / 12),
  0)</f>
        <v>0</v>
      </c>
      <c r="S42" s="291">
        <f>IF(AND($F42&lt;=S$2, OR($G42="",$G42&gt;=S$2)),
  $H42 * (1 + Assumptions!$C$7) ^ INT(((YEAR(S$2)-YEAR($F42))*12 + MONTH(S$2)-MONTH($F42)) / 12),
  0)</f>
        <v>0</v>
      </c>
      <c r="T42" s="291">
        <f>IF(AND($F42&lt;=T$2, OR($G42="",$G42&gt;=T$2)),
  $H42 * (1 + Assumptions!$C$7) ^ INT(((YEAR(T$2)-YEAR($F42))*12 + MONTH(T$2)-MONTH($F42)) / 12),
  0)</f>
        <v>0</v>
      </c>
      <c r="U42" s="291">
        <f>IF(AND($F42&lt;=U$2, OR($G42="",$G42&gt;=U$2)),
  $H42 * (1 + Assumptions!$C$7) ^ INT(((YEAR(U$2)-YEAR($F42))*12 + MONTH(U$2)-MONTH($F42)) / 12),
  0)</f>
        <v>0</v>
      </c>
      <c r="V42" s="291">
        <f>IF(AND($F42&lt;=V$2, OR($G42="",$G42&gt;=V$2)),
  $H42 * (1 + Assumptions!$C$7) ^ INT(((YEAR(V$2)-YEAR($F42))*12 + MONTH(V$2)-MONTH($F42)) / 12),
  0)</f>
        <v>0</v>
      </c>
      <c r="W42" s="291">
        <f>IF(AND($F42&lt;=W$2, OR($G42="",$G42&gt;=W$2)),
  $H42 * (1 + Assumptions!$C$7) ^ INT(((YEAR(W$2)-YEAR($F42))*12 + MONTH(W$2)-MONTH($F42)) / 12),
  0)</f>
        <v>0</v>
      </c>
      <c r="X42" s="291">
        <f>IF(AND($F42&lt;=X$2, OR($G42="",$G42&gt;=X$2)),
  $H42 * (1 + Assumptions!$C$7) ^ INT(((YEAR(X$2)-YEAR($F42))*12 + MONTH(X$2)-MONTH($F42)) / 12),
  0)</f>
        <v>0</v>
      </c>
      <c r="Y42" s="291">
        <f>IF(AND($F42&lt;=Y$2, OR($G42="",$G42&gt;=Y$2)),
  $H42 * (1 + Assumptions!$C$7) ^ INT(((YEAR(Y$2)-YEAR($F42))*12 + MONTH(Y$2)-MONTH($F42)) / 12),
  0)</f>
        <v>0</v>
      </c>
      <c r="Z42" s="291">
        <f>IF(AND($F42&lt;=Z$2, OR($G42="",$G42&gt;=Z$2)),
  $H42 * (1 + Assumptions!$C$7) ^ INT(((YEAR(Z$2)-YEAR($F42))*12 + MONTH(Z$2)-MONTH($F42)) / 12),
  0)</f>
        <v>0</v>
      </c>
      <c r="AA42" s="291">
        <f>IF(AND($F42&lt;=AA$2, OR($G42="",$G42&gt;=AA$2)),
  $H42 * (1 + Assumptions!$C$7) ^ INT(((YEAR(AA$2)-YEAR($F42))*12 + MONTH(AA$2)-MONTH($F42)) / 12),
  0)</f>
        <v>0</v>
      </c>
      <c r="AB42" s="291">
        <f>IF(AND($F42&lt;=AB$2, OR($G42="",$G42&gt;=AB$2)),
  $H42 * (1 + Assumptions!$C$7) ^ INT(((YEAR(AB$2)-YEAR($F42))*12 + MONTH(AB$2)-MONTH($F42)) / 12),
  0)</f>
        <v>0</v>
      </c>
      <c r="AC42" s="291">
        <f>IF(AND($F42&lt;=AC$2, OR($G42="",$G42&gt;=AC$2)),
  $H42 * (1 + Assumptions!$C$7) ^ INT(((YEAR(AC$2)-YEAR($F42))*12 + MONTH(AC$2)-MONTH($F42)) / 12),
  0)</f>
        <v>0</v>
      </c>
      <c r="AD42" s="291">
        <f>IF(AND($F42&lt;=AD$2, OR($G42="",$G42&gt;=AD$2)),
  $H42 * (1 + Assumptions!$C$7) ^ INT(((YEAR(AD$2)-YEAR($F42))*12 + MONTH(AD$2)-MONTH($F42)) / 12),
  0)</f>
        <v>0</v>
      </c>
      <c r="AE42" s="291">
        <f>IF(AND($F42&lt;=AE$2, OR($G42="",$G42&gt;=AE$2)),
  $H42 * (1 + Assumptions!$C$7) ^ INT(((YEAR(AE$2)-YEAR($F42))*12 + MONTH(AE$2)-MONTH($F42)) / 12),
  0)</f>
        <v>0</v>
      </c>
      <c r="AF42" s="291">
        <f>IF(AND($F42&lt;=AF$2, OR($G42="",$G42&gt;=AF$2)),
  $H42 * (1 + Assumptions!$C$7) ^ INT(((YEAR(AF$2)-YEAR($F42))*12 + MONTH(AF$2)-MONTH($F42)) / 12),
  0)</f>
        <v>0</v>
      </c>
      <c r="AG42" s="291">
        <f>IF(AND($F42&lt;=AG$2, OR($G42="",$G42&gt;=AG$2)),
  $H42 * (1 + Assumptions!$C$7) ^ INT(((YEAR(AG$2)-YEAR($F42))*12 + MONTH(AG$2)-MONTH($F42)) / 12),
  0)</f>
        <v>0</v>
      </c>
      <c r="AH42" s="291">
        <f>IF(AND($F42&lt;=AH$2, OR($G42="",$G42&gt;=AH$2)),
  $H42 * (1 + Assumptions!$C$7) ^ INT(((YEAR(AH$2)-YEAR($F42))*12 + MONTH(AH$2)-MONTH($F42)) / 12),
  0)</f>
        <v>0</v>
      </c>
      <c r="AI42" s="291">
        <f>IF(AND($F42&lt;=AI$2, OR($G42="",$G42&gt;=AI$2)),
  $H42 * (1 + Assumptions!$C$7) ^ INT(((YEAR(AI$2)-YEAR($F42))*12 + MONTH(AI$2)-MONTH($F42)) / 12),
  0)</f>
        <v>0</v>
      </c>
      <c r="AJ42" s="291">
        <f>IF(AND($F42&lt;=AJ$2, OR($G42="",$G42&gt;=AJ$2)),
  $H42 * (1 + Assumptions!$C$7) ^ INT(((YEAR(AJ$2)-YEAR($F42))*12 + MONTH(AJ$2)-MONTH($F42)) / 12),
  0)</f>
        <v>0</v>
      </c>
      <c r="AK42" s="291">
        <f>IF(AND($F42&lt;=AK$2, OR($G42="",$G42&gt;=AK$2)),
  $H42 * (1 + Assumptions!$C$7) ^ INT(((YEAR(AK$2)-YEAR($F42))*12 + MONTH(AK$2)-MONTH($F42)) / 12),
  0)</f>
        <v>0</v>
      </c>
      <c r="AL42" s="291">
        <f>IF(AND($F42&lt;=AL$2, OR($G42="",$G42&gt;=AL$2)),
  $H42 * (1 + Assumptions!$C$7) ^ INT(((YEAR(AL$2)-YEAR($F42))*12 + MONTH(AL$2)-MONTH($F42)) / 12),
  0)</f>
        <v>0</v>
      </c>
      <c r="AM42" s="291">
        <f>IF(AND($F42&lt;=AM$2, OR($G42="",$G42&gt;=AM$2)),
  $H42 * (1 + Assumptions!$C$7) ^ INT(((YEAR(AM$2)-YEAR($F42))*12 + MONTH(AM$2)-MONTH($F42)) / 12),
  0)</f>
        <v>0</v>
      </c>
      <c r="AN42" s="291">
        <f>IF(AND($F42&lt;=AN$2, OR($G42="",$G42&gt;=AN$2)),
  $H42 * (1 + Assumptions!$C$7) ^ INT(((YEAR(AN$2)-YEAR($F42))*12 + MONTH(AN$2)-MONTH($F42)) / 12),
  0)</f>
        <v>0</v>
      </c>
      <c r="AO42" s="291">
        <f>IF(AND($F42&lt;=AO$2, OR($G42="",$G42&gt;=AO$2)),
  $H42 * (1 + Assumptions!$C$7) ^ INT(((YEAR(AO$2)-YEAR($F42))*12 + MONTH(AO$2)-MONTH($F42)) / 12),
  0)</f>
        <v>0</v>
      </c>
      <c r="AP42" s="291">
        <f>IF(AND($F42&lt;=AP$2, OR($G42="",$G42&gt;=AP$2)),
  $H42 * (1 + Assumptions!$C$7) ^ INT(((YEAR(AP$2)-YEAR($F42))*12 + MONTH(AP$2)-MONTH($F42)) / 12),
  0)</f>
        <v>0</v>
      </c>
      <c r="AQ42" s="291">
        <f>IF(AND($F42&lt;=AQ$2, OR($G42="",$G42&gt;=AQ$2)),
  $H42 * (1 + Assumptions!$C$7) ^ INT(((YEAR(AQ$2)-YEAR($F42))*12 + MONTH(AQ$2)-MONTH($F42)) / 12),
  0)</f>
        <v>0</v>
      </c>
      <c r="AR42" s="291">
        <f>IF(AND($F42&lt;=AR$2, OR($G42="",$G42&gt;=AR$2)),
  $H42 * (1 + Assumptions!$C$7) ^ INT(((YEAR(AR$2)-YEAR($F42))*12 + MONTH(AR$2)-MONTH($F42)) / 12),
  0)</f>
        <v>0</v>
      </c>
      <c r="AS42" s="291">
        <f>IF(AND($F42&lt;=AS$2, OR($G42="",$G42&gt;=AS$2)),
  $H42 * (1 + Assumptions!$C$7) ^ INT(((YEAR(AS$2)-YEAR($F42))*12 + MONTH(AS$2)-MONTH($F42)) / 12),
  0)</f>
        <v>0</v>
      </c>
      <c r="AT42" s="291">
        <f>IF(AND($F42&lt;=AT$2, OR($G42="",$G42&gt;=AT$2)),
  $H42 * (1 + Assumptions!$C$7) ^ INT(((YEAR(AT$2)-YEAR($F42))*12 + MONTH(AT$2)-MONTH($F42)) / 12),
  0)</f>
        <v>0</v>
      </c>
      <c r="AU42" s="291">
        <f>IF(AND($F42&lt;=AU$2, OR($G42="",$G42&gt;=AU$2)),
  $H42 * (1 + Assumptions!$C$7) ^ INT(((YEAR(AU$2)-YEAR($F42))*12 + MONTH(AU$2)-MONTH($F42)) / 12),
  0)</f>
        <v>0</v>
      </c>
      <c r="AV42" s="291">
        <f>IF(AND($F42&lt;=AV$2, OR($G42="",$G42&gt;=AV$2)),
  $H42 * (1 + Assumptions!$C$7) ^ INT(((YEAR(AV$2)-YEAR($F42))*12 + MONTH(AV$2)-MONTH($F42)) / 12),
  0)</f>
        <v>0</v>
      </c>
      <c r="AW42" s="291">
        <f>IF(AND($F42&lt;=AW$2, OR($G42="",$G42&gt;=AW$2)),
  $H42 * (1 + Assumptions!$C$7) ^ INT(((YEAR(AW$2)-YEAR($F42))*12 + MONTH(AW$2)-MONTH($F42)) / 12),
  0)</f>
        <v>0</v>
      </c>
      <c r="AX42" s="291">
        <f>IF(AND($F42&lt;=AX$2, OR($G42="",$G42&gt;=AX$2)),
  $H42 * (1 + Assumptions!$C$7) ^ INT(((YEAR(AX$2)-YEAR($F42))*12 + MONTH(AX$2)-MONTH($F42)) / 12),
  0)</f>
        <v>0</v>
      </c>
      <c r="AY42" s="291">
        <f>IF(AND($F42&lt;=AY$2, OR($G42="",$G42&gt;=AY$2)),
  $H42 * (1 + Assumptions!$C$7) ^ INT(((YEAR(AY$2)-YEAR($F42))*12 + MONTH(AY$2)-MONTH($F42)) / 12),
  0)</f>
        <v>0</v>
      </c>
      <c r="AZ42" s="291">
        <f>IF(AND($F42&lt;=AZ$2, OR($G42="",$G42&gt;=AZ$2)),
  $H42 * (1 + Assumptions!$C$7) ^ INT(((YEAR(AZ$2)-YEAR($F42))*12 + MONTH(AZ$2)-MONTH($F42)) / 12),
  0)</f>
        <v>0</v>
      </c>
      <c r="BA42" s="291">
        <f>IF(AND($F42&lt;=BA$2, OR($G42="",$G42&gt;=BA$2)),
  $H42 * (1 + Assumptions!$C$7) ^ INT(((YEAR(BA$2)-YEAR($F42))*12 + MONTH(BA$2)-MONTH($F42)) / 12),
  0)</f>
        <v>0</v>
      </c>
      <c r="BB42" s="291">
        <f>IF(AND($F42&lt;=BB$2, OR($G42="",$G42&gt;=BB$2)),
  $H42 * (1 + Assumptions!$C$7) ^ INT(((YEAR(BB$2)-YEAR($F42))*12 + MONTH(BB$2)-MONTH($F42)) / 12),
  0)</f>
        <v>0</v>
      </c>
      <c r="BC42" s="291">
        <f>IF(AND($F42&lt;=BC$2, OR($G42="",$G42&gt;=BC$2)),
  $H42 * (1 + Assumptions!$C$7) ^ INT(((YEAR(BC$2)-YEAR($F42))*12 + MONTH(BC$2)-MONTH($F42)) / 12),
  0)</f>
        <v>0</v>
      </c>
      <c r="BD42" s="291">
        <f>IF(AND($F42&lt;=BD$2, OR($G42="",$G42&gt;=BD$2)),
  $H42 * (1 + Assumptions!$C$7) ^ INT(((YEAR(BD$2)-YEAR($F42))*12 + MONTH(BD$2)-MONTH($F42)) / 12),
  0)</f>
        <v>0</v>
      </c>
      <c r="BE42" s="291">
        <f>IF(AND($F42&lt;=BE$2, OR($G42="",$G42&gt;=BE$2)),
  $H42 * (1 + Assumptions!$C$7) ^ INT(((YEAR(BE$2)-YEAR($F42))*12 + MONTH(BE$2)-MONTH($F42)) / 12),
  0)</f>
        <v>6500</v>
      </c>
      <c r="BF42" s="291">
        <f>IF(AND($F42&lt;=BF$2, OR($G42="",$G42&gt;=BF$2)),
  $H42 * (1 + Assumptions!$C$7) ^ INT(((YEAR(BF$2)-YEAR($F42))*12 + MONTH(BF$2)-MONTH($F42)) / 12),
  0)</f>
        <v>6500</v>
      </c>
      <c r="BG42" s="291">
        <f>IF(AND($F42&lt;=BG$2, OR($G42="",$G42&gt;=BG$2)),
  $H42 * (1 + Assumptions!$C$7) ^ INT(((YEAR(BG$2)-YEAR($F42))*12 + MONTH(BG$2)-MONTH($F42)) / 12),
  0)</f>
        <v>6500</v>
      </c>
      <c r="BH42" s="291">
        <f>IF(AND($F42&lt;=BH$2, OR($G42="",$G42&gt;=BH$2)),
  $H42 * (1 + Assumptions!$C$7) ^ INT(((YEAR(BH$2)-YEAR($F42))*12 + MONTH(BH$2)-MONTH($F42)) / 12),
  0)</f>
        <v>6500</v>
      </c>
      <c r="BI42" s="291">
        <f>IF(AND($F42&lt;=BI$2, OR($G42="",$G42&gt;=BI$2)),
  $H42 * (1 + Assumptions!$C$7) ^ INT(((YEAR(BI$2)-YEAR($F42))*12 + MONTH(BI$2)-MONTH($F42)) / 12),
  0)</f>
        <v>6500</v>
      </c>
      <c r="BJ42" s="291">
        <f>IF(AND($F42&lt;=BJ$2, OR($G42="",$G42&gt;=BJ$2)),
  $H42 * (1 + Assumptions!$C$7) ^ INT(((YEAR(BJ$2)-YEAR($F42))*12 + MONTH(BJ$2)-MONTH($F42)) / 12),
  0)</f>
        <v>6500</v>
      </c>
      <c r="BK42" s="291">
        <f>IF(AND($F42&lt;=BK$2, OR($G42="",$G42&gt;=BK$2)),
  $H42 * (1 + Assumptions!$C$7) ^ INT(((YEAR(BK$2)-YEAR($F42))*12 + MONTH(BK$2)-MONTH($F42)) / 12),
  0)</f>
        <v>6500</v>
      </c>
      <c r="BL42" s="291">
        <f>IF(AND($F42&lt;=BL$2, OR($G42="",$G42&gt;=BL$2)),
  $H42 * (1 + Assumptions!$C$7) ^ INT(((YEAR(BL$2)-YEAR($F42))*12 + MONTH(BL$2)-MONTH($F42)) / 12),
  0)</f>
        <v>6500</v>
      </c>
      <c r="BM42" s="291">
        <f>IF(AND($F42&lt;=BM$2, OR($G42="",$G42&gt;=BM$2)),
  $H42 * (1 + Assumptions!$C$7) ^ INT(((YEAR(BM$2)-YEAR($F42))*12 + MONTH(BM$2)-MONTH($F42)) / 12),
  0)</f>
        <v>6500</v>
      </c>
      <c r="BN42" s="291">
        <f>IF(AND($F42&lt;=BN$2, OR($G42="",$G42&gt;=BN$2)),
  $H42 * (1 + Assumptions!$C$7) ^ INT(((YEAR(BN$2)-YEAR($F42))*12 + MONTH(BN$2)-MONTH($F42)) / 12),
  0)</f>
        <v>6500</v>
      </c>
      <c r="BO42" s="291">
        <f>IF(AND($F42&lt;=BO$2, OR($G42="",$G42&gt;=BO$2)),
  $H42 * (1 + Assumptions!$C$7) ^ INT(((YEAR(BO$2)-YEAR($F42))*12 + MONTH(BO$2)-MONTH($F42)) / 12),
  0)</f>
        <v>6500</v>
      </c>
      <c r="BP42" s="291">
        <f>IF(AND($F42&lt;=BP$2, OR($G42="",$G42&gt;=BP$2)),
  $H42 * (1 + Assumptions!$C$7) ^ INT(((YEAR(BP$2)-YEAR($F42))*12 + MONTH(BP$2)-MONTH($F42)) / 12),
  0)</f>
        <v>6500</v>
      </c>
      <c r="BQ42" s="30"/>
    </row>
    <row r="43" ht="15.75" customHeight="1">
      <c r="A43" s="298">
        <v>38.0</v>
      </c>
      <c r="B43" s="282" t="s">
        <v>335</v>
      </c>
      <c r="C43" s="26" t="s">
        <v>144</v>
      </c>
      <c r="D43" s="75" t="s">
        <v>321</v>
      </c>
      <c r="E43" s="289" t="s">
        <v>337</v>
      </c>
      <c r="F43" s="300">
        <v>47178.0</v>
      </c>
      <c r="G43" s="301"/>
      <c r="H43" s="285">
        <v>6500.0</v>
      </c>
      <c r="I43" s="291">
        <f>IF(AND($F43&lt;=I$2, OR($G43="",$G43&gt;=I$2)),
  $H43 * (1 + Assumptions!$C$7) ^ INT(((YEAR(I$2)-YEAR($F43))*12 + MONTH(I$2)-MONTH($F43)) / 12),
  0)</f>
        <v>0</v>
      </c>
      <c r="J43" s="291">
        <f>IF(AND($F43&lt;=J$2, OR($G43="",$G43&gt;=J$2)),
  $H43 * (1 + Assumptions!$C$7) ^ INT(((YEAR(J$2)-YEAR($F43))*12 + MONTH(J$2)-MONTH($F43)) / 12),
  0)</f>
        <v>0</v>
      </c>
      <c r="K43" s="291">
        <f>IF(AND($F43&lt;=K$2, OR($G43="",$G43&gt;=K$2)),
  $H43 * (1 + Assumptions!$C$7) ^ INT(((YEAR(K$2)-YEAR($F43))*12 + MONTH(K$2)-MONTH($F43)) / 12),
  0)</f>
        <v>0</v>
      </c>
      <c r="L43" s="291">
        <f>IF(AND($F43&lt;=L$2, OR($G43="",$G43&gt;=L$2)),
  $H43 * (1 + Assumptions!$C$7) ^ INT(((YEAR(L$2)-YEAR($F43))*12 + MONTH(L$2)-MONTH($F43)) / 12),
  0)</f>
        <v>0</v>
      </c>
      <c r="M43" s="291">
        <f>IF(AND($F43&lt;=M$2, OR($G43="",$G43&gt;=M$2)),
  $H43 * (1 + Assumptions!$C$7) ^ INT(((YEAR(M$2)-YEAR($F43))*12 + MONTH(M$2)-MONTH($F43)) / 12),
  0)</f>
        <v>0</v>
      </c>
      <c r="N43" s="291">
        <f>IF(AND($F43&lt;=N$2, OR($G43="",$G43&gt;=N$2)),
  $H43 * (1 + Assumptions!$C$7) ^ INT(((YEAR(N$2)-YEAR($F43))*12 + MONTH(N$2)-MONTH($F43)) / 12),
  0)</f>
        <v>0</v>
      </c>
      <c r="O43" s="291">
        <f>IF(AND($F43&lt;=O$2, OR($G43="",$G43&gt;=O$2)),
  $H43 * (1 + Assumptions!$C$7) ^ INT(((YEAR(O$2)-YEAR($F43))*12 + MONTH(O$2)-MONTH($F43)) / 12),
  0)</f>
        <v>0</v>
      </c>
      <c r="P43" s="291">
        <f>IF(AND($F43&lt;=P$2, OR($G43="",$G43&gt;=P$2)),
  $H43 * (1 + Assumptions!$C$7) ^ INT(((YEAR(P$2)-YEAR($F43))*12 + MONTH(P$2)-MONTH($F43)) / 12),
  0)</f>
        <v>0</v>
      </c>
      <c r="Q43" s="291">
        <f>IF(AND($F43&lt;=Q$2, OR($G43="",$G43&gt;=Q$2)),
  $H43 * (1 + Assumptions!$C$7) ^ INT(((YEAR(Q$2)-YEAR($F43))*12 + MONTH(Q$2)-MONTH($F43)) / 12),
  0)</f>
        <v>0</v>
      </c>
      <c r="R43" s="291">
        <f>IF(AND($F43&lt;=R$2, OR($G43="",$G43&gt;=R$2)),
  $H43 * (1 + Assumptions!$C$7) ^ INT(((YEAR(R$2)-YEAR($F43))*12 + MONTH(R$2)-MONTH($F43)) / 12),
  0)</f>
        <v>0</v>
      </c>
      <c r="S43" s="291">
        <f>IF(AND($F43&lt;=S$2, OR($G43="",$G43&gt;=S$2)),
  $H43 * (1 + Assumptions!$C$7) ^ INT(((YEAR(S$2)-YEAR($F43))*12 + MONTH(S$2)-MONTH($F43)) / 12),
  0)</f>
        <v>0</v>
      </c>
      <c r="T43" s="291">
        <f>IF(AND($F43&lt;=T$2, OR($G43="",$G43&gt;=T$2)),
  $H43 * (1 + Assumptions!$C$7) ^ INT(((YEAR(T$2)-YEAR($F43))*12 + MONTH(T$2)-MONTH($F43)) / 12),
  0)</f>
        <v>0</v>
      </c>
      <c r="U43" s="291">
        <f>IF(AND($F43&lt;=U$2, OR($G43="",$G43&gt;=U$2)),
  $H43 * (1 + Assumptions!$C$7) ^ INT(((YEAR(U$2)-YEAR($F43))*12 + MONTH(U$2)-MONTH($F43)) / 12),
  0)</f>
        <v>0</v>
      </c>
      <c r="V43" s="291">
        <f>IF(AND($F43&lt;=V$2, OR($G43="",$G43&gt;=V$2)),
  $H43 * (1 + Assumptions!$C$7) ^ INT(((YEAR(V$2)-YEAR($F43))*12 + MONTH(V$2)-MONTH($F43)) / 12),
  0)</f>
        <v>0</v>
      </c>
      <c r="W43" s="291">
        <f>IF(AND($F43&lt;=W$2, OR($G43="",$G43&gt;=W$2)),
  $H43 * (1 + Assumptions!$C$7) ^ INT(((YEAR(W$2)-YEAR($F43))*12 + MONTH(W$2)-MONTH($F43)) / 12),
  0)</f>
        <v>0</v>
      </c>
      <c r="X43" s="291">
        <f>IF(AND($F43&lt;=X$2, OR($G43="",$G43&gt;=X$2)),
  $H43 * (1 + Assumptions!$C$7) ^ INT(((YEAR(X$2)-YEAR($F43))*12 + MONTH(X$2)-MONTH($F43)) / 12),
  0)</f>
        <v>0</v>
      </c>
      <c r="Y43" s="291">
        <f>IF(AND($F43&lt;=Y$2, OR($G43="",$G43&gt;=Y$2)),
  $H43 * (1 + Assumptions!$C$7) ^ INT(((YEAR(Y$2)-YEAR($F43))*12 + MONTH(Y$2)-MONTH($F43)) / 12),
  0)</f>
        <v>0</v>
      </c>
      <c r="Z43" s="291">
        <f>IF(AND($F43&lt;=Z$2, OR($G43="",$G43&gt;=Z$2)),
  $H43 * (1 + Assumptions!$C$7) ^ INT(((YEAR(Z$2)-YEAR($F43))*12 + MONTH(Z$2)-MONTH($F43)) / 12),
  0)</f>
        <v>0</v>
      </c>
      <c r="AA43" s="291">
        <f>IF(AND($F43&lt;=AA$2, OR($G43="",$G43&gt;=AA$2)),
  $H43 * (1 + Assumptions!$C$7) ^ INT(((YEAR(AA$2)-YEAR($F43))*12 + MONTH(AA$2)-MONTH($F43)) / 12),
  0)</f>
        <v>0</v>
      </c>
      <c r="AB43" s="291">
        <f>IF(AND($F43&lt;=AB$2, OR($G43="",$G43&gt;=AB$2)),
  $H43 * (1 + Assumptions!$C$7) ^ INT(((YEAR(AB$2)-YEAR($F43))*12 + MONTH(AB$2)-MONTH($F43)) / 12),
  0)</f>
        <v>0</v>
      </c>
      <c r="AC43" s="291">
        <f>IF(AND($F43&lt;=AC$2, OR($G43="",$G43&gt;=AC$2)),
  $H43 * (1 + Assumptions!$C$7) ^ INT(((YEAR(AC$2)-YEAR($F43))*12 + MONTH(AC$2)-MONTH($F43)) / 12),
  0)</f>
        <v>0</v>
      </c>
      <c r="AD43" s="291">
        <f>IF(AND($F43&lt;=AD$2, OR($G43="",$G43&gt;=AD$2)),
  $H43 * (1 + Assumptions!$C$7) ^ INT(((YEAR(AD$2)-YEAR($F43))*12 + MONTH(AD$2)-MONTH($F43)) / 12),
  0)</f>
        <v>0</v>
      </c>
      <c r="AE43" s="291">
        <f>IF(AND($F43&lt;=AE$2, OR($G43="",$G43&gt;=AE$2)),
  $H43 * (1 + Assumptions!$C$7) ^ INT(((YEAR(AE$2)-YEAR($F43))*12 + MONTH(AE$2)-MONTH($F43)) / 12),
  0)</f>
        <v>0</v>
      </c>
      <c r="AF43" s="291">
        <f>IF(AND($F43&lt;=AF$2, OR($G43="",$G43&gt;=AF$2)),
  $H43 * (1 + Assumptions!$C$7) ^ INT(((YEAR(AF$2)-YEAR($F43))*12 + MONTH(AF$2)-MONTH($F43)) / 12),
  0)</f>
        <v>0</v>
      </c>
      <c r="AG43" s="291">
        <f>IF(AND($F43&lt;=AG$2, OR($G43="",$G43&gt;=AG$2)),
  $H43 * (1 + Assumptions!$C$7) ^ INT(((YEAR(AG$2)-YEAR($F43))*12 + MONTH(AG$2)-MONTH($F43)) / 12),
  0)</f>
        <v>0</v>
      </c>
      <c r="AH43" s="291">
        <f>IF(AND($F43&lt;=AH$2, OR($G43="",$G43&gt;=AH$2)),
  $H43 * (1 + Assumptions!$C$7) ^ INT(((YEAR(AH$2)-YEAR($F43))*12 + MONTH(AH$2)-MONTH($F43)) / 12),
  0)</f>
        <v>0</v>
      </c>
      <c r="AI43" s="291">
        <f>IF(AND($F43&lt;=AI$2, OR($G43="",$G43&gt;=AI$2)),
  $H43 * (1 + Assumptions!$C$7) ^ INT(((YEAR(AI$2)-YEAR($F43))*12 + MONTH(AI$2)-MONTH($F43)) / 12),
  0)</f>
        <v>0</v>
      </c>
      <c r="AJ43" s="291">
        <f>IF(AND($F43&lt;=AJ$2, OR($G43="",$G43&gt;=AJ$2)),
  $H43 * (1 + Assumptions!$C$7) ^ INT(((YEAR(AJ$2)-YEAR($F43))*12 + MONTH(AJ$2)-MONTH($F43)) / 12),
  0)</f>
        <v>0</v>
      </c>
      <c r="AK43" s="291">
        <f>IF(AND($F43&lt;=AK$2, OR($G43="",$G43&gt;=AK$2)),
  $H43 * (1 + Assumptions!$C$7) ^ INT(((YEAR(AK$2)-YEAR($F43))*12 + MONTH(AK$2)-MONTH($F43)) / 12),
  0)</f>
        <v>0</v>
      </c>
      <c r="AL43" s="291">
        <f>IF(AND($F43&lt;=AL$2, OR($G43="",$G43&gt;=AL$2)),
  $H43 * (1 + Assumptions!$C$7) ^ INT(((YEAR(AL$2)-YEAR($F43))*12 + MONTH(AL$2)-MONTH($F43)) / 12),
  0)</f>
        <v>0</v>
      </c>
      <c r="AM43" s="291">
        <f>IF(AND($F43&lt;=AM$2, OR($G43="",$G43&gt;=AM$2)),
  $H43 * (1 + Assumptions!$C$7) ^ INT(((YEAR(AM$2)-YEAR($F43))*12 + MONTH(AM$2)-MONTH($F43)) / 12),
  0)</f>
        <v>0</v>
      </c>
      <c r="AN43" s="291">
        <f>IF(AND($F43&lt;=AN$2, OR($G43="",$G43&gt;=AN$2)),
  $H43 * (1 + Assumptions!$C$7) ^ INT(((YEAR(AN$2)-YEAR($F43))*12 + MONTH(AN$2)-MONTH($F43)) / 12),
  0)</f>
        <v>0</v>
      </c>
      <c r="AO43" s="291">
        <f>IF(AND($F43&lt;=AO$2, OR($G43="",$G43&gt;=AO$2)),
  $H43 * (1 + Assumptions!$C$7) ^ INT(((YEAR(AO$2)-YEAR($F43))*12 + MONTH(AO$2)-MONTH($F43)) / 12),
  0)</f>
        <v>0</v>
      </c>
      <c r="AP43" s="291">
        <f>IF(AND($F43&lt;=AP$2, OR($G43="",$G43&gt;=AP$2)),
  $H43 * (1 + Assumptions!$C$7) ^ INT(((YEAR(AP$2)-YEAR($F43))*12 + MONTH(AP$2)-MONTH($F43)) / 12),
  0)</f>
        <v>0</v>
      </c>
      <c r="AQ43" s="291">
        <f>IF(AND($F43&lt;=AQ$2, OR($G43="",$G43&gt;=AQ$2)),
  $H43 * (1 + Assumptions!$C$7) ^ INT(((YEAR(AQ$2)-YEAR($F43))*12 + MONTH(AQ$2)-MONTH($F43)) / 12),
  0)</f>
        <v>0</v>
      </c>
      <c r="AR43" s="291">
        <f>IF(AND($F43&lt;=AR$2, OR($G43="",$G43&gt;=AR$2)),
  $H43 * (1 + Assumptions!$C$7) ^ INT(((YEAR(AR$2)-YEAR($F43))*12 + MONTH(AR$2)-MONTH($F43)) / 12),
  0)</f>
        <v>0</v>
      </c>
      <c r="AS43" s="291">
        <f>IF(AND($F43&lt;=AS$2, OR($G43="",$G43&gt;=AS$2)),
  $H43 * (1 + Assumptions!$C$7) ^ INT(((YEAR(AS$2)-YEAR($F43))*12 + MONTH(AS$2)-MONTH($F43)) / 12),
  0)</f>
        <v>0</v>
      </c>
      <c r="AT43" s="291">
        <f>IF(AND($F43&lt;=AT$2, OR($G43="",$G43&gt;=AT$2)),
  $H43 * (1 + Assumptions!$C$7) ^ INT(((YEAR(AT$2)-YEAR($F43))*12 + MONTH(AT$2)-MONTH($F43)) / 12),
  0)</f>
        <v>0</v>
      </c>
      <c r="AU43" s="291">
        <f>IF(AND($F43&lt;=AU$2, OR($G43="",$G43&gt;=AU$2)),
  $H43 * (1 + Assumptions!$C$7) ^ INT(((YEAR(AU$2)-YEAR($F43))*12 + MONTH(AU$2)-MONTH($F43)) / 12),
  0)</f>
        <v>0</v>
      </c>
      <c r="AV43" s="291">
        <f>IF(AND($F43&lt;=AV$2, OR($G43="",$G43&gt;=AV$2)),
  $H43 * (1 + Assumptions!$C$7) ^ INT(((YEAR(AV$2)-YEAR($F43))*12 + MONTH(AV$2)-MONTH($F43)) / 12),
  0)</f>
        <v>0</v>
      </c>
      <c r="AW43" s="291">
        <f>IF(AND($F43&lt;=AW$2, OR($G43="",$G43&gt;=AW$2)),
  $H43 * (1 + Assumptions!$C$7) ^ INT(((YEAR(AW$2)-YEAR($F43))*12 + MONTH(AW$2)-MONTH($F43)) / 12),
  0)</f>
        <v>0</v>
      </c>
      <c r="AX43" s="291">
        <f>IF(AND($F43&lt;=AX$2, OR($G43="",$G43&gt;=AX$2)),
  $H43 * (1 + Assumptions!$C$7) ^ INT(((YEAR(AX$2)-YEAR($F43))*12 + MONTH(AX$2)-MONTH($F43)) / 12),
  0)</f>
        <v>0</v>
      </c>
      <c r="AY43" s="291">
        <f>IF(AND($F43&lt;=AY$2, OR($G43="",$G43&gt;=AY$2)),
  $H43 * (1 + Assumptions!$C$7) ^ INT(((YEAR(AY$2)-YEAR($F43))*12 + MONTH(AY$2)-MONTH($F43)) / 12),
  0)</f>
        <v>0</v>
      </c>
      <c r="AZ43" s="291">
        <f>IF(AND($F43&lt;=AZ$2, OR($G43="",$G43&gt;=AZ$2)),
  $H43 * (1 + Assumptions!$C$7) ^ INT(((YEAR(AZ$2)-YEAR($F43))*12 + MONTH(AZ$2)-MONTH($F43)) / 12),
  0)</f>
        <v>0</v>
      </c>
      <c r="BA43" s="291">
        <f>IF(AND($F43&lt;=BA$2, OR($G43="",$G43&gt;=BA$2)),
  $H43 * (1 + Assumptions!$C$7) ^ INT(((YEAR(BA$2)-YEAR($F43))*12 + MONTH(BA$2)-MONTH($F43)) / 12),
  0)</f>
        <v>0</v>
      </c>
      <c r="BB43" s="291">
        <f>IF(AND($F43&lt;=BB$2, OR($G43="",$G43&gt;=BB$2)),
  $H43 * (1 + Assumptions!$C$7) ^ INT(((YEAR(BB$2)-YEAR($F43))*12 + MONTH(BB$2)-MONTH($F43)) / 12),
  0)</f>
        <v>0</v>
      </c>
      <c r="BC43" s="291">
        <f>IF(AND($F43&lt;=BC$2, OR($G43="",$G43&gt;=BC$2)),
  $H43 * (1 + Assumptions!$C$7) ^ INT(((YEAR(BC$2)-YEAR($F43))*12 + MONTH(BC$2)-MONTH($F43)) / 12),
  0)</f>
        <v>0</v>
      </c>
      <c r="BD43" s="291">
        <f>IF(AND($F43&lt;=BD$2, OR($G43="",$G43&gt;=BD$2)),
  $H43 * (1 + Assumptions!$C$7) ^ INT(((YEAR(BD$2)-YEAR($F43))*12 + MONTH(BD$2)-MONTH($F43)) / 12),
  0)</f>
        <v>0</v>
      </c>
      <c r="BE43" s="291">
        <f>IF(AND($F43&lt;=BE$2, OR($G43="",$G43&gt;=BE$2)),
  $H43 * (1 + Assumptions!$C$7) ^ INT(((YEAR(BE$2)-YEAR($F43))*12 + MONTH(BE$2)-MONTH($F43)) / 12),
  0)</f>
        <v>0</v>
      </c>
      <c r="BF43" s="291">
        <f>IF(AND($F43&lt;=BF$2, OR($G43="",$G43&gt;=BF$2)),
  $H43 * (1 + Assumptions!$C$7) ^ INT(((YEAR(BF$2)-YEAR($F43))*12 + MONTH(BF$2)-MONTH($F43)) / 12),
  0)</f>
        <v>0</v>
      </c>
      <c r="BG43" s="291">
        <f>IF(AND($F43&lt;=BG$2, OR($G43="",$G43&gt;=BG$2)),
  $H43 * (1 + Assumptions!$C$7) ^ INT(((YEAR(BG$2)-YEAR($F43))*12 + MONTH(BG$2)-MONTH($F43)) / 12),
  0)</f>
        <v>6500</v>
      </c>
      <c r="BH43" s="291">
        <f>IF(AND($F43&lt;=BH$2, OR($G43="",$G43&gt;=BH$2)),
  $H43 * (1 + Assumptions!$C$7) ^ INT(((YEAR(BH$2)-YEAR($F43))*12 + MONTH(BH$2)-MONTH($F43)) / 12),
  0)</f>
        <v>6500</v>
      </c>
      <c r="BI43" s="291">
        <f>IF(AND($F43&lt;=BI$2, OR($G43="",$G43&gt;=BI$2)),
  $H43 * (1 + Assumptions!$C$7) ^ INT(((YEAR(BI$2)-YEAR($F43))*12 + MONTH(BI$2)-MONTH($F43)) / 12),
  0)</f>
        <v>6500</v>
      </c>
      <c r="BJ43" s="291">
        <f>IF(AND($F43&lt;=BJ$2, OR($G43="",$G43&gt;=BJ$2)),
  $H43 * (1 + Assumptions!$C$7) ^ INT(((YEAR(BJ$2)-YEAR($F43))*12 + MONTH(BJ$2)-MONTH($F43)) / 12),
  0)</f>
        <v>6500</v>
      </c>
      <c r="BK43" s="291">
        <f>IF(AND($F43&lt;=BK$2, OR($G43="",$G43&gt;=BK$2)),
  $H43 * (1 + Assumptions!$C$7) ^ INT(((YEAR(BK$2)-YEAR($F43))*12 + MONTH(BK$2)-MONTH($F43)) / 12),
  0)</f>
        <v>6500</v>
      </c>
      <c r="BL43" s="291">
        <f>IF(AND($F43&lt;=BL$2, OR($G43="",$G43&gt;=BL$2)),
  $H43 * (1 + Assumptions!$C$7) ^ INT(((YEAR(BL$2)-YEAR($F43))*12 + MONTH(BL$2)-MONTH($F43)) / 12),
  0)</f>
        <v>6500</v>
      </c>
      <c r="BM43" s="291">
        <f>IF(AND($F43&lt;=BM$2, OR($G43="",$G43&gt;=BM$2)),
  $H43 * (1 + Assumptions!$C$7) ^ INT(((YEAR(BM$2)-YEAR($F43))*12 + MONTH(BM$2)-MONTH($F43)) / 12),
  0)</f>
        <v>6500</v>
      </c>
      <c r="BN43" s="291">
        <f>IF(AND($F43&lt;=BN$2, OR($G43="",$G43&gt;=BN$2)),
  $H43 * (1 + Assumptions!$C$7) ^ INT(((YEAR(BN$2)-YEAR($F43))*12 + MONTH(BN$2)-MONTH($F43)) / 12),
  0)</f>
        <v>6500</v>
      </c>
      <c r="BO43" s="291">
        <f>IF(AND($F43&lt;=BO$2, OR($G43="",$G43&gt;=BO$2)),
  $H43 * (1 + Assumptions!$C$7) ^ INT(((YEAR(BO$2)-YEAR($F43))*12 + MONTH(BO$2)-MONTH($F43)) / 12),
  0)</f>
        <v>6500</v>
      </c>
      <c r="BP43" s="291">
        <f>IF(AND($F43&lt;=BP$2, OR($G43="",$G43&gt;=BP$2)),
  $H43 * (1 + Assumptions!$C$7) ^ INT(((YEAR(BP$2)-YEAR($F43))*12 + MONTH(BP$2)-MONTH($F43)) / 12),
  0)</f>
        <v>6500</v>
      </c>
      <c r="BQ43" s="30"/>
    </row>
    <row r="44" ht="15.75" customHeight="1">
      <c r="A44" s="298">
        <v>39.0</v>
      </c>
      <c r="B44" s="282" t="s">
        <v>335</v>
      </c>
      <c r="C44" s="26" t="s">
        <v>144</v>
      </c>
      <c r="D44" s="303" t="s">
        <v>322</v>
      </c>
      <c r="E44" s="289" t="s">
        <v>337</v>
      </c>
      <c r="F44" s="300">
        <v>47179.0</v>
      </c>
      <c r="G44" s="301"/>
      <c r="H44" s="285">
        <v>6500.0</v>
      </c>
      <c r="I44" s="291">
        <f>IF(AND($F44&lt;=I$2, OR($G44="",$G44&gt;=I$2)),
  $H44 * (1 + Assumptions!$C$7) ^ INT(((YEAR(I$2)-YEAR($F44))*12 + MONTH(I$2)-MONTH($F44)) / 12),
  0)</f>
        <v>0</v>
      </c>
      <c r="J44" s="291">
        <f>IF(AND($F44&lt;=J$2, OR($G44="",$G44&gt;=J$2)),
  $H44 * (1 + Assumptions!$C$7) ^ INT(((YEAR(J$2)-YEAR($F44))*12 + MONTH(J$2)-MONTH($F44)) / 12),
  0)</f>
        <v>0</v>
      </c>
      <c r="K44" s="291">
        <f>IF(AND($F44&lt;=K$2, OR($G44="",$G44&gt;=K$2)),
  $H44 * (1 + Assumptions!$C$7) ^ INT(((YEAR(K$2)-YEAR($F44))*12 + MONTH(K$2)-MONTH($F44)) / 12),
  0)</f>
        <v>0</v>
      </c>
      <c r="L44" s="291">
        <f>IF(AND($F44&lt;=L$2, OR($G44="",$G44&gt;=L$2)),
  $H44 * (1 + Assumptions!$C$7) ^ INT(((YEAR(L$2)-YEAR($F44))*12 + MONTH(L$2)-MONTH($F44)) / 12),
  0)</f>
        <v>0</v>
      </c>
      <c r="M44" s="291">
        <f>IF(AND($F44&lt;=M$2, OR($G44="",$G44&gt;=M$2)),
  $H44 * (1 + Assumptions!$C$7) ^ INT(((YEAR(M$2)-YEAR($F44))*12 + MONTH(M$2)-MONTH($F44)) / 12),
  0)</f>
        <v>0</v>
      </c>
      <c r="N44" s="291">
        <f>IF(AND($F44&lt;=N$2, OR($G44="",$G44&gt;=N$2)),
  $H44 * (1 + Assumptions!$C$7) ^ INT(((YEAR(N$2)-YEAR($F44))*12 + MONTH(N$2)-MONTH($F44)) / 12),
  0)</f>
        <v>0</v>
      </c>
      <c r="O44" s="291">
        <f>IF(AND($F44&lt;=O$2, OR($G44="",$G44&gt;=O$2)),
  $H44 * (1 + Assumptions!$C$7) ^ INT(((YEAR(O$2)-YEAR($F44))*12 + MONTH(O$2)-MONTH($F44)) / 12),
  0)</f>
        <v>0</v>
      </c>
      <c r="P44" s="291">
        <f>IF(AND($F44&lt;=P$2, OR($G44="",$G44&gt;=P$2)),
  $H44 * (1 + Assumptions!$C$7) ^ INT(((YEAR(P$2)-YEAR($F44))*12 + MONTH(P$2)-MONTH($F44)) / 12),
  0)</f>
        <v>0</v>
      </c>
      <c r="Q44" s="291">
        <f>IF(AND($F44&lt;=Q$2, OR($G44="",$G44&gt;=Q$2)),
  $H44 * (1 + Assumptions!$C$7) ^ INT(((YEAR(Q$2)-YEAR($F44))*12 + MONTH(Q$2)-MONTH($F44)) / 12),
  0)</f>
        <v>0</v>
      </c>
      <c r="R44" s="291">
        <f>IF(AND($F44&lt;=R$2, OR($G44="",$G44&gt;=R$2)),
  $H44 * (1 + Assumptions!$C$7) ^ INT(((YEAR(R$2)-YEAR($F44))*12 + MONTH(R$2)-MONTH($F44)) / 12),
  0)</f>
        <v>0</v>
      </c>
      <c r="S44" s="291">
        <f>IF(AND($F44&lt;=S$2, OR($G44="",$G44&gt;=S$2)),
  $H44 * (1 + Assumptions!$C$7) ^ INT(((YEAR(S$2)-YEAR($F44))*12 + MONTH(S$2)-MONTH($F44)) / 12),
  0)</f>
        <v>0</v>
      </c>
      <c r="T44" s="291">
        <f>IF(AND($F44&lt;=T$2, OR($G44="",$G44&gt;=T$2)),
  $H44 * (1 + Assumptions!$C$7) ^ INT(((YEAR(T$2)-YEAR($F44))*12 + MONTH(T$2)-MONTH($F44)) / 12),
  0)</f>
        <v>0</v>
      </c>
      <c r="U44" s="291">
        <f>IF(AND($F44&lt;=U$2, OR($G44="",$G44&gt;=U$2)),
  $H44 * (1 + Assumptions!$C$7) ^ INT(((YEAR(U$2)-YEAR($F44))*12 + MONTH(U$2)-MONTH($F44)) / 12),
  0)</f>
        <v>0</v>
      </c>
      <c r="V44" s="291">
        <f>IF(AND($F44&lt;=V$2, OR($G44="",$G44&gt;=V$2)),
  $H44 * (1 + Assumptions!$C$7) ^ INT(((YEAR(V$2)-YEAR($F44))*12 + MONTH(V$2)-MONTH($F44)) / 12),
  0)</f>
        <v>0</v>
      </c>
      <c r="W44" s="291">
        <f>IF(AND($F44&lt;=W$2, OR($G44="",$G44&gt;=W$2)),
  $H44 * (1 + Assumptions!$C$7) ^ INT(((YEAR(W$2)-YEAR($F44))*12 + MONTH(W$2)-MONTH($F44)) / 12),
  0)</f>
        <v>0</v>
      </c>
      <c r="X44" s="291">
        <f>IF(AND($F44&lt;=X$2, OR($G44="",$G44&gt;=X$2)),
  $H44 * (1 + Assumptions!$C$7) ^ INT(((YEAR(X$2)-YEAR($F44))*12 + MONTH(X$2)-MONTH($F44)) / 12),
  0)</f>
        <v>0</v>
      </c>
      <c r="Y44" s="291">
        <f>IF(AND($F44&lt;=Y$2, OR($G44="",$G44&gt;=Y$2)),
  $H44 * (1 + Assumptions!$C$7) ^ INT(((YEAR(Y$2)-YEAR($F44))*12 + MONTH(Y$2)-MONTH($F44)) / 12),
  0)</f>
        <v>0</v>
      </c>
      <c r="Z44" s="291">
        <f>IF(AND($F44&lt;=Z$2, OR($G44="",$G44&gt;=Z$2)),
  $H44 * (1 + Assumptions!$C$7) ^ INT(((YEAR(Z$2)-YEAR($F44))*12 + MONTH(Z$2)-MONTH($F44)) / 12),
  0)</f>
        <v>0</v>
      </c>
      <c r="AA44" s="291">
        <f>IF(AND($F44&lt;=AA$2, OR($G44="",$G44&gt;=AA$2)),
  $H44 * (1 + Assumptions!$C$7) ^ INT(((YEAR(AA$2)-YEAR($F44))*12 + MONTH(AA$2)-MONTH($F44)) / 12),
  0)</f>
        <v>0</v>
      </c>
      <c r="AB44" s="291">
        <f>IF(AND($F44&lt;=AB$2, OR($G44="",$G44&gt;=AB$2)),
  $H44 * (1 + Assumptions!$C$7) ^ INT(((YEAR(AB$2)-YEAR($F44))*12 + MONTH(AB$2)-MONTH($F44)) / 12),
  0)</f>
        <v>0</v>
      </c>
      <c r="AC44" s="291">
        <f>IF(AND($F44&lt;=AC$2, OR($G44="",$G44&gt;=AC$2)),
  $H44 * (1 + Assumptions!$C$7) ^ INT(((YEAR(AC$2)-YEAR($F44))*12 + MONTH(AC$2)-MONTH($F44)) / 12),
  0)</f>
        <v>0</v>
      </c>
      <c r="AD44" s="291">
        <f>IF(AND($F44&lt;=AD$2, OR($G44="",$G44&gt;=AD$2)),
  $H44 * (1 + Assumptions!$C$7) ^ INT(((YEAR(AD$2)-YEAR($F44))*12 + MONTH(AD$2)-MONTH($F44)) / 12),
  0)</f>
        <v>0</v>
      </c>
      <c r="AE44" s="291">
        <f>IF(AND($F44&lt;=AE$2, OR($G44="",$G44&gt;=AE$2)),
  $H44 * (1 + Assumptions!$C$7) ^ INT(((YEAR(AE$2)-YEAR($F44))*12 + MONTH(AE$2)-MONTH($F44)) / 12),
  0)</f>
        <v>0</v>
      </c>
      <c r="AF44" s="291">
        <f>IF(AND($F44&lt;=AF$2, OR($G44="",$G44&gt;=AF$2)),
  $H44 * (1 + Assumptions!$C$7) ^ INT(((YEAR(AF$2)-YEAR($F44))*12 + MONTH(AF$2)-MONTH($F44)) / 12),
  0)</f>
        <v>0</v>
      </c>
      <c r="AG44" s="291">
        <f>IF(AND($F44&lt;=AG$2, OR($G44="",$G44&gt;=AG$2)),
  $H44 * (1 + Assumptions!$C$7) ^ INT(((YEAR(AG$2)-YEAR($F44))*12 + MONTH(AG$2)-MONTH($F44)) / 12),
  0)</f>
        <v>0</v>
      </c>
      <c r="AH44" s="291">
        <f>IF(AND($F44&lt;=AH$2, OR($G44="",$G44&gt;=AH$2)),
  $H44 * (1 + Assumptions!$C$7) ^ INT(((YEAR(AH$2)-YEAR($F44))*12 + MONTH(AH$2)-MONTH($F44)) / 12),
  0)</f>
        <v>0</v>
      </c>
      <c r="AI44" s="291">
        <f>IF(AND($F44&lt;=AI$2, OR($G44="",$G44&gt;=AI$2)),
  $H44 * (1 + Assumptions!$C$7) ^ INT(((YEAR(AI$2)-YEAR($F44))*12 + MONTH(AI$2)-MONTH($F44)) / 12),
  0)</f>
        <v>0</v>
      </c>
      <c r="AJ44" s="291">
        <f>IF(AND($F44&lt;=AJ$2, OR($G44="",$G44&gt;=AJ$2)),
  $H44 * (1 + Assumptions!$C$7) ^ INT(((YEAR(AJ$2)-YEAR($F44))*12 + MONTH(AJ$2)-MONTH($F44)) / 12),
  0)</f>
        <v>0</v>
      </c>
      <c r="AK44" s="291">
        <f>IF(AND($F44&lt;=AK$2, OR($G44="",$G44&gt;=AK$2)),
  $H44 * (1 + Assumptions!$C$7) ^ INT(((YEAR(AK$2)-YEAR($F44))*12 + MONTH(AK$2)-MONTH($F44)) / 12),
  0)</f>
        <v>0</v>
      </c>
      <c r="AL44" s="291">
        <f>IF(AND($F44&lt;=AL$2, OR($G44="",$G44&gt;=AL$2)),
  $H44 * (1 + Assumptions!$C$7) ^ INT(((YEAR(AL$2)-YEAR($F44))*12 + MONTH(AL$2)-MONTH($F44)) / 12),
  0)</f>
        <v>0</v>
      </c>
      <c r="AM44" s="291">
        <f>IF(AND($F44&lt;=AM$2, OR($G44="",$G44&gt;=AM$2)),
  $H44 * (1 + Assumptions!$C$7) ^ INT(((YEAR(AM$2)-YEAR($F44))*12 + MONTH(AM$2)-MONTH($F44)) / 12),
  0)</f>
        <v>0</v>
      </c>
      <c r="AN44" s="291">
        <f>IF(AND($F44&lt;=AN$2, OR($G44="",$G44&gt;=AN$2)),
  $H44 * (1 + Assumptions!$C$7) ^ INT(((YEAR(AN$2)-YEAR($F44))*12 + MONTH(AN$2)-MONTH($F44)) / 12),
  0)</f>
        <v>0</v>
      </c>
      <c r="AO44" s="291">
        <f>IF(AND($F44&lt;=AO$2, OR($G44="",$G44&gt;=AO$2)),
  $H44 * (1 + Assumptions!$C$7) ^ INT(((YEAR(AO$2)-YEAR($F44))*12 + MONTH(AO$2)-MONTH($F44)) / 12),
  0)</f>
        <v>0</v>
      </c>
      <c r="AP44" s="291">
        <f>IF(AND($F44&lt;=AP$2, OR($G44="",$G44&gt;=AP$2)),
  $H44 * (1 + Assumptions!$C$7) ^ INT(((YEAR(AP$2)-YEAR($F44))*12 + MONTH(AP$2)-MONTH($F44)) / 12),
  0)</f>
        <v>0</v>
      </c>
      <c r="AQ44" s="291">
        <f>IF(AND($F44&lt;=AQ$2, OR($G44="",$G44&gt;=AQ$2)),
  $H44 * (1 + Assumptions!$C$7) ^ INT(((YEAR(AQ$2)-YEAR($F44))*12 + MONTH(AQ$2)-MONTH($F44)) / 12),
  0)</f>
        <v>0</v>
      </c>
      <c r="AR44" s="291">
        <f>IF(AND($F44&lt;=AR$2, OR($G44="",$G44&gt;=AR$2)),
  $H44 * (1 + Assumptions!$C$7) ^ INT(((YEAR(AR$2)-YEAR($F44))*12 + MONTH(AR$2)-MONTH($F44)) / 12),
  0)</f>
        <v>0</v>
      </c>
      <c r="AS44" s="291">
        <f>IF(AND($F44&lt;=AS$2, OR($G44="",$G44&gt;=AS$2)),
  $H44 * (1 + Assumptions!$C$7) ^ INT(((YEAR(AS$2)-YEAR($F44))*12 + MONTH(AS$2)-MONTH($F44)) / 12),
  0)</f>
        <v>0</v>
      </c>
      <c r="AT44" s="291">
        <f>IF(AND($F44&lt;=AT$2, OR($G44="",$G44&gt;=AT$2)),
  $H44 * (1 + Assumptions!$C$7) ^ INT(((YEAR(AT$2)-YEAR($F44))*12 + MONTH(AT$2)-MONTH($F44)) / 12),
  0)</f>
        <v>0</v>
      </c>
      <c r="AU44" s="291">
        <f>IF(AND($F44&lt;=AU$2, OR($G44="",$G44&gt;=AU$2)),
  $H44 * (1 + Assumptions!$C$7) ^ INT(((YEAR(AU$2)-YEAR($F44))*12 + MONTH(AU$2)-MONTH($F44)) / 12),
  0)</f>
        <v>0</v>
      </c>
      <c r="AV44" s="291">
        <f>IF(AND($F44&lt;=AV$2, OR($G44="",$G44&gt;=AV$2)),
  $H44 * (1 + Assumptions!$C$7) ^ INT(((YEAR(AV$2)-YEAR($F44))*12 + MONTH(AV$2)-MONTH($F44)) / 12),
  0)</f>
        <v>0</v>
      </c>
      <c r="AW44" s="291">
        <f>IF(AND($F44&lt;=AW$2, OR($G44="",$G44&gt;=AW$2)),
  $H44 * (1 + Assumptions!$C$7) ^ INT(((YEAR(AW$2)-YEAR($F44))*12 + MONTH(AW$2)-MONTH($F44)) / 12),
  0)</f>
        <v>0</v>
      </c>
      <c r="AX44" s="291">
        <f>IF(AND($F44&lt;=AX$2, OR($G44="",$G44&gt;=AX$2)),
  $H44 * (1 + Assumptions!$C$7) ^ INT(((YEAR(AX$2)-YEAR($F44))*12 + MONTH(AX$2)-MONTH($F44)) / 12),
  0)</f>
        <v>0</v>
      </c>
      <c r="AY44" s="291">
        <f>IF(AND($F44&lt;=AY$2, OR($G44="",$G44&gt;=AY$2)),
  $H44 * (1 + Assumptions!$C$7) ^ INT(((YEAR(AY$2)-YEAR($F44))*12 + MONTH(AY$2)-MONTH($F44)) / 12),
  0)</f>
        <v>0</v>
      </c>
      <c r="AZ44" s="291">
        <f>IF(AND($F44&lt;=AZ$2, OR($G44="",$G44&gt;=AZ$2)),
  $H44 * (1 + Assumptions!$C$7) ^ INT(((YEAR(AZ$2)-YEAR($F44))*12 + MONTH(AZ$2)-MONTH($F44)) / 12),
  0)</f>
        <v>0</v>
      </c>
      <c r="BA44" s="291">
        <f>IF(AND($F44&lt;=BA$2, OR($G44="",$G44&gt;=BA$2)),
  $H44 * (1 + Assumptions!$C$7) ^ INT(((YEAR(BA$2)-YEAR($F44))*12 + MONTH(BA$2)-MONTH($F44)) / 12),
  0)</f>
        <v>0</v>
      </c>
      <c r="BB44" s="291">
        <f>IF(AND($F44&lt;=BB$2, OR($G44="",$G44&gt;=BB$2)),
  $H44 * (1 + Assumptions!$C$7) ^ INT(((YEAR(BB$2)-YEAR($F44))*12 + MONTH(BB$2)-MONTH($F44)) / 12),
  0)</f>
        <v>0</v>
      </c>
      <c r="BC44" s="291">
        <f>IF(AND($F44&lt;=BC$2, OR($G44="",$G44&gt;=BC$2)),
  $H44 * (1 + Assumptions!$C$7) ^ INT(((YEAR(BC$2)-YEAR($F44))*12 + MONTH(BC$2)-MONTH($F44)) / 12),
  0)</f>
        <v>0</v>
      </c>
      <c r="BD44" s="291">
        <f>IF(AND($F44&lt;=BD$2, OR($G44="",$G44&gt;=BD$2)),
  $H44 * (1 + Assumptions!$C$7) ^ INT(((YEAR(BD$2)-YEAR($F44))*12 + MONTH(BD$2)-MONTH($F44)) / 12),
  0)</f>
        <v>0</v>
      </c>
      <c r="BE44" s="291">
        <f>IF(AND($F44&lt;=BE$2, OR($G44="",$G44&gt;=BE$2)),
  $H44 * (1 + Assumptions!$C$7) ^ INT(((YEAR(BE$2)-YEAR($F44))*12 + MONTH(BE$2)-MONTH($F44)) / 12),
  0)</f>
        <v>0</v>
      </c>
      <c r="BF44" s="291">
        <f>IF(AND($F44&lt;=BF$2, OR($G44="",$G44&gt;=BF$2)),
  $H44 * (1 + Assumptions!$C$7) ^ INT(((YEAR(BF$2)-YEAR($F44))*12 + MONTH(BF$2)-MONTH($F44)) / 12),
  0)</f>
        <v>0</v>
      </c>
      <c r="BG44" s="291">
        <f>IF(AND($F44&lt;=BG$2, OR($G44="",$G44&gt;=BG$2)),
  $H44 * (1 + Assumptions!$C$7) ^ INT(((YEAR(BG$2)-YEAR($F44))*12 + MONTH(BG$2)-MONTH($F44)) / 12),
  0)</f>
        <v>0</v>
      </c>
      <c r="BH44" s="291">
        <f>IF(AND($F44&lt;=BH$2, OR($G44="",$G44&gt;=BH$2)),
  $H44 * (1 + Assumptions!$C$7) ^ INT(((YEAR(BH$2)-YEAR($F44))*12 + MONTH(BH$2)-MONTH($F44)) / 12),
  0)</f>
        <v>6500</v>
      </c>
      <c r="BI44" s="291">
        <f>IF(AND($F44&lt;=BI$2, OR($G44="",$G44&gt;=BI$2)),
  $H44 * (1 + Assumptions!$C$7) ^ INT(((YEAR(BI$2)-YEAR($F44))*12 + MONTH(BI$2)-MONTH($F44)) / 12),
  0)</f>
        <v>6500</v>
      </c>
      <c r="BJ44" s="291">
        <f>IF(AND($F44&lt;=BJ$2, OR($G44="",$G44&gt;=BJ$2)),
  $H44 * (1 + Assumptions!$C$7) ^ INT(((YEAR(BJ$2)-YEAR($F44))*12 + MONTH(BJ$2)-MONTH($F44)) / 12),
  0)</f>
        <v>6500</v>
      </c>
      <c r="BK44" s="291">
        <f>IF(AND($F44&lt;=BK$2, OR($G44="",$G44&gt;=BK$2)),
  $H44 * (1 + Assumptions!$C$7) ^ INT(((YEAR(BK$2)-YEAR($F44))*12 + MONTH(BK$2)-MONTH($F44)) / 12),
  0)</f>
        <v>6500</v>
      </c>
      <c r="BL44" s="291">
        <f>IF(AND($F44&lt;=BL$2, OR($G44="",$G44&gt;=BL$2)),
  $H44 * (1 + Assumptions!$C$7) ^ INT(((YEAR(BL$2)-YEAR($F44))*12 + MONTH(BL$2)-MONTH($F44)) / 12),
  0)</f>
        <v>6500</v>
      </c>
      <c r="BM44" s="291">
        <f>IF(AND($F44&lt;=BM$2, OR($G44="",$G44&gt;=BM$2)),
  $H44 * (1 + Assumptions!$C$7) ^ INT(((YEAR(BM$2)-YEAR($F44))*12 + MONTH(BM$2)-MONTH($F44)) / 12),
  0)</f>
        <v>6500</v>
      </c>
      <c r="BN44" s="291">
        <f>IF(AND($F44&lt;=BN$2, OR($G44="",$G44&gt;=BN$2)),
  $H44 * (1 + Assumptions!$C$7) ^ INT(((YEAR(BN$2)-YEAR($F44))*12 + MONTH(BN$2)-MONTH($F44)) / 12),
  0)</f>
        <v>6500</v>
      </c>
      <c r="BO44" s="291">
        <f>IF(AND($F44&lt;=BO$2, OR($G44="",$G44&gt;=BO$2)),
  $H44 * (1 + Assumptions!$C$7) ^ INT(((YEAR(BO$2)-YEAR($F44))*12 + MONTH(BO$2)-MONTH($F44)) / 12),
  0)</f>
        <v>6500</v>
      </c>
      <c r="BP44" s="291">
        <f>IF(AND($F44&lt;=BP$2, OR($G44="",$G44&gt;=BP$2)),
  $H44 * (1 + Assumptions!$C$7) ^ INT(((YEAR(BP$2)-YEAR($F44))*12 + MONTH(BP$2)-MONTH($F44)) / 12),
  0)</f>
        <v>6500</v>
      </c>
      <c r="BQ44" s="30"/>
    </row>
    <row r="45" ht="16.5" customHeight="1">
      <c r="A45" s="298">
        <v>40.0</v>
      </c>
      <c r="B45" s="282" t="s">
        <v>335</v>
      </c>
      <c r="C45" s="26" t="s">
        <v>141</v>
      </c>
      <c r="D45" s="303" t="s">
        <v>340</v>
      </c>
      <c r="E45" s="289" t="s">
        <v>337</v>
      </c>
      <c r="F45" s="300">
        <v>47180.0</v>
      </c>
      <c r="G45" s="301"/>
      <c r="H45" s="285">
        <v>7500.0</v>
      </c>
      <c r="I45" s="291">
        <f>IF(AND($F45&lt;=I$2, OR($G45="",$G45&gt;=I$2)),
  $H45 * (1 + Assumptions!$C$7) ^ INT(((YEAR(I$2)-YEAR($F45))*12 + MONTH(I$2)-MONTH($F45)) / 12),
  0)</f>
        <v>0</v>
      </c>
      <c r="J45" s="291">
        <f>IF(AND($F45&lt;=J$2, OR($G45="",$G45&gt;=J$2)),
  $H45 * (1 + Assumptions!$C$7) ^ INT(((YEAR(J$2)-YEAR($F45))*12 + MONTH(J$2)-MONTH($F45)) / 12),
  0)</f>
        <v>0</v>
      </c>
      <c r="K45" s="291">
        <f>IF(AND($F45&lt;=K$2, OR($G45="",$G45&gt;=K$2)),
  $H45 * (1 + Assumptions!$C$7) ^ INT(((YEAR(K$2)-YEAR($F45))*12 + MONTH(K$2)-MONTH($F45)) / 12),
  0)</f>
        <v>0</v>
      </c>
      <c r="L45" s="291">
        <f>IF(AND($F45&lt;=L$2, OR($G45="",$G45&gt;=L$2)),
  $H45 * (1 + Assumptions!$C$7) ^ INT(((YEAR(L$2)-YEAR($F45))*12 + MONTH(L$2)-MONTH($F45)) / 12),
  0)</f>
        <v>0</v>
      </c>
      <c r="M45" s="291">
        <f>IF(AND($F45&lt;=M$2, OR($G45="",$G45&gt;=M$2)),
  $H45 * (1 + Assumptions!$C$7) ^ INT(((YEAR(M$2)-YEAR($F45))*12 + MONTH(M$2)-MONTH($F45)) / 12),
  0)</f>
        <v>0</v>
      </c>
      <c r="N45" s="291">
        <f>IF(AND($F45&lt;=N$2, OR($G45="",$G45&gt;=N$2)),
  $H45 * (1 + Assumptions!$C$7) ^ INT(((YEAR(N$2)-YEAR($F45))*12 + MONTH(N$2)-MONTH($F45)) / 12),
  0)</f>
        <v>0</v>
      </c>
      <c r="O45" s="291">
        <f>IF(AND($F45&lt;=O$2, OR($G45="",$G45&gt;=O$2)),
  $H45 * (1 + Assumptions!$C$7) ^ INT(((YEAR(O$2)-YEAR($F45))*12 + MONTH(O$2)-MONTH($F45)) / 12),
  0)</f>
        <v>0</v>
      </c>
      <c r="P45" s="291">
        <f>IF(AND($F45&lt;=P$2, OR($G45="",$G45&gt;=P$2)),
  $H45 * (1 + Assumptions!$C$7) ^ INT(((YEAR(P$2)-YEAR($F45))*12 + MONTH(P$2)-MONTH($F45)) / 12),
  0)</f>
        <v>0</v>
      </c>
      <c r="Q45" s="291">
        <f>IF(AND($F45&lt;=Q$2, OR($G45="",$G45&gt;=Q$2)),
  $H45 * (1 + Assumptions!$C$7) ^ INT(((YEAR(Q$2)-YEAR($F45))*12 + MONTH(Q$2)-MONTH($F45)) / 12),
  0)</f>
        <v>0</v>
      </c>
      <c r="R45" s="291">
        <f>IF(AND($F45&lt;=R$2, OR($G45="",$G45&gt;=R$2)),
  $H45 * (1 + Assumptions!$C$7) ^ INT(((YEAR(R$2)-YEAR($F45))*12 + MONTH(R$2)-MONTH($F45)) / 12),
  0)</f>
        <v>0</v>
      </c>
      <c r="S45" s="291">
        <f>IF(AND($F45&lt;=S$2, OR($G45="",$G45&gt;=S$2)),
  $H45 * (1 + Assumptions!$C$7) ^ INT(((YEAR(S$2)-YEAR($F45))*12 + MONTH(S$2)-MONTH($F45)) / 12),
  0)</f>
        <v>0</v>
      </c>
      <c r="T45" s="291">
        <f>IF(AND($F45&lt;=T$2, OR($G45="",$G45&gt;=T$2)),
  $H45 * (1 + Assumptions!$C$7) ^ INT(((YEAR(T$2)-YEAR($F45))*12 + MONTH(T$2)-MONTH($F45)) / 12),
  0)</f>
        <v>0</v>
      </c>
      <c r="U45" s="291">
        <f>IF(AND($F45&lt;=U$2, OR($G45="",$G45&gt;=U$2)),
  $H45 * (1 + Assumptions!$C$7) ^ INT(((YEAR(U$2)-YEAR($F45))*12 + MONTH(U$2)-MONTH($F45)) / 12),
  0)</f>
        <v>0</v>
      </c>
      <c r="V45" s="291">
        <f>IF(AND($F45&lt;=V$2, OR($G45="",$G45&gt;=V$2)),
  $H45 * (1 + Assumptions!$C$7) ^ INT(((YEAR(V$2)-YEAR($F45))*12 + MONTH(V$2)-MONTH($F45)) / 12),
  0)</f>
        <v>0</v>
      </c>
      <c r="W45" s="291">
        <f>IF(AND($F45&lt;=W$2, OR($G45="",$G45&gt;=W$2)),
  $H45 * (1 + Assumptions!$C$7) ^ INT(((YEAR(W$2)-YEAR($F45))*12 + MONTH(W$2)-MONTH($F45)) / 12),
  0)</f>
        <v>0</v>
      </c>
      <c r="X45" s="291">
        <f>IF(AND($F45&lt;=X$2, OR($G45="",$G45&gt;=X$2)),
  $H45 * (1 + Assumptions!$C$7) ^ INT(((YEAR(X$2)-YEAR($F45))*12 + MONTH(X$2)-MONTH($F45)) / 12),
  0)</f>
        <v>0</v>
      </c>
      <c r="Y45" s="291">
        <f>IF(AND($F45&lt;=Y$2, OR($G45="",$G45&gt;=Y$2)),
  $H45 * (1 + Assumptions!$C$7) ^ INT(((YEAR(Y$2)-YEAR($F45))*12 + MONTH(Y$2)-MONTH($F45)) / 12),
  0)</f>
        <v>0</v>
      </c>
      <c r="Z45" s="291">
        <f>IF(AND($F45&lt;=Z$2, OR($G45="",$G45&gt;=Z$2)),
  $H45 * (1 + Assumptions!$C$7) ^ INT(((YEAR(Z$2)-YEAR($F45))*12 + MONTH(Z$2)-MONTH($F45)) / 12),
  0)</f>
        <v>0</v>
      </c>
      <c r="AA45" s="291">
        <f>IF(AND($F45&lt;=AA$2, OR($G45="",$G45&gt;=AA$2)),
  $H45 * (1 + Assumptions!$C$7) ^ INT(((YEAR(AA$2)-YEAR($F45))*12 + MONTH(AA$2)-MONTH($F45)) / 12),
  0)</f>
        <v>0</v>
      </c>
      <c r="AB45" s="291">
        <f>IF(AND($F45&lt;=AB$2, OR($G45="",$G45&gt;=AB$2)),
  $H45 * (1 + Assumptions!$C$7) ^ INT(((YEAR(AB$2)-YEAR($F45))*12 + MONTH(AB$2)-MONTH($F45)) / 12),
  0)</f>
        <v>0</v>
      </c>
      <c r="AC45" s="291">
        <f>IF(AND($F45&lt;=AC$2, OR($G45="",$G45&gt;=AC$2)),
  $H45 * (1 + Assumptions!$C$7) ^ INT(((YEAR(AC$2)-YEAR($F45))*12 + MONTH(AC$2)-MONTH($F45)) / 12),
  0)</f>
        <v>0</v>
      </c>
      <c r="AD45" s="291">
        <f>IF(AND($F45&lt;=AD$2, OR($G45="",$G45&gt;=AD$2)),
  $H45 * (1 + Assumptions!$C$7) ^ INT(((YEAR(AD$2)-YEAR($F45))*12 + MONTH(AD$2)-MONTH($F45)) / 12),
  0)</f>
        <v>0</v>
      </c>
      <c r="AE45" s="291">
        <f>IF(AND($F45&lt;=AE$2, OR($G45="",$G45&gt;=AE$2)),
  $H45 * (1 + Assumptions!$C$7) ^ INT(((YEAR(AE$2)-YEAR($F45))*12 + MONTH(AE$2)-MONTH($F45)) / 12),
  0)</f>
        <v>0</v>
      </c>
      <c r="AF45" s="291">
        <f>IF(AND($F45&lt;=AF$2, OR($G45="",$G45&gt;=AF$2)),
  $H45 * (1 + Assumptions!$C$7) ^ INT(((YEAR(AF$2)-YEAR($F45))*12 + MONTH(AF$2)-MONTH($F45)) / 12),
  0)</f>
        <v>0</v>
      </c>
      <c r="AG45" s="291">
        <f>IF(AND($F45&lt;=AG$2, OR($G45="",$G45&gt;=AG$2)),
  $H45 * (1 + Assumptions!$C$7) ^ INT(((YEAR(AG$2)-YEAR($F45))*12 + MONTH(AG$2)-MONTH($F45)) / 12),
  0)</f>
        <v>0</v>
      </c>
      <c r="AH45" s="291">
        <f>IF(AND($F45&lt;=AH$2, OR($G45="",$G45&gt;=AH$2)),
  $H45 * (1 + Assumptions!$C$7) ^ INT(((YEAR(AH$2)-YEAR($F45))*12 + MONTH(AH$2)-MONTH($F45)) / 12),
  0)</f>
        <v>0</v>
      </c>
      <c r="AI45" s="291">
        <f>IF(AND($F45&lt;=AI$2, OR($G45="",$G45&gt;=AI$2)),
  $H45 * (1 + Assumptions!$C$7) ^ INT(((YEAR(AI$2)-YEAR($F45))*12 + MONTH(AI$2)-MONTH($F45)) / 12),
  0)</f>
        <v>0</v>
      </c>
      <c r="AJ45" s="291">
        <f>IF(AND($F45&lt;=AJ$2, OR($G45="",$G45&gt;=AJ$2)),
  $H45 * (1 + Assumptions!$C$7) ^ INT(((YEAR(AJ$2)-YEAR($F45))*12 + MONTH(AJ$2)-MONTH($F45)) / 12),
  0)</f>
        <v>0</v>
      </c>
      <c r="AK45" s="291">
        <f>IF(AND($F45&lt;=AK$2, OR($G45="",$G45&gt;=AK$2)),
  $H45 * (1 + Assumptions!$C$7) ^ INT(((YEAR(AK$2)-YEAR($F45))*12 + MONTH(AK$2)-MONTH($F45)) / 12),
  0)</f>
        <v>0</v>
      </c>
      <c r="AL45" s="291">
        <f>IF(AND($F45&lt;=AL$2, OR($G45="",$G45&gt;=AL$2)),
  $H45 * (1 + Assumptions!$C$7) ^ INT(((YEAR(AL$2)-YEAR($F45))*12 + MONTH(AL$2)-MONTH($F45)) / 12),
  0)</f>
        <v>0</v>
      </c>
      <c r="AM45" s="291">
        <f>IF(AND($F45&lt;=AM$2, OR($G45="",$G45&gt;=AM$2)),
  $H45 * (1 + Assumptions!$C$7) ^ INT(((YEAR(AM$2)-YEAR($F45))*12 + MONTH(AM$2)-MONTH($F45)) / 12),
  0)</f>
        <v>0</v>
      </c>
      <c r="AN45" s="291">
        <f>IF(AND($F45&lt;=AN$2, OR($G45="",$G45&gt;=AN$2)),
  $H45 * (1 + Assumptions!$C$7) ^ INT(((YEAR(AN$2)-YEAR($F45))*12 + MONTH(AN$2)-MONTH($F45)) / 12),
  0)</f>
        <v>0</v>
      </c>
      <c r="AO45" s="291">
        <f>IF(AND($F45&lt;=AO$2, OR($G45="",$G45&gt;=AO$2)),
  $H45 * (1 + Assumptions!$C$7) ^ INT(((YEAR(AO$2)-YEAR($F45))*12 + MONTH(AO$2)-MONTH($F45)) / 12),
  0)</f>
        <v>0</v>
      </c>
      <c r="AP45" s="291">
        <f>IF(AND($F45&lt;=AP$2, OR($G45="",$G45&gt;=AP$2)),
  $H45 * (1 + Assumptions!$C$7) ^ INT(((YEAR(AP$2)-YEAR($F45))*12 + MONTH(AP$2)-MONTH($F45)) / 12),
  0)</f>
        <v>0</v>
      </c>
      <c r="AQ45" s="291">
        <f>IF(AND($F45&lt;=AQ$2, OR($G45="",$G45&gt;=AQ$2)),
  $H45 * (1 + Assumptions!$C$7) ^ INT(((YEAR(AQ$2)-YEAR($F45))*12 + MONTH(AQ$2)-MONTH($F45)) / 12),
  0)</f>
        <v>0</v>
      </c>
      <c r="AR45" s="291">
        <f>IF(AND($F45&lt;=AR$2, OR($G45="",$G45&gt;=AR$2)),
  $H45 * (1 + Assumptions!$C$7) ^ INT(((YEAR(AR$2)-YEAR($F45))*12 + MONTH(AR$2)-MONTH($F45)) / 12),
  0)</f>
        <v>0</v>
      </c>
      <c r="AS45" s="291">
        <f>IF(AND($F45&lt;=AS$2, OR($G45="",$G45&gt;=AS$2)),
  $H45 * (1 + Assumptions!$C$7) ^ INT(((YEAR(AS$2)-YEAR($F45))*12 + MONTH(AS$2)-MONTH($F45)) / 12),
  0)</f>
        <v>0</v>
      </c>
      <c r="AT45" s="291">
        <f>IF(AND($F45&lt;=AT$2, OR($G45="",$G45&gt;=AT$2)),
  $H45 * (1 + Assumptions!$C$7) ^ INT(((YEAR(AT$2)-YEAR($F45))*12 + MONTH(AT$2)-MONTH($F45)) / 12),
  0)</f>
        <v>0</v>
      </c>
      <c r="AU45" s="291">
        <f>IF(AND($F45&lt;=AU$2, OR($G45="",$G45&gt;=AU$2)),
  $H45 * (1 + Assumptions!$C$7) ^ INT(((YEAR(AU$2)-YEAR($F45))*12 + MONTH(AU$2)-MONTH($F45)) / 12),
  0)</f>
        <v>0</v>
      </c>
      <c r="AV45" s="291">
        <f>IF(AND($F45&lt;=AV$2, OR($G45="",$G45&gt;=AV$2)),
  $H45 * (1 + Assumptions!$C$7) ^ INT(((YEAR(AV$2)-YEAR($F45))*12 + MONTH(AV$2)-MONTH($F45)) / 12),
  0)</f>
        <v>0</v>
      </c>
      <c r="AW45" s="291">
        <f>IF(AND($F45&lt;=AW$2, OR($G45="",$G45&gt;=AW$2)),
  $H45 * (1 + Assumptions!$C$7) ^ INT(((YEAR(AW$2)-YEAR($F45))*12 + MONTH(AW$2)-MONTH($F45)) / 12),
  0)</f>
        <v>0</v>
      </c>
      <c r="AX45" s="291">
        <f>IF(AND($F45&lt;=AX$2, OR($G45="",$G45&gt;=AX$2)),
  $H45 * (1 + Assumptions!$C$7) ^ INT(((YEAR(AX$2)-YEAR($F45))*12 + MONTH(AX$2)-MONTH($F45)) / 12),
  0)</f>
        <v>0</v>
      </c>
      <c r="AY45" s="291">
        <f>IF(AND($F45&lt;=AY$2, OR($G45="",$G45&gt;=AY$2)),
  $H45 * (1 + Assumptions!$C$7) ^ INT(((YEAR(AY$2)-YEAR($F45))*12 + MONTH(AY$2)-MONTH($F45)) / 12),
  0)</f>
        <v>0</v>
      </c>
      <c r="AZ45" s="291">
        <f>IF(AND($F45&lt;=AZ$2, OR($G45="",$G45&gt;=AZ$2)),
  $H45 * (1 + Assumptions!$C$7) ^ INT(((YEAR(AZ$2)-YEAR($F45))*12 + MONTH(AZ$2)-MONTH($F45)) / 12),
  0)</f>
        <v>0</v>
      </c>
      <c r="BA45" s="291">
        <f>IF(AND($F45&lt;=BA$2, OR($G45="",$G45&gt;=BA$2)),
  $H45 * (1 + Assumptions!$C$7) ^ INT(((YEAR(BA$2)-YEAR($F45))*12 + MONTH(BA$2)-MONTH($F45)) / 12),
  0)</f>
        <v>0</v>
      </c>
      <c r="BB45" s="291">
        <f>IF(AND($F45&lt;=BB$2, OR($G45="",$G45&gt;=BB$2)),
  $H45 * (1 + Assumptions!$C$7) ^ INT(((YEAR(BB$2)-YEAR($F45))*12 + MONTH(BB$2)-MONTH($F45)) / 12),
  0)</f>
        <v>0</v>
      </c>
      <c r="BC45" s="291">
        <f>IF(AND($F45&lt;=BC$2, OR($G45="",$G45&gt;=BC$2)),
  $H45 * (1 + Assumptions!$C$7) ^ INT(((YEAR(BC$2)-YEAR($F45))*12 + MONTH(BC$2)-MONTH($F45)) / 12),
  0)</f>
        <v>0</v>
      </c>
      <c r="BD45" s="291">
        <f>IF(AND($F45&lt;=BD$2, OR($G45="",$G45&gt;=BD$2)),
  $H45 * (1 + Assumptions!$C$7) ^ INT(((YEAR(BD$2)-YEAR($F45))*12 + MONTH(BD$2)-MONTH($F45)) / 12),
  0)</f>
        <v>0</v>
      </c>
      <c r="BE45" s="291">
        <f>IF(AND($F45&lt;=BE$2, OR($G45="",$G45&gt;=BE$2)),
  $H45 * (1 + Assumptions!$C$7) ^ INT(((YEAR(BE$2)-YEAR($F45))*12 + MONTH(BE$2)-MONTH($F45)) / 12),
  0)</f>
        <v>0</v>
      </c>
      <c r="BF45" s="291">
        <f>IF(AND($F45&lt;=BF$2, OR($G45="",$G45&gt;=BF$2)),
  $H45 * (1 + Assumptions!$C$7) ^ INT(((YEAR(BF$2)-YEAR($F45))*12 + MONTH(BF$2)-MONTH($F45)) / 12),
  0)</f>
        <v>0</v>
      </c>
      <c r="BG45" s="291">
        <f>IF(AND($F45&lt;=BG$2, OR($G45="",$G45&gt;=BG$2)),
  $H45 * (1 + Assumptions!$C$7) ^ INT(((YEAR(BG$2)-YEAR($F45))*12 + MONTH(BG$2)-MONTH($F45)) / 12),
  0)</f>
        <v>0</v>
      </c>
      <c r="BH45" s="291">
        <f>IF(AND($F45&lt;=BH$2, OR($G45="",$G45&gt;=BH$2)),
  $H45 * (1 + Assumptions!$C$7) ^ INT(((YEAR(BH$2)-YEAR($F45))*12 + MONTH(BH$2)-MONTH($F45)) / 12),
  0)</f>
        <v>7500</v>
      </c>
      <c r="BI45" s="291">
        <f>IF(AND($F45&lt;=BI$2, OR($G45="",$G45&gt;=BI$2)),
  $H45 * (1 + Assumptions!$C$7) ^ INT(((YEAR(BI$2)-YEAR($F45))*12 + MONTH(BI$2)-MONTH($F45)) / 12),
  0)</f>
        <v>7500</v>
      </c>
      <c r="BJ45" s="291">
        <f>IF(AND($F45&lt;=BJ$2, OR($G45="",$G45&gt;=BJ$2)),
  $H45 * (1 + Assumptions!$C$7) ^ INT(((YEAR(BJ$2)-YEAR($F45))*12 + MONTH(BJ$2)-MONTH($F45)) / 12),
  0)</f>
        <v>7500</v>
      </c>
      <c r="BK45" s="291">
        <f>IF(AND($F45&lt;=BK$2, OR($G45="",$G45&gt;=BK$2)),
  $H45 * (1 + Assumptions!$C$7) ^ INT(((YEAR(BK$2)-YEAR($F45))*12 + MONTH(BK$2)-MONTH($F45)) / 12),
  0)</f>
        <v>7500</v>
      </c>
      <c r="BL45" s="291">
        <f>IF(AND($F45&lt;=BL$2, OR($G45="",$G45&gt;=BL$2)),
  $H45 * (1 + Assumptions!$C$7) ^ INT(((YEAR(BL$2)-YEAR($F45))*12 + MONTH(BL$2)-MONTH($F45)) / 12),
  0)</f>
        <v>7500</v>
      </c>
      <c r="BM45" s="291">
        <f>IF(AND($F45&lt;=BM$2, OR($G45="",$G45&gt;=BM$2)),
  $H45 * (1 + Assumptions!$C$7) ^ INT(((YEAR(BM$2)-YEAR($F45))*12 + MONTH(BM$2)-MONTH($F45)) / 12),
  0)</f>
        <v>7500</v>
      </c>
      <c r="BN45" s="291">
        <f>IF(AND($F45&lt;=BN$2, OR($G45="",$G45&gt;=BN$2)),
  $H45 * (1 + Assumptions!$C$7) ^ INT(((YEAR(BN$2)-YEAR($F45))*12 + MONTH(BN$2)-MONTH($F45)) / 12),
  0)</f>
        <v>7500</v>
      </c>
      <c r="BO45" s="291">
        <f>IF(AND($F45&lt;=BO$2, OR($G45="",$G45&gt;=BO$2)),
  $H45 * (1 + Assumptions!$C$7) ^ INT(((YEAR(BO$2)-YEAR($F45))*12 + MONTH(BO$2)-MONTH($F45)) / 12),
  0)</f>
        <v>7500</v>
      </c>
      <c r="BP45" s="291">
        <f>IF(AND($F45&lt;=BP$2, OR($G45="",$G45&gt;=BP$2)),
  $H45 * (1 + Assumptions!$C$7) ^ INT(((YEAR(BP$2)-YEAR($F45))*12 + MONTH(BP$2)-MONTH($F45)) / 12),
  0)</f>
        <v>7500</v>
      </c>
      <c r="BQ45" s="30"/>
    </row>
    <row r="46" ht="16.5" customHeight="1">
      <c r="A46" s="298">
        <v>41.0</v>
      </c>
      <c r="B46" s="282" t="s">
        <v>335</v>
      </c>
      <c r="C46" s="26" t="s">
        <v>141</v>
      </c>
      <c r="D46" s="303" t="s">
        <v>340</v>
      </c>
      <c r="E46" s="289" t="s">
        <v>337</v>
      </c>
      <c r="F46" s="300">
        <v>47180.0</v>
      </c>
      <c r="G46" s="301"/>
      <c r="H46" s="285">
        <v>7500.0</v>
      </c>
      <c r="I46" s="291">
        <f>IF(AND($F46&lt;=I$2, OR($G46="",$G46&gt;=I$2)),
  $H46 * (1 + Assumptions!$C$7) ^ INT(((YEAR(I$2)-YEAR($F46))*12 + MONTH(I$2)-MONTH($F46)) / 12),
  0)</f>
        <v>0</v>
      </c>
      <c r="J46" s="291">
        <f>IF(AND($F46&lt;=J$2, OR($G46="",$G46&gt;=J$2)),
  $H46 * (1 + Assumptions!$C$7) ^ INT(((YEAR(J$2)-YEAR($F46))*12 + MONTH(J$2)-MONTH($F46)) / 12),
  0)</f>
        <v>0</v>
      </c>
      <c r="K46" s="291">
        <f>IF(AND($F46&lt;=K$2, OR($G46="",$G46&gt;=K$2)),
  $H46 * (1 + Assumptions!$C$7) ^ INT(((YEAR(K$2)-YEAR($F46))*12 + MONTH(K$2)-MONTH($F46)) / 12),
  0)</f>
        <v>0</v>
      </c>
      <c r="L46" s="291">
        <f>IF(AND($F46&lt;=L$2, OR($G46="",$G46&gt;=L$2)),
  $H46 * (1 + Assumptions!$C$7) ^ INT(((YEAR(L$2)-YEAR($F46))*12 + MONTH(L$2)-MONTH($F46)) / 12),
  0)</f>
        <v>0</v>
      </c>
      <c r="M46" s="291">
        <f>IF(AND($F46&lt;=M$2, OR($G46="",$G46&gt;=M$2)),
  $H46 * (1 + Assumptions!$C$7) ^ INT(((YEAR(M$2)-YEAR($F46))*12 + MONTH(M$2)-MONTH($F46)) / 12),
  0)</f>
        <v>0</v>
      </c>
      <c r="N46" s="291">
        <f>IF(AND($F46&lt;=N$2, OR($G46="",$G46&gt;=N$2)),
  $H46 * (1 + Assumptions!$C$7) ^ INT(((YEAR(N$2)-YEAR($F46))*12 + MONTH(N$2)-MONTH($F46)) / 12),
  0)</f>
        <v>0</v>
      </c>
      <c r="O46" s="291">
        <f>IF(AND($F46&lt;=O$2, OR($G46="",$G46&gt;=O$2)),
  $H46 * (1 + Assumptions!$C$7) ^ INT(((YEAR(O$2)-YEAR($F46))*12 + MONTH(O$2)-MONTH($F46)) / 12),
  0)</f>
        <v>0</v>
      </c>
      <c r="P46" s="291">
        <f>IF(AND($F46&lt;=P$2, OR($G46="",$G46&gt;=P$2)),
  $H46 * (1 + Assumptions!$C$7) ^ INT(((YEAR(P$2)-YEAR($F46))*12 + MONTH(P$2)-MONTH($F46)) / 12),
  0)</f>
        <v>0</v>
      </c>
      <c r="Q46" s="291">
        <f>IF(AND($F46&lt;=Q$2, OR($G46="",$G46&gt;=Q$2)),
  $H46 * (1 + Assumptions!$C$7) ^ INT(((YEAR(Q$2)-YEAR($F46))*12 + MONTH(Q$2)-MONTH($F46)) / 12),
  0)</f>
        <v>0</v>
      </c>
      <c r="R46" s="291">
        <f>IF(AND($F46&lt;=R$2, OR($G46="",$G46&gt;=R$2)),
  $H46 * (1 + Assumptions!$C$7) ^ INT(((YEAR(R$2)-YEAR($F46))*12 + MONTH(R$2)-MONTH($F46)) / 12),
  0)</f>
        <v>0</v>
      </c>
      <c r="S46" s="291">
        <f>IF(AND($F46&lt;=S$2, OR($G46="",$G46&gt;=S$2)),
  $H46 * (1 + Assumptions!$C$7) ^ INT(((YEAR(S$2)-YEAR($F46))*12 + MONTH(S$2)-MONTH($F46)) / 12),
  0)</f>
        <v>0</v>
      </c>
      <c r="T46" s="291">
        <f>IF(AND($F46&lt;=T$2, OR($G46="",$G46&gt;=T$2)),
  $H46 * (1 + Assumptions!$C$7) ^ INT(((YEAR(T$2)-YEAR($F46))*12 + MONTH(T$2)-MONTH($F46)) / 12),
  0)</f>
        <v>0</v>
      </c>
      <c r="U46" s="291">
        <f>IF(AND($F46&lt;=U$2, OR($G46="",$G46&gt;=U$2)),
  $H46 * (1 + Assumptions!$C$7) ^ INT(((YEAR(U$2)-YEAR($F46))*12 + MONTH(U$2)-MONTH($F46)) / 12),
  0)</f>
        <v>0</v>
      </c>
      <c r="V46" s="291">
        <f>IF(AND($F46&lt;=V$2, OR($G46="",$G46&gt;=V$2)),
  $H46 * (1 + Assumptions!$C$7) ^ INT(((YEAR(V$2)-YEAR($F46))*12 + MONTH(V$2)-MONTH($F46)) / 12),
  0)</f>
        <v>0</v>
      </c>
      <c r="W46" s="291">
        <f>IF(AND($F46&lt;=W$2, OR($G46="",$G46&gt;=W$2)),
  $H46 * (1 + Assumptions!$C$7) ^ INT(((YEAR(W$2)-YEAR($F46))*12 + MONTH(W$2)-MONTH($F46)) / 12),
  0)</f>
        <v>0</v>
      </c>
      <c r="X46" s="291">
        <f>IF(AND($F46&lt;=X$2, OR($G46="",$G46&gt;=X$2)),
  $H46 * (1 + Assumptions!$C$7) ^ INT(((YEAR(X$2)-YEAR($F46))*12 + MONTH(X$2)-MONTH($F46)) / 12),
  0)</f>
        <v>0</v>
      </c>
      <c r="Y46" s="291">
        <f>IF(AND($F46&lt;=Y$2, OR($G46="",$G46&gt;=Y$2)),
  $H46 * (1 + Assumptions!$C$7) ^ INT(((YEAR(Y$2)-YEAR($F46))*12 + MONTH(Y$2)-MONTH($F46)) / 12),
  0)</f>
        <v>0</v>
      </c>
      <c r="Z46" s="291">
        <f>IF(AND($F46&lt;=Z$2, OR($G46="",$G46&gt;=Z$2)),
  $H46 * (1 + Assumptions!$C$7) ^ INT(((YEAR(Z$2)-YEAR($F46))*12 + MONTH(Z$2)-MONTH($F46)) / 12),
  0)</f>
        <v>0</v>
      </c>
      <c r="AA46" s="291">
        <f>IF(AND($F46&lt;=AA$2, OR($G46="",$G46&gt;=AA$2)),
  $H46 * (1 + Assumptions!$C$7) ^ INT(((YEAR(AA$2)-YEAR($F46))*12 + MONTH(AA$2)-MONTH($F46)) / 12),
  0)</f>
        <v>0</v>
      </c>
      <c r="AB46" s="291">
        <f>IF(AND($F46&lt;=AB$2, OR($G46="",$G46&gt;=AB$2)),
  $H46 * (1 + Assumptions!$C$7) ^ INT(((YEAR(AB$2)-YEAR($F46))*12 + MONTH(AB$2)-MONTH($F46)) / 12),
  0)</f>
        <v>0</v>
      </c>
      <c r="AC46" s="291">
        <f>IF(AND($F46&lt;=AC$2, OR($G46="",$G46&gt;=AC$2)),
  $H46 * (1 + Assumptions!$C$7) ^ INT(((YEAR(AC$2)-YEAR($F46))*12 + MONTH(AC$2)-MONTH($F46)) / 12),
  0)</f>
        <v>0</v>
      </c>
      <c r="AD46" s="291">
        <f>IF(AND($F46&lt;=AD$2, OR($G46="",$G46&gt;=AD$2)),
  $H46 * (1 + Assumptions!$C$7) ^ INT(((YEAR(AD$2)-YEAR($F46))*12 + MONTH(AD$2)-MONTH($F46)) / 12),
  0)</f>
        <v>0</v>
      </c>
      <c r="AE46" s="291">
        <f>IF(AND($F46&lt;=AE$2, OR($G46="",$G46&gt;=AE$2)),
  $H46 * (1 + Assumptions!$C$7) ^ INT(((YEAR(AE$2)-YEAR($F46))*12 + MONTH(AE$2)-MONTH($F46)) / 12),
  0)</f>
        <v>0</v>
      </c>
      <c r="AF46" s="291">
        <f>IF(AND($F46&lt;=AF$2, OR($G46="",$G46&gt;=AF$2)),
  $H46 * (1 + Assumptions!$C$7) ^ INT(((YEAR(AF$2)-YEAR($F46))*12 + MONTH(AF$2)-MONTH($F46)) / 12),
  0)</f>
        <v>0</v>
      </c>
      <c r="AG46" s="291">
        <f>IF(AND($F46&lt;=AG$2, OR($G46="",$G46&gt;=AG$2)),
  $H46 * (1 + Assumptions!$C$7) ^ INT(((YEAR(AG$2)-YEAR($F46))*12 + MONTH(AG$2)-MONTH($F46)) / 12),
  0)</f>
        <v>0</v>
      </c>
      <c r="AH46" s="291">
        <f>IF(AND($F46&lt;=AH$2, OR($G46="",$G46&gt;=AH$2)),
  $H46 * (1 + Assumptions!$C$7) ^ INT(((YEAR(AH$2)-YEAR($F46))*12 + MONTH(AH$2)-MONTH($F46)) / 12),
  0)</f>
        <v>0</v>
      </c>
      <c r="AI46" s="291">
        <f>IF(AND($F46&lt;=AI$2, OR($G46="",$G46&gt;=AI$2)),
  $H46 * (1 + Assumptions!$C$7) ^ INT(((YEAR(AI$2)-YEAR($F46))*12 + MONTH(AI$2)-MONTH($F46)) / 12),
  0)</f>
        <v>0</v>
      </c>
      <c r="AJ46" s="291">
        <f>IF(AND($F46&lt;=AJ$2, OR($G46="",$G46&gt;=AJ$2)),
  $H46 * (1 + Assumptions!$C$7) ^ INT(((YEAR(AJ$2)-YEAR($F46))*12 + MONTH(AJ$2)-MONTH($F46)) / 12),
  0)</f>
        <v>0</v>
      </c>
      <c r="AK46" s="291">
        <f>IF(AND($F46&lt;=AK$2, OR($G46="",$G46&gt;=AK$2)),
  $H46 * (1 + Assumptions!$C$7) ^ INT(((YEAR(AK$2)-YEAR($F46))*12 + MONTH(AK$2)-MONTH($F46)) / 12),
  0)</f>
        <v>0</v>
      </c>
      <c r="AL46" s="291">
        <f>IF(AND($F46&lt;=AL$2, OR($G46="",$G46&gt;=AL$2)),
  $H46 * (1 + Assumptions!$C$7) ^ INT(((YEAR(AL$2)-YEAR($F46))*12 + MONTH(AL$2)-MONTH($F46)) / 12),
  0)</f>
        <v>0</v>
      </c>
      <c r="AM46" s="291">
        <f>IF(AND($F46&lt;=AM$2, OR($G46="",$G46&gt;=AM$2)),
  $H46 * (1 + Assumptions!$C$7) ^ INT(((YEAR(AM$2)-YEAR($F46))*12 + MONTH(AM$2)-MONTH($F46)) / 12),
  0)</f>
        <v>0</v>
      </c>
      <c r="AN46" s="291">
        <f>IF(AND($F46&lt;=AN$2, OR($G46="",$G46&gt;=AN$2)),
  $H46 * (1 + Assumptions!$C$7) ^ INT(((YEAR(AN$2)-YEAR($F46))*12 + MONTH(AN$2)-MONTH($F46)) / 12),
  0)</f>
        <v>0</v>
      </c>
      <c r="AO46" s="291">
        <f>IF(AND($F46&lt;=AO$2, OR($G46="",$G46&gt;=AO$2)),
  $H46 * (1 + Assumptions!$C$7) ^ INT(((YEAR(AO$2)-YEAR($F46))*12 + MONTH(AO$2)-MONTH($F46)) / 12),
  0)</f>
        <v>0</v>
      </c>
      <c r="AP46" s="291">
        <f>IF(AND($F46&lt;=AP$2, OR($G46="",$G46&gt;=AP$2)),
  $H46 * (1 + Assumptions!$C$7) ^ INT(((YEAR(AP$2)-YEAR($F46))*12 + MONTH(AP$2)-MONTH($F46)) / 12),
  0)</f>
        <v>0</v>
      </c>
      <c r="AQ46" s="291">
        <f>IF(AND($F46&lt;=AQ$2, OR($G46="",$G46&gt;=AQ$2)),
  $H46 * (1 + Assumptions!$C$7) ^ INT(((YEAR(AQ$2)-YEAR($F46))*12 + MONTH(AQ$2)-MONTH($F46)) / 12),
  0)</f>
        <v>0</v>
      </c>
      <c r="AR46" s="291">
        <f>IF(AND($F46&lt;=AR$2, OR($G46="",$G46&gt;=AR$2)),
  $H46 * (1 + Assumptions!$C$7) ^ INT(((YEAR(AR$2)-YEAR($F46))*12 + MONTH(AR$2)-MONTH($F46)) / 12),
  0)</f>
        <v>0</v>
      </c>
      <c r="AS46" s="291">
        <f>IF(AND($F46&lt;=AS$2, OR($G46="",$G46&gt;=AS$2)),
  $H46 * (1 + Assumptions!$C$7) ^ INT(((YEAR(AS$2)-YEAR($F46))*12 + MONTH(AS$2)-MONTH($F46)) / 12),
  0)</f>
        <v>0</v>
      </c>
      <c r="AT46" s="291">
        <f>IF(AND($F46&lt;=AT$2, OR($G46="",$G46&gt;=AT$2)),
  $H46 * (1 + Assumptions!$C$7) ^ INT(((YEAR(AT$2)-YEAR($F46))*12 + MONTH(AT$2)-MONTH($F46)) / 12),
  0)</f>
        <v>0</v>
      </c>
      <c r="AU46" s="291">
        <f>IF(AND($F46&lt;=AU$2, OR($G46="",$G46&gt;=AU$2)),
  $H46 * (1 + Assumptions!$C$7) ^ INT(((YEAR(AU$2)-YEAR($F46))*12 + MONTH(AU$2)-MONTH($F46)) / 12),
  0)</f>
        <v>0</v>
      </c>
      <c r="AV46" s="291">
        <f>IF(AND($F46&lt;=AV$2, OR($G46="",$G46&gt;=AV$2)),
  $H46 * (1 + Assumptions!$C$7) ^ INT(((YEAR(AV$2)-YEAR($F46))*12 + MONTH(AV$2)-MONTH($F46)) / 12),
  0)</f>
        <v>0</v>
      </c>
      <c r="AW46" s="291">
        <f>IF(AND($F46&lt;=AW$2, OR($G46="",$G46&gt;=AW$2)),
  $H46 * (1 + Assumptions!$C$7) ^ INT(((YEAR(AW$2)-YEAR($F46))*12 + MONTH(AW$2)-MONTH($F46)) / 12),
  0)</f>
        <v>0</v>
      </c>
      <c r="AX46" s="291">
        <f>IF(AND($F46&lt;=AX$2, OR($G46="",$G46&gt;=AX$2)),
  $H46 * (1 + Assumptions!$C$7) ^ INT(((YEAR(AX$2)-YEAR($F46))*12 + MONTH(AX$2)-MONTH($F46)) / 12),
  0)</f>
        <v>0</v>
      </c>
      <c r="AY46" s="291">
        <f>IF(AND($F46&lt;=AY$2, OR($G46="",$G46&gt;=AY$2)),
  $H46 * (1 + Assumptions!$C$7) ^ INT(((YEAR(AY$2)-YEAR($F46))*12 + MONTH(AY$2)-MONTH($F46)) / 12),
  0)</f>
        <v>0</v>
      </c>
      <c r="AZ46" s="291">
        <f>IF(AND($F46&lt;=AZ$2, OR($G46="",$G46&gt;=AZ$2)),
  $H46 * (1 + Assumptions!$C$7) ^ INT(((YEAR(AZ$2)-YEAR($F46))*12 + MONTH(AZ$2)-MONTH($F46)) / 12),
  0)</f>
        <v>0</v>
      </c>
      <c r="BA46" s="291">
        <f>IF(AND($F46&lt;=BA$2, OR($G46="",$G46&gt;=BA$2)),
  $H46 * (1 + Assumptions!$C$7) ^ INT(((YEAR(BA$2)-YEAR($F46))*12 + MONTH(BA$2)-MONTH($F46)) / 12),
  0)</f>
        <v>0</v>
      </c>
      <c r="BB46" s="291">
        <f>IF(AND($F46&lt;=BB$2, OR($G46="",$G46&gt;=BB$2)),
  $H46 * (1 + Assumptions!$C$7) ^ INT(((YEAR(BB$2)-YEAR($F46))*12 + MONTH(BB$2)-MONTH($F46)) / 12),
  0)</f>
        <v>0</v>
      </c>
      <c r="BC46" s="291">
        <f>IF(AND($F46&lt;=BC$2, OR($G46="",$G46&gt;=BC$2)),
  $H46 * (1 + Assumptions!$C$7) ^ INT(((YEAR(BC$2)-YEAR($F46))*12 + MONTH(BC$2)-MONTH($F46)) / 12),
  0)</f>
        <v>0</v>
      </c>
      <c r="BD46" s="291">
        <f>IF(AND($F46&lt;=BD$2, OR($G46="",$G46&gt;=BD$2)),
  $H46 * (1 + Assumptions!$C$7) ^ INT(((YEAR(BD$2)-YEAR($F46))*12 + MONTH(BD$2)-MONTH($F46)) / 12),
  0)</f>
        <v>0</v>
      </c>
      <c r="BE46" s="291">
        <f>IF(AND($F46&lt;=BE$2, OR($G46="",$G46&gt;=BE$2)),
  $H46 * (1 + Assumptions!$C$7) ^ INT(((YEAR(BE$2)-YEAR($F46))*12 + MONTH(BE$2)-MONTH($F46)) / 12),
  0)</f>
        <v>0</v>
      </c>
      <c r="BF46" s="291">
        <f>IF(AND($F46&lt;=BF$2, OR($G46="",$G46&gt;=BF$2)),
  $H46 * (1 + Assumptions!$C$7) ^ INT(((YEAR(BF$2)-YEAR($F46))*12 + MONTH(BF$2)-MONTH($F46)) / 12),
  0)</f>
        <v>0</v>
      </c>
      <c r="BG46" s="291">
        <f>IF(AND($F46&lt;=BG$2, OR($G46="",$G46&gt;=BG$2)),
  $H46 * (1 + Assumptions!$C$7) ^ INT(((YEAR(BG$2)-YEAR($F46))*12 + MONTH(BG$2)-MONTH($F46)) / 12),
  0)</f>
        <v>0</v>
      </c>
      <c r="BH46" s="291">
        <f>IF(AND($F46&lt;=BH$2, OR($G46="",$G46&gt;=BH$2)),
  $H46 * (1 + Assumptions!$C$7) ^ INT(((YEAR(BH$2)-YEAR($F46))*12 + MONTH(BH$2)-MONTH($F46)) / 12),
  0)</f>
        <v>7500</v>
      </c>
      <c r="BI46" s="291">
        <f>IF(AND($F46&lt;=BI$2, OR($G46="",$G46&gt;=BI$2)),
  $H46 * (1 + Assumptions!$C$7) ^ INT(((YEAR(BI$2)-YEAR($F46))*12 + MONTH(BI$2)-MONTH($F46)) / 12),
  0)</f>
        <v>7500</v>
      </c>
      <c r="BJ46" s="291">
        <f>IF(AND($F46&lt;=BJ$2, OR($G46="",$G46&gt;=BJ$2)),
  $H46 * (1 + Assumptions!$C$7) ^ INT(((YEAR(BJ$2)-YEAR($F46))*12 + MONTH(BJ$2)-MONTH($F46)) / 12),
  0)</f>
        <v>7500</v>
      </c>
      <c r="BK46" s="291">
        <f>IF(AND($F46&lt;=BK$2, OR($G46="",$G46&gt;=BK$2)),
  $H46 * (1 + Assumptions!$C$7) ^ INT(((YEAR(BK$2)-YEAR($F46))*12 + MONTH(BK$2)-MONTH($F46)) / 12),
  0)</f>
        <v>7500</v>
      </c>
      <c r="BL46" s="291">
        <f>IF(AND($F46&lt;=BL$2, OR($G46="",$G46&gt;=BL$2)),
  $H46 * (1 + Assumptions!$C$7) ^ INT(((YEAR(BL$2)-YEAR($F46))*12 + MONTH(BL$2)-MONTH($F46)) / 12),
  0)</f>
        <v>7500</v>
      </c>
      <c r="BM46" s="291">
        <f>IF(AND($F46&lt;=BM$2, OR($G46="",$G46&gt;=BM$2)),
  $H46 * (1 + Assumptions!$C$7) ^ INT(((YEAR(BM$2)-YEAR($F46))*12 + MONTH(BM$2)-MONTH($F46)) / 12),
  0)</f>
        <v>7500</v>
      </c>
      <c r="BN46" s="291">
        <f>IF(AND($F46&lt;=BN$2, OR($G46="",$G46&gt;=BN$2)),
  $H46 * (1 + Assumptions!$C$7) ^ INT(((YEAR(BN$2)-YEAR($F46))*12 + MONTH(BN$2)-MONTH($F46)) / 12),
  0)</f>
        <v>7500</v>
      </c>
      <c r="BO46" s="291">
        <f>IF(AND($F46&lt;=BO$2, OR($G46="",$G46&gt;=BO$2)),
  $H46 * (1 + Assumptions!$C$7) ^ INT(((YEAR(BO$2)-YEAR($F46))*12 + MONTH(BO$2)-MONTH($F46)) / 12),
  0)</f>
        <v>7500</v>
      </c>
      <c r="BP46" s="291">
        <f>IF(AND($F46&lt;=BP$2, OR($G46="",$G46&gt;=BP$2)),
  $H46 * (1 + Assumptions!$C$7) ^ INT(((YEAR(BP$2)-YEAR($F46))*12 + MONTH(BP$2)-MONTH($F46)) / 12),
  0)</f>
        <v>7500</v>
      </c>
      <c r="BQ46" s="30"/>
    </row>
    <row r="47" ht="16.5" customHeight="1">
      <c r="A47" s="298">
        <v>42.0</v>
      </c>
      <c r="B47" s="282" t="s">
        <v>335</v>
      </c>
      <c r="C47" s="26" t="s">
        <v>141</v>
      </c>
      <c r="D47" s="303" t="s">
        <v>341</v>
      </c>
      <c r="E47" s="289" t="s">
        <v>337</v>
      </c>
      <c r="F47" s="283">
        <v>47270.0</v>
      </c>
      <c r="G47" s="301"/>
      <c r="H47" s="285">
        <v>7500.0</v>
      </c>
      <c r="I47" s="291">
        <f>IF(AND($F47&lt;=I$2, OR($G47="",$G47&gt;=I$2)),
  $H47 * (1 + Assumptions!$C$7) ^ INT(((YEAR(I$2)-YEAR($F47))*12 + MONTH(I$2)-MONTH($F47)) / 12),
  0)</f>
        <v>0</v>
      </c>
      <c r="J47" s="291">
        <f>IF(AND($F47&lt;=J$2, OR($G47="",$G47&gt;=J$2)),
  $H47 * (1 + Assumptions!$C$7) ^ INT(((YEAR(J$2)-YEAR($F47))*12 + MONTH(J$2)-MONTH($F47)) / 12),
  0)</f>
        <v>0</v>
      </c>
      <c r="K47" s="291">
        <f>IF(AND($F47&lt;=K$2, OR($G47="",$G47&gt;=K$2)),
  $H47 * (1 + Assumptions!$C$7) ^ INT(((YEAR(K$2)-YEAR($F47))*12 + MONTH(K$2)-MONTH($F47)) / 12),
  0)</f>
        <v>0</v>
      </c>
      <c r="L47" s="291">
        <f>IF(AND($F47&lt;=L$2, OR($G47="",$G47&gt;=L$2)),
  $H47 * (1 + Assumptions!$C$7) ^ INT(((YEAR(L$2)-YEAR($F47))*12 + MONTH(L$2)-MONTH($F47)) / 12),
  0)</f>
        <v>0</v>
      </c>
      <c r="M47" s="291">
        <f>IF(AND($F47&lt;=M$2, OR($G47="",$G47&gt;=M$2)),
  $H47 * (1 + Assumptions!$C$7) ^ INT(((YEAR(M$2)-YEAR($F47))*12 + MONTH(M$2)-MONTH($F47)) / 12),
  0)</f>
        <v>0</v>
      </c>
      <c r="N47" s="291">
        <f>IF(AND($F47&lt;=N$2, OR($G47="",$G47&gt;=N$2)),
  $H47 * (1 + Assumptions!$C$7) ^ INT(((YEAR(N$2)-YEAR($F47))*12 + MONTH(N$2)-MONTH($F47)) / 12),
  0)</f>
        <v>0</v>
      </c>
      <c r="O47" s="291">
        <f>IF(AND($F47&lt;=O$2, OR($G47="",$G47&gt;=O$2)),
  $H47 * (1 + Assumptions!$C$7) ^ INT(((YEAR(O$2)-YEAR($F47))*12 + MONTH(O$2)-MONTH($F47)) / 12),
  0)</f>
        <v>0</v>
      </c>
      <c r="P47" s="291">
        <f>IF(AND($F47&lt;=P$2, OR($G47="",$G47&gt;=P$2)),
  $H47 * (1 + Assumptions!$C$7) ^ INT(((YEAR(P$2)-YEAR($F47))*12 + MONTH(P$2)-MONTH($F47)) / 12),
  0)</f>
        <v>0</v>
      </c>
      <c r="Q47" s="291">
        <f>IF(AND($F47&lt;=Q$2, OR($G47="",$G47&gt;=Q$2)),
  $H47 * (1 + Assumptions!$C$7) ^ INT(((YEAR(Q$2)-YEAR($F47))*12 + MONTH(Q$2)-MONTH($F47)) / 12),
  0)</f>
        <v>0</v>
      </c>
      <c r="R47" s="291">
        <f>IF(AND($F47&lt;=R$2, OR($G47="",$G47&gt;=R$2)),
  $H47 * (1 + Assumptions!$C$7) ^ INT(((YEAR(R$2)-YEAR($F47))*12 + MONTH(R$2)-MONTH($F47)) / 12),
  0)</f>
        <v>0</v>
      </c>
      <c r="S47" s="291">
        <f>IF(AND($F47&lt;=S$2, OR($G47="",$G47&gt;=S$2)),
  $H47 * (1 + Assumptions!$C$7) ^ INT(((YEAR(S$2)-YEAR($F47))*12 + MONTH(S$2)-MONTH($F47)) / 12),
  0)</f>
        <v>0</v>
      </c>
      <c r="T47" s="291">
        <f>IF(AND($F47&lt;=T$2, OR($G47="",$G47&gt;=T$2)),
  $H47 * (1 + Assumptions!$C$7) ^ INT(((YEAR(T$2)-YEAR($F47))*12 + MONTH(T$2)-MONTH($F47)) / 12),
  0)</f>
        <v>0</v>
      </c>
      <c r="U47" s="291">
        <f>IF(AND($F47&lt;=U$2, OR($G47="",$G47&gt;=U$2)),
  $H47 * (1 + Assumptions!$C$7) ^ INT(((YEAR(U$2)-YEAR($F47))*12 + MONTH(U$2)-MONTH($F47)) / 12),
  0)</f>
        <v>0</v>
      </c>
      <c r="V47" s="291">
        <f>IF(AND($F47&lt;=V$2, OR($G47="",$G47&gt;=V$2)),
  $H47 * (1 + Assumptions!$C$7) ^ INT(((YEAR(V$2)-YEAR($F47))*12 + MONTH(V$2)-MONTH($F47)) / 12),
  0)</f>
        <v>0</v>
      </c>
      <c r="W47" s="291">
        <f>IF(AND($F47&lt;=W$2, OR($G47="",$G47&gt;=W$2)),
  $H47 * (1 + Assumptions!$C$7) ^ INT(((YEAR(W$2)-YEAR($F47))*12 + MONTH(W$2)-MONTH($F47)) / 12),
  0)</f>
        <v>0</v>
      </c>
      <c r="X47" s="291">
        <f>IF(AND($F47&lt;=X$2, OR($G47="",$G47&gt;=X$2)),
  $H47 * (1 + Assumptions!$C$7) ^ INT(((YEAR(X$2)-YEAR($F47))*12 + MONTH(X$2)-MONTH($F47)) / 12),
  0)</f>
        <v>0</v>
      </c>
      <c r="Y47" s="291">
        <f>IF(AND($F47&lt;=Y$2, OR($G47="",$G47&gt;=Y$2)),
  $H47 * (1 + Assumptions!$C$7) ^ INT(((YEAR(Y$2)-YEAR($F47))*12 + MONTH(Y$2)-MONTH($F47)) / 12),
  0)</f>
        <v>0</v>
      </c>
      <c r="Z47" s="291">
        <f>IF(AND($F47&lt;=Z$2, OR($G47="",$G47&gt;=Z$2)),
  $H47 * (1 + Assumptions!$C$7) ^ INT(((YEAR(Z$2)-YEAR($F47))*12 + MONTH(Z$2)-MONTH($F47)) / 12),
  0)</f>
        <v>0</v>
      </c>
      <c r="AA47" s="291">
        <f>IF(AND($F47&lt;=AA$2, OR($G47="",$G47&gt;=AA$2)),
  $H47 * (1 + Assumptions!$C$7) ^ INT(((YEAR(AA$2)-YEAR($F47))*12 + MONTH(AA$2)-MONTH($F47)) / 12),
  0)</f>
        <v>0</v>
      </c>
      <c r="AB47" s="291">
        <f>IF(AND($F47&lt;=AB$2, OR($G47="",$G47&gt;=AB$2)),
  $H47 * (1 + Assumptions!$C$7) ^ INT(((YEAR(AB$2)-YEAR($F47))*12 + MONTH(AB$2)-MONTH($F47)) / 12),
  0)</f>
        <v>0</v>
      </c>
      <c r="AC47" s="291">
        <f>IF(AND($F47&lt;=AC$2, OR($G47="",$G47&gt;=AC$2)),
  $H47 * (1 + Assumptions!$C$7) ^ INT(((YEAR(AC$2)-YEAR($F47))*12 + MONTH(AC$2)-MONTH($F47)) / 12),
  0)</f>
        <v>0</v>
      </c>
      <c r="AD47" s="291">
        <f>IF(AND($F47&lt;=AD$2, OR($G47="",$G47&gt;=AD$2)),
  $H47 * (1 + Assumptions!$C$7) ^ INT(((YEAR(AD$2)-YEAR($F47))*12 + MONTH(AD$2)-MONTH($F47)) / 12),
  0)</f>
        <v>0</v>
      </c>
      <c r="AE47" s="291">
        <f>IF(AND($F47&lt;=AE$2, OR($G47="",$G47&gt;=AE$2)),
  $H47 * (1 + Assumptions!$C$7) ^ INT(((YEAR(AE$2)-YEAR($F47))*12 + MONTH(AE$2)-MONTH($F47)) / 12),
  0)</f>
        <v>0</v>
      </c>
      <c r="AF47" s="291">
        <f>IF(AND($F47&lt;=AF$2, OR($G47="",$G47&gt;=AF$2)),
  $H47 * (1 + Assumptions!$C$7) ^ INT(((YEAR(AF$2)-YEAR($F47))*12 + MONTH(AF$2)-MONTH($F47)) / 12),
  0)</f>
        <v>0</v>
      </c>
      <c r="AG47" s="291">
        <f>IF(AND($F47&lt;=AG$2, OR($G47="",$G47&gt;=AG$2)),
  $H47 * (1 + Assumptions!$C$7) ^ INT(((YEAR(AG$2)-YEAR($F47))*12 + MONTH(AG$2)-MONTH($F47)) / 12),
  0)</f>
        <v>0</v>
      </c>
      <c r="AH47" s="291">
        <f>IF(AND($F47&lt;=AH$2, OR($G47="",$G47&gt;=AH$2)),
  $H47 * (1 + Assumptions!$C$7) ^ INT(((YEAR(AH$2)-YEAR($F47))*12 + MONTH(AH$2)-MONTH($F47)) / 12),
  0)</f>
        <v>0</v>
      </c>
      <c r="AI47" s="291">
        <f>IF(AND($F47&lt;=AI$2, OR($G47="",$G47&gt;=AI$2)),
  $H47 * (1 + Assumptions!$C$7) ^ INT(((YEAR(AI$2)-YEAR($F47))*12 + MONTH(AI$2)-MONTH($F47)) / 12),
  0)</f>
        <v>0</v>
      </c>
      <c r="AJ47" s="291">
        <f>IF(AND($F47&lt;=AJ$2, OR($G47="",$G47&gt;=AJ$2)),
  $H47 * (1 + Assumptions!$C$7) ^ INT(((YEAR(AJ$2)-YEAR($F47))*12 + MONTH(AJ$2)-MONTH($F47)) / 12),
  0)</f>
        <v>0</v>
      </c>
      <c r="AK47" s="291">
        <f>IF(AND($F47&lt;=AK$2, OR($G47="",$G47&gt;=AK$2)),
  $H47 * (1 + Assumptions!$C$7) ^ INT(((YEAR(AK$2)-YEAR($F47))*12 + MONTH(AK$2)-MONTH($F47)) / 12),
  0)</f>
        <v>0</v>
      </c>
      <c r="AL47" s="291">
        <f>IF(AND($F47&lt;=AL$2, OR($G47="",$G47&gt;=AL$2)),
  $H47 * (1 + Assumptions!$C$7) ^ INT(((YEAR(AL$2)-YEAR($F47))*12 + MONTH(AL$2)-MONTH($F47)) / 12),
  0)</f>
        <v>0</v>
      </c>
      <c r="AM47" s="291">
        <f>IF(AND($F47&lt;=AM$2, OR($G47="",$G47&gt;=AM$2)),
  $H47 * (1 + Assumptions!$C$7) ^ INT(((YEAR(AM$2)-YEAR($F47))*12 + MONTH(AM$2)-MONTH($F47)) / 12),
  0)</f>
        <v>0</v>
      </c>
      <c r="AN47" s="291">
        <f>IF(AND($F47&lt;=AN$2, OR($G47="",$G47&gt;=AN$2)),
  $H47 * (1 + Assumptions!$C$7) ^ INT(((YEAR(AN$2)-YEAR($F47))*12 + MONTH(AN$2)-MONTH($F47)) / 12),
  0)</f>
        <v>0</v>
      </c>
      <c r="AO47" s="291">
        <f>IF(AND($F47&lt;=AO$2, OR($G47="",$G47&gt;=AO$2)),
  $H47 * (1 + Assumptions!$C$7) ^ INT(((YEAR(AO$2)-YEAR($F47))*12 + MONTH(AO$2)-MONTH($F47)) / 12),
  0)</f>
        <v>0</v>
      </c>
      <c r="AP47" s="291">
        <f>IF(AND($F47&lt;=AP$2, OR($G47="",$G47&gt;=AP$2)),
  $H47 * (1 + Assumptions!$C$7) ^ INT(((YEAR(AP$2)-YEAR($F47))*12 + MONTH(AP$2)-MONTH($F47)) / 12),
  0)</f>
        <v>0</v>
      </c>
      <c r="AQ47" s="291">
        <f>IF(AND($F47&lt;=AQ$2, OR($G47="",$G47&gt;=AQ$2)),
  $H47 * (1 + Assumptions!$C$7) ^ INT(((YEAR(AQ$2)-YEAR($F47))*12 + MONTH(AQ$2)-MONTH($F47)) / 12),
  0)</f>
        <v>0</v>
      </c>
      <c r="AR47" s="291">
        <f>IF(AND($F47&lt;=AR$2, OR($G47="",$G47&gt;=AR$2)),
  $H47 * (1 + Assumptions!$C$7) ^ INT(((YEAR(AR$2)-YEAR($F47))*12 + MONTH(AR$2)-MONTH($F47)) / 12),
  0)</f>
        <v>0</v>
      </c>
      <c r="AS47" s="291">
        <f>IF(AND($F47&lt;=AS$2, OR($G47="",$G47&gt;=AS$2)),
  $H47 * (1 + Assumptions!$C$7) ^ INT(((YEAR(AS$2)-YEAR($F47))*12 + MONTH(AS$2)-MONTH($F47)) / 12),
  0)</f>
        <v>0</v>
      </c>
      <c r="AT47" s="291">
        <f>IF(AND($F47&lt;=AT$2, OR($G47="",$G47&gt;=AT$2)),
  $H47 * (1 + Assumptions!$C$7) ^ INT(((YEAR(AT$2)-YEAR($F47))*12 + MONTH(AT$2)-MONTH($F47)) / 12),
  0)</f>
        <v>0</v>
      </c>
      <c r="AU47" s="291">
        <f>IF(AND($F47&lt;=AU$2, OR($G47="",$G47&gt;=AU$2)),
  $H47 * (1 + Assumptions!$C$7) ^ INT(((YEAR(AU$2)-YEAR($F47))*12 + MONTH(AU$2)-MONTH($F47)) / 12),
  0)</f>
        <v>0</v>
      </c>
      <c r="AV47" s="291">
        <f>IF(AND($F47&lt;=AV$2, OR($G47="",$G47&gt;=AV$2)),
  $H47 * (1 + Assumptions!$C$7) ^ INT(((YEAR(AV$2)-YEAR($F47))*12 + MONTH(AV$2)-MONTH($F47)) / 12),
  0)</f>
        <v>0</v>
      </c>
      <c r="AW47" s="291">
        <f>IF(AND($F47&lt;=AW$2, OR($G47="",$G47&gt;=AW$2)),
  $H47 * (1 + Assumptions!$C$7) ^ INT(((YEAR(AW$2)-YEAR($F47))*12 + MONTH(AW$2)-MONTH($F47)) / 12),
  0)</f>
        <v>0</v>
      </c>
      <c r="AX47" s="291">
        <f>IF(AND($F47&lt;=AX$2, OR($G47="",$G47&gt;=AX$2)),
  $H47 * (1 + Assumptions!$C$7) ^ INT(((YEAR(AX$2)-YEAR($F47))*12 + MONTH(AX$2)-MONTH($F47)) / 12),
  0)</f>
        <v>0</v>
      </c>
      <c r="AY47" s="291">
        <f>IF(AND($F47&lt;=AY$2, OR($G47="",$G47&gt;=AY$2)),
  $H47 * (1 + Assumptions!$C$7) ^ INT(((YEAR(AY$2)-YEAR($F47))*12 + MONTH(AY$2)-MONTH($F47)) / 12),
  0)</f>
        <v>0</v>
      </c>
      <c r="AZ47" s="291">
        <f>IF(AND($F47&lt;=AZ$2, OR($G47="",$G47&gt;=AZ$2)),
  $H47 * (1 + Assumptions!$C$7) ^ INT(((YEAR(AZ$2)-YEAR($F47))*12 + MONTH(AZ$2)-MONTH($F47)) / 12),
  0)</f>
        <v>0</v>
      </c>
      <c r="BA47" s="291">
        <f>IF(AND($F47&lt;=BA$2, OR($G47="",$G47&gt;=BA$2)),
  $H47 * (1 + Assumptions!$C$7) ^ INT(((YEAR(BA$2)-YEAR($F47))*12 + MONTH(BA$2)-MONTH($F47)) / 12),
  0)</f>
        <v>0</v>
      </c>
      <c r="BB47" s="291">
        <f>IF(AND($F47&lt;=BB$2, OR($G47="",$G47&gt;=BB$2)),
  $H47 * (1 + Assumptions!$C$7) ^ INT(((YEAR(BB$2)-YEAR($F47))*12 + MONTH(BB$2)-MONTH($F47)) / 12),
  0)</f>
        <v>0</v>
      </c>
      <c r="BC47" s="291">
        <f>IF(AND($F47&lt;=BC$2, OR($G47="",$G47&gt;=BC$2)),
  $H47 * (1 + Assumptions!$C$7) ^ INT(((YEAR(BC$2)-YEAR($F47))*12 + MONTH(BC$2)-MONTH($F47)) / 12),
  0)</f>
        <v>0</v>
      </c>
      <c r="BD47" s="291">
        <f>IF(AND($F47&lt;=BD$2, OR($G47="",$G47&gt;=BD$2)),
  $H47 * (1 + Assumptions!$C$7) ^ INT(((YEAR(BD$2)-YEAR($F47))*12 + MONTH(BD$2)-MONTH($F47)) / 12),
  0)</f>
        <v>0</v>
      </c>
      <c r="BE47" s="291">
        <f>IF(AND($F47&lt;=BE$2, OR($G47="",$G47&gt;=BE$2)),
  $H47 * (1 + Assumptions!$C$7) ^ INT(((YEAR(BE$2)-YEAR($F47))*12 + MONTH(BE$2)-MONTH($F47)) / 12),
  0)</f>
        <v>0</v>
      </c>
      <c r="BF47" s="291">
        <f>IF(AND($F47&lt;=BF$2, OR($G47="",$G47&gt;=BF$2)),
  $H47 * (1 + Assumptions!$C$7) ^ INT(((YEAR(BF$2)-YEAR($F47))*12 + MONTH(BF$2)-MONTH($F47)) / 12),
  0)</f>
        <v>0</v>
      </c>
      <c r="BG47" s="291">
        <f>IF(AND($F47&lt;=BG$2, OR($G47="",$G47&gt;=BG$2)),
  $H47 * (1 + Assumptions!$C$7) ^ INT(((YEAR(BG$2)-YEAR($F47))*12 + MONTH(BG$2)-MONTH($F47)) / 12),
  0)</f>
        <v>0</v>
      </c>
      <c r="BH47" s="291">
        <f>IF(AND($F47&lt;=BH$2, OR($G47="",$G47&gt;=BH$2)),
  $H47 * (1 + Assumptions!$C$7) ^ INT(((YEAR(BH$2)-YEAR($F47))*12 + MONTH(BH$2)-MONTH($F47)) / 12),
  0)</f>
        <v>0</v>
      </c>
      <c r="BI47" s="291">
        <f>IF(AND($F47&lt;=BI$2, OR($G47="",$G47&gt;=BI$2)),
  $H47 * (1 + Assumptions!$C$7) ^ INT(((YEAR(BI$2)-YEAR($F47))*12 + MONTH(BI$2)-MONTH($F47)) / 12),
  0)</f>
        <v>0</v>
      </c>
      <c r="BJ47" s="291">
        <f>IF(AND($F47&lt;=BJ$2, OR($G47="",$G47&gt;=BJ$2)),
  $H47 * (1 + Assumptions!$C$7) ^ INT(((YEAR(BJ$2)-YEAR($F47))*12 + MONTH(BJ$2)-MONTH($F47)) / 12),
  0)</f>
        <v>7500</v>
      </c>
      <c r="BK47" s="291">
        <f>IF(AND($F47&lt;=BK$2, OR($G47="",$G47&gt;=BK$2)),
  $H47 * (1 + Assumptions!$C$7) ^ INT(((YEAR(BK$2)-YEAR($F47))*12 + MONTH(BK$2)-MONTH($F47)) / 12),
  0)</f>
        <v>7500</v>
      </c>
      <c r="BL47" s="291">
        <f>IF(AND($F47&lt;=BL$2, OR($G47="",$G47&gt;=BL$2)),
  $H47 * (1 + Assumptions!$C$7) ^ INT(((YEAR(BL$2)-YEAR($F47))*12 + MONTH(BL$2)-MONTH($F47)) / 12),
  0)</f>
        <v>7500</v>
      </c>
      <c r="BM47" s="291">
        <f>IF(AND($F47&lt;=BM$2, OR($G47="",$G47&gt;=BM$2)),
  $H47 * (1 + Assumptions!$C$7) ^ INT(((YEAR(BM$2)-YEAR($F47))*12 + MONTH(BM$2)-MONTH($F47)) / 12),
  0)</f>
        <v>7500</v>
      </c>
      <c r="BN47" s="291">
        <f>IF(AND($F47&lt;=BN$2, OR($G47="",$G47&gt;=BN$2)),
  $H47 * (1 + Assumptions!$C$7) ^ INT(((YEAR(BN$2)-YEAR($F47))*12 + MONTH(BN$2)-MONTH($F47)) / 12),
  0)</f>
        <v>7500</v>
      </c>
      <c r="BO47" s="291">
        <f>IF(AND($F47&lt;=BO$2, OR($G47="",$G47&gt;=BO$2)),
  $H47 * (1 + Assumptions!$C$7) ^ INT(((YEAR(BO$2)-YEAR($F47))*12 + MONTH(BO$2)-MONTH($F47)) / 12),
  0)</f>
        <v>7500</v>
      </c>
      <c r="BP47" s="291">
        <f>IF(AND($F47&lt;=BP$2, OR($G47="",$G47&gt;=BP$2)),
  $H47 * (1 + Assumptions!$C$7) ^ INT(((YEAR(BP$2)-YEAR($F47))*12 + MONTH(BP$2)-MONTH($F47)) / 12),
  0)</f>
        <v>7500</v>
      </c>
      <c r="BQ47" s="30"/>
    </row>
    <row r="48" ht="16.5" customHeight="1">
      <c r="A48" s="298">
        <v>43.0</v>
      </c>
      <c r="B48" s="282" t="s">
        <v>335</v>
      </c>
      <c r="C48" s="26" t="s">
        <v>141</v>
      </c>
      <c r="D48" s="303" t="s">
        <v>341</v>
      </c>
      <c r="E48" s="289" t="s">
        <v>337</v>
      </c>
      <c r="F48" s="283">
        <v>47270.0</v>
      </c>
      <c r="G48" s="301"/>
      <c r="H48" s="285">
        <v>7500.0</v>
      </c>
      <c r="I48" s="291">
        <f>IF(AND($F48&lt;=I$2, OR($G48="",$G48&gt;=I$2)),
  $H48 * (1 + Assumptions!$C$7) ^ INT(((YEAR(I$2)-YEAR($F48))*12 + MONTH(I$2)-MONTH($F48)) / 12),
  0)</f>
        <v>0</v>
      </c>
      <c r="J48" s="291">
        <f>IF(AND($F48&lt;=J$2, OR($G48="",$G48&gt;=J$2)),
  $H48 * (1 + Assumptions!$C$7) ^ INT(((YEAR(J$2)-YEAR($F48))*12 + MONTH(J$2)-MONTH($F48)) / 12),
  0)</f>
        <v>0</v>
      </c>
      <c r="K48" s="291">
        <f>IF(AND($F48&lt;=K$2, OR($G48="",$G48&gt;=K$2)),
  $H48 * (1 + Assumptions!$C$7) ^ INT(((YEAR(K$2)-YEAR($F48))*12 + MONTH(K$2)-MONTH($F48)) / 12),
  0)</f>
        <v>0</v>
      </c>
      <c r="L48" s="291">
        <f>IF(AND($F48&lt;=L$2, OR($G48="",$G48&gt;=L$2)),
  $H48 * (1 + Assumptions!$C$7) ^ INT(((YEAR(L$2)-YEAR($F48))*12 + MONTH(L$2)-MONTH($F48)) / 12),
  0)</f>
        <v>0</v>
      </c>
      <c r="M48" s="291">
        <f>IF(AND($F48&lt;=M$2, OR($G48="",$G48&gt;=M$2)),
  $H48 * (1 + Assumptions!$C$7) ^ INT(((YEAR(M$2)-YEAR($F48))*12 + MONTH(M$2)-MONTH($F48)) / 12),
  0)</f>
        <v>0</v>
      </c>
      <c r="N48" s="291">
        <f>IF(AND($F48&lt;=N$2, OR($G48="",$G48&gt;=N$2)),
  $H48 * (1 + Assumptions!$C$7) ^ INT(((YEAR(N$2)-YEAR($F48))*12 + MONTH(N$2)-MONTH($F48)) / 12),
  0)</f>
        <v>0</v>
      </c>
      <c r="O48" s="291">
        <f>IF(AND($F48&lt;=O$2, OR($G48="",$G48&gt;=O$2)),
  $H48 * (1 + Assumptions!$C$7) ^ INT(((YEAR(O$2)-YEAR($F48))*12 + MONTH(O$2)-MONTH($F48)) / 12),
  0)</f>
        <v>0</v>
      </c>
      <c r="P48" s="291">
        <f>IF(AND($F48&lt;=P$2, OR($G48="",$G48&gt;=P$2)),
  $H48 * (1 + Assumptions!$C$7) ^ INT(((YEAR(P$2)-YEAR($F48))*12 + MONTH(P$2)-MONTH($F48)) / 12),
  0)</f>
        <v>0</v>
      </c>
      <c r="Q48" s="291">
        <f>IF(AND($F48&lt;=Q$2, OR($G48="",$G48&gt;=Q$2)),
  $H48 * (1 + Assumptions!$C$7) ^ INT(((YEAR(Q$2)-YEAR($F48))*12 + MONTH(Q$2)-MONTH($F48)) / 12),
  0)</f>
        <v>0</v>
      </c>
      <c r="R48" s="291">
        <f>IF(AND($F48&lt;=R$2, OR($G48="",$G48&gt;=R$2)),
  $H48 * (1 + Assumptions!$C$7) ^ INT(((YEAR(R$2)-YEAR($F48))*12 + MONTH(R$2)-MONTH($F48)) / 12),
  0)</f>
        <v>0</v>
      </c>
      <c r="S48" s="291">
        <f>IF(AND($F48&lt;=S$2, OR($G48="",$G48&gt;=S$2)),
  $H48 * (1 + Assumptions!$C$7) ^ INT(((YEAR(S$2)-YEAR($F48))*12 + MONTH(S$2)-MONTH($F48)) / 12),
  0)</f>
        <v>0</v>
      </c>
      <c r="T48" s="291">
        <f>IF(AND($F48&lt;=T$2, OR($G48="",$G48&gt;=T$2)),
  $H48 * (1 + Assumptions!$C$7) ^ INT(((YEAR(T$2)-YEAR($F48))*12 + MONTH(T$2)-MONTH($F48)) / 12),
  0)</f>
        <v>0</v>
      </c>
      <c r="U48" s="291">
        <f>IF(AND($F48&lt;=U$2, OR($G48="",$G48&gt;=U$2)),
  $H48 * (1 + Assumptions!$C$7) ^ INT(((YEAR(U$2)-YEAR($F48))*12 + MONTH(U$2)-MONTH($F48)) / 12),
  0)</f>
        <v>0</v>
      </c>
      <c r="V48" s="291">
        <f>IF(AND($F48&lt;=V$2, OR($G48="",$G48&gt;=V$2)),
  $H48 * (1 + Assumptions!$C$7) ^ INT(((YEAR(V$2)-YEAR($F48))*12 + MONTH(V$2)-MONTH($F48)) / 12),
  0)</f>
        <v>0</v>
      </c>
      <c r="W48" s="291">
        <f>IF(AND($F48&lt;=W$2, OR($G48="",$G48&gt;=W$2)),
  $H48 * (1 + Assumptions!$C$7) ^ INT(((YEAR(W$2)-YEAR($F48))*12 + MONTH(W$2)-MONTH($F48)) / 12),
  0)</f>
        <v>0</v>
      </c>
      <c r="X48" s="291">
        <f>IF(AND($F48&lt;=X$2, OR($G48="",$G48&gt;=X$2)),
  $H48 * (1 + Assumptions!$C$7) ^ INT(((YEAR(X$2)-YEAR($F48))*12 + MONTH(X$2)-MONTH($F48)) / 12),
  0)</f>
        <v>0</v>
      </c>
      <c r="Y48" s="291">
        <f>IF(AND($F48&lt;=Y$2, OR($G48="",$G48&gt;=Y$2)),
  $H48 * (1 + Assumptions!$C$7) ^ INT(((YEAR(Y$2)-YEAR($F48))*12 + MONTH(Y$2)-MONTH($F48)) / 12),
  0)</f>
        <v>0</v>
      </c>
      <c r="Z48" s="291">
        <f>IF(AND($F48&lt;=Z$2, OR($G48="",$G48&gt;=Z$2)),
  $H48 * (1 + Assumptions!$C$7) ^ INT(((YEAR(Z$2)-YEAR($F48))*12 + MONTH(Z$2)-MONTH($F48)) / 12),
  0)</f>
        <v>0</v>
      </c>
      <c r="AA48" s="291">
        <f>IF(AND($F48&lt;=AA$2, OR($G48="",$G48&gt;=AA$2)),
  $H48 * (1 + Assumptions!$C$7) ^ INT(((YEAR(AA$2)-YEAR($F48))*12 + MONTH(AA$2)-MONTH($F48)) / 12),
  0)</f>
        <v>0</v>
      </c>
      <c r="AB48" s="291">
        <f>IF(AND($F48&lt;=AB$2, OR($G48="",$G48&gt;=AB$2)),
  $H48 * (1 + Assumptions!$C$7) ^ INT(((YEAR(AB$2)-YEAR($F48))*12 + MONTH(AB$2)-MONTH($F48)) / 12),
  0)</f>
        <v>0</v>
      </c>
      <c r="AC48" s="291">
        <f>IF(AND($F48&lt;=AC$2, OR($G48="",$G48&gt;=AC$2)),
  $H48 * (1 + Assumptions!$C$7) ^ INT(((YEAR(AC$2)-YEAR($F48))*12 + MONTH(AC$2)-MONTH($F48)) / 12),
  0)</f>
        <v>0</v>
      </c>
      <c r="AD48" s="291">
        <f>IF(AND($F48&lt;=AD$2, OR($G48="",$G48&gt;=AD$2)),
  $H48 * (1 + Assumptions!$C$7) ^ INT(((YEAR(AD$2)-YEAR($F48))*12 + MONTH(AD$2)-MONTH($F48)) / 12),
  0)</f>
        <v>0</v>
      </c>
      <c r="AE48" s="291">
        <f>IF(AND($F48&lt;=AE$2, OR($G48="",$G48&gt;=AE$2)),
  $H48 * (1 + Assumptions!$C$7) ^ INT(((YEAR(AE$2)-YEAR($F48))*12 + MONTH(AE$2)-MONTH($F48)) / 12),
  0)</f>
        <v>0</v>
      </c>
      <c r="AF48" s="291">
        <f>IF(AND($F48&lt;=AF$2, OR($G48="",$G48&gt;=AF$2)),
  $H48 * (1 + Assumptions!$C$7) ^ INT(((YEAR(AF$2)-YEAR($F48))*12 + MONTH(AF$2)-MONTH($F48)) / 12),
  0)</f>
        <v>0</v>
      </c>
      <c r="AG48" s="291">
        <f>IF(AND($F48&lt;=AG$2, OR($G48="",$G48&gt;=AG$2)),
  $H48 * (1 + Assumptions!$C$7) ^ INT(((YEAR(AG$2)-YEAR($F48))*12 + MONTH(AG$2)-MONTH($F48)) / 12),
  0)</f>
        <v>0</v>
      </c>
      <c r="AH48" s="291">
        <f>IF(AND($F48&lt;=AH$2, OR($G48="",$G48&gt;=AH$2)),
  $H48 * (1 + Assumptions!$C$7) ^ INT(((YEAR(AH$2)-YEAR($F48))*12 + MONTH(AH$2)-MONTH($F48)) / 12),
  0)</f>
        <v>0</v>
      </c>
      <c r="AI48" s="291">
        <f>IF(AND($F48&lt;=AI$2, OR($G48="",$G48&gt;=AI$2)),
  $H48 * (1 + Assumptions!$C$7) ^ INT(((YEAR(AI$2)-YEAR($F48))*12 + MONTH(AI$2)-MONTH($F48)) / 12),
  0)</f>
        <v>0</v>
      </c>
      <c r="AJ48" s="291">
        <f>IF(AND($F48&lt;=AJ$2, OR($G48="",$G48&gt;=AJ$2)),
  $H48 * (1 + Assumptions!$C$7) ^ INT(((YEAR(AJ$2)-YEAR($F48))*12 + MONTH(AJ$2)-MONTH($F48)) / 12),
  0)</f>
        <v>0</v>
      </c>
      <c r="AK48" s="291">
        <f>IF(AND($F48&lt;=AK$2, OR($G48="",$G48&gt;=AK$2)),
  $H48 * (1 + Assumptions!$C$7) ^ INT(((YEAR(AK$2)-YEAR($F48))*12 + MONTH(AK$2)-MONTH($F48)) / 12),
  0)</f>
        <v>0</v>
      </c>
      <c r="AL48" s="291">
        <f>IF(AND($F48&lt;=AL$2, OR($G48="",$G48&gt;=AL$2)),
  $H48 * (1 + Assumptions!$C$7) ^ INT(((YEAR(AL$2)-YEAR($F48))*12 + MONTH(AL$2)-MONTH($F48)) / 12),
  0)</f>
        <v>0</v>
      </c>
      <c r="AM48" s="291">
        <f>IF(AND($F48&lt;=AM$2, OR($G48="",$G48&gt;=AM$2)),
  $H48 * (1 + Assumptions!$C$7) ^ INT(((YEAR(AM$2)-YEAR($F48))*12 + MONTH(AM$2)-MONTH($F48)) / 12),
  0)</f>
        <v>0</v>
      </c>
      <c r="AN48" s="291">
        <f>IF(AND($F48&lt;=AN$2, OR($G48="",$G48&gt;=AN$2)),
  $H48 * (1 + Assumptions!$C$7) ^ INT(((YEAR(AN$2)-YEAR($F48))*12 + MONTH(AN$2)-MONTH($F48)) / 12),
  0)</f>
        <v>0</v>
      </c>
      <c r="AO48" s="291">
        <f>IF(AND($F48&lt;=AO$2, OR($G48="",$G48&gt;=AO$2)),
  $H48 * (1 + Assumptions!$C$7) ^ INT(((YEAR(AO$2)-YEAR($F48))*12 + MONTH(AO$2)-MONTH($F48)) / 12),
  0)</f>
        <v>0</v>
      </c>
      <c r="AP48" s="291">
        <f>IF(AND($F48&lt;=AP$2, OR($G48="",$G48&gt;=AP$2)),
  $H48 * (1 + Assumptions!$C$7) ^ INT(((YEAR(AP$2)-YEAR($F48))*12 + MONTH(AP$2)-MONTH($F48)) / 12),
  0)</f>
        <v>0</v>
      </c>
      <c r="AQ48" s="291">
        <f>IF(AND($F48&lt;=AQ$2, OR($G48="",$G48&gt;=AQ$2)),
  $H48 * (1 + Assumptions!$C$7) ^ INT(((YEAR(AQ$2)-YEAR($F48))*12 + MONTH(AQ$2)-MONTH($F48)) / 12),
  0)</f>
        <v>0</v>
      </c>
      <c r="AR48" s="291">
        <f>IF(AND($F48&lt;=AR$2, OR($G48="",$G48&gt;=AR$2)),
  $H48 * (1 + Assumptions!$C$7) ^ INT(((YEAR(AR$2)-YEAR($F48))*12 + MONTH(AR$2)-MONTH($F48)) / 12),
  0)</f>
        <v>0</v>
      </c>
      <c r="AS48" s="291">
        <f>IF(AND($F48&lt;=AS$2, OR($G48="",$G48&gt;=AS$2)),
  $H48 * (1 + Assumptions!$C$7) ^ INT(((YEAR(AS$2)-YEAR($F48))*12 + MONTH(AS$2)-MONTH($F48)) / 12),
  0)</f>
        <v>0</v>
      </c>
      <c r="AT48" s="291">
        <f>IF(AND($F48&lt;=AT$2, OR($G48="",$G48&gt;=AT$2)),
  $H48 * (1 + Assumptions!$C$7) ^ INT(((YEAR(AT$2)-YEAR($F48))*12 + MONTH(AT$2)-MONTH($F48)) / 12),
  0)</f>
        <v>0</v>
      </c>
      <c r="AU48" s="291">
        <f>IF(AND($F48&lt;=AU$2, OR($G48="",$G48&gt;=AU$2)),
  $H48 * (1 + Assumptions!$C$7) ^ INT(((YEAR(AU$2)-YEAR($F48))*12 + MONTH(AU$2)-MONTH($F48)) / 12),
  0)</f>
        <v>0</v>
      </c>
      <c r="AV48" s="291">
        <f>IF(AND($F48&lt;=AV$2, OR($G48="",$G48&gt;=AV$2)),
  $H48 * (1 + Assumptions!$C$7) ^ INT(((YEAR(AV$2)-YEAR($F48))*12 + MONTH(AV$2)-MONTH($F48)) / 12),
  0)</f>
        <v>0</v>
      </c>
      <c r="AW48" s="291">
        <f>IF(AND($F48&lt;=AW$2, OR($G48="",$G48&gt;=AW$2)),
  $H48 * (1 + Assumptions!$C$7) ^ INT(((YEAR(AW$2)-YEAR($F48))*12 + MONTH(AW$2)-MONTH($F48)) / 12),
  0)</f>
        <v>0</v>
      </c>
      <c r="AX48" s="291">
        <f>IF(AND($F48&lt;=AX$2, OR($G48="",$G48&gt;=AX$2)),
  $H48 * (1 + Assumptions!$C$7) ^ INT(((YEAR(AX$2)-YEAR($F48))*12 + MONTH(AX$2)-MONTH($F48)) / 12),
  0)</f>
        <v>0</v>
      </c>
      <c r="AY48" s="291">
        <f>IF(AND($F48&lt;=AY$2, OR($G48="",$G48&gt;=AY$2)),
  $H48 * (1 + Assumptions!$C$7) ^ INT(((YEAR(AY$2)-YEAR($F48))*12 + MONTH(AY$2)-MONTH($F48)) / 12),
  0)</f>
        <v>0</v>
      </c>
      <c r="AZ48" s="291">
        <f>IF(AND($F48&lt;=AZ$2, OR($G48="",$G48&gt;=AZ$2)),
  $H48 * (1 + Assumptions!$C$7) ^ INT(((YEAR(AZ$2)-YEAR($F48))*12 + MONTH(AZ$2)-MONTH($F48)) / 12),
  0)</f>
        <v>0</v>
      </c>
      <c r="BA48" s="291">
        <f>IF(AND($F48&lt;=BA$2, OR($G48="",$G48&gt;=BA$2)),
  $H48 * (1 + Assumptions!$C$7) ^ INT(((YEAR(BA$2)-YEAR($F48))*12 + MONTH(BA$2)-MONTH($F48)) / 12),
  0)</f>
        <v>0</v>
      </c>
      <c r="BB48" s="291">
        <f>IF(AND($F48&lt;=BB$2, OR($G48="",$G48&gt;=BB$2)),
  $H48 * (1 + Assumptions!$C$7) ^ INT(((YEAR(BB$2)-YEAR($F48))*12 + MONTH(BB$2)-MONTH($F48)) / 12),
  0)</f>
        <v>0</v>
      </c>
      <c r="BC48" s="291">
        <f>IF(AND($F48&lt;=BC$2, OR($G48="",$G48&gt;=BC$2)),
  $H48 * (1 + Assumptions!$C$7) ^ INT(((YEAR(BC$2)-YEAR($F48))*12 + MONTH(BC$2)-MONTH($F48)) / 12),
  0)</f>
        <v>0</v>
      </c>
      <c r="BD48" s="291">
        <f>IF(AND($F48&lt;=BD$2, OR($G48="",$G48&gt;=BD$2)),
  $H48 * (1 + Assumptions!$C$7) ^ INT(((YEAR(BD$2)-YEAR($F48))*12 + MONTH(BD$2)-MONTH($F48)) / 12),
  0)</f>
        <v>0</v>
      </c>
      <c r="BE48" s="291">
        <f>IF(AND($F48&lt;=BE$2, OR($G48="",$G48&gt;=BE$2)),
  $H48 * (1 + Assumptions!$C$7) ^ INT(((YEAR(BE$2)-YEAR($F48))*12 + MONTH(BE$2)-MONTH($F48)) / 12),
  0)</f>
        <v>0</v>
      </c>
      <c r="BF48" s="291">
        <f>IF(AND($F48&lt;=BF$2, OR($G48="",$G48&gt;=BF$2)),
  $H48 * (1 + Assumptions!$C$7) ^ INT(((YEAR(BF$2)-YEAR($F48))*12 + MONTH(BF$2)-MONTH($F48)) / 12),
  0)</f>
        <v>0</v>
      </c>
      <c r="BG48" s="291">
        <f>IF(AND($F48&lt;=BG$2, OR($G48="",$G48&gt;=BG$2)),
  $H48 * (1 + Assumptions!$C$7) ^ INT(((YEAR(BG$2)-YEAR($F48))*12 + MONTH(BG$2)-MONTH($F48)) / 12),
  0)</f>
        <v>0</v>
      </c>
      <c r="BH48" s="291">
        <f>IF(AND($F48&lt;=BH$2, OR($G48="",$G48&gt;=BH$2)),
  $H48 * (1 + Assumptions!$C$7) ^ INT(((YEAR(BH$2)-YEAR($F48))*12 + MONTH(BH$2)-MONTH($F48)) / 12),
  0)</f>
        <v>0</v>
      </c>
      <c r="BI48" s="291">
        <f>IF(AND($F48&lt;=BI$2, OR($G48="",$G48&gt;=BI$2)),
  $H48 * (1 + Assumptions!$C$7) ^ INT(((YEAR(BI$2)-YEAR($F48))*12 + MONTH(BI$2)-MONTH($F48)) / 12),
  0)</f>
        <v>0</v>
      </c>
      <c r="BJ48" s="291">
        <f>IF(AND($F48&lt;=BJ$2, OR($G48="",$G48&gt;=BJ$2)),
  $H48 * (1 + Assumptions!$C$7) ^ INT(((YEAR(BJ$2)-YEAR($F48))*12 + MONTH(BJ$2)-MONTH($F48)) / 12),
  0)</f>
        <v>7500</v>
      </c>
      <c r="BK48" s="291">
        <f>IF(AND($F48&lt;=BK$2, OR($G48="",$G48&gt;=BK$2)),
  $H48 * (1 + Assumptions!$C$7) ^ INT(((YEAR(BK$2)-YEAR($F48))*12 + MONTH(BK$2)-MONTH($F48)) / 12),
  0)</f>
        <v>7500</v>
      </c>
      <c r="BL48" s="291">
        <f>IF(AND($F48&lt;=BL$2, OR($G48="",$G48&gt;=BL$2)),
  $H48 * (1 + Assumptions!$C$7) ^ INT(((YEAR(BL$2)-YEAR($F48))*12 + MONTH(BL$2)-MONTH($F48)) / 12),
  0)</f>
        <v>7500</v>
      </c>
      <c r="BM48" s="291">
        <f>IF(AND($F48&lt;=BM$2, OR($G48="",$G48&gt;=BM$2)),
  $H48 * (1 + Assumptions!$C$7) ^ INT(((YEAR(BM$2)-YEAR($F48))*12 + MONTH(BM$2)-MONTH($F48)) / 12),
  0)</f>
        <v>7500</v>
      </c>
      <c r="BN48" s="291">
        <f>IF(AND($F48&lt;=BN$2, OR($G48="",$G48&gt;=BN$2)),
  $H48 * (1 + Assumptions!$C$7) ^ INT(((YEAR(BN$2)-YEAR($F48))*12 + MONTH(BN$2)-MONTH($F48)) / 12),
  0)</f>
        <v>7500</v>
      </c>
      <c r="BO48" s="291">
        <f>IF(AND($F48&lt;=BO$2, OR($G48="",$G48&gt;=BO$2)),
  $H48 * (1 + Assumptions!$C$7) ^ INT(((YEAR(BO$2)-YEAR($F48))*12 + MONTH(BO$2)-MONTH($F48)) / 12),
  0)</f>
        <v>7500</v>
      </c>
      <c r="BP48" s="291">
        <f>IF(AND($F48&lt;=BP$2, OR($G48="",$G48&gt;=BP$2)),
  $H48 * (1 + Assumptions!$C$7) ^ INT(((YEAR(BP$2)-YEAR($F48))*12 + MONTH(BP$2)-MONTH($F48)) / 12),
  0)</f>
        <v>7500</v>
      </c>
      <c r="BQ48" s="30"/>
    </row>
    <row r="49" ht="16.5" customHeight="1">
      <c r="A49" s="298">
        <v>44.0</v>
      </c>
      <c r="B49" s="282" t="s">
        <v>335</v>
      </c>
      <c r="C49" s="26" t="s">
        <v>141</v>
      </c>
      <c r="D49" s="303" t="s">
        <v>341</v>
      </c>
      <c r="E49" s="289" t="s">
        <v>337</v>
      </c>
      <c r="F49" s="283">
        <v>47270.0</v>
      </c>
      <c r="G49" s="301"/>
      <c r="H49" s="285">
        <v>7500.0</v>
      </c>
      <c r="I49" s="291">
        <f>IF(AND($F49&lt;=I$2, OR($G49="",$G49&gt;=I$2)),
  $H49 * (1 + Assumptions!$C$7) ^ INT(((YEAR(I$2)-YEAR($F49))*12 + MONTH(I$2)-MONTH($F49)) / 12),
  0)</f>
        <v>0</v>
      </c>
      <c r="J49" s="291">
        <f>IF(AND($F49&lt;=J$2, OR($G49="",$G49&gt;=J$2)),
  $H49 * (1 + Assumptions!$C$7) ^ INT(((YEAR(J$2)-YEAR($F49))*12 + MONTH(J$2)-MONTH($F49)) / 12),
  0)</f>
        <v>0</v>
      </c>
      <c r="K49" s="291">
        <f>IF(AND($F49&lt;=K$2, OR($G49="",$G49&gt;=K$2)),
  $H49 * (1 + Assumptions!$C$7) ^ INT(((YEAR(K$2)-YEAR($F49))*12 + MONTH(K$2)-MONTH($F49)) / 12),
  0)</f>
        <v>0</v>
      </c>
      <c r="L49" s="291">
        <f>IF(AND($F49&lt;=L$2, OR($G49="",$G49&gt;=L$2)),
  $H49 * (1 + Assumptions!$C$7) ^ INT(((YEAR(L$2)-YEAR($F49))*12 + MONTH(L$2)-MONTH($F49)) / 12),
  0)</f>
        <v>0</v>
      </c>
      <c r="M49" s="291">
        <f>IF(AND($F49&lt;=M$2, OR($G49="",$G49&gt;=M$2)),
  $H49 * (1 + Assumptions!$C$7) ^ INT(((YEAR(M$2)-YEAR($F49))*12 + MONTH(M$2)-MONTH($F49)) / 12),
  0)</f>
        <v>0</v>
      </c>
      <c r="N49" s="291">
        <f>IF(AND($F49&lt;=N$2, OR($G49="",$G49&gt;=N$2)),
  $H49 * (1 + Assumptions!$C$7) ^ INT(((YEAR(N$2)-YEAR($F49))*12 + MONTH(N$2)-MONTH($F49)) / 12),
  0)</f>
        <v>0</v>
      </c>
      <c r="O49" s="291">
        <f>IF(AND($F49&lt;=O$2, OR($G49="",$G49&gt;=O$2)),
  $H49 * (1 + Assumptions!$C$7) ^ INT(((YEAR(O$2)-YEAR($F49))*12 + MONTH(O$2)-MONTH($F49)) / 12),
  0)</f>
        <v>0</v>
      </c>
      <c r="P49" s="291">
        <f>IF(AND($F49&lt;=P$2, OR($G49="",$G49&gt;=P$2)),
  $H49 * (1 + Assumptions!$C$7) ^ INT(((YEAR(P$2)-YEAR($F49))*12 + MONTH(P$2)-MONTH($F49)) / 12),
  0)</f>
        <v>0</v>
      </c>
      <c r="Q49" s="291">
        <f>IF(AND($F49&lt;=Q$2, OR($G49="",$G49&gt;=Q$2)),
  $H49 * (1 + Assumptions!$C$7) ^ INT(((YEAR(Q$2)-YEAR($F49))*12 + MONTH(Q$2)-MONTH($F49)) / 12),
  0)</f>
        <v>0</v>
      </c>
      <c r="R49" s="291">
        <f>IF(AND($F49&lt;=R$2, OR($G49="",$G49&gt;=R$2)),
  $H49 * (1 + Assumptions!$C$7) ^ INT(((YEAR(R$2)-YEAR($F49))*12 + MONTH(R$2)-MONTH($F49)) / 12),
  0)</f>
        <v>0</v>
      </c>
      <c r="S49" s="291">
        <f>IF(AND($F49&lt;=S$2, OR($G49="",$G49&gt;=S$2)),
  $H49 * (1 + Assumptions!$C$7) ^ INT(((YEAR(S$2)-YEAR($F49))*12 + MONTH(S$2)-MONTH($F49)) / 12),
  0)</f>
        <v>0</v>
      </c>
      <c r="T49" s="291">
        <f>IF(AND($F49&lt;=T$2, OR($G49="",$G49&gt;=T$2)),
  $H49 * (1 + Assumptions!$C$7) ^ INT(((YEAR(T$2)-YEAR($F49))*12 + MONTH(T$2)-MONTH($F49)) / 12),
  0)</f>
        <v>0</v>
      </c>
      <c r="U49" s="291">
        <f>IF(AND($F49&lt;=U$2, OR($G49="",$G49&gt;=U$2)),
  $H49 * (1 + Assumptions!$C$7) ^ INT(((YEAR(U$2)-YEAR($F49))*12 + MONTH(U$2)-MONTH($F49)) / 12),
  0)</f>
        <v>0</v>
      </c>
      <c r="V49" s="291">
        <f>IF(AND($F49&lt;=V$2, OR($G49="",$G49&gt;=V$2)),
  $H49 * (1 + Assumptions!$C$7) ^ INT(((YEAR(V$2)-YEAR($F49))*12 + MONTH(V$2)-MONTH($F49)) / 12),
  0)</f>
        <v>0</v>
      </c>
      <c r="W49" s="291">
        <f>IF(AND($F49&lt;=W$2, OR($G49="",$G49&gt;=W$2)),
  $H49 * (1 + Assumptions!$C$7) ^ INT(((YEAR(W$2)-YEAR($F49))*12 + MONTH(W$2)-MONTH($F49)) / 12),
  0)</f>
        <v>0</v>
      </c>
      <c r="X49" s="291">
        <f>IF(AND($F49&lt;=X$2, OR($G49="",$G49&gt;=X$2)),
  $H49 * (1 + Assumptions!$C$7) ^ INT(((YEAR(X$2)-YEAR($F49))*12 + MONTH(X$2)-MONTH($F49)) / 12),
  0)</f>
        <v>0</v>
      </c>
      <c r="Y49" s="291">
        <f>IF(AND($F49&lt;=Y$2, OR($G49="",$G49&gt;=Y$2)),
  $H49 * (1 + Assumptions!$C$7) ^ INT(((YEAR(Y$2)-YEAR($F49))*12 + MONTH(Y$2)-MONTH($F49)) / 12),
  0)</f>
        <v>0</v>
      </c>
      <c r="Z49" s="291">
        <f>IF(AND($F49&lt;=Z$2, OR($G49="",$G49&gt;=Z$2)),
  $H49 * (1 + Assumptions!$C$7) ^ INT(((YEAR(Z$2)-YEAR($F49))*12 + MONTH(Z$2)-MONTH($F49)) / 12),
  0)</f>
        <v>0</v>
      </c>
      <c r="AA49" s="291">
        <f>IF(AND($F49&lt;=AA$2, OR($G49="",$G49&gt;=AA$2)),
  $H49 * (1 + Assumptions!$C$7) ^ INT(((YEAR(AA$2)-YEAR($F49))*12 + MONTH(AA$2)-MONTH($F49)) / 12),
  0)</f>
        <v>0</v>
      </c>
      <c r="AB49" s="291">
        <f>IF(AND($F49&lt;=AB$2, OR($G49="",$G49&gt;=AB$2)),
  $H49 * (1 + Assumptions!$C$7) ^ INT(((YEAR(AB$2)-YEAR($F49))*12 + MONTH(AB$2)-MONTH($F49)) / 12),
  0)</f>
        <v>0</v>
      </c>
      <c r="AC49" s="291">
        <f>IF(AND($F49&lt;=AC$2, OR($G49="",$G49&gt;=AC$2)),
  $H49 * (1 + Assumptions!$C$7) ^ INT(((YEAR(AC$2)-YEAR($F49))*12 + MONTH(AC$2)-MONTH($F49)) / 12),
  0)</f>
        <v>0</v>
      </c>
      <c r="AD49" s="291">
        <f>IF(AND($F49&lt;=AD$2, OR($G49="",$G49&gt;=AD$2)),
  $H49 * (1 + Assumptions!$C$7) ^ INT(((YEAR(AD$2)-YEAR($F49))*12 + MONTH(AD$2)-MONTH($F49)) / 12),
  0)</f>
        <v>0</v>
      </c>
      <c r="AE49" s="291">
        <f>IF(AND($F49&lt;=AE$2, OR($G49="",$G49&gt;=AE$2)),
  $H49 * (1 + Assumptions!$C$7) ^ INT(((YEAR(AE$2)-YEAR($F49))*12 + MONTH(AE$2)-MONTH($F49)) / 12),
  0)</f>
        <v>0</v>
      </c>
      <c r="AF49" s="291">
        <f>IF(AND($F49&lt;=AF$2, OR($G49="",$G49&gt;=AF$2)),
  $H49 * (1 + Assumptions!$C$7) ^ INT(((YEAR(AF$2)-YEAR($F49))*12 + MONTH(AF$2)-MONTH($F49)) / 12),
  0)</f>
        <v>0</v>
      </c>
      <c r="AG49" s="291">
        <f>IF(AND($F49&lt;=AG$2, OR($G49="",$G49&gt;=AG$2)),
  $H49 * (1 + Assumptions!$C$7) ^ INT(((YEAR(AG$2)-YEAR($F49))*12 + MONTH(AG$2)-MONTH($F49)) / 12),
  0)</f>
        <v>0</v>
      </c>
      <c r="AH49" s="291">
        <f>IF(AND($F49&lt;=AH$2, OR($G49="",$G49&gt;=AH$2)),
  $H49 * (1 + Assumptions!$C$7) ^ INT(((YEAR(AH$2)-YEAR($F49))*12 + MONTH(AH$2)-MONTH($F49)) / 12),
  0)</f>
        <v>0</v>
      </c>
      <c r="AI49" s="291">
        <f>IF(AND($F49&lt;=AI$2, OR($G49="",$G49&gt;=AI$2)),
  $H49 * (1 + Assumptions!$C$7) ^ INT(((YEAR(AI$2)-YEAR($F49))*12 + MONTH(AI$2)-MONTH($F49)) / 12),
  0)</f>
        <v>0</v>
      </c>
      <c r="AJ49" s="291">
        <f>IF(AND($F49&lt;=AJ$2, OR($G49="",$G49&gt;=AJ$2)),
  $H49 * (1 + Assumptions!$C$7) ^ INT(((YEAR(AJ$2)-YEAR($F49))*12 + MONTH(AJ$2)-MONTH($F49)) / 12),
  0)</f>
        <v>0</v>
      </c>
      <c r="AK49" s="291">
        <f>IF(AND($F49&lt;=AK$2, OR($G49="",$G49&gt;=AK$2)),
  $H49 * (1 + Assumptions!$C$7) ^ INT(((YEAR(AK$2)-YEAR($F49))*12 + MONTH(AK$2)-MONTH($F49)) / 12),
  0)</f>
        <v>0</v>
      </c>
      <c r="AL49" s="291">
        <f>IF(AND($F49&lt;=AL$2, OR($G49="",$G49&gt;=AL$2)),
  $H49 * (1 + Assumptions!$C$7) ^ INT(((YEAR(AL$2)-YEAR($F49))*12 + MONTH(AL$2)-MONTH($F49)) / 12),
  0)</f>
        <v>0</v>
      </c>
      <c r="AM49" s="291">
        <f>IF(AND($F49&lt;=AM$2, OR($G49="",$G49&gt;=AM$2)),
  $H49 * (1 + Assumptions!$C$7) ^ INT(((YEAR(AM$2)-YEAR($F49))*12 + MONTH(AM$2)-MONTH($F49)) / 12),
  0)</f>
        <v>0</v>
      </c>
      <c r="AN49" s="291">
        <f>IF(AND($F49&lt;=AN$2, OR($G49="",$G49&gt;=AN$2)),
  $H49 * (1 + Assumptions!$C$7) ^ INT(((YEAR(AN$2)-YEAR($F49))*12 + MONTH(AN$2)-MONTH($F49)) / 12),
  0)</f>
        <v>0</v>
      </c>
      <c r="AO49" s="291">
        <f>IF(AND($F49&lt;=AO$2, OR($G49="",$G49&gt;=AO$2)),
  $H49 * (1 + Assumptions!$C$7) ^ INT(((YEAR(AO$2)-YEAR($F49))*12 + MONTH(AO$2)-MONTH($F49)) / 12),
  0)</f>
        <v>0</v>
      </c>
      <c r="AP49" s="291">
        <f>IF(AND($F49&lt;=AP$2, OR($G49="",$G49&gt;=AP$2)),
  $H49 * (1 + Assumptions!$C$7) ^ INT(((YEAR(AP$2)-YEAR($F49))*12 + MONTH(AP$2)-MONTH($F49)) / 12),
  0)</f>
        <v>0</v>
      </c>
      <c r="AQ49" s="291">
        <f>IF(AND($F49&lt;=AQ$2, OR($G49="",$G49&gt;=AQ$2)),
  $H49 * (1 + Assumptions!$C$7) ^ INT(((YEAR(AQ$2)-YEAR($F49))*12 + MONTH(AQ$2)-MONTH($F49)) / 12),
  0)</f>
        <v>0</v>
      </c>
      <c r="AR49" s="291">
        <f>IF(AND($F49&lt;=AR$2, OR($G49="",$G49&gt;=AR$2)),
  $H49 * (1 + Assumptions!$C$7) ^ INT(((YEAR(AR$2)-YEAR($F49))*12 + MONTH(AR$2)-MONTH($F49)) / 12),
  0)</f>
        <v>0</v>
      </c>
      <c r="AS49" s="291">
        <f>IF(AND($F49&lt;=AS$2, OR($G49="",$G49&gt;=AS$2)),
  $H49 * (1 + Assumptions!$C$7) ^ INT(((YEAR(AS$2)-YEAR($F49))*12 + MONTH(AS$2)-MONTH($F49)) / 12),
  0)</f>
        <v>0</v>
      </c>
      <c r="AT49" s="291">
        <f>IF(AND($F49&lt;=AT$2, OR($G49="",$G49&gt;=AT$2)),
  $H49 * (1 + Assumptions!$C$7) ^ INT(((YEAR(AT$2)-YEAR($F49))*12 + MONTH(AT$2)-MONTH($F49)) / 12),
  0)</f>
        <v>0</v>
      </c>
      <c r="AU49" s="291">
        <f>IF(AND($F49&lt;=AU$2, OR($G49="",$G49&gt;=AU$2)),
  $H49 * (1 + Assumptions!$C$7) ^ INT(((YEAR(AU$2)-YEAR($F49))*12 + MONTH(AU$2)-MONTH($F49)) / 12),
  0)</f>
        <v>0</v>
      </c>
      <c r="AV49" s="291">
        <f>IF(AND($F49&lt;=AV$2, OR($G49="",$G49&gt;=AV$2)),
  $H49 * (1 + Assumptions!$C$7) ^ INT(((YEAR(AV$2)-YEAR($F49))*12 + MONTH(AV$2)-MONTH($F49)) / 12),
  0)</f>
        <v>0</v>
      </c>
      <c r="AW49" s="291">
        <f>IF(AND($F49&lt;=AW$2, OR($G49="",$G49&gt;=AW$2)),
  $H49 * (1 + Assumptions!$C$7) ^ INT(((YEAR(AW$2)-YEAR($F49))*12 + MONTH(AW$2)-MONTH($F49)) / 12),
  0)</f>
        <v>0</v>
      </c>
      <c r="AX49" s="291">
        <f>IF(AND($F49&lt;=AX$2, OR($G49="",$G49&gt;=AX$2)),
  $H49 * (1 + Assumptions!$C$7) ^ INT(((YEAR(AX$2)-YEAR($F49))*12 + MONTH(AX$2)-MONTH($F49)) / 12),
  0)</f>
        <v>0</v>
      </c>
      <c r="AY49" s="291">
        <f>IF(AND($F49&lt;=AY$2, OR($G49="",$G49&gt;=AY$2)),
  $H49 * (1 + Assumptions!$C$7) ^ INT(((YEAR(AY$2)-YEAR($F49))*12 + MONTH(AY$2)-MONTH($F49)) / 12),
  0)</f>
        <v>0</v>
      </c>
      <c r="AZ49" s="291">
        <f>IF(AND($F49&lt;=AZ$2, OR($G49="",$G49&gt;=AZ$2)),
  $H49 * (1 + Assumptions!$C$7) ^ INT(((YEAR(AZ$2)-YEAR($F49))*12 + MONTH(AZ$2)-MONTH($F49)) / 12),
  0)</f>
        <v>0</v>
      </c>
      <c r="BA49" s="291">
        <f>IF(AND($F49&lt;=BA$2, OR($G49="",$G49&gt;=BA$2)),
  $H49 * (1 + Assumptions!$C$7) ^ INT(((YEAR(BA$2)-YEAR($F49))*12 + MONTH(BA$2)-MONTH($F49)) / 12),
  0)</f>
        <v>0</v>
      </c>
      <c r="BB49" s="291">
        <f>IF(AND($F49&lt;=BB$2, OR($G49="",$G49&gt;=BB$2)),
  $H49 * (1 + Assumptions!$C$7) ^ INT(((YEAR(BB$2)-YEAR($F49))*12 + MONTH(BB$2)-MONTH($F49)) / 12),
  0)</f>
        <v>0</v>
      </c>
      <c r="BC49" s="291">
        <f>IF(AND($F49&lt;=BC$2, OR($G49="",$G49&gt;=BC$2)),
  $H49 * (1 + Assumptions!$C$7) ^ INT(((YEAR(BC$2)-YEAR($F49))*12 + MONTH(BC$2)-MONTH($F49)) / 12),
  0)</f>
        <v>0</v>
      </c>
      <c r="BD49" s="291">
        <f>IF(AND($F49&lt;=BD$2, OR($G49="",$G49&gt;=BD$2)),
  $H49 * (1 + Assumptions!$C$7) ^ INT(((YEAR(BD$2)-YEAR($F49))*12 + MONTH(BD$2)-MONTH($F49)) / 12),
  0)</f>
        <v>0</v>
      </c>
      <c r="BE49" s="291">
        <f>IF(AND($F49&lt;=BE$2, OR($G49="",$G49&gt;=BE$2)),
  $H49 * (1 + Assumptions!$C$7) ^ INT(((YEAR(BE$2)-YEAR($F49))*12 + MONTH(BE$2)-MONTH($F49)) / 12),
  0)</f>
        <v>0</v>
      </c>
      <c r="BF49" s="291">
        <f>IF(AND($F49&lt;=BF$2, OR($G49="",$G49&gt;=BF$2)),
  $H49 * (1 + Assumptions!$C$7) ^ INT(((YEAR(BF$2)-YEAR($F49))*12 + MONTH(BF$2)-MONTH($F49)) / 12),
  0)</f>
        <v>0</v>
      </c>
      <c r="BG49" s="291">
        <f>IF(AND($F49&lt;=BG$2, OR($G49="",$G49&gt;=BG$2)),
  $H49 * (1 + Assumptions!$C$7) ^ INT(((YEAR(BG$2)-YEAR($F49))*12 + MONTH(BG$2)-MONTH($F49)) / 12),
  0)</f>
        <v>0</v>
      </c>
      <c r="BH49" s="291">
        <f>IF(AND($F49&lt;=BH$2, OR($G49="",$G49&gt;=BH$2)),
  $H49 * (1 + Assumptions!$C$7) ^ INT(((YEAR(BH$2)-YEAR($F49))*12 + MONTH(BH$2)-MONTH($F49)) / 12),
  0)</f>
        <v>0</v>
      </c>
      <c r="BI49" s="291">
        <f>IF(AND($F49&lt;=BI$2, OR($G49="",$G49&gt;=BI$2)),
  $H49 * (1 + Assumptions!$C$7) ^ INT(((YEAR(BI$2)-YEAR($F49))*12 + MONTH(BI$2)-MONTH($F49)) / 12),
  0)</f>
        <v>0</v>
      </c>
      <c r="BJ49" s="291">
        <f>IF(AND($F49&lt;=BJ$2, OR($G49="",$G49&gt;=BJ$2)),
  $H49 * (1 + Assumptions!$C$7) ^ INT(((YEAR(BJ$2)-YEAR($F49))*12 + MONTH(BJ$2)-MONTH($F49)) / 12),
  0)</f>
        <v>7500</v>
      </c>
      <c r="BK49" s="291">
        <f>IF(AND($F49&lt;=BK$2, OR($G49="",$G49&gt;=BK$2)),
  $H49 * (1 + Assumptions!$C$7) ^ INT(((YEAR(BK$2)-YEAR($F49))*12 + MONTH(BK$2)-MONTH($F49)) / 12),
  0)</f>
        <v>7500</v>
      </c>
      <c r="BL49" s="291">
        <f>IF(AND($F49&lt;=BL$2, OR($G49="",$G49&gt;=BL$2)),
  $H49 * (1 + Assumptions!$C$7) ^ INT(((YEAR(BL$2)-YEAR($F49))*12 + MONTH(BL$2)-MONTH($F49)) / 12),
  0)</f>
        <v>7500</v>
      </c>
      <c r="BM49" s="291">
        <f>IF(AND($F49&lt;=BM$2, OR($G49="",$G49&gt;=BM$2)),
  $H49 * (1 + Assumptions!$C$7) ^ INT(((YEAR(BM$2)-YEAR($F49))*12 + MONTH(BM$2)-MONTH($F49)) / 12),
  0)</f>
        <v>7500</v>
      </c>
      <c r="BN49" s="291">
        <f>IF(AND($F49&lt;=BN$2, OR($G49="",$G49&gt;=BN$2)),
  $H49 * (1 + Assumptions!$C$7) ^ INT(((YEAR(BN$2)-YEAR($F49))*12 + MONTH(BN$2)-MONTH($F49)) / 12),
  0)</f>
        <v>7500</v>
      </c>
      <c r="BO49" s="291">
        <f>IF(AND($F49&lt;=BO$2, OR($G49="",$G49&gt;=BO$2)),
  $H49 * (1 + Assumptions!$C$7) ^ INT(((YEAR(BO$2)-YEAR($F49))*12 + MONTH(BO$2)-MONTH($F49)) / 12),
  0)</f>
        <v>7500</v>
      </c>
      <c r="BP49" s="291">
        <f>IF(AND($F49&lt;=BP$2, OR($G49="",$G49&gt;=BP$2)),
  $H49 * (1 + Assumptions!$C$7) ^ INT(((YEAR(BP$2)-YEAR($F49))*12 + MONTH(BP$2)-MONTH($F49)) / 12),
  0)</f>
        <v>7500</v>
      </c>
      <c r="BQ49" s="30"/>
    </row>
    <row r="50" ht="15.75" customHeight="1">
      <c r="A50" s="298">
        <v>45.0</v>
      </c>
      <c r="B50" s="282" t="s">
        <v>335</v>
      </c>
      <c r="C50" s="26" t="s">
        <v>141</v>
      </c>
      <c r="D50" s="303" t="s">
        <v>341</v>
      </c>
      <c r="E50" s="289" t="s">
        <v>337</v>
      </c>
      <c r="F50" s="283">
        <v>47271.0</v>
      </c>
      <c r="G50" s="301"/>
      <c r="H50" s="285">
        <v>7500.0</v>
      </c>
      <c r="I50" s="291">
        <f>IF(AND($F50&lt;=I$2, OR($G50="",$G50&gt;=I$2)),
  $H50 * (1 + Assumptions!$C$7) ^ INT(((YEAR(I$2)-YEAR($F50))*12 + MONTH(I$2)-MONTH($F50)) / 12),
  0)</f>
        <v>0</v>
      </c>
      <c r="J50" s="291">
        <f>IF(AND($F50&lt;=J$2, OR($G50="",$G50&gt;=J$2)),
  $H50 * (1 + Assumptions!$C$7) ^ INT(((YEAR(J$2)-YEAR($F50))*12 + MONTH(J$2)-MONTH($F50)) / 12),
  0)</f>
        <v>0</v>
      </c>
      <c r="K50" s="291">
        <f>IF(AND($F50&lt;=K$2, OR($G50="",$G50&gt;=K$2)),
  $H50 * (1 + Assumptions!$C$7) ^ INT(((YEAR(K$2)-YEAR($F50))*12 + MONTH(K$2)-MONTH($F50)) / 12),
  0)</f>
        <v>0</v>
      </c>
      <c r="L50" s="291">
        <f>IF(AND($F50&lt;=L$2, OR($G50="",$G50&gt;=L$2)),
  $H50 * (1 + Assumptions!$C$7) ^ INT(((YEAR(L$2)-YEAR($F50))*12 + MONTH(L$2)-MONTH($F50)) / 12),
  0)</f>
        <v>0</v>
      </c>
      <c r="M50" s="291">
        <f>IF(AND($F50&lt;=M$2, OR($G50="",$G50&gt;=M$2)),
  $H50 * (1 + Assumptions!$C$7) ^ INT(((YEAR(M$2)-YEAR($F50))*12 + MONTH(M$2)-MONTH($F50)) / 12),
  0)</f>
        <v>0</v>
      </c>
      <c r="N50" s="291">
        <f>IF(AND($F50&lt;=N$2, OR($G50="",$G50&gt;=N$2)),
  $H50 * (1 + Assumptions!$C$7) ^ INT(((YEAR(N$2)-YEAR($F50))*12 + MONTH(N$2)-MONTH($F50)) / 12),
  0)</f>
        <v>0</v>
      </c>
      <c r="O50" s="291">
        <f>IF(AND($F50&lt;=O$2, OR($G50="",$G50&gt;=O$2)),
  $H50 * (1 + Assumptions!$C$7) ^ INT(((YEAR(O$2)-YEAR($F50))*12 + MONTH(O$2)-MONTH($F50)) / 12),
  0)</f>
        <v>0</v>
      </c>
      <c r="P50" s="291">
        <f>IF(AND($F50&lt;=P$2, OR($G50="",$G50&gt;=P$2)),
  $H50 * (1 + Assumptions!$C$7) ^ INT(((YEAR(P$2)-YEAR($F50))*12 + MONTH(P$2)-MONTH($F50)) / 12),
  0)</f>
        <v>0</v>
      </c>
      <c r="Q50" s="291">
        <f>IF(AND($F50&lt;=Q$2, OR($G50="",$G50&gt;=Q$2)),
  $H50 * (1 + Assumptions!$C$7) ^ INT(((YEAR(Q$2)-YEAR($F50))*12 + MONTH(Q$2)-MONTH($F50)) / 12),
  0)</f>
        <v>0</v>
      </c>
      <c r="R50" s="291">
        <f>IF(AND($F50&lt;=R$2, OR($G50="",$G50&gt;=R$2)),
  $H50 * (1 + Assumptions!$C$7) ^ INT(((YEAR(R$2)-YEAR($F50))*12 + MONTH(R$2)-MONTH($F50)) / 12),
  0)</f>
        <v>0</v>
      </c>
      <c r="S50" s="291">
        <f>IF(AND($F50&lt;=S$2, OR($G50="",$G50&gt;=S$2)),
  $H50 * (1 + Assumptions!$C$7) ^ INT(((YEAR(S$2)-YEAR($F50))*12 + MONTH(S$2)-MONTH($F50)) / 12),
  0)</f>
        <v>0</v>
      </c>
      <c r="T50" s="291">
        <f>IF(AND($F50&lt;=T$2, OR($G50="",$G50&gt;=T$2)),
  $H50 * (1 + Assumptions!$C$7) ^ INT(((YEAR(T$2)-YEAR($F50))*12 + MONTH(T$2)-MONTH($F50)) / 12),
  0)</f>
        <v>0</v>
      </c>
      <c r="U50" s="291">
        <f>IF(AND($F50&lt;=U$2, OR($G50="",$G50&gt;=U$2)),
  $H50 * (1 + Assumptions!$C$7) ^ INT(((YEAR(U$2)-YEAR($F50))*12 + MONTH(U$2)-MONTH($F50)) / 12),
  0)</f>
        <v>0</v>
      </c>
      <c r="V50" s="291">
        <f>IF(AND($F50&lt;=V$2, OR($G50="",$G50&gt;=V$2)),
  $H50 * (1 + Assumptions!$C$7) ^ INT(((YEAR(V$2)-YEAR($F50))*12 + MONTH(V$2)-MONTH($F50)) / 12),
  0)</f>
        <v>0</v>
      </c>
      <c r="W50" s="291">
        <f>IF(AND($F50&lt;=W$2, OR($G50="",$G50&gt;=W$2)),
  $H50 * (1 + Assumptions!$C$7) ^ INT(((YEAR(W$2)-YEAR($F50))*12 + MONTH(W$2)-MONTH($F50)) / 12),
  0)</f>
        <v>0</v>
      </c>
      <c r="X50" s="291">
        <f>IF(AND($F50&lt;=X$2, OR($G50="",$G50&gt;=X$2)),
  $H50 * (1 + Assumptions!$C$7) ^ INT(((YEAR(X$2)-YEAR($F50))*12 + MONTH(X$2)-MONTH($F50)) / 12),
  0)</f>
        <v>0</v>
      </c>
      <c r="Y50" s="291">
        <f>IF(AND($F50&lt;=Y$2, OR($G50="",$G50&gt;=Y$2)),
  $H50 * (1 + Assumptions!$C$7) ^ INT(((YEAR(Y$2)-YEAR($F50))*12 + MONTH(Y$2)-MONTH($F50)) / 12),
  0)</f>
        <v>0</v>
      </c>
      <c r="Z50" s="291">
        <f>IF(AND($F50&lt;=Z$2, OR($G50="",$G50&gt;=Z$2)),
  $H50 * (1 + Assumptions!$C$7) ^ INT(((YEAR(Z$2)-YEAR($F50))*12 + MONTH(Z$2)-MONTH($F50)) / 12),
  0)</f>
        <v>0</v>
      </c>
      <c r="AA50" s="291">
        <f>IF(AND($F50&lt;=AA$2, OR($G50="",$G50&gt;=AA$2)),
  $H50 * (1 + Assumptions!$C$7) ^ INT(((YEAR(AA$2)-YEAR($F50))*12 + MONTH(AA$2)-MONTH($F50)) / 12),
  0)</f>
        <v>0</v>
      </c>
      <c r="AB50" s="291">
        <f>IF(AND($F50&lt;=AB$2, OR($G50="",$G50&gt;=AB$2)),
  $H50 * (1 + Assumptions!$C$7) ^ INT(((YEAR(AB$2)-YEAR($F50))*12 + MONTH(AB$2)-MONTH($F50)) / 12),
  0)</f>
        <v>0</v>
      </c>
      <c r="AC50" s="291">
        <f>IF(AND($F50&lt;=AC$2, OR($G50="",$G50&gt;=AC$2)),
  $H50 * (1 + Assumptions!$C$7) ^ INT(((YEAR(AC$2)-YEAR($F50))*12 + MONTH(AC$2)-MONTH($F50)) / 12),
  0)</f>
        <v>0</v>
      </c>
      <c r="AD50" s="291">
        <f>IF(AND($F50&lt;=AD$2, OR($G50="",$G50&gt;=AD$2)),
  $H50 * (1 + Assumptions!$C$7) ^ INT(((YEAR(AD$2)-YEAR($F50))*12 + MONTH(AD$2)-MONTH($F50)) / 12),
  0)</f>
        <v>0</v>
      </c>
      <c r="AE50" s="291">
        <f>IF(AND($F50&lt;=AE$2, OR($G50="",$G50&gt;=AE$2)),
  $H50 * (1 + Assumptions!$C$7) ^ INT(((YEAR(AE$2)-YEAR($F50))*12 + MONTH(AE$2)-MONTH($F50)) / 12),
  0)</f>
        <v>0</v>
      </c>
      <c r="AF50" s="291">
        <f>IF(AND($F50&lt;=AF$2, OR($G50="",$G50&gt;=AF$2)),
  $H50 * (1 + Assumptions!$C$7) ^ INT(((YEAR(AF$2)-YEAR($F50))*12 + MONTH(AF$2)-MONTH($F50)) / 12),
  0)</f>
        <v>0</v>
      </c>
      <c r="AG50" s="291">
        <f>IF(AND($F50&lt;=AG$2, OR($G50="",$G50&gt;=AG$2)),
  $H50 * (1 + Assumptions!$C$7) ^ INT(((YEAR(AG$2)-YEAR($F50))*12 + MONTH(AG$2)-MONTH($F50)) / 12),
  0)</f>
        <v>0</v>
      </c>
      <c r="AH50" s="291">
        <f>IF(AND($F50&lt;=AH$2, OR($G50="",$G50&gt;=AH$2)),
  $H50 * (1 + Assumptions!$C$7) ^ INT(((YEAR(AH$2)-YEAR($F50))*12 + MONTH(AH$2)-MONTH($F50)) / 12),
  0)</f>
        <v>0</v>
      </c>
      <c r="AI50" s="291">
        <f>IF(AND($F50&lt;=AI$2, OR($G50="",$G50&gt;=AI$2)),
  $H50 * (1 + Assumptions!$C$7) ^ INT(((YEAR(AI$2)-YEAR($F50))*12 + MONTH(AI$2)-MONTH($F50)) / 12),
  0)</f>
        <v>0</v>
      </c>
      <c r="AJ50" s="291">
        <f>IF(AND($F50&lt;=AJ$2, OR($G50="",$G50&gt;=AJ$2)),
  $H50 * (1 + Assumptions!$C$7) ^ INT(((YEAR(AJ$2)-YEAR($F50))*12 + MONTH(AJ$2)-MONTH($F50)) / 12),
  0)</f>
        <v>0</v>
      </c>
      <c r="AK50" s="291">
        <f>IF(AND($F50&lt;=AK$2, OR($G50="",$G50&gt;=AK$2)),
  $H50 * (1 + Assumptions!$C$7) ^ INT(((YEAR(AK$2)-YEAR($F50))*12 + MONTH(AK$2)-MONTH($F50)) / 12),
  0)</f>
        <v>0</v>
      </c>
      <c r="AL50" s="291">
        <f>IF(AND($F50&lt;=AL$2, OR($G50="",$G50&gt;=AL$2)),
  $H50 * (1 + Assumptions!$C$7) ^ INT(((YEAR(AL$2)-YEAR($F50))*12 + MONTH(AL$2)-MONTH($F50)) / 12),
  0)</f>
        <v>0</v>
      </c>
      <c r="AM50" s="291">
        <f>IF(AND($F50&lt;=AM$2, OR($G50="",$G50&gt;=AM$2)),
  $H50 * (1 + Assumptions!$C$7) ^ INT(((YEAR(AM$2)-YEAR($F50))*12 + MONTH(AM$2)-MONTH($F50)) / 12),
  0)</f>
        <v>0</v>
      </c>
      <c r="AN50" s="291">
        <f>IF(AND($F50&lt;=AN$2, OR($G50="",$G50&gt;=AN$2)),
  $H50 * (1 + Assumptions!$C$7) ^ INT(((YEAR(AN$2)-YEAR($F50))*12 + MONTH(AN$2)-MONTH($F50)) / 12),
  0)</f>
        <v>0</v>
      </c>
      <c r="AO50" s="291">
        <f>IF(AND($F50&lt;=AO$2, OR($G50="",$G50&gt;=AO$2)),
  $H50 * (1 + Assumptions!$C$7) ^ INT(((YEAR(AO$2)-YEAR($F50))*12 + MONTH(AO$2)-MONTH($F50)) / 12),
  0)</f>
        <v>0</v>
      </c>
      <c r="AP50" s="291">
        <f>IF(AND($F50&lt;=AP$2, OR($G50="",$G50&gt;=AP$2)),
  $H50 * (1 + Assumptions!$C$7) ^ INT(((YEAR(AP$2)-YEAR($F50))*12 + MONTH(AP$2)-MONTH($F50)) / 12),
  0)</f>
        <v>0</v>
      </c>
      <c r="AQ50" s="291">
        <f>IF(AND($F50&lt;=AQ$2, OR($G50="",$G50&gt;=AQ$2)),
  $H50 * (1 + Assumptions!$C$7) ^ INT(((YEAR(AQ$2)-YEAR($F50))*12 + MONTH(AQ$2)-MONTH($F50)) / 12),
  0)</f>
        <v>0</v>
      </c>
      <c r="AR50" s="291">
        <f>IF(AND($F50&lt;=AR$2, OR($G50="",$G50&gt;=AR$2)),
  $H50 * (1 + Assumptions!$C$7) ^ INT(((YEAR(AR$2)-YEAR($F50))*12 + MONTH(AR$2)-MONTH($F50)) / 12),
  0)</f>
        <v>0</v>
      </c>
      <c r="AS50" s="291">
        <f>IF(AND($F50&lt;=AS$2, OR($G50="",$G50&gt;=AS$2)),
  $H50 * (1 + Assumptions!$C$7) ^ INT(((YEAR(AS$2)-YEAR($F50))*12 + MONTH(AS$2)-MONTH($F50)) / 12),
  0)</f>
        <v>0</v>
      </c>
      <c r="AT50" s="291">
        <f>IF(AND($F50&lt;=AT$2, OR($G50="",$G50&gt;=AT$2)),
  $H50 * (1 + Assumptions!$C$7) ^ INT(((YEAR(AT$2)-YEAR($F50))*12 + MONTH(AT$2)-MONTH($F50)) / 12),
  0)</f>
        <v>0</v>
      </c>
      <c r="AU50" s="291">
        <f>IF(AND($F50&lt;=AU$2, OR($G50="",$G50&gt;=AU$2)),
  $H50 * (1 + Assumptions!$C$7) ^ INT(((YEAR(AU$2)-YEAR($F50))*12 + MONTH(AU$2)-MONTH($F50)) / 12),
  0)</f>
        <v>0</v>
      </c>
      <c r="AV50" s="291">
        <f>IF(AND($F50&lt;=AV$2, OR($G50="",$G50&gt;=AV$2)),
  $H50 * (1 + Assumptions!$C$7) ^ INT(((YEAR(AV$2)-YEAR($F50))*12 + MONTH(AV$2)-MONTH($F50)) / 12),
  0)</f>
        <v>0</v>
      </c>
      <c r="AW50" s="291">
        <f>IF(AND($F50&lt;=AW$2, OR($G50="",$G50&gt;=AW$2)),
  $H50 * (1 + Assumptions!$C$7) ^ INT(((YEAR(AW$2)-YEAR($F50))*12 + MONTH(AW$2)-MONTH($F50)) / 12),
  0)</f>
        <v>0</v>
      </c>
      <c r="AX50" s="291">
        <f>IF(AND($F50&lt;=AX$2, OR($G50="",$G50&gt;=AX$2)),
  $H50 * (1 + Assumptions!$C$7) ^ INT(((YEAR(AX$2)-YEAR($F50))*12 + MONTH(AX$2)-MONTH($F50)) / 12),
  0)</f>
        <v>0</v>
      </c>
      <c r="AY50" s="291">
        <f>IF(AND($F50&lt;=AY$2, OR($G50="",$G50&gt;=AY$2)),
  $H50 * (1 + Assumptions!$C$7) ^ INT(((YEAR(AY$2)-YEAR($F50))*12 + MONTH(AY$2)-MONTH($F50)) / 12),
  0)</f>
        <v>0</v>
      </c>
      <c r="AZ50" s="291">
        <f>IF(AND($F50&lt;=AZ$2, OR($G50="",$G50&gt;=AZ$2)),
  $H50 * (1 + Assumptions!$C$7) ^ INT(((YEAR(AZ$2)-YEAR($F50))*12 + MONTH(AZ$2)-MONTH($F50)) / 12),
  0)</f>
        <v>0</v>
      </c>
      <c r="BA50" s="291">
        <f>IF(AND($F50&lt;=BA$2, OR($G50="",$G50&gt;=BA$2)),
  $H50 * (1 + Assumptions!$C$7) ^ INT(((YEAR(BA$2)-YEAR($F50))*12 + MONTH(BA$2)-MONTH($F50)) / 12),
  0)</f>
        <v>0</v>
      </c>
      <c r="BB50" s="291">
        <f>IF(AND($F50&lt;=BB$2, OR($G50="",$G50&gt;=BB$2)),
  $H50 * (1 + Assumptions!$C$7) ^ INT(((YEAR(BB$2)-YEAR($F50))*12 + MONTH(BB$2)-MONTH($F50)) / 12),
  0)</f>
        <v>0</v>
      </c>
      <c r="BC50" s="291">
        <f>IF(AND($F50&lt;=BC$2, OR($G50="",$G50&gt;=BC$2)),
  $H50 * (1 + Assumptions!$C$7) ^ INT(((YEAR(BC$2)-YEAR($F50))*12 + MONTH(BC$2)-MONTH($F50)) / 12),
  0)</f>
        <v>0</v>
      </c>
      <c r="BD50" s="291">
        <f>IF(AND($F50&lt;=BD$2, OR($G50="",$G50&gt;=BD$2)),
  $H50 * (1 + Assumptions!$C$7) ^ INT(((YEAR(BD$2)-YEAR($F50))*12 + MONTH(BD$2)-MONTH($F50)) / 12),
  0)</f>
        <v>0</v>
      </c>
      <c r="BE50" s="291">
        <f>IF(AND($F50&lt;=BE$2, OR($G50="",$G50&gt;=BE$2)),
  $H50 * (1 + Assumptions!$C$7) ^ INT(((YEAR(BE$2)-YEAR($F50))*12 + MONTH(BE$2)-MONTH($F50)) / 12),
  0)</f>
        <v>0</v>
      </c>
      <c r="BF50" s="291">
        <f>IF(AND($F50&lt;=BF$2, OR($G50="",$G50&gt;=BF$2)),
  $H50 * (1 + Assumptions!$C$7) ^ INT(((YEAR(BF$2)-YEAR($F50))*12 + MONTH(BF$2)-MONTH($F50)) / 12),
  0)</f>
        <v>0</v>
      </c>
      <c r="BG50" s="291">
        <f>IF(AND($F50&lt;=BG$2, OR($G50="",$G50&gt;=BG$2)),
  $H50 * (1 + Assumptions!$C$7) ^ INT(((YEAR(BG$2)-YEAR($F50))*12 + MONTH(BG$2)-MONTH($F50)) / 12),
  0)</f>
        <v>0</v>
      </c>
      <c r="BH50" s="291">
        <f>IF(AND($F50&lt;=BH$2, OR($G50="",$G50&gt;=BH$2)),
  $H50 * (1 + Assumptions!$C$7) ^ INT(((YEAR(BH$2)-YEAR($F50))*12 + MONTH(BH$2)-MONTH($F50)) / 12),
  0)</f>
        <v>0</v>
      </c>
      <c r="BI50" s="291">
        <f>IF(AND($F50&lt;=BI$2, OR($G50="",$G50&gt;=BI$2)),
  $H50 * (1 + Assumptions!$C$7) ^ INT(((YEAR(BI$2)-YEAR($F50))*12 + MONTH(BI$2)-MONTH($F50)) / 12),
  0)</f>
        <v>0</v>
      </c>
      <c r="BJ50" s="291">
        <f>IF(AND($F50&lt;=BJ$2, OR($G50="",$G50&gt;=BJ$2)),
  $H50 * (1 + Assumptions!$C$7) ^ INT(((YEAR(BJ$2)-YEAR($F50))*12 + MONTH(BJ$2)-MONTH($F50)) / 12),
  0)</f>
        <v>0</v>
      </c>
      <c r="BK50" s="291">
        <f>IF(AND($F50&lt;=BK$2, OR($G50="",$G50&gt;=BK$2)),
  $H50 * (1 + Assumptions!$C$7) ^ INT(((YEAR(BK$2)-YEAR($F50))*12 + MONTH(BK$2)-MONTH($F50)) / 12),
  0)</f>
        <v>7500</v>
      </c>
      <c r="BL50" s="291">
        <f>IF(AND($F50&lt;=BL$2, OR($G50="",$G50&gt;=BL$2)),
  $H50 * (1 + Assumptions!$C$7) ^ INT(((YEAR(BL$2)-YEAR($F50))*12 + MONTH(BL$2)-MONTH($F50)) / 12),
  0)</f>
        <v>7500</v>
      </c>
      <c r="BM50" s="291">
        <f>IF(AND($F50&lt;=BM$2, OR($G50="",$G50&gt;=BM$2)),
  $H50 * (1 + Assumptions!$C$7) ^ INT(((YEAR(BM$2)-YEAR($F50))*12 + MONTH(BM$2)-MONTH($F50)) / 12),
  0)</f>
        <v>7500</v>
      </c>
      <c r="BN50" s="291">
        <f>IF(AND($F50&lt;=BN$2, OR($G50="",$G50&gt;=BN$2)),
  $H50 * (1 + Assumptions!$C$7) ^ INT(((YEAR(BN$2)-YEAR($F50))*12 + MONTH(BN$2)-MONTH($F50)) / 12),
  0)</f>
        <v>7500</v>
      </c>
      <c r="BO50" s="291">
        <f>IF(AND($F50&lt;=BO$2, OR($G50="",$G50&gt;=BO$2)),
  $H50 * (1 + Assumptions!$C$7) ^ INT(((YEAR(BO$2)-YEAR($F50))*12 + MONTH(BO$2)-MONTH($F50)) / 12),
  0)</f>
        <v>7500</v>
      </c>
      <c r="BP50" s="291">
        <f>IF(AND($F50&lt;=BP$2, OR($G50="",$G50&gt;=BP$2)),
  $H50 * (1 + Assumptions!$C$7) ^ INT(((YEAR(BP$2)-YEAR($F50))*12 + MONTH(BP$2)-MONTH($F50)) / 12),
  0)</f>
        <v>7500</v>
      </c>
      <c r="BQ50" s="30"/>
    </row>
    <row r="51" ht="15.75" customHeight="1">
      <c r="A51" s="298">
        <v>46.0</v>
      </c>
      <c r="B51" s="282" t="s">
        <v>335</v>
      </c>
      <c r="C51" s="26" t="s">
        <v>141</v>
      </c>
      <c r="D51" s="303" t="s">
        <v>341</v>
      </c>
      <c r="E51" s="289" t="s">
        <v>337</v>
      </c>
      <c r="F51" s="283">
        <v>47274.0</v>
      </c>
      <c r="G51" s="301"/>
      <c r="H51" s="285">
        <v>6500.0</v>
      </c>
      <c r="I51" s="291">
        <f>IF(AND($F51&lt;=I$2, OR($G51="",$G51&gt;=I$2)),
  $H51 * (1 + Assumptions!$C$7) ^ INT(((YEAR(I$2)-YEAR($F51))*12 + MONTH(I$2)-MONTH($F51)) / 12),
  0)</f>
        <v>0</v>
      </c>
      <c r="J51" s="291">
        <f>IF(AND($F51&lt;=J$2, OR($G51="",$G51&gt;=J$2)),
  $H51 * (1 + Assumptions!$C$7) ^ INT(((YEAR(J$2)-YEAR($F51))*12 + MONTH(J$2)-MONTH($F51)) / 12),
  0)</f>
        <v>0</v>
      </c>
      <c r="K51" s="291">
        <f>IF(AND($F51&lt;=K$2, OR($G51="",$G51&gt;=K$2)),
  $H51 * (1 + Assumptions!$C$7) ^ INT(((YEAR(K$2)-YEAR($F51))*12 + MONTH(K$2)-MONTH($F51)) / 12),
  0)</f>
        <v>0</v>
      </c>
      <c r="L51" s="291">
        <f>IF(AND($F51&lt;=L$2, OR($G51="",$G51&gt;=L$2)),
  $H51 * (1 + Assumptions!$C$7) ^ INT(((YEAR(L$2)-YEAR($F51))*12 + MONTH(L$2)-MONTH($F51)) / 12),
  0)</f>
        <v>0</v>
      </c>
      <c r="M51" s="291">
        <f>IF(AND($F51&lt;=M$2, OR($G51="",$G51&gt;=M$2)),
  $H51 * (1 + Assumptions!$C$7) ^ INT(((YEAR(M$2)-YEAR($F51))*12 + MONTH(M$2)-MONTH($F51)) / 12),
  0)</f>
        <v>0</v>
      </c>
      <c r="N51" s="291">
        <f>IF(AND($F51&lt;=N$2, OR($G51="",$G51&gt;=N$2)),
  $H51 * (1 + Assumptions!$C$7) ^ INT(((YEAR(N$2)-YEAR($F51))*12 + MONTH(N$2)-MONTH($F51)) / 12),
  0)</f>
        <v>0</v>
      </c>
      <c r="O51" s="291">
        <f>IF(AND($F51&lt;=O$2, OR($G51="",$G51&gt;=O$2)),
  $H51 * (1 + Assumptions!$C$7) ^ INT(((YEAR(O$2)-YEAR($F51))*12 + MONTH(O$2)-MONTH($F51)) / 12),
  0)</f>
        <v>0</v>
      </c>
      <c r="P51" s="291">
        <f>IF(AND($F51&lt;=P$2, OR($G51="",$G51&gt;=P$2)),
  $H51 * (1 + Assumptions!$C$7) ^ INT(((YEAR(P$2)-YEAR($F51))*12 + MONTH(P$2)-MONTH($F51)) / 12),
  0)</f>
        <v>0</v>
      </c>
      <c r="Q51" s="291">
        <f>IF(AND($F51&lt;=Q$2, OR($G51="",$G51&gt;=Q$2)),
  $H51 * (1 + Assumptions!$C$7) ^ INT(((YEAR(Q$2)-YEAR($F51))*12 + MONTH(Q$2)-MONTH($F51)) / 12),
  0)</f>
        <v>0</v>
      </c>
      <c r="R51" s="291">
        <f>IF(AND($F51&lt;=R$2, OR($G51="",$G51&gt;=R$2)),
  $H51 * (1 + Assumptions!$C$7) ^ INT(((YEAR(R$2)-YEAR($F51))*12 + MONTH(R$2)-MONTH($F51)) / 12),
  0)</f>
        <v>0</v>
      </c>
      <c r="S51" s="291">
        <f>IF(AND($F51&lt;=S$2, OR($G51="",$G51&gt;=S$2)),
  $H51 * (1 + Assumptions!$C$7) ^ INT(((YEAR(S$2)-YEAR($F51))*12 + MONTH(S$2)-MONTH($F51)) / 12),
  0)</f>
        <v>0</v>
      </c>
      <c r="T51" s="291">
        <f>IF(AND($F51&lt;=T$2, OR($G51="",$G51&gt;=T$2)),
  $H51 * (1 + Assumptions!$C$7) ^ INT(((YEAR(T$2)-YEAR($F51))*12 + MONTH(T$2)-MONTH($F51)) / 12),
  0)</f>
        <v>0</v>
      </c>
      <c r="U51" s="291">
        <f>IF(AND($F51&lt;=U$2, OR($G51="",$G51&gt;=U$2)),
  $H51 * (1 + Assumptions!$C$7) ^ INT(((YEAR(U$2)-YEAR($F51))*12 + MONTH(U$2)-MONTH($F51)) / 12),
  0)</f>
        <v>0</v>
      </c>
      <c r="V51" s="291">
        <f>IF(AND($F51&lt;=V$2, OR($G51="",$G51&gt;=V$2)),
  $H51 * (1 + Assumptions!$C$7) ^ INT(((YEAR(V$2)-YEAR($F51))*12 + MONTH(V$2)-MONTH($F51)) / 12),
  0)</f>
        <v>0</v>
      </c>
      <c r="W51" s="291">
        <f>IF(AND($F51&lt;=W$2, OR($G51="",$G51&gt;=W$2)),
  $H51 * (1 + Assumptions!$C$7) ^ INT(((YEAR(W$2)-YEAR($F51))*12 + MONTH(W$2)-MONTH($F51)) / 12),
  0)</f>
        <v>0</v>
      </c>
      <c r="X51" s="291">
        <f>IF(AND($F51&lt;=X$2, OR($G51="",$G51&gt;=X$2)),
  $H51 * (1 + Assumptions!$C$7) ^ INT(((YEAR(X$2)-YEAR($F51))*12 + MONTH(X$2)-MONTH($F51)) / 12),
  0)</f>
        <v>0</v>
      </c>
      <c r="Y51" s="291">
        <f>IF(AND($F51&lt;=Y$2, OR($G51="",$G51&gt;=Y$2)),
  $H51 * (1 + Assumptions!$C$7) ^ INT(((YEAR(Y$2)-YEAR($F51))*12 + MONTH(Y$2)-MONTH($F51)) / 12),
  0)</f>
        <v>0</v>
      </c>
      <c r="Z51" s="291">
        <f>IF(AND($F51&lt;=Z$2, OR($G51="",$G51&gt;=Z$2)),
  $H51 * (1 + Assumptions!$C$7) ^ INT(((YEAR(Z$2)-YEAR($F51))*12 + MONTH(Z$2)-MONTH($F51)) / 12),
  0)</f>
        <v>0</v>
      </c>
      <c r="AA51" s="291">
        <f>IF(AND($F51&lt;=AA$2, OR($G51="",$G51&gt;=AA$2)),
  $H51 * (1 + Assumptions!$C$7) ^ INT(((YEAR(AA$2)-YEAR($F51))*12 + MONTH(AA$2)-MONTH($F51)) / 12),
  0)</f>
        <v>0</v>
      </c>
      <c r="AB51" s="291">
        <f>IF(AND($F51&lt;=AB$2, OR($G51="",$G51&gt;=AB$2)),
  $H51 * (1 + Assumptions!$C$7) ^ INT(((YEAR(AB$2)-YEAR($F51))*12 + MONTH(AB$2)-MONTH($F51)) / 12),
  0)</f>
        <v>0</v>
      </c>
      <c r="AC51" s="291">
        <f>IF(AND($F51&lt;=AC$2, OR($G51="",$G51&gt;=AC$2)),
  $H51 * (1 + Assumptions!$C$7) ^ INT(((YEAR(AC$2)-YEAR($F51))*12 + MONTH(AC$2)-MONTH($F51)) / 12),
  0)</f>
        <v>0</v>
      </c>
      <c r="AD51" s="291">
        <f>IF(AND($F51&lt;=AD$2, OR($G51="",$G51&gt;=AD$2)),
  $H51 * (1 + Assumptions!$C$7) ^ INT(((YEAR(AD$2)-YEAR($F51))*12 + MONTH(AD$2)-MONTH($F51)) / 12),
  0)</f>
        <v>0</v>
      </c>
      <c r="AE51" s="291">
        <f>IF(AND($F51&lt;=AE$2, OR($G51="",$G51&gt;=AE$2)),
  $H51 * (1 + Assumptions!$C$7) ^ INT(((YEAR(AE$2)-YEAR($F51))*12 + MONTH(AE$2)-MONTH($F51)) / 12),
  0)</f>
        <v>0</v>
      </c>
      <c r="AF51" s="291">
        <f>IF(AND($F51&lt;=AF$2, OR($G51="",$G51&gt;=AF$2)),
  $H51 * (1 + Assumptions!$C$7) ^ INT(((YEAR(AF$2)-YEAR($F51))*12 + MONTH(AF$2)-MONTH($F51)) / 12),
  0)</f>
        <v>0</v>
      </c>
      <c r="AG51" s="291">
        <f>IF(AND($F51&lt;=AG$2, OR($G51="",$G51&gt;=AG$2)),
  $H51 * (1 + Assumptions!$C$7) ^ INT(((YEAR(AG$2)-YEAR($F51))*12 + MONTH(AG$2)-MONTH($F51)) / 12),
  0)</f>
        <v>0</v>
      </c>
      <c r="AH51" s="291">
        <f>IF(AND($F51&lt;=AH$2, OR($G51="",$G51&gt;=AH$2)),
  $H51 * (1 + Assumptions!$C$7) ^ INT(((YEAR(AH$2)-YEAR($F51))*12 + MONTH(AH$2)-MONTH($F51)) / 12),
  0)</f>
        <v>0</v>
      </c>
      <c r="AI51" s="291">
        <f>IF(AND($F51&lt;=AI$2, OR($G51="",$G51&gt;=AI$2)),
  $H51 * (1 + Assumptions!$C$7) ^ INT(((YEAR(AI$2)-YEAR($F51))*12 + MONTH(AI$2)-MONTH($F51)) / 12),
  0)</f>
        <v>0</v>
      </c>
      <c r="AJ51" s="291">
        <f>IF(AND($F51&lt;=AJ$2, OR($G51="",$G51&gt;=AJ$2)),
  $H51 * (1 + Assumptions!$C$7) ^ INT(((YEAR(AJ$2)-YEAR($F51))*12 + MONTH(AJ$2)-MONTH($F51)) / 12),
  0)</f>
        <v>0</v>
      </c>
      <c r="AK51" s="291">
        <f>IF(AND($F51&lt;=AK$2, OR($G51="",$G51&gt;=AK$2)),
  $H51 * (1 + Assumptions!$C$7) ^ INT(((YEAR(AK$2)-YEAR($F51))*12 + MONTH(AK$2)-MONTH($F51)) / 12),
  0)</f>
        <v>0</v>
      </c>
      <c r="AL51" s="291">
        <f>IF(AND($F51&lt;=AL$2, OR($G51="",$G51&gt;=AL$2)),
  $H51 * (1 + Assumptions!$C$7) ^ INT(((YEAR(AL$2)-YEAR($F51))*12 + MONTH(AL$2)-MONTH($F51)) / 12),
  0)</f>
        <v>0</v>
      </c>
      <c r="AM51" s="291">
        <f>IF(AND($F51&lt;=AM$2, OR($G51="",$G51&gt;=AM$2)),
  $H51 * (1 + Assumptions!$C$7) ^ INT(((YEAR(AM$2)-YEAR($F51))*12 + MONTH(AM$2)-MONTH($F51)) / 12),
  0)</f>
        <v>0</v>
      </c>
      <c r="AN51" s="291">
        <f>IF(AND($F51&lt;=AN$2, OR($G51="",$G51&gt;=AN$2)),
  $H51 * (1 + Assumptions!$C$7) ^ INT(((YEAR(AN$2)-YEAR($F51))*12 + MONTH(AN$2)-MONTH($F51)) / 12),
  0)</f>
        <v>0</v>
      </c>
      <c r="AO51" s="291">
        <f>IF(AND($F51&lt;=AO$2, OR($G51="",$G51&gt;=AO$2)),
  $H51 * (1 + Assumptions!$C$7) ^ INT(((YEAR(AO$2)-YEAR($F51))*12 + MONTH(AO$2)-MONTH($F51)) / 12),
  0)</f>
        <v>0</v>
      </c>
      <c r="AP51" s="291">
        <f>IF(AND($F51&lt;=AP$2, OR($G51="",$G51&gt;=AP$2)),
  $H51 * (1 + Assumptions!$C$7) ^ INT(((YEAR(AP$2)-YEAR($F51))*12 + MONTH(AP$2)-MONTH($F51)) / 12),
  0)</f>
        <v>0</v>
      </c>
      <c r="AQ51" s="291">
        <f>IF(AND($F51&lt;=AQ$2, OR($G51="",$G51&gt;=AQ$2)),
  $H51 * (1 + Assumptions!$C$7) ^ INT(((YEAR(AQ$2)-YEAR($F51))*12 + MONTH(AQ$2)-MONTH($F51)) / 12),
  0)</f>
        <v>0</v>
      </c>
      <c r="AR51" s="291">
        <f>IF(AND($F51&lt;=AR$2, OR($G51="",$G51&gt;=AR$2)),
  $H51 * (1 + Assumptions!$C$7) ^ INT(((YEAR(AR$2)-YEAR($F51))*12 + MONTH(AR$2)-MONTH($F51)) / 12),
  0)</f>
        <v>0</v>
      </c>
      <c r="AS51" s="291">
        <f>IF(AND($F51&lt;=AS$2, OR($G51="",$G51&gt;=AS$2)),
  $H51 * (1 + Assumptions!$C$7) ^ INT(((YEAR(AS$2)-YEAR($F51))*12 + MONTH(AS$2)-MONTH($F51)) / 12),
  0)</f>
        <v>0</v>
      </c>
      <c r="AT51" s="291">
        <f>IF(AND($F51&lt;=AT$2, OR($G51="",$G51&gt;=AT$2)),
  $H51 * (1 + Assumptions!$C$7) ^ INT(((YEAR(AT$2)-YEAR($F51))*12 + MONTH(AT$2)-MONTH($F51)) / 12),
  0)</f>
        <v>0</v>
      </c>
      <c r="AU51" s="291">
        <f>IF(AND($F51&lt;=AU$2, OR($G51="",$G51&gt;=AU$2)),
  $H51 * (1 + Assumptions!$C$7) ^ INT(((YEAR(AU$2)-YEAR($F51))*12 + MONTH(AU$2)-MONTH($F51)) / 12),
  0)</f>
        <v>0</v>
      </c>
      <c r="AV51" s="291">
        <f>IF(AND($F51&lt;=AV$2, OR($G51="",$G51&gt;=AV$2)),
  $H51 * (1 + Assumptions!$C$7) ^ INT(((YEAR(AV$2)-YEAR($F51))*12 + MONTH(AV$2)-MONTH($F51)) / 12),
  0)</f>
        <v>0</v>
      </c>
      <c r="AW51" s="291">
        <f>IF(AND($F51&lt;=AW$2, OR($G51="",$G51&gt;=AW$2)),
  $H51 * (1 + Assumptions!$C$7) ^ INT(((YEAR(AW$2)-YEAR($F51))*12 + MONTH(AW$2)-MONTH($F51)) / 12),
  0)</f>
        <v>0</v>
      </c>
      <c r="AX51" s="291">
        <f>IF(AND($F51&lt;=AX$2, OR($G51="",$G51&gt;=AX$2)),
  $H51 * (1 + Assumptions!$C$7) ^ INT(((YEAR(AX$2)-YEAR($F51))*12 + MONTH(AX$2)-MONTH($F51)) / 12),
  0)</f>
        <v>0</v>
      </c>
      <c r="AY51" s="291">
        <f>IF(AND($F51&lt;=AY$2, OR($G51="",$G51&gt;=AY$2)),
  $H51 * (1 + Assumptions!$C$7) ^ INT(((YEAR(AY$2)-YEAR($F51))*12 + MONTH(AY$2)-MONTH($F51)) / 12),
  0)</f>
        <v>0</v>
      </c>
      <c r="AZ51" s="291">
        <f>IF(AND($F51&lt;=AZ$2, OR($G51="",$G51&gt;=AZ$2)),
  $H51 * (1 + Assumptions!$C$7) ^ INT(((YEAR(AZ$2)-YEAR($F51))*12 + MONTH(AZ$2)-MONTH($F51)) / 12),
  0)</f>
        <v>0</v>
      </c>
      <c r="BA51" s="291">
        <f>IF(AND($F51&lt;=BA$2, OR($G51="",$G51&gt;=BA$2)),
  $H51 * (1 + Assumptions!$C$7) ^ INT(((YEAR(BA$2)-YEAR($F51))*12 + MONTH(BA$2)-MONTH($F51)) / 12),
  0)</f>
        <v>0</v>
      </c>
      <c r="BB51" s="291">
        <f>IF(AND($F51&lt;=BB$2, OR($G51="",$G51&gt;=BB$2)),
  $H51 * (1 + Assumptions!$C$7) ^ INT(((YEAR(BB$2)-YEAR($F51))*12 + MONTH(BB$2)-MONTH($F51)) / 12),
  0)</f>
        <v>0</v>
      </c>
      <c r="BC51" s="291">
        <f>IF(AND($F51&lt;=BC$2, OR($G51="",$G51&gt;=BC$2)),
  $H51 * (1 + Assumptions!$C$7) ^ INT(((YEAR(BC$2)-YEAR($F51))*12 + MONTH(BC$2)-MONTH($F51)) / 12),
  0)</f>
        <v>0</v>
      </c>
      <c r="BD51" s="291">
        <f>IF(AND($F51&lt;=BD$2, OR($G51="",$G51&gt;=BD$2)),
  $H51 * (1 + Assumptions!$C$7) ^ INT(((YEAR(BD$2)-YEAR($F51))*12 + MONTH(BD$2)-MONTH($F51)) / 12),
  0)</f>
        <v>0</v>
      </c>
      <c r="BE51" s="291">
        <f>IF(AND($F51&lt;=BE$2, OR($G51="",$G51&gt;=BE$2)),
  $H51 * (1 + Assumptions!$C$7) ^ INT(((YEAR(BE$2)-YEAR($F51))*12 + MONTH(BE$2)-MONTH($F51)) / 12),
  0)</f>
        <v>0</v>
      </c>
      <c r="BF51" s="291">
        <f>IF(AND($F51&lt;=BF$2, OR($G51="",$G51&gt;=BF$2)),
  $H51 * (1 + Assumptions!$C$7) ^ INT(((YEAR(BF$2)-YEAR($F51))*12 + MONTH(BF$2)-MONTH($F51)) / 12),
  0)</f>
        <v>0</v>
      </c>
      <c r="BG51" s="291">
        <f>IF(AND($F51&lt;=BG$2, OR($G51="",$G51&gt;=BG$2)),
  $H51 * (1 + Assumptions!$C$7) ^ INT(((YEAR(BG$2)-YEAR($F51))*12 + MONTH(BG$2)-MONTH($F51)) / 12),
  0)</f>
        <v>0</v>
      </c>
      <c r="BH51" s="291">
        <f>IF(AND($F51&lt;=BH$2, OR($G51="",$G51&gt;=BH$2)),
  $H51 * (1 + Assumptions!$C$7) ^ INT(((YEAR(BH$2)-YEAR($F51))*12 + MONTH(BH$2)-MONTH($F51)) / 12),
  0)</f>
        <v>0</v>
      </c>
      <c r="BI51" s="291">
        <f>IF(AND($F51&lt;=BI$2, OR($G51="",$G51&gt;=BI$2)),
  $H51 * (1 + Assumptions!$C$7) ^ INT(((YEAR(BI$2)-YEAR($F51))*12 + MONTH(BI$2)-MONTH($F51)) / 12),
  0)</f>
        <v>0</v>
      </c>
      <c r="BJ51" s="291">
        <f>IF(AND($F51&lt;=BJ$2, OR($G51="",$G51&gt;=BJ$2)),
  $H51 * (1 + Assumptions!$C$7) ^ INT(((YEAR(BJ$2)-YEAR($F51))*12 + MONTH(BJ$2)-MONTH($F51)) / 12),
  0)</f>
        <v>0</v>
      </c>
      <c r="BK51" s="291">
        <f>IF(AND($F51&lt;=BK$2, OR($G51="",$G51&gt;=BK$2)),
  $H51 * (1 + Assumptions!$C$7) ^ INT(((YEAR(BK$2)-YEAR($F51))*12 + MONTH(BK$2)-MONTH($F51)) / 12),
  0)</f>
        <v>6500</v>
      </c>
      <c r="BL51" s="291">
        <f>IF(AND($F51&lt;=BL$2, OR($G51="",$G51&gt;=BL$2)),
  $H51 * (1 + Assumptions!$C$7) ^ INT(((YEAR(BL$2)-YEAR($F51))*12 + MONTH(BL$2)-MONTH($F51)) / 12),
  0)</f>
        <v>6500</v>
      </c>
      <c r="BM51" s="291">
        <f>IF(AND($F51&lt;=BM$2, OR($G51="",$G51&gt;=BM$2)),
  $H51 * (1 + Assumptions!$C$7) ^ INT(((YEAR(BM$2)-YEAR($F51))*12 + MONTH(BM$2)-MONTH($F51)) / 12),
  0)</f>
        <v>6500</v>
      </c>
      <c r="BN51" s="291">
        <f>IF(AND($F51&lt;=BN$2, OR($G51="",$G51&gt;=BN$2)),
  $H51 * (1 + Assumptions!$C$7) ^ INT(((YEAR(BN$2)-YEAR($F51))*12 + MONTH(BN$2)-MONTH($F51)) / 12),
  0)</f>
        <v>6500</v>
      </c>
      <c r="BO51" s="291">
        <f>IF(AND($F51&lt;=BO$2, OR($G51="",$G51&gt;=BO$2)),
  $H51 * (1 + Assumptions!$C$7) ^ INT(((YEAR(BO$2)-YEAR($F51))*12 + MONTH(BO$2)-MONTH($F51)) / 12),
  0)</f>
        <v>6500</v>
      </c>
      <c r="BP51" s="291">
        <f>IF(AND($F51&lt;=BP$2, OR($G51="",$G51&gt;=BP$2)),
  $H51 * (1 + Assumptions!$C$7) ^ INT(((YEAR(BP$2)-YEAR($F51))*12 + MONTH(BP$2)-MONTH($F51)) / 12),
  0)</f>
        <v>6500</v>
      </c>
      <c r="BQ51" s="30"/>
    </row>
    <row r="52" ht="15.75" customHeight="1">
      <c r="A52" s="298">
        <v>47.0</v>
      </c>
      <c r="B52" s="282" t="s">
        <v>335</v>
      </c>
      <c r="C52" s="282" t="s">
        <v>144</v>
      </c>
      <c r="D52" s="75" t="s">
        <v>321</v>
      </c>
      <c r="E52" s="289" t="s">
        <v>337</v>
      </c>
      <c r="F52" s="283">
        <v>47272.0</v>
      </c>
      <c r="G52" s="302"/>
      <c r="H52" s="285">
        <v>7500.0</v>
      </c>
      <c r="I52" s="291">
        <f>IF(AND($F52&lt;=I$2, OR($G52="",$G52&gt;=I$2)),
  $H52 * (1 + Assumptions!$C$7) ^ INT(((YEAR(I$2)-YEAR($F52))*12 + MONTH(I$2)-MONTH($F52)) / 12),
  0)</f>
        <v>0</v>
      </c>
      <c r="J52" s="291">
        <f>IF(AND($F52&lt;=J$2, OR($G52="",$G52&gt;=J$2)),
  $H52 * (1 + Assumptions!$C$7) ^ INT(((YEAR(J$2)-YEAR($F52))*12 + MONTH(J$2)-MONTH($F52)) / 12),
  0)</f>
        <v>0</v>
      </c>
      <c r="K52" s="291">
        <f>IF(AND($F52&lt;=K$2, OR($G52="",$G52&gt;=K$2)),
  $H52 * (1 + Assumptions!$C$7) ^ INT(((YEAR(K$2)-YEAR($F52))*12 + MONTH(K$2)-MONTH($F52)) / 12),
  0)</f>
        <v>0</v>
      </c>
      <c r="L52" s="291">
        <f>IF(AND($F52&lt;=L$2, OR($G52="",$G52&gt;=L$2)),
  $H52 * (1 + Assumptions!$C$7) ^ INT(((YEAR(L$2)-YEAR($F52))*12 + MONTH(L$2)-MONTH($F52)) / 12),
  0)</f>
        <v>0</v>
      </c>
      <c r="M52" s="291">
        <f>IF(AND($F52&lt;=M$2, OR($G52="",$G52&gt;=M$2)),
  $H52 * (1 + Assumptions!$C$7) ^ INT(((YEAR(M$2)-YEAR($F52))*12 + MONTH(M$2)-MONTH($F52)) / 12),
  0)</f>
        <v>0</v>
      </c>
      <c r="N52" s="291">
        <f>IF(AND($F52&lt;=N$2, OR($G52="",$G52&gt;=N$2)),
  $H52 * (1 + Assumptions!$C$7) ^ INT(((YEAR(N$2)-YEAR($F52))*12 + MONTH(N$2)-MONTH($F52)) / 12),
  0)</f>
        <v>0</v>
      </c>
      <c r="O52" s="291">
        <f>IF(AND($F52&lt;=O$2, OR($G52="",$G52&gt;=O$2)),
  $H52 * (1 + Assumptions!$C$7) ^ INT(((YEAR(O$2)-YEAR($F52))*12 + MONTH(O$2)-MONTH($F52)) / 12),
  0)</f>
        <v>0</v>
      </c>
      <c r="P52" s="291">
        <f>IF(AND($F52&lt;=P$2, OR($G52="",$G52&gt;=P$2)),
  $H52 * (1 + Assumptions!$C$7) ^ INT(((YEAR(P$2)-YEAR($F52))*12 + MONTH(P$2)-MONTH($F52)) / 12),
  0)</f>
        <v>0</v>
      </c>
      <c r="Q52" s="291">
        <f>IF(AND($F52&lt;=Q$2, OR($G52="",$G52&gt;=Q$2)),
  $H52 * (1 + Assumptions!$C$7) ^ INT(((YEAR(Q$2)-YEAR($F52))*12 + MONTH(Q$2)-MONTH($F52)) / 12),
  0)</f>
        <v>0</v>
      </c>
      <c r="R52" s="291">
        <f>IF(AND($F52&lt;=R$2, OR($G52="",$G52&gt;=R$2)),
  $H52 * (1 + Assumptions!$C$7) ^ INT(((YEAR(R$2)-YEAR($F52))*12 + MONTH(R$2)-MONTH($F52)) / 12),
  0)</f>
        <v>0</v>
      </c>
      <c r="S52" s="291">
        <f>IF(AND($F52&lt;=S$2, OR($G52="",$G52&gt;=S$2)),
  $H52 * (1 + Assumptions!$C$7) ^ INT(((YEAR(S$2)-YEAR($F52))*12 + MONTH(S$2)-MONTH($F52)) / 12),
  0)</f>
        <v>0</v>
      </c>
      <c r="T52" s="291">
        <f>IF(AND($F52&lt;=T$2, OR($G52="",$G52&gt;=T$2)),
  $H52 * (1 + Assumptions!$C$7) ^ INT(((YEAR(T$2)-YEAR($F52))*12 + MONTH(T$2)-MONTH($F52)) / 12),
  0)</f>
        <v>0</v>
      </c>
      <c r="U52" s="291">
        <f>IF(AND($F52&lt;=U$2, OR($G52="",$G52&gt;=U$2)),
  $H52 * (1 + Assumptions!$C$7) ^ INT(((YEAR(U$2)-YEAR($F52))*12 + MONTH(U$2)-MONTH($F52)) / 12),
  0)</f>
        <v>0</v>
      </c>
      <c r="V52" s="291">
        <f>IF(AND($F52&lt;=V$2, OR($G52="",$G52&gt;=V$2)),
  $H52 * (1 + Assumptions!$C$7) ^ INT(((YEAR(V$2)-YEAR($F52))*12 + MONTH(V$2)-MONTH($F52)) / 12),
  0)</f>
        <v>0</v>
      </c>
      <c r="W52" s="291">
        <f>IF(AND($F52&lt;=W$2, OR($G52="",$G52&gt;=W$2)),
  $H52 * (1 + Assumptions!$C$7) ^ INT(((YEAR(W$2)-YEAR($F52))*12 + MONTH(W$2)-MONTH($F52)) / 12),
  0)</f>
        <v>0</v>
      </c>
      <c r="X52" s="291">
        <f>IF(AND($F52&lt;=X$2, OR($G52="",$G52&gt;=X$2)),
  $H52 * (1 + Assumptions!$C$7) ^ INT(((YEAR(X$2)-YEAR($F52))*12 + MONTH(X$2)-MONTH($F52)) / 12),
  0)</f>
        <v>0</v>
      </c>
      <c r="Y52" s="291">
        <f>IF(AND($F52&lt;=Y$2, OR($G52="",$G52&gt;=Y$2)),
  $H52 * (1 + Assumptions!$C$7) ^ INT(((YEAR(Y$2)-YEAR($F52))*12 + MONTH(Y$2)-MONTH($F52)) / 12),
  0)</f>
        <v>0</v>
      </c>
      <c r="Z52" s="291">
        <f>IF(AND($F52&lt;=Z$2, OR($G52="",$G52&gt;=Z$2)),
  $H52 * (1 + Assumptions!$C$7) ^ INT(((YEAR(Z$2)-YEAR($F52))*12 + MONTH(Z$2)-MONTH($F52)) / 12),
  0)</f>
        <v>0</v>
      </c>
      <c r="AA52" s="291">
        <f>IF(AND($F52&lt;=AA$2, OR($G52="",$G52&gt;=AA$2)),
  $H52 * (1 + Assumptions!$C$7) ^ INT(((YEAR(AA$2)-YEAR($F52))*12 + MONTH(AA$2)-MONTH($F52)) / 12),
  0)</f>
        <v>0</v>
      </c>
      <c r="AB52" s="291">
        <f>IF(AND($F52&lt;=AB$2, OR($G52="",$G52&gt;=AB$2)),
  $H52 * (1 + Assumptions!$C$7) ^ INT(((YEAR(AB$2)-YEAR($F52))*12 + MONTH(AB$2)-MONTH($F52)) / 12),
  0)</f>
        <v>0</v>
      </c>
      <c r="AC52" s="291">
        <f>IF(AND($F52&lt;=AC$2, OR($G52="",$G52&gt;=AC$2)),
  $H52 * (1 + Assumptions!$C$7) ^ INT(((YEAR(AC$2)-YEAR($F52))*12 + MONTH(AC$2)-MONTH($F52)) / 12),
  0)</f>
        <v>0</v>
      </c>
      <c r="AD52" s="291">
        <f>IF(AND($F52&lt;=AD$2, OR($G52="",$G52&gt;=AD$2)),
  $H52 * (1 + Assumptions!$C$7) ^ INT(((YEAR(AD$2)-YEAR($F52))*12 + MONTH(AD$2)-MONTH($F52)) / 12),
  0)</f>
        <v>0</v>
      </c>
      <c r="AE52" s="291">
        <f>IF(AND($F52&lt;=AE$2, OR($G52="",$G52&gt;=AE$2)),
  $H52 * (1 + Assumptions!$C$7) ^ INT(((YEAR(AE$2)-YEAR($F52))*12 + MONTH(AE$2)-MONTH($F52)) / 12),
  0)</f>
        <v>0</v>
      </c>
      <c r="AF52" s="291">
        <f>IF(AND($F52&lt;=AF$2, OR($G52="",$G52&gt;=AF$2)),
  $H52 * (1 + Assumptions!$C$7) ^ INT(((YEAR(AF$2)-YEAR($F52))*12 + MONTH(AF$2)-MONTH($F52)) / 12),
  0)</f>
        <v>0</v>
      </c>
      <c r="AG52" s="291">
        <f>IF(AND($F52&lt;=AG$2, OR($G52="",$G52&gt;=AG$2)),
  $H52 * (1 + Assumptions!$C$7) ^ INT(((YEAR(AG$2)-YEAR($F52))*12 + MONTH(AG$2)-MONTH($F52)) / 12),
  0)</f>
        <v>0</v>
      </c>
      <c r="AH52" s="291">
        <f>IF(AND($F52&lt;=AH$2, OR($G52="",$G52&gt;=AH$2)),
  $H52 * (1 + Assumptions!$C$7) ^ INT(((YEAR(AH$2)-YEAR($F52))*12 + MONTH(AH$2)-MONTH($F52)) / 12),
  0)</f>
        <v>0</v>
      </c>
      <c r="AI52" s="291">
        <f>IF(AND($F52&lt;=AI$2, OR($G52="",$G52&gt;=AI$2)),
  $H52 * (1 + Assumptions!$C$7) ^ INT(((YEAR(AI$2)-YEAR($F52))*12 + MONTH(AI$2)-MONTH($F52)) / 12),
  0)</f>
        <v>0</v>
      </c>
      <c r="AJ52" s="291">
        <f>IF(AND($F52&lt;=AJ$2, OR($G52="",$G52&gt;=AJ$2)),
  $H52 * (1 + Assumptions!$C$7) ^ INT(((YEAR(AJ$2)-YEAR($F52))*12 + MONTH(AJ$2)-MONTH($F52)) / 12),
  0)</f>
        <v>0</v>
      </c>
      <c r="AK52" s="291">
        <f>IF(AND($F52&lt;=AK$2, OR($G52="",$G52&gt;=AK$2)),
  $H52 * (1 + Assumptions!$C$7) ^ INT(((YEAR(AK$2)-YEAR($F52))*12 + MONTH(AK$2)-MONTH($F52)) / 12),
  0)</f>
        <v>0</v>
      </c>
      <c r="AL52" s="291">
        <f>IF(AND($F52&lt;=AL$2, OR($G52="",$G52&gt;=AL$2)),
  $H52 * (1 + Assumptions!$C$7) ^ INT(((YEAR(AL$2)-YEAR($F52))*12 + MONTH(AL$2)-MONTH($F52)) / 12),
  0)</f>
        <v>0</v>
      </c>
      <c r="AM52" s="291">
        <f>IF(AND($F52&lt;=AM$2, OR($G52="",$G52&gt;=AM$2)),
  $H52 * (1 + Assumptions!$C$7) ^ INT(((YEAR(AM$2)-YEAR($F52))*12 + MONTH(AM$2)-MONTH($F52)) / 12),
  0)</f>
        <v>0</v>
      </c>
      <c r="AN52" s="291">
        <f>IF(AND($F52&lt;=AN$2, OR($G52="",$G52&gt;=AN$2)),
  $H52 * (1 + Assumptions!$C$7) ^ INT(((YEAR(AN$2)-YEAR($F52))*12 + MONTH(AN$2)-MONTH($F52)) / 12),
  0)</f>
        <v>0</v>
      </c>
      <c r="AO52" s="291">
        <f>IF(AND($F52&lt;=AO$2, OR($G52="",$G52&gt;=AO$2)),
  $H52 * (1 + Assumptions!$C$7) ^ INT(((YEAR(AO$2)-YEAR($F52))*12 + MONTH(AO$2)-MONTH($F52)) / 12),
  0)</f>
        <v>0</v>
      </c>
      <c r="AP52" s="291">
        <f>IF(AND($F52&lt;=AP$2, OR($G52="",$G52&gt;=AP$2)),
  $H52 * (1 + Assumptions!$C$7) ^ INT(((YEAR(AP$2)-YEAR($F52))*12 + MONTH(AP$2)-MONTH($F52)) / 12),
  0)</f>
        <v>0</v>
      </c>
      <c r="AQ52" s="291">
        <f>IF(AND($F52&lt;=AQ$2, OR($G52="",$G52&gt;=AQ$2)),
  $H52 * (1 + Assumptions!$C$7) ^ INT(((YEAR(AQ$2)-YEAR($F52))*12 + MONTH(AQ$2)-MONTH($F52)) / 12),
  0)</f>
        <v>0</v>
      </c>
      <c r="AR52" s="291">
        <f>IF(AND($F52&lt;=AR$2, OR($G52="",$G52&gt;=AR$2)),
  $H52 * (1 + Assumptions!$C$7) ^ INT(((YEAR(AR$2)-YEAR($F52))*12 + MONTH(AR$2)-MONTH($F52)) / 12),
  0)</f>
        <v>0</v>
      </c>
      <c r="AS52" s="291">
        <f>IF(AND($F52&lt;=AS$2, OR($G52="",$G52&gt;=AS$2)),
  $H52 * (1 + Assumptions!$C$7) ^ INT(((YEAR(AS$2)-YEAR($F52))*12 + MONTH(AS$2)-MONTH($F52)) / 12),
  0)</f>
        <v>0</v>
      </c>
      <c r="AT52" s="291">
        <f>IF(AND($F52&lt;=AT$2, OR($G52="",$G52&gt;=AT$2)),
  $H52 * (1 + Assumptions!$C$7) ^ INT(((YEAR(AT$2)-YEAR($F52))*12 + MONTH(AT$2)-MONTH($F52)) / 12),
  0)</f>
        <v>0</v>
      </c>
      <c r="AU52" s="291">
        <f>IF(AND($F52&lt;=AU$2, OR($G52="",$G52&gt;=AU$2)),
  $H52 * (1 + Assumptions!$C$7) ^ INT(((YEAR(AU$2)-YEAR($F52))*12 + MONTH(AU$2)-MONTH($F52)) / 12),
  0)</f>
        <v>0</v>
      </c>
      <c r="AV52" s="291">
        <f>IF(AND($F52&lt;=AV$2, OR($G52="",$G52&gt;=AV$2)),
  $H52 * (1 + Assumptions!$C$7) ^ INT(((YEAR(AV$2)-YEAR($F52))*12 + MONTH(AV$2)-MONTH($F52)) / 12),
  0)</f>
        <v>0</v>
      </c>
      <c r="AW52" s="291">
        <f>IF(AND($F52&lt;=AW$2, OR($G52="",$G52&gt;=AW$2)),
  $H52 * (1 + Assumptions!$C$7) ^ INT(((YEAR(AW$2)-YEAR($F52))*12 + MONTH(AW$2)-MONTH($F52)) / 12),
  0)</f>
        <v>0</v>
      </c>
      <c r="AX52" s="291">
        <f>IF(AND($F52&lt;=AX$2, OR($G52="",$G52&gt;=AX$2)),
  $H52 * (1 + Assumptions!$C$7) ^ INT(((YEAR(AX$2)-YEAR($F52))*12 + MONTH(AX$2)-MONTH($F52)) / 12),
  0)</f>
        <v>0</v>
      </c>
      <c r="AY52" s="291">
        <f>IF(AND($F52&lt;=AY$2, OR($G52="",$G52&gt;=AY$2)),
  $H52 * (1 + Assumptions!$C$7) ^ INT(((YEAR(AY$2)-YEAR($F52))*12 + MONTH(AY$2)-MONTH($F52)) / 12),
  0)</f>
        <v>0</v>
      </c>
      <c r="AZ52" s="291">
        <f>IF(AND($F52&lt;=AZ$2, OR($G52="",$G52&gt;=AZ$2)),
  $H52 * (1 + Assumptions!$C$7) ^ INT(((YEAR(AZ$2)-YEAR($F52))*12 + MONTH(AZ$2)-MONTH($F52)) / 12),
  0)</f>
        <v>0</v>
      </c>
      <c r="BA52" s="291">
        <f>IF(AND($F52&lt;=BA$2, OR($G52="",$G52&gt;=BA$2)),
  $H52 * (1 + Assumptions!$C$7) ^ INT(((YEAR(BA$2)-YEAR($F52))*12 + MONTH(BA$2)-MONTH($F52)) / 12),
  0)</f>
        <v>0</v>
      </c>
      <c r="BB52" s="291">
        <f>IF(AND($F52&lt;=BB$2, OR($G52="",$G52&gt;=BB$2)),
  $H52 * (1 + Assumptions!$C$7) ^ INT(((YEAR(BB$2)-YEAR($F52))*12 + MONTH(BB$2)-MONTH($F52)) / 12),
  0)</f>
        <v>0</v>
      </c>
      <c r="BC52" s="291">
        <f>IF(AND($F52&lt;=BC$2, OR($G52="",$G52&gt;=BC$2)),
  $H52 * (1 + Assumptions!$C$7) ^ INT(((YEAR(BC$2)-YEAR($F52))*12 + MONTH(BC$2)-MONTH($F52)) / 12),
  0)</f>
        <v>0</v>
      </c>
      <c r="BD52" s="291">
        <f>IF(AND($F52&lt;=BD$2, OR($G52="",$G52&gt;=BD$2)),
  $H52 * (1 + Assumptions!$C$7) ^ INT(((YEAR(BD$2)-YEAR($F52))*12 + MONTH(BD$2)-MONTH($F52)) / 12),
  0)</f>
        <v>0</v>
      </c>
      <c r="BE52" s="291">
        <f>IF(AND($F52&lt;=BE$2, OR($G52="",$G52&gt;=BE$2)),
  $H52 * (1 + Assumptions!$C$7) ^ INT(((YEAR(BE$2)-YEAR($F52))*12 + MONTH(BE$2)-MONTH($F52)) / 12),
  0)</f>
        <v>0</v>
      </c>
      <c r="BF52" s="291">
        <f>IF(AND($F52&lt;=BF$2, OR($G52="",$G52&gt;=BF$2)),
  $H52 * (1 + Assumptions!$C$7) ^ INT(((YEAR(BF$2)-YEAR($F52))*12 + MONTH(BF$2)-MONTH($F52)) / 12),
  0)</f>
        <v>0</v>
      </c>
      <c r="BG52" s="291">
        <f>IF(AND($F52&lt;=BG$2, OR($G52="",$G52&gt;=BG$2)),
  $H52 * (1 + Assumptions!$C$7) ^ INT(((YEAR(BG$2)-YEAR($F52))*12 + MONTH(BG$2)-MONTH($F52)) / 12),
  0)</f>
        <v>0</v>
      </c>
      <c r="BH52" s="291">
        <f>IF(AND($F52&lt;=BH$2, OR($G52="",$G52&gt;=BH$2)),
  $H52 * (1 + Assumptions!$C$7) ^ INT(((YEAR(BH$2)-YEAR($F52))*12 + MONTH(BH$2)-MONTH($F52)) / 12),
  0)</f>
        <v>0</v>
      </c>
      <c r="BI52" s="291">
        <f>IF(AND($F52&lt;=BI$2, OR($G52="",$G52&gt;=BI$2)),
  $H52 * (1 + Assumptions!$C$7) ^ INT(((YEAR(BI$2)-YEAR($F52))*12 + MONTH(BI$2)-MONTH($F52)) / 12),
  0)</f>
        <v>0</v>
      </c>
      <c r="BJ52" s="291">
        <f>IF(AND($F52&lt;=BJ$2, OR($G52="",$G52&gt;=BJ$2)),
  $H52 * (1 + Assumptions!$C$7) ^ INT(((YEAR(BJ$2)-YEAR($F52))*12 + MONTH(BJ$2)-MONTH($F52)) / 12),
  0)</f>
        <v>0</v>
      </c>
      <c r="BK52" s="291">
        <f>IF(AND($F52&lt;=BK$2, OR($G52="",$G52&gt;=BK$2)),
  $H52 * (1 + Assumptions!$C$7) ^ INT(((YEAR(BK$2)-YEAR($F52))*12 + MONTH(BK$2)-MONTH($F52)) / 12),
  0)</f>
        <v>7500</v>
      </c>
      <c r="BL52" s="291">
        <f>IF(AND($F52&lt;=BL$2, OR($G52="",$G52&gt;=BL$2)),
  $H52 * (1 + Assumptions!$C$7) ^ INT(((YEAR(BL$2)-YEAR($F52))*12 + MONTH(BL$2)-MONTH($F52)) / 12),
  0)</f>
        <v>7500</v>
      </c>
      <c r="BM52" s="291">
        <f>IF(AND($F52&lt;=BM$2, OR($G52="",$G52&gt;=BM$2)),
  $H52 * (1 + Assumptions!$C$7) ^ INT(((YEAR(BM$2)-YEAR($F52))*12 + MONTH(BM$2)-MONTH($F52)) / 12),
  0)</f>
        <v>7500</v>
      </c>
      <c r="BN52" s="291">
        <f>IF(AND($F52&lt;=BN$2, OR($G52="",$G52&gt;=BN$2)),
  $H52 * (1 + Assumptions!$C$7) ^ INT(((YEAR(BN$2)-YEAR($F52))*12 + MONTH(BN$2)-MONTH($F52)) / 12),
  0)</f>
        <v>7500</v>
      </c>
      <c r="BO52" s="291">
        <f>IF(AND($F52&lt;=BO$2, OR($G52="",$G52&gt;=BO$2)),
  $H52 * (1 + Assumptions!$C$7) ^ INT(((YEAR(BO$2)-YEAR($F52))*12 + MONTH(BO$2)-MONTH($F52)) / 12),
  0)</f>
        <v>7500</v>
      </c>
      <c r="BP52" s="291">
        <f>IF(AND($F52&lt;=BP$2, OR($G52="",$G52&gt;=BP$2)),
  $H52 * (1 + Assumptions!$C$7) ^ INT(((YEAR(BP$2)-YEAR($F52))*12 + MONTH(BP$2)-MONTH($F52)) / 12),
  0)</f>
        <v>7500</v>
      </c>
      <c r="BQ52" s="30"/>
    </row>
    <row r="53" ht="15.75" customHeight="1">
      <c r="A53" s="298">
        <v>48.0</v>
      </c>
      <c r="B53" s="282" t="s">
        <v>335</v>
      </c>
      <c r="C53" s="282" t="s">
        <v>144</v>
      </c>
      <c r="D53" s="282" t="s">
        <v>322</v>
      </c>
      <c r="E53" s="289" t="s">
        <v>337</v>
      </c>
      <c r="F53" s="283">
        <v>47273.0</v>
      </c>
      <c r="G53" s="290"/>
      <c r="H53" s="285">
        <v>6500.0</v>
      </c>
      <c r="I53" s="291">
        <f>IF(AND($F53&lt;=I$2, OR($G53="",$G53&gt;=I$2)),
  $H53 * (1 + Assumptions!$C$7) ^ INT(((YEAR(I$2)-YEAR($F53))*12 + MONTH(I$2)-MONTH($F53)) / 12),
  0)</f>
        <v>0</v>
      </c>
      <c r="J53" s="291">
        <f>IF(AND($F53&lt;=J$2, OR($G53="",$G53&gt;=J$2)),
  $H53 * (1 + Assumptions!$C$7) ^ INT(((YEAR(J$2)-YEAR($F53))*12 + MONTH(J$2)-MONTH($F53)) / 12),
  0)</f>
        <v>0</v>
      </c>
      <c r="K53" s="291">
        <f>IF(AND($F53&lt;=K$2, OR($G53="",$G53&gt;=K$2)),
  $H53 * (1 + Assumptions!$C$7) ^ INT(((YEAR(K$2)-YEAR($F53))*12 + MONTH(K$2)-MONTH($F53)) / 12),
  0)</f>
        <v>0</v>
      </c>
      <c r="L53" s="291">
        <f>IF(AND($F53&lt;=L$2, OR($G53="",$G53&gt;=L$2)),
  $H53 * (1 + Assumptions!$C$7) ^ INT(((YEAR(L$2)-YEAR($F53))*12 + MONTH(L$2)-MONTH($F53)) / 12),
  0)</f>
        <v>0</v>
      </c>
      <c r="M53" s="291">
        <f>IF(AND($F53&lt;=M$2, OR($G53="",$G53&gt;=M$2)),
  $H53 * (1 + Assumptions!$C$7) ^ INT(((YEAR(M$2)-YEAR($F53))*12 + MONTH(M$2)-MONTH($F53)) / 12),
  0)</f>
        <v>0</v>
      </c>
      <c r="N53" s="291">
        <f>IF(AND($F53&lt;=N$2, OR($G53="",$G53&gt;=N$2)),
  $H53 * (1 + Assumptions!$C$7) ^ INT(((YEAR(N$2)-YEAR($F53))*12 + MONTH(N$2)-MONTH($F53)) / 12),
  0)</f>
        <v>0</v>
      </c>
      <c r="O53" s="291">
        <f>IF(AND($F53&lt;=O$2, OR($G53="",$G53&gt;=O$2)),
  $H53 * (1 + Assumptions!$C$7) ^ INT(((YEAR(O$2)-YEAR($F53))*12 + MONTH(O$2)-MONTH($F53)) / 12),
  0)</f>
        <v>0</v>
      </c>
      <c r="P53" s="291">
        <f>IF(AND($F53&lt;=P$2, OR($G53="",$G53&gt;=P$2)),
  $H53 * (1 + Assumptions!$C$7) ^ INT(((YEAR(P$2)-YEAR($F53))*12 + MONTH(P$2)-MONTH($F53)) / 12),
  0)</f>
        <v>0</v>
      </c>
      <c r="Q53" s="291">
        <f>IF(AND($F53&lt;=Q$2, OR($G53="",$G53&gt;=Q$2)),
  $H53 * (1 + Assumptions!$C$7) ^ INT(((YEAR(Q$2)-YEAR($F53))*12 + MONTH(Q$2)-MONTH($F53)) / 12),
  0)</f>
        <v>0</v>
      </c>
      <c r="R53" s="291">
        <f>IF(AND($F53&lt;=R$2, OR($G53="",$G53&gt;=R$2)),
  $H53 * (1 + Assumptions!$C$7) ^ INT(((YEAR(R$2)-YEAR($F53))*12 + MONTH(R$2)-MONTH($F53)) / 12),
  0)</f>
        <v>0</v>
      </c>
      <c r="S53" s="291">
        <f>IF(AND($F53&lt;=S$2, OR($G53="",$G53&gt;=S$2)),
  $H53 * (1 + Assumptions!$C$7) ^ INT(((YEAR(S$2)-YEAR($F53))*12 + MONTH(S$2)-MONTH($F53)) / 12),
  0)</f>
        <v>0</v>
      </c>
      <c r="T53" s="291">
        <f>IF(AND($F53&lt;=T$2, OR($G53="",$G53&gt;=T$2)),
  $H53 * (1 + Assumptions!$C$7) ^ INT(((YEAR(T$2)-YEAR($F53))*12 + MONTH(T$2)-MONTH($F53)) / 12),
  0)</f>
        <v>0</v>
      </c>
      <c r="U53" s="291">
        <f>IF(AND($F53&lt;=U$2, OR($G53="",$G53&gt;=U$2)),
  $H53 * (1 + Assumptions!$C$7) ^ INT(((YEAR(U$2)-YEAR($F53))*12 + MONTH(U$2)-MONTH($F53)) / 12),
  0)</f>
        <v>0</v>
      </c>
      <c r="V53" s="291">
        <f>IF(AND($F53&lt;=V$2, OR($G53="",$G53&gt;=V$2)),
  $H53 * (1 + Assumptions!$C$7) ^ INT(((YEAR(V$2)-YEAR($F53))*12 + MONTH(V$2)-MONTH($F53)) / 12),
  0)</f>
        <v>0</v>
      </c>
      <c r="W53" s="291">
        <f>IF(AND($F53&lt;=W$2, OR($G53="",$G53&gt;=W$2)),
  $H53 * (1 + Assumptions!$C$7) ^ INT(((YEAR(W$2)-YEAR($F53))*12 + MONTH(W$2)-MONTH($F53)) / 12),
  0)</f>
        <v>0</v>
      </c>
      <c r="X53" s="291">
        <f>IF(AND($F53&lt;=X$2, OR($G53="",$G53&gt;=X$2)),
  $H53 * (1 + Assumptions!$C$7) ^ INT(((YEAR(X$2)-YEAR($F53))*12 + MONTH(X$2)-MONTH($F53)) / 12),
  0)</f>
        <v>0</v>
      </c>
      <c r="Y53" s="291">
        <f>IF(AND($F53&lt;=Y$2, OR($G53="",$G53&gt;=Y$2)),
  $H53 * (1 + Assumptions!$C$7) ^ INT(((YEAR(Y$2)-YEAR($F53))*12 + MONTH(Y$2)-MONTH($F53)) / 12),
  0)</f>
        <v>0</v>
      </c>
      <c r="Z53" s="291">
        <f>IF(AND($F53&lt;=Z$2, OR($G53="",$G53&gt;=Z$2)),
  $H53 * (1 + Assumptions!$C$7) ^ INT(((YEAR(Z$2)-YEAR($F53))*12 + MONTH(Z$2)-MONTH($F53)) / 12),
  0)</f>
        <v>0</v>
      </c>
      <c r="AA53" s="291">
        <f>IF(AND($F53&lt;=AA$2, OR($G53="",$G53&gt;=AA$2)),
  $H53 * (1 + Assumptions!$C$7) ^ INT(((YEAR(AA$2)-YEAR($F53))*12 + MONTH(AA$2)-MONTH($F53)) / 12),
  0)</f>
        <v>0</v>
      </c>
      <c r="AB53" s="291">
        <f>IF(AND($F53&lt;=AB$2, OR($G53="",$G53&gt;=AB$2)),
  $H53 * (1 + Assumptions!$C$7) ^ INT(((YEAR(AB$2)-YEAR($F53))*12 + MONTH(AB$2)-MONTH($F53)) / 12),
  0)</f>
        <v>0</v>
      </c>
      <c r="AC53" s="291">
        <f>IF(AND($F53&lt;=AC$2, OR($G53="",$G53&gt;=AC$2)),
  $H53 * (1 + Assumptions!$C$7) ^ INT(((YEAR(AC$2)-YEAR($F53))*12 + MONTH(AC$2)-MONTH($F53)) / 12),
  0)</f>
        <v>0</v>
      </c>
      <c r="AD53" s="291">
        <f>IF(AND($F53&lt;=AD$2, OR($G53="",$G53&gt;=AD$2)),
  $H53 * (1 + Assumptions!$C$7) ^ INT(((YEAR(AD$2)-YEAR($F53))*12 + MONTH(AD$2)-MONTH($F53)) / 12),
  0)</f>
        <v>0</v>
      </c>
      <c r="AE53" s="291">
        <f>IF(AND($F53&lt;=AE$2, OR($G53="",$G53&gt;=AE$2)),
  $H53 * (1 + Assumptions!$C$7) ^ INT(((YEAR(AE$2)-YEAR($F53))*12 + MONTH(AE$2)-MONTH($F53)) / 12),
  0)</f>
        <v>0</v>
      </c>
      <c r="AF53" s="291">
        <f>IF(AND($F53&lt;=AF$2, OR($G53="",$G53&gt;=AF$2)),
  $H53 * (1 + Assumptions!$C$7) ^ INT(((YEAR(AF$2)-YEAR($F53))*12 + MONTH(AF$2)-MONTH($F53)) / 12),
  0)</f>
        <v>0</v>
      </c>
      <c r="AG53" s="291">
        <f>IF(AND($F53&lt;=AG$2, OR($G53="",$G53&gt;=AG$2)),
  $H53 * (1 + Assumptions!$C$7) ^ INT(((YEAR(AG$2)-YEAR($F53))*12 + MONTH(AG$2)-MONTH($F53)) / 12),
  0)</f>
        <v>0</v>
      </c>
      <c r="AH53" s="291">
        <f>IF(AND($F53&lt;=AH$2, OR($G53="",$G53&gt;=AH$2)),
  $H53 * (1 + Assumptions!$C$7) ^ INT(((YEAR(AH$2)-YEAR($F53))*12 + MONTH(AH$2)-MONTH($F53)) / 12),
  0)</f>
        <v>0</v>
      </c>
      <c r="AI53" s="291">
        <f>IF(AND($F53&lt;=AI$2, OR($G53="",$G53&gt;=AI$2)),
  $H53 * (1 + Assumptions!$C$7) ^ INT(((YEAR(AI$2)-YEAR($F53))*12 + MONTH(AI$2)-MONTH($F53)) / 12),
  0)</f>
        <v>0</v>
      </c>
      <c r="AJ53" s="291">
        <f>IF(AND($F53&lt;=AJ$2, OR($G53="",$G53&gt;=AJ$2)),
  $H53 * (1 + Assumptions!$C$7) ^ INT(((YEAR(AJ$2)-YEAR($F53))*12 + MONTH(AJ$2)-MONTH($F53)) / 12),
  0)</f>
        <v>0</v>
      </c>
      <c r="AK53" s="291">
        <f>IF(AND($F53&lt;=AK$2, OR($G53="",$G53&gt;=AK$2)),
  $H53 * (1 + Assumptions!$C$7) ^ INT(((YEAR(AK$2)-YEAR($F53))*12 + MONTH(AK$2)-MONTH($F53)) / 12),
  0)</f>
        <v>0</v>
      </c>
      <c r="AL53" s="291">
        <f>IF(AND($F53&lt;=AL$2, OR($G53="",$G53&gt;=AL$2)),
  $H53 * (1 + Assumptions!$C$7) ^ INT(((YEAR(AL$2)-YEAR($F53))*12 + MONTH(AL$2)-MONTH($F53)) / 12),
  0)</f>
        <v>0</v>
      </c>
      <c r="AM53" s="291">
        <f>IF(AND($F53&lt;=AM$2, OR($G53="",$G53&gt;=AM$2)),
  $H53 * (1 + Assumptions!$C$7) ^ INT(((YEAR(AM$2)-YEAR($F53))*12 + MONTH(AM$2)-MONTH($F53)) / 12),
  0)</f>
        <v>0</v>
      </c>
      <c r="AN53" s="291">
        <f>IF(AND($F53&lt;=AN$2, OR($G53="",$G53&gt;=AN$2)),
  $H53 * (1 + Assumptions!$C$7) ^ INT(((YEAR(AN$2)-YEAR($F53))*12 + MONTH(AN$2)-MONTH($F53)) / 12),
  0)</f>
        <v>0</v>
      </c>
      <c r="AO53" s="291">
        <f>IF(AND($F53&lt;=AO$2, OR($G53="",$G53&gt;=AO$2)),
  $H53 * (1 + Assumptions!$C$7) ^ INT(((YEAR(AO$2)-YEAR($F53))*12 + MONTH(AO$2)-MONTH($F53)) / 12),
  0)</f>
        <v>0</v>
      </c>
      <c r="AP53" s="291">
        <f>IF(AND($F53&lt;=AP$2, OR($G53="",$G53&gt;=AP$2)),
  $H53 * (1 + Assumptions!$C$7) ^ INT(((YEAR(AP$2)-YEAR($F53))*12 + MONTH(AP$2)-MONTH($F53)) / 12),
  0)</f>
        <v>0</v>
      </c>
      <c r="AQ53" s="291">
        <f>IF(AND($F53&lt;=AQ$2, OR($G53="",$G53&gt;=AQ$2)),
  $H53 * (1 + Assumptions!$C$7) ^ INT(((YEAR(AQ$2)-YEAR($F53))*12 + MONTH(AQ$2)-MONTH($F53)) / 12),
  0)</f>
        <v>0</v>
      </c>
      <c r="AR53" s="291">
        <f>IF(AND($F53&lt;=AR$2, OR($G53="",$G53&gt;=AR$2)),
  $H53 * (1 + Assumptions!$C$7) ^ INT(((YEAR(AR$2)-YEAR($F53))*12 + MONTH(AR$2)-MONTH($F53)) / 12),
  0)</f>
        <v>0</v>
      </c>
      <c r="AS53" s="291">
        <f>IF(AND($F53&lt;=AS$2, OR($G53="",$G53&gt;=AS$2)),
  $H53 * (1 + Assumptions!$C$7) ^ INT(((YEAR(AS$2)-YEAR($F53))*12 + MONTH(AS$2)-MONTH($F53)) / 12),
  0)</f>
        <v>0</v>
      </c>
      <c r="AT53" s="291">
        <f>IF(AND($F53&lt;=AT$2, OR($G53="",$G53&gt;=AT$2)),
  $H53 * (1 + Assumptions!$C$7) ^ INT(((YEAR(AT$2)-YEAR($F53))*12 + MONTH(AT$2)-MONTH($F53)) / 12),
  0)</f>
        <v>0</v>
      </c>
      <c r="AU53" s="291">
        <f>IF(AND($F53&lt;=AU$2, OR($G53="",$G53&gt;=AU$2)),
  $H53 * (1 + Assumptions!$C$7) ^ INT(((YEAR(AU$2)-YEAR($F53))*12 + MONTH(AU$2)-MONTH($F53)) / 12),
  0)</f>
        <v>0</v>
      </c>
      <c r="AV53" s="291">
        <f>IF(AND($F53&lt;=AV$2, OR($G53="",$G53&gt;=AV$2)),
  $H53 * (1 + Assumptions!$C$7) ^ INT(((YEAR(AV$2)-YEAR($F53))*12 + MONTH(AV$2)-MONTH($F53)) / 12),
  0)</f>
        <v>0</v>
      </c>
      <c r="AW53" s="291">
        <f>IF(AND($F53&lt;=AW$2, OR($G53="",$G53&gt;=AW$2)),
  $H53 * (1 + Assumptions!$C$7) ^ INT(((YEAR(AW$2)-YEAR($F53))*12 + MONTH(AW$2)-MONTH($F53)) / 12),
  0)</f>
        <v>0</v>
      </c>
      <c r="AX53" s="291">
        <f>IF(AND($F53&lt;=AX$2, OR($G53="",$G53&gt;=AX$2)),
  $H53 * (1 + Assumptions!$C$7) ^ INT(((YEAR(AX$2)-YEAR($F53))*12 + MONTH(AX$2)-MONTH($F53)) / 12),
  0)</f>
        <v>0</v>
      </c>
      <c r="AY53" s="291">
        <f>IF(AND($F53&lt;=AY$2, OR($G53="",$G53&gt;=AY$2)),
  $H53 * (1 + Assumptions!$C$7) ^ INT(((YEAR(AY$2)-YEAR($F53))*12 + MONTH(AY$2)-MONTH($F53)) / 12),
  0)</f>
        <v>0</v>
      </c>
      <c r="AZ53" s="291">
        <f>IF(AND($F53&lt;=AZ$2, OR($G53="",$G53&gt;=AZ$2)),
  $H53 * (1 + Assumptions!$C$7) ^ INT(((YEAR(AZ$2)-YEAR($F53))*12 + MONTH(AZ$2)-MONTH($F53)) / 12),
  0)</f>
        <v>0</v>
      </c>
      <c r="BA53" s="291">
        <f>IF(AND($F53&lt;=BA$2, OR($G53="",$G53&gt;=BA$2)),
  $H53 * (1 + Assumptions!$C$7) ^ INT(((YEAR(BA$2)-YEAR($F53))*12 + MONTH(BA$2)-MONTH($F53)) / 12),
  0)</f>
        <v>0</v>
      </c>
      <c r="BB53" s="291">
        <f>IF(AND($F53&lt;=BB$2, OR($G53="",$G53&gt;=BB$2)),
  $H53 * (1 + Assumptions!$C$7) ^ INT(((YEAR(BB$2)-YEAR($F53))*12 + MONTH(BB$2)-MONTH($F53)) / 12),
  0)</f>
        <v>0</v>
      </c>
      <c r="BC53" s="291">
        <f>IF(AND($F53&lt;=BC$2, OR($G53="",$G53&gt;=BC$2)),
  $H53 * (1 + Assumptions!$C$7) ^ INT(((YEAR(BC$2)-YEAR($F53))*12 + MONTH(BC$2)-MONTH($F53)) / 12),
  0)</f>
        <v>0</v>
      </c>
      <c r="BD53" s="291">
        <f>IF(AND($F53&lt;=BD$2, OR($G53="",$G53&gt;=BD$2)),
  $H53 * (1 + Assumptions!$C$7) ^ INT(((YEAR(BD$2)-YEAR($F53))*12 + MONTH(BD$2)-MONTH($F53)) / 12),
  0)</f>
        <v>0</v>
      </c>
      <c r="BE53" s="291">
        <f>IF(AND($F53&lt;=BE$2, OR($G53="",$G53&gt;=BE$2)),
  $H53 * (1 + Assumptions!$C$7) ^ INT(((YEAR(BE$2)-YEAR($F53))*12 + MONTH(BE$2)-MONTH($F53)) / 12),
  0)</f>
        <v>0</v>
      </c>
      <c r="BF53" s="291">
        <f>IF(AND($F53&lt;=BF$2, OR($G53="",$G53&gt;=BF$2)),
  $H53 * (1 + Assumptions!$C$7) ^ INT(((YEAR(BF$2)-YEAR($F53))*12 + MONTH(BF$2)-MONTH($F53)) / 12),
  0)</f>
        <v>0</v>
      </c>
      <c r="BG53" s="291">
        <f>IF(AND($F53&lt;=BG$2, OR($G53="",$G53&gt;=BG$2)),
  $H53 * (1 + Assumptions!$C$7) ^ INT(((YEAR(BG$2)-YEAR($F53))*12 + MONTH(BG$2)-MONTH($F53)) / 12),
  0)</f>
        <v>0</v>
      </c>
      <c r="BH53" s="291">
        <f>IF(AND($F53&lt;=BH$2, OR($G53="",$G53&gt;=BH$2)),
  $H53 * (1 + Assumptions!$C$7) ^ INT(((YEAR(BH$2)-YEAR($F53))*12 + MONTH(BH$2)-MONTH($F53)) / 12),
  0)</f>
        <v>0</v>
      </c>
      <c r="BI53" s="291">
        <f>IF(AND($F53&lt;=BI$2, OR($G53="",$G53&gt;=BI$2)),
  $H53 * (1 + Assumptions!$C$7) ^ INT(((YEAR(BI$2)-YEAR($F53))*12 + MONTH(BI$2)-MONTH($F53)) / 12),
  0)</f>
        <v>0</v>
      </c>
      <c r="BJ53" s="291">
        <f>IF(AND($F53&lt;=BJ$2, OR($G53="",$G53&gt;=BJ$2)),
  $H53 * (1 + Assumptions!$C$7) ^ INT(((YEAR(BJ$2)-YEAR($F53))*12 + MONTH(BJ$2)-MONTH($F53)) / 12),
  0)</f>
        <v>0</v>
      </c>
      <c r="BK53" s="291">
        <f>IF(AND($F53&lt;=BK$2, OR($G53="",$G53&gt;=BK$2)),
  $H53 * (1 + Assumptions!$C$7) ^ INT(((YEAR(BK$2)-YEAR($F53))*12 + MONTH(BK$2)-MONTH($F53)) / 12),
  0)</f>
        <v>6500</v>
      </c>
      <c r="BL53" s="291">
        <f>IF(AND($F53&lt;=BL$2, OR($G53="",$G53&gt;=BL$2)),
  $H53 * (1 + Assumptions!$C$7) ^ INT(((YEAR(BL$2)-YEAR($F53))*12 + MONTH(BL$2)-MONTH($F53)) / 12),
  0)</f>
        <v>6500</v>
      </c>
      <c r="BM53" s="291">
        <f>IF(AND($F53&lt;=BM$2, OR($G53="",$G53&gt;=BM$2)),
  $H53 * (1 + Assumptions!$C$7) ^ INT(((YEAR(BM$2)-YEAR($F53))*12 + MONTH(BM$2)-MONTH($F53)) / 12),
  0)</f>
        <v>6500</v>
      </c>
      <c r="BN53" s="291">
        <f>IF(AND($F53&lt;=BN$2, OR($G53="",$G53&gt;=BN$2)),
  $H53 * (1 + Assumptions!$C$7) ^ INT(((YEAR(BN$2)-YEAR($F53))*12 + MONTH(BN$2)-MONTH($F53)) / 12),
  0)</f>
        <v>6500</v>
      </c>
      <c r="BO53" s="291">
        <f>IF(AND($F53&lt;=BO$2, OR($G53="",$G53&gt;=BO$2)),
  $H53 * (1 + Assumptions!$C$7) ^ INT(((YEAR(BO$2)-YEAR($F53))*12 + MONTH(BO$2)-MONTH($F53)) / 12),
  0)</f>
        <v>6500</v>
      </c>
      <c r="BP53" s="291">
        <f>IF(AND($F53&lt;=BP$2, OR($G53="",$G53&gt;=BP$2)),
  $H53 * (1 + Assumptions!$C$7) ^ INT(((YEAR(BP$2)-YEAR($F53))*12 + MONTH(BP$2)-MONTH($F53)) / 12),
  0)</f>
        <v>6500</v>
      </c>
      <c r="BQ53" s="30"/>
    </row>
    <row r="54" ht="15.75" customHeight="1">
      <c r="A54" s="298">
        <v>49.0</v>
      </c>
      <c r="B54" s="282" t="s">
        <v>335</v>
      </c>
      <c r="C54" s="26" t="s">
        <v>141</v>
      </c>
      <c r="D54" s="303" t="s">
        <v>346</v>
      </c>
      <c r="E54" s="289" t="s">
        <v>337</v>
      </c>
      <c r="F54" s="283">
        <v>47392.0</v>
      </c>
      <c r="G54" s="301"/>
      <c r="H54" s="285">
        <v>8000.0</v>
      </c>
      <c r="I54" s="291">
        <f>IF(AND($F54&lt;=I$2, OR($G54="",$G54&gt;=I$2)),
  $H54 * (1 + Assumptions!$C$7) ^ INT(((YEAR(I$2)-YEAR($F54))*12 + MONTH(I$2)-MONTH($F54)) / 12),
  0)</f>
        <v>0</v>
      </c>
      <c r="J54" s="291">
        <f>IF(AND($F54&lt;=J$2, OR($G54="",$G54&gt;=J$2)),
  $H54 * (1 + Assumptions!$C$7) ^ INT(((YEAR(J$2)-YEAR($F54))*12 + MONTH(J$2)-MONTH($F54)) / 12),
  0)</f>
        <v>0</v>
      </c>
      <c r="K54" s="291">
        <f>IF(AND($F54&lt;=K$2, OR($G54="",$G54&gt;=K$2)),
  $H54 * (1 + Assumptions!$C$7) ^ INT(((YEAR(K$2)-YEAR($F54))*12 + MONTH(K$2)-MONTH($F54)) / 12),
  0)</f>
        <v>0</v>
      </c>
      <c r="L54" s="291">
        <f>IF(AND($F54&lt;=L$2, OR($G54="",$G54&gt;=L$2)),
  $H54 * (1 + Assumptions!$C$7) ^ INT(((YEAR(L$2)-YEAR($F54))*12 + MONTH(L$2)-MONTH($F54)) / 12),
  0)</f>
        <v>0</v>
      </c>
      <c r="M54" s="291">
        <f>IF(AND($F54&lt;=M$2, OR($G54="",$G54&gt;=M$2)),
  $H54 * (1 + Assumptions!$C$7) ^ INT(((YEAR(M$2)-YEAR($F54))*12 + MONTH(M$2)-MONTH($F54)) / 12),
  0)</f>
        <v>0</v>
      </c>
      <c r="N54" s="291">
        <f>IF(AND($F54&lt;=N$2, OR($G54="",$G54&gt;=N$2)),
  $H54 * (1 + Assumptions!$C$7) ^ INT(((YEAR(N$2)-YEAR($F54))*12 + MONTH(N$2)-MONTH($F54)) / 12),
  0)</f>
        <v>0</v>
      </c>
      <c r="O54" s="291">
        <f>IF(AND($F54&lt;=O$2, OR($G54="",$G54&gt;=O$2)),
  $H54 * (1 + Assumptions!$C$7) ^ INT(((YEAR(O$2)-YEAR($F54))*12 + MONTH(O$2)-MONTH($F54)) / 12),
  0)</f>
        <v>0</v>
      </c>
      <c r="P54" s="291">
        <f>IF(AND($F54&lt;=P$2, OR($G54="",$G54&gt;=P$2)),
  $H54 * (1 + Assumptions!$C$7) ^ INT(((YEAR(P$2)-YEAR($F54))*12 + MONTH(P$2)-MONTH($F54)) / 12),
  0)</f>
        <v>0</v>
      </c>
      <c r="Q54" s="291">
        <f>IF(AND($F54&lt;=Q$2, OR($G54="",$G54&gt;=Q$2)),
  $H54 * (1 + Assumptions!$C$7) ^ INT(((YEAR(Q$2)-YEAR($F54))*12 + MONTH(Q$2)-MONTH($F54)) / 12),
  0)</f>
        <v>0</v>
      </c>
      <c r="R54" s="291">
        <f>IF(AND($F54&lt;=R$2, OR($G54="",$G54&gt;=R$2)),
  $H54 * (1 + Assumptions!$C$7) ^ INT(((YEAR(R$2)-YEAR($F54))*12 + MONTH(R$2)-MONTH($F54)) / 12),
  0)</f>
        <v>0</v>
      </c>
      <c r="S54" s="291">
        <f>IF(AND($F54&lt;=S$2, OR($G54="",$G54&gt;=S$2)),
  $H54 * (1 + Assumptions!$C$7) ^ INT(((YEAR(S$2)-YEAR($F54))*12 + MONTH(S$2)-MONTH($F54)) / 12),
  0)</f>
        <v>0</v>
      </c>
      <c r="T54" s="291">
        <f>IF(AND($F54&lt;=T$2, OR($G54="",$G54&gt;=T$2)),
  $H54 * (1 + Assumptions!$C$7) ^ INT(((YEAR(T$2)-YEAR($F54))*12 + MONTH(T$2)-MONTH($F54)) / 12),
  0)</f>
        <v>0</v>
      </c>
      <c r="U54" s="291">
        <f>IF(AND($F54&lt;=U$2, OR($G54="",$G54&gt;=U$2)),
  $H54 * (1 + Assumptions!$C$7) ^ INT(((YEAR(U$2)-YEAR($F54))*12 + MONTH(U$2)-MONTH($F54)) / 12),
  0)</f>
        <v>0</v>
      </c>
      <c r="V54" s="291">
        <f>IF(AND($F54&lt;=V$2, OR($G54="",$G54&gt;=V$2)),
  $H54 * (1 + Assumptions!$C$7) ^ INT(((YEAR(V$2)-YEAR($F54))*12 + MONTH(V$2)-MONTH($F54)) / 12),
  0)</f>
        <v>0</v>
      </c>
      <c r="W54" s="291">
        <f>IF(AND($F54&lt;=W$2, OR($G54="",$G54&gt;=W$2)),
  $H54 * (1 + Assumptions!$C$7) ^ INT(((YEAR(W$2)-YEAR($F54))*12 + MONTH(W$2)-MONTH($F54)) / 12),
  0)</f>
        <v>0</v>
      </c>
      <c r="X54" s="291">
        <f>IF(AND($F54&lt;=X$2, OR($G54="",$G54&gt;=X$2)),
  $H54 * (1 + Assumptions!$C$7) ^ INT(((YEAR(X$2)-YEAR($F54))*12 + MONTH(X$2)-MONTH($F54)) / 12),
  0)</f>
        <v>0</v>
      </c>
      <c r="Y54" s="291">
        <f>IF(AND($F54&lt;=Y$2, OR($G54="",$G54&gt;=Y$2)),
  $H54 * (1 + Assumptions!$C$7) ^ INT(((YEAR(Y$2)-YEAR($F54))*12 + MONTH(Y$2)-MONTH($F54)) / 12),
  0)</f>
        <v>0</v>
      </c>
      <c r="Z54" s="291">
        <f>IF(AND($F54&lt;=Z$2, OR($G54="",$G54&gt;=Z$2)),
  $H54 * (1 + Assumptions!$C$7) ^ INT(((YEAR(Z$2)-YEAR($F54))*12 + MONTH(Z$2)-MONTH($F54)) / 12),
  0)</f>
        <v>0</v>
      </c>
      <c r="AA54" s="291">
        <f>IF(AND($F54&lt;=AA$2, OR($G54="",$G54&gt;=AA$2)),
  $H54 * (1 + Assumptions!$C$7) ^ INT(((YEAR(AA$2)-YEAR($F54))*12 + MONTH(AA$2)-MONTH($F54)) / 12),
  0)</f>
        <v>0</v>
      </c>
      <c r="AB54" s="291">
        <f>IF(AND($F54&lt;=AB$2, OR($G54="",$G54&gt;=AB$2)),
  $H54 * (1 + Assumptions!$C$7) ^ INT(((YEAR(AB$2)-YEAR($F54))*12 + MONTH(AB$2)-MONTH($F54)) / 12),
  0)</f>
        <v>0</v>
      </c>
      <c r="AC54" s="291">
        <f>IF(AND($F54&lt;=AC$2, OR($G54="",$G54&gt;=AC$2)),
  $H54 * (1 + Assumptions!$C$7) ^ INT(((YEAR(AC$2)-YEAR($F54))*12 + MONTH(AC$2)-MONTH($F54)) / 12),
  0)</f>
        <v>0</v>
      </c>
      <c r="AD54" s="291">
        <f>IF(AND($F54&lt;=AD$2, OR($G54="",$G54&gt;=AD$2)),
  $H54 * (1 + Assumptions!$C$7) ^ INT(((YEAR(AD$2)-YEAR($F54))*12 + MONTH(AD$2)-MONTH($F54)) / 12),
  0)</f>
        <v>0</v>
      </c>
      <c r="AE54" s="291">
        <f>IF(AND($F54&lt;=AE$2, OR($G54="",$G54&gt;=AE$2)),
  $H54 * (1 + Assumptions!$C$7) ^ INT(((YEAR(AE$2)-YEAR($F54))*12 + MONTH(AE$2)-MONTH($F54)) / 12),
  0)</f>
        <v>0</v>
      </c>
      <c r="AF54" s="291">
        <f>IF(AND($F54&lt;=AF$2, OR($G54="",$G54&gt;=AF$2)),
  $H54 * (1 + Assumptions!$C$7) ^ INT(((YEAR(AF$2)-YEAR($F54))*12 + MONTH(AF$2)-MONTH($F54)) / 12),
  0)</f>
        <v>0</v>
      </c>
      <c r="AG54" s="291">
        <f>IF(AND($F54&lt;=AG$2, OR($G54="",$G54&gt;=AG$2)),
  $H54 * (1 + Assumptions!$C$7) ^ INT(((YEAR(AG$2)-YEAR($F54))*12 + MONTH(AG$2)-MONTH($F54)) / 12),
  0)</f>
        <v>0</v>
      </c>
      <c r="AH54" s="291">
        <f>IF(AND($F54&lt;=AH$2, OR($G54="",$G54&gt;=AH$2)),
  $H54 * (1 + Assumptions!$C$7) ^ INT(((YEAR(AH$2)-YEAR($F54))*12 + MONTH(AH$2)-MONTH($F54)) / 12),
  0)</f>
        <v>0</v>
      </c>
      <c r="AI54" s="291">
        <f>IF(AND($F54&lt;=AI$2, OR($G54="",$G54&gt;=AI$2)),
  $H54 * (1 + Assumptions!$C$7) ^ INT(((YEAR(AI$2)-YEAR($F54))*12 + MONTH(AI$2)-MONTH($F54)) / 12),
  0)</f>
        <v>0</v>
      </c>
      <c r="AJ54" s="291">
        <f>IF(AND($F54&lt;=AJ$2, OR($G54="",$G54&gt;=AJ$2)),
  $H54 * (1 + Assumptions!$C$7) ^ INT(((YEAR(AJ$2)-YEAR($F54))*12 + MONTH(AJ$2)-MONTH($F54)) / 12),
  0)</f>
        <v>0</v>
      </c>
      <c r="AK54" s="291">
        <f>IF(AND($F54&lt;=AK$2, OR($G54="",$G54&gt;=AK$2)),
  $H54 * (1 + Assumptions!$C$7) ^ INT(((YEAR(AK$2)-YEAR($F54))*12 + MONTH(AK$2)-MONTH($F54)) / 12),
  0)</f>
        <v>0</v>
      </c>
      <c r="AL54" s="291">
        <f>IF(AND($F54&lt;=AL$2, OR($G54="",$G54&gt;=AL$2)),
  $H54 * (1 + Assumptions!$C$7) ^ INT(((YEAR(AL$2)-YEAR($F54))*12 + MONTH(AL$2)-MONTH($F54)) / 12),
  0)</f>
        <v>0</v>
      </c>
      <c r="AM54" s="291">
        <f>IF(AND($F54&lt;=AM$2, OR($G54="",$G54&gt;=AM$2)),
  $H54 * (1 + Assumptions!$C$7) ^ INT(((YEAR(AM$2)-YEAR($F54))*12 + MONTH(AM$2)-MONTH($F54)) / 12),
  0)</f>
        <v>0</v>
      </c>
      <c r="AN54" s="291">
        <f>IF(AND($F54&lt;=AN$2, OR($G54="",$G54&gt;=AN$2)),
  $H54 * (1 + Assumptions!$C$7) ^ INT(((YEAR(AN$2)-YEAR($F54))*12 + MONTH(AN$2)-MONTH($F54)) / 12),
  0)</f>
        <v>0</v>
      </c>
      <c r="AO54" s="291">
        <f>IF(AND($F54&lt;=AO$2, OR($G54="",$G54&gt;=AO$2)),
  $H54 * (1 + Assumptions!$C$7) ^ INT(((YEAR(AO$2)-YEAR($F54))*12 + MONTH(AO$2)-MONTH($F54)) / 12),
  0)</f>
        <v>0</v>
      </c>
      <c r="AP54" s="291">
        <f>IF(AND($F54&lt;=AP$2, OR($G54="",$G54&gt;=AP$2)),
  $H54 * (1 + Assumptions!$C$7) ^ INT(((YEAR(AP$2)-YEAR($F54))*12 + MONTH(AP$2)-MONTH($F54)) / 12),
  0)</f>
        <v>0</v>
      </c>
      <c r="AQ54" s="291">
        <f>IF(AND($F54&lt;=AQ$2, OR($G54="",$G54&gt;=AQ$2)),
  $H54 * (1 + Assumptions!$C$7) ^ INT(((YEAR(AQ$2)-YEAR($F54))*12 + MONTH(AQ$2)-MONTH($F54)) / 12),
  0)</f>
        <v>0</v>
      </c>
      <c r="AR54" s="291">
        <f>IF(AND($F54&lt;=AR$2, OR($G54="",$G54&gt;=AR$2)),
  $H54 * (1 + Assumptions!$C$7) ^ INT(((YEAR(AR$2)-YEAR($F54))*12 + MONTH(AR$2)-MONTH($F54)) / 12),
  0)</f>
        <v>0</v>
      </c>
      <c r="AS54" s="291">
        <f>IF(AND($F54&lt;=AS$2, OR($G54="",$G54&gt;=AS$2)),
  $H54 * (1 + Assumptions!$C$7) ^ INT(((YEAR(AS$2)-YEAR($F54))*12 + MONTH(AS$2)-MONTH($F54)) / 12),
  0)</f>
        <v>0</v>
      </c>
      <c r="AT54" s="291">
        <f>IF(AND($F54&lt;=AT$2, OR($G54="",$G54&gt;=AT$2)),
  $H54 * (1 + Assumptions!$C$7) ^ INT(((YEAR(AT$2)-YEAR($F54))*12 + MONTH(AT$2)-MONTH($F54)) / 12),
  0)</f>
        <v>0</v>
      </c>
      <c r="AU54" s="291">
        <f>IF(AND($F54&lt;=AU$2, OR($G54="",$G54&gt;=AU$2)),
  $H54 * (1 + Assumptions!$C$7) ^ INT(((YEAR(AU$2)-YEAR($F54))*12 + MONTH(AU$2)-MONTH($F54)) / 12),
  0)</f>
        <v>0</v>
      </c>
      <c r="AV54" s="291">
        <f>IF(AND($F54&lt;=AV$2, OR($G54="",$G54&gt;=AV$2)),
  $H54 * (1 + Assumptions!$C$7) ^ INT(((YEAR(AV$2)-YEAR($F54))*12 + MONTH(AV$2)-MONTH($F54)) / 12),
  0)</f>
        <v>0</v>
      </c>
      <c r="AW54" s="291">
        <f>IF(AND($F54&lt;=AW$2, OR($G54="",$G54&gt;=AW$2)),
  $H54 * (1 + Assumptions!$C$7) ^ INT(((YEAR(AW$2)-YEAR($F54))*12 + MONTH(AW$2)-MONTH($F54)) / 12),
  0)</f>
        <v>0</v>
      </c>
      <c r="AX54" s="291">
        <f>IF(AND($F54&lt;=AX$2, OR($G54="",$G54&gt;=AX$2)),
  $H54 * (1 + Assumptions!$C$7) ^ INT(((YEAR(AX$2)-YEAR($F54))*12 + MONTH(AX$2)-MONTH($F54)) / 12),
  0)</f>
        <v>0</v>
      </c>
      <c r="AY54" s="291">
        <f>IF(AND($F54&lt;=AY$2, OR($G54="",$G54&gt;=AY$2)),
  $H54 * (1 + Assumptions!$C$7) ^ INT(((YEAR(AY$2)-YEAR($F54))*12 + MONTH(AY$2)-MONTH($F54)) / 12),
  0)</f>
        <v>0</v>
      </c>
      <c r="AZ54" s="291">
        <f>IF(AND($F54&lt;=AZ$2, OR($G54="",$G54&gt;=AZ$2)),
  $H54 * (1 + Assumptions!$C$7) ^ INT(((YEAR(AZ$2)-YEAR($F54))*12 + MONTH(AZ$2)-MONTH($F54)) / 12),
  0)</f>
        <v>0</v>
      </c>
      <c r="BA54" s="291">
        <f>IF(AND($F54&lt;=BA$2, OR($G54="",$G54&gt;=BA$2)),
  $H54 * (1 + Assumptions!$C$7) ^ INT(((YEAR(BA$2)-YEAR($F54))*12 + MONTH(BA$2)-MONTH($F54)) / 12),
  0)</f>
        <v>0</v>
      </c>
      <c r="BB54" s="291">
        <f>IF(AND($F54&lt;=BB$2, OR($G54="",$G54&gt;=BB$2)),
  $H54 * (1 + Assumptions!$C$7) ^ INT(((YEAR(BB$2)-YEAR($F54))*12 + MONTH(BB$2)-MONTH($F54)) / 12),
  0)</f>
        <v>0</v>
      </c>
      <c r="BC54" s="291">
        <f>IF(AND($F54&lt;=BC$2, OR($G54="",$G54&gt;=BC$2)),
  $H54 * (1 + Assumptions!$C$7) ^ INT(((YEAR(BC$2)-YEAR($F54))*12 + MONTH(BC$2)-MONTH($F54)) / 12),
  0)</f>
        <v>0</v>
      </c>
      <c r="BD54" s="291">
        <f>IF(AND($F54&lt;=BD$2, OR($G54="",$G54&gt;=BD$2)),
  $H54 * (1 + Assumptions!$C$7) ^ INT(((YEAR(BD$2)-YEAR($F54))*12 + MONTH(BD$2)-MONTH($F54)) / 12),
  0)</f>
        <v>0</v>
      </c>
      <c r="BE54" s="291">
        <f>IF(AND($F54&lt;=BE$2, OR($G54="",$G54&gt;=BE$2)),
  $H54 * (1 + Assumptions!$C$7) ^ INT(((YEAR(BE$2)-YEAR($F54))*12 + MONTH(BE$2)-MONTH($F54)) / 12),
  0)</f>
        <v>0</v>
      </c>
      <c r="BF54" s="291">
        <f>IF(AND($F54&lt;=BF$2, OR($G54="",$G54&gt;=BF$2)),
  $H54 * (1 + Assumptions!$C$7) ^ INT(((YEAR(BF$2)-YEAR($F54))*12 + MONTH(BF$2)-MONTH($F54)) / 12),
  0)</f>
        <v>0</v>
      </c>
      <c r="BG54" s="291">
        <f>IF(AND($F54&lt;=BG$2, OR($G54="",$G54&gt;=BG$2)),
  $H54 * (1 + Assumptions!$C$7) ^ INT(((YEAR(BG$2)-YEAR($F54))*12 + MONTH(BG$2)-MONTH($F54)) / 12),
  0)</f>
        <v>0</v>
      </c>
      <c r="BH54" s="291">
        <f>IF(AND($F54&lt;=BH$2, OR($G54="",$G54&gt;=BH$2)),
  $H54 * (1 + Assumptions!$C$7) ^ INT(((YEAR(BH$2)-YEAR($F54))*12 + MONTH(BH$2)-MONTH($F54)) / 12),
  0)</f>
        <v>0</v>
      </c>
      <c r="BI54" s="291">
        <f>IF(AND($F54&lt;=BI$2, OR($G54="",$G54&gt;=BI$2)),
  $H54 * (1 + Assumptions!$C$7) ^ INT(((YEAR(BI$2)-YEAR($F54))*12 + MONTH(BI$2)-MONTH($F54)) / 12),
  0)</f>
        <v>0</v>
      </c>
      <c r="BJ54" s="291">
        <f>IF(AND($F54&lt;=BJ$2, OR($G54="",$G54&gt;=BJ$2)),
  $H54 * (1 + Assumptions!$C$7) ^ INT(((YEAR(BJ$2)-YEAR($F54))*12 + MONTH(BJ$2)-MONTH($F54)) / 12),
  0)</f>
        <v>0</v>
      </c>
      <c r="BK54" s="291">
        <f>IF(AND($F54&lt;=BK$2, OR($G54="",$G54&gt;=BK$2)),
  $H54 * (1 + Assumptions!$C$7) ^ INT(((YEAR(BK$2)-YEAR($F54))*12 + MONTH(BK$2)-MONTH($F54)) / 12),
  0)</f>
        <v>0</v>
      </c>
      <c r="BL54" s="291">
        <f>IF(AND($F54&lt;=BL$2, OR($G54="",$G54&gt;=BL$2)),
  $H54 * (1 + Assumptions!$C$7) ^ INT(((YEAR(BL$2)-YEAR($F54))*12 + MONTH(BL$2)-MONTH($F54)) / 12),
  0)</f>
        <v>0</v>
      </c>
      <c r="BM54" s="291">
        <f>IF(AND($F54&lt;=BM$2, OR($G54="",$G54&gt;=BM$2)),
  $H54 * (1 + Assumptions!$C$7) ^ INT(((YEAR(BM$2)-YEAR($F54))*12 + MONTH(BM$2)-MONTH($F54)) / 12),
  0)</f>
        <v>0</v>
      </c>
      <c r="BN54" s="291">
        <f>IF(AND($F54&lt;=BN$2, OR($G54="",$G54&gt;=BN$2)),
  $H54 * (1 + Assumptions!$C$7) ^ INT(((YEAR(BN$2)-YEAR($F54))*12 + MONTH(BN$2)-MONTH($F54)) / 12),
  0)</f>
        <v>8000</v>
      </c>
      <c r="BO54" s="291">
        <f>IF(AND($F54&lt;=BO$2, OR($G54="",$G54&gt;=BO$2)),
  $H54 * (1 + Assumptions!$C$7) ^ INT(((YEAR(BO$2)-YEAR($F54))*12 + MONTH(BO$2)-MONTH($F54)) / 12),
  0)</f>
        <v>8000</v>
      </c>
      <c r="BP54" s="291">
        <f>IF(AND($F54&lt;=BP$2, OR($G54="",$G54&gt;=BP$2)),
  $H54 * (1 + Assumptions!$C$7) ^ INT(((YEAR(BP$2)-YEAR($F54))*12 + MONTH(BP$2)-MONTH($F54)) / 12),
  0)</f>
        <v>8000</v>
      </c>
      <c r="BQ54" s="30"/>
    </row>
    <row r="55" ht="15.75" customHeight="1">
      <c r="A55" s="298">
        <v>50.0</v>
      </c>
      <c r="B55" s="282" t="s">
        <v>335</v>
      </c>
      <c r="C55" s="26" t="s">
        <v>137</v>
      </c>
      <c r="D55" s="303" t="s">
        <v>347</v>
      </c>
      <c r="E55" s="289" t="s">
        <v>337</v>
      </c>
      <c r="F55" s="283">
        <v>47393.0</v>
      </c>
      <c r="G55" s="301"/>
      <c r="H55" s="285">
        <v>6500.0</v>
      </c>
      <c r="I55" s="291">
        <f>IF(AND($F55&lt;=I$2, OR($G55="",$G55&gt;=I$2)),
  $H55 * (1 + Assumptions!$C$7) ^ INT(((YEAR(I$2)-YEAR($F55))*12 + MONTH(I$2)-MONTH($F55)) / 12),
  0)</f>
        <v>0</v>
      </c>
      <c r="J55" s="291">
        <f>IF(AND($F55&lt;=J$2, OR($G55="",$G55&gt;=J$2)),
  $H55 * (1 + Assumptions!$C$7) ^ INT(((YEAR(J$2)-YEAR($F55))*12 + MONTH(J$2)-MONTH($F55)) / 12),
  0)</f>
        <v>0</v>
      </c>
      <c r="K55" s="291">
        <f>IF(AND($F55&lt;=K$2, OR($G55="",$G55&gt;=K$2)),
  $H55 * (1 + Assumptions!$C$7) ^ INT(((YEAR(K$2)-YEAR($F55))*12 + MONTH(K$2)-MONTH($F55)) / 12),
  0)</f>
        <v>0</v>
      </c>
      <c r="L55" s="291">
        <f>IF(AND($F55&lt;=L$2, OR($G55="",$G55&gt;=L$2)),
  $H55 * (1 + Assumptions!$C$7) ^ INT(((YEAR(L$2)-YEAR($F55))*12 + MONTH(L$2)-MONTH($F55)) / 12),
  0)</f>
        <v>0</v>
      </c>
      <c r="M55" s="291">
        <f>IF(AND($F55&lt;=M$2, OR($G55="",$G55&gt;=M$2)),
  $H55 * (1 + Assumptions!$C$7) ^ INT(((YEAR(M$2)-YEAR($F55))*12 + MONTH(M$2)-MONTH($F55)) / 12),
  0)</f>
        <v>0</v>
      </c>
      <c r="N55" s="291">
        <f>IF(AND($F55&lt;=N$2, OR($G55="",$G55&gt;=N$2)),
  $H55 * (1 + Assumptions!$C$7) ^ INT(((YEAR(N$2)-YEAR($F55))*12 + MONTH(N$2)-MONTH($F55)) / 12),
  0)</f>
        <v>0</v>
      </c>
      <c r="O55" s="291">
        <f>IF(AND($F55&lt;=O$2, OR($G55="",$G55&gt;=O$2)),
  $H55 * (1 + Assumptions!$C$7) ^ INT(((YEAR(O$2)-YEAR($F55))*12 + MONTH(O$2)-MONTH($F55)) / 12),
  0)</f>
        <v>0</v>
      </c>
      <c r="P55" s="291">
        <f>IF(AND($F55&lt;=P$2, OR($G55="",$G55&gt;=P$2)),
  $H55 * (1 + Assumptions!$C$7) ^ INT(((YEAR(P$2)-YEAR($F55))*12 + MONTH(P$2)-MONTH($F55)) / 12),
  0)</f>
        <v>0</v>
      </c>
      <c r="Q55" s="291">
        <f>IF(AND($F55&lt;=Q$2, OR($G55="",$G55&gt;=Q$2)),
  $H55 * (1 + Assumptions!$C$7) ^ INT(((YEAR(Q$2)-YEAR($F55))*12 + MONTH(Q$2)-MONTH($F55)) / 12),
  0)</f>
        <v>0</v>
      </c>
      <c r="R55" s="291">
        <f>IF(AND($F55&lt;=R$2, OR($G55="",$G55&gt;=R$2)),
  $H55 * (1 + Assumptions!$C$7) ^ INT(((YEAR(R$2)-YEAR($F55))*12 + MONTH(R$2)-MONTH($F55)) / 12),
  0)</f>
        <v>0</v>
      </c>
      <c r="S55" s="291">
        <f>IF(AND($F55&lt;=S$2, OR($G55="",$G55&gt;=S$2)),
  $H55 * (1 + Assumptions!$C$7) ^ INT(((YEAR(S$2)-YEAR($F55))*12 + MONTH(S$2)-MONTH($F55)) / 12),
  0)</f>
        <v>0</v>
      </c>
      <c r="T55" s="291">
        <f>IF(AND($F55&lt;=T$2, OR($G55="",$G55&gt;=T$2)),
  $H55 * (1 + Assumptions!$C$7) ^ INT(((YEAR(T$2)-YEAR($F55))*12 + MONTH(T$2)-MONTH($F55)) / 12),
  0)</f>
        <v>0</v>
      </c>
      <c r="U55" s="291">
        <f>IF(AND($F55&lt;=U$2, OR($G55="",$G55&gt;=U$2)),
  $H55 * (1 + Assumptions!$C$7) ^ INT(((YEAR(U$2)-YEAR($F55))*12 + MONTH(U$2)-MONTH($F55)) / 12),
  0)</f>
        <v>0</v>
      </c>
      <c r="V55" s="291">
        <f>IF(AND($F55&lt;=V$2, OR($G55="",$G55&gt;=V$2)),
  $H55 * (1 + Assumptions!$C$7) ^ INT(((YEAR(V$2)-YEAR($F55))*12 + MONTH(V$2)-MONTH($F55)) / 12),
  0)</f>
        <v>0</v>
      </c>
      <c r="W55" s="291">
        <f>IF(AND($F55&lt;=W$2, OR($G55="",$G55&gt;=W$2)),
  $H55 * (1 + Assumptions!$C$7) ^ INT(((YEAR(W$2)-YEAR($F55))*12 + MONTH(W$2)-MONTH($F55)) / 12),
  0)</f>
        <v>0</v>
      </c>
      <c r="X55" s="291">
        <f>IF(AND($F55&lt;=X$2, OR($G55="",$G55&gt;=X$2)),
  $H55 * (1 + Assumptions!$C$7) ^ INT(((YEAR(X$2)-YEAR($F55))*12 + MONTH(X$2)-MONTH($F55)) / 12),
  0)</f>
        <v>0</v>
      </c>
      <c r="Y55" s="291">
        <f>IF(AND($F55&lt;=Y$2, OR($G55="",$G55&gt;=Y$2)),
  $H55 * (1 + Assumptions!$C$7) ^ INT(((YEAR(Y$2)-YEAR($F55))*12 + MONTH(Y$2)-MONTH($F55)) / 12),
  0)</f>
        <v>0</v>
      </c>
      <c r="Z55" s="291">
        <f>IF(AND($F55&lt;=Z$2, OR($G55="",$G55&gt;=Z$2)),
  $H55 * (1 + Assumptions!$C$7) ^ INT(((YEAR(Z$2)-YEAR($F55))*12 + MONTH(Z$2)-MONTH($F55)) / 12),
  0)</f>
        <v>0</v>
      </c>
      <c r="AA55" s="291">
        <f>IF(AND($F55&lt;=AA$2, OR($G55="",$G55&gt;=AA$2)),
  $H55 * (1 + Assumptions!$C$7) ^ INT(((YEAR(AA$2)-YEAR($F55))*12 + MONTH(AA$2)-MONTH($F55)) / 12),
  0)</f>
        <v>0</v>
      </c>
      <c r="AB55" s="291">
        <f>IF(AND($F55&lt;=AB$2, OR($G55="",$G55&gt;=AB$2)),
  $H55 * (1 + Assumptions!$C$7) ^ INT(((YEAR(AB$2)-YEAR($F55))*12 + MONTH(AB$2)-MONTH($F55)) / 12),
  0)</f>
        <v>0</v>
      </c>
      <c r="AC55" s="291">
        <f>IF(AND($F55&lt;=AC$2, OR($G55="",$G55&gt;=AC$2)),
  $H55 * (1 + Assumptions!$C$7) ^ INT(((YEAR(AC$2)-YEAR($F55))*12 + MONTH(AC$2)-MONTH($F55)) / 12),
  0)</f>
        <v>0</v>
      </c>
      <c r="AD55" s="291">
        <f>IF(AND($F55&lt;=AD$2, OR($G55="",$G55&gt;=AD$2)),
  $H55 * (1 + Assumptions!$C$7) ^ INT(((YEAR(AD$2)-YEAR($F55))*12 + MONTH(AD$2)-MONTH($F55)) / 12),
  0)</f>
        <v>0</v>
      </c>
      <c r="AE55" s="291">
        <f>IF(AND($F55&lt;=AE$2, OR($G55="",$G55&gt;=AE$2)),
  $H55 * (1 + Assumptions!$C$7) ^ INT(((YEAR(AE$2)-YEAR($F55))*12 + MONTH(AE$2)-MONTH($F55)) / 12),
  0)</f>
        <v>0</v>
      </c>
      <c r="AF55" s="291">
        <f>IF(AND($F55&lt;=AF$2, OR($G55="",$G55&gt;=AF$2)),
  $H55 * (1 + Assumptions!$C$7) ^ INT(((YEAR(AF$2)-YEAR($F55))*12 + MONTH(AF$2)-MONTH($F55)) / 12),
  0)</f>
        <v>0</v>
      </c>
      <c r="AG55" s="291">
        <f>IF(AND($F55&lt;=AG$2, OR($G55="",$G55&gt;=AG$2)),
  $H55 * (1 + Assumptions!$C$7) ^ INT(((YEAR(AG$2)-YEAR($F55))*12 + MONTH(AG$2)-MONTH($F55)) / 12),
  0)</f>
        <v>0</v>
      </c>
      <c r="AH55" s="291">
        <f>IF(AND($F55&lt;=AH$2, OR($G55="",$G55&gt;=AH$2)),
  $H55 * (1 + Assumptions!$C$7) ^ INT(((YEAR(AH$2)-YEAR($F55))*12 + MONTH(AH$2)-MONTH($F55)) / 12),
  0)</f>
        <v>0</v>
      </c>
      <c r="AI55" s="291">
        <f>IF(AND($F55&lt;=AI$2, OR($G55="",$G55&gt;=AI$2)),
  $H55 * (1 + Assumptions!$C$7) ^ INT(((YEAR(AI$2)-YEAR($F55))*12 + MONTH(AI$2)-MONTH($F55)) / 12),
  0)</f>
        <v>0</v>
      </c>
      <c r="AJ55" s="291">
        <f>IF(AND($F55&lt;=AJ$2, OR($G55="",$G55&gt;=AJ$2)),
  $H55 * (1 + Assumptions!$C$7) ^ INT(((YEAR(AJ$2)-YEAR($F55))*12 + MONTH(AJ$2)-MONTH($F55)) / 12),
  0)</f>
        <v>0</v>
      </c>
      <c r="AK55" s="291">
        <f>IF(AND($F55&lt;=AK$2, OR($G55="",$G55&gt;=AK$2)),
  $H55 * (1 + Assumptions!$C$7) ^ INT(((YEAR(AK$2)-YEAR($F55))*12 + MONTH(AK$2)-MONTH($F55)) / 12),
  0)</f>
        <v>0</v>
      </c>
      <c r="AL55" s="291">
        <f>IF(AND($F55&lt;=AL$2, OR($G55="",$G55&gt;=AL$2)),
  $H55 * (1 + Assumptions!$C$7) ^ INT(((YEAR(AL$2)-YEAR($F55))*12 + MONTH(AL$2)-MONTH($F55)) / 12),
  0)</f>
        <v>0</v>
      </c>
      <c r="AM55" s="291">
        <f>IF(AND($F55&lt;=AM$2, OR($G55="",$G55&gt;=AM$2)),
  $H55 * (1 + Assumptions!$C$7) ^ INT(((YEAR(AM$2)-YEAR($F55))*12 + MONTH(AM$2)-MONTH($F55)) / 12),
  0)</f>
        <v>0</v>
      </c>
      <c r="AN55" s="291">
        <f>IF(AND($F55&lt;=AN$2, OR($G55="",$G55&gt;=AN$2)),
  $H55 * (1 + Assumptions!$C$7) ^ INT(((YEAR(AN$2)-YEAR($F55))*12 + MONTH(AN$2)-MONTH($F55)) / 12),
  0)</f>
        <v>0</v>
      </c>
      <c r="AO55" s="291">
        <f>IF(AND($F55&lt;=AO$2, OR($G55="",$G55&gt;=AO$2)),
  $H55 * (1 + Assumptions!$C$7) ^ INT(((YEAR(AO$2)-YEAR($F55))*12 + MONTH(AO$2)-MONTH($F55)) / 12),
  0)</f>
        <v>0</v>
      </c>
      <c r="AP55" s="291">
        <f>IF(AND($F55&lt;=AP$2, OR($G55="",$G55&gt;=AP$2)),
  $H55 * (1 + Assumptions!$C$7) ^ INT(((YEAR(AP$2)-YEAR($F55))*12 + MONTH(AP$2)-MONTH($F55)) / 12),
  0)</f>
        <v>0</v>
      </c>
      <c r="AQ55" s="291">
        <f>IF(AND($F55&lt;=AQ$2, OR($G55="",$G55&gt;=AQ$2)),
  $H55 * (1 + Assumptions!$C$7) ^ INT(((YEAR(AQ$2)-YEAR($F55))*12 + MONTH(AQ$2)-MONTH($F55)) / 12),
  0)</f>
        <v>0</v>
      </c>
      <c r="AR55" s="291">
        <f>IF(AND($F55&lt;=AR$2, OR($G55="",$G55&gt;=AR$2)),
  $H55 * (1 + Assumptions!$C$7) ^ INT(((YEAR(AR$2)-YEAR($F55))*12 + MONTH(AR$2)-MONTH($F55)) / 12),
  0)</f>
        <v>0</v>
      </c>
      <c r="AS55" s="291">
        <f>IF(AND($F55&lt;=AS$2, OR($G55="",$G55&gt;=AS$2)),
  $H55 * (1 + Assumptions!$C$7) ^ INT(((YEAR(AS$2)-YEAR($F55))*12 + MONTH(AS$2)-MONTH($F55)) / 12),
  0)</f>
        <v>0</v>
      </c>
      <c r="AT55" s="291">
        <f>IF(AND($F55&lt;=AT$2, OR($G55="",$G55&gt;=AT$2)),
  $H55 * (1 + Assumptions!$C$7) ^ INT(((YEAR(AT$2)-YEAR($F55))*12 + MONTH(AT$2)-MONTH($F55)) / 12),
  0)</f>
        <v>0</v>
      </c>
      <c r="AU55" s="291">
        <f>IF(AND($F55&lt;=AU$2, OR($G55="",$G55&gt;=AU$2)),
  $H55 * (1 + Assumptions!$C$7) ^ INT(((YEAR(AU$2)-YEAR($F55))*12 + MONTH(AU$2)-MONTH($F55)) / 12),
  0)</f>
        <v>0</v>
      </c>
      <c r="AV55" s="291">
        <f>IF(AND($F55&lt;=AV$2, OR($G55="",$G55&gt;=AV$2)),
  $H55 * (1 + Assumptions!$C$7) ^ INT(((YEAR(AV$2)-YEAR($F55))*12 + MONTH(AV$2)-MONTH($F55)) / 12),
  0)</f>
        <v>0</v>
      </c>
      <c r="AW55" s="291">
        <f>IF(AND($F55&lt;=AW$2, OR($G55="",$G55&gt;=AW$2)),
  $H55 * (1 + Assumptions!$C$7) ^ INT(((YEAR(AW$2)-YEAR($F55))*12 + MONTH(AW$2)-MONTH($F55)) / 12),
  0)</f>
        <v>0</v>
      </c>
      <c r="AX55" s="291">
        <f>IF(AND($F55&lt;=AX$2, OR($G55="",$G55&gt;=AX$2)),
  $H55 * (1 + Assumptions!$C$7) ^ INT(((YEAR(AX$2)-YEAR($F55))*12 + MONTH(AX$2)-MONTH($F55)) / 12),
  0)</f>
        <v>0</v>
      </c>
      <c r="AY55" s="291">
        <f>IF(AND($F55&lt;=AY$2, OR($G55="",$G55&gt;=AY$2)),
  $H55 * (1 + Assumptions!$C$7) ^ INT(((YEAR(AY$2)-YEAR($F55))*12 + MONTH(AY$2)-MONTH($F55)) / 12),
  0)</f>
        <v>0</v>
      </c>
      <c r="AZ55" s="291">
        <f>IF(AND($F55&lt;=AZ$2, OR($G55="",$G55&gt;=AZ$2)),
  $H55 * (1 + Assumptions!$C$7) ^ INT(((YEAR(AZ$2)-YEAR($F55))*12 + MONTH(AZ$2)-MONTH($F55)) / 12),
  0)</f>
        <v>0</v>
      </c>
      <c r="BA55" s="291">
        <f>IF(AND($F55&lt;=BA$2, OR($G55="",$G55&gt;=BA$2)),
  $H55 * (1 + Assumptions!$C$7) ^ INT(((YEAR(BA$2)-YEAR($F55))*12 + MONTH(BA$2)-MONTH($F55)) / 12),
  0)</f>
        <v>0</v>
      </c>
      <c r="BB55" s="291">
        <f>IF(AND($F55&lt;=BB$2, OR($G55="",$G55&gt;=BB$2)),
  $H55 * (1 + Assumptions!$C$7) ^ INT(((YEAR(BB$2)-YEAR($F55))*12 + MONTH(BB$2)-MONTH($F55)) / 12),
  0)</f>
        <v>0</v>
      </c>
      <c r="BC55" s="291">
        <f>IF(AND($F55&lt;=BC$2, OR($G55="",$G55&gt;=BC$2)),
  $H55 * (1 + Assumptions!$C$7) ^ INT(((YEAR(BC$2)-YEAR($F55))*12 + MONTH(BC$2)-MONTH($F55)) / 12),
  0)</f>
        <v>0</v>
      </c>
      <c r="BD55" s="291">
        <f>IF(AND($F55&lt;=BD$2, OR($G55="",$G55&gt;=BD$2)),
  $H55 * (1 + Assumptions!$C$7) ^ INT(((YEAR(BD$2)-YEAR($F55))*12 + MONTH(BD$2)-MONTH($F55)) / 12),
  0)</f>
        <v>0</v>
      </c>
      <c r="BE55" s="291">
        <f>IF(AND($F55&lt;=BE$2, OR($G55="",$G55&gt;=BE$2)),
  $H55 * (1 + Assumptions!$C$7) ^ INT(((YEAR(BE$2)-YEAR($F55))*12 + MONTH(BE$2)-MONTH($F55)) / 12),
  0)</f>
        <v>0</v>
      </c>
      <c r="BF55" s="291">
        <f>IF(AND($F55&lt;=BF$2, OR($G55="",$G55&gt;=BF$2)),
  $H55 * (1 + Assumptions!$C$7) ^ INT(((YEAR(BF$2)-YEAR($F55))*12 + MONTH(BF$2)-MONTH($F55)) / 12),
  0)</f>
        <v>0</v>
      </c>
      <c r="BG55" s="291">
        <f>IF(AND($F55&lt;=BG$2, OR($G55="",$G55&gt;=BG$2)),
  $H55 * (1 + Assumptions!$C$7) ^ INT(((YEAR(BG$2)-YEAR($F55))*12 + MONTH(BG$2)-MONTH($F55)) / 12),
  0)</f>
        <v>0</v>
      </c>
      <c r="BH55" s="291">
        <f>IF(AND($F55&lt;=BH$2, OR($G55="",$G55&gt;=BH$2)),
  $H55 * (1 + Assumptions!$C$7) ^ INT(((YEAR(BH$2)-YEAR($F55))*12 + MONTH(BH$2)-MONTH($F55)) / 12),
  0)</f>
        <v>0</v>
      </c>
      <c r="BI55" s="291">
        <f>IF(AND($F55&lt;=BI$2, OR($G55="",$G55&gt;=BI$2)),
  $H55 * (1 + Assumptions!$C$7) ^ INT(((YEAR(BI$2)-YEAR($F55))*12 + MONTH(BI$2)-MONTH($F55)) / 12),
  0)</f>
        <v>0</v>
      </c>
      <c r="BJ55" s="291">
        <f>IF(AND($F55&lt;=BJ$2, OR($G55="",$G55&gt;=BJ$2)),
  $H55 * (1 + Assumptions!$C$7) ^ INT(((YEAR(BJ$2)-YEAR($F55))*12 + MONTH(BJ$2)-MONTH($F55)) / 12),
  0)</f>
        <v>0</v>
      </c>
      <c r="BK55" s="291">
        <f>IF(AND($F55&lt;=BK$2, OR($G55="",$G55&gt;=BK$2)),
  $H55 * (1 + Assumptions!$C$7) ^ INT(((YEAR(BK$2)-YEAR($F55))*12 + MONTH(BK$2)-MONTH($F55)) / 12),
  0)</f>
        <v>0</v>
      </c>
      <c r="BL55" s="291">
        <f>IF(AND($F55&lt;=BL$2, OR($G55="",$G55&gt;=BL$2)),
  $H55 * (1 + Assumptions!$C$7) ^ INT(((YEAR(BL$2)-YEAR($F55))*12 + MONTH(BL$2)-MONTH($F55)) / 12),
  0)</f>
        <v>0</v>
      </c>
      <c r="BM55" s="291">
        <f>IF(AND($F55&lt;=BM$2, OR($G55="",$G55&gt;=BM$2)),
  $H55 * (1 + Assumptions!$C$7) ^ INT(((YEAR(BM$2)-YEAR($F55))*12 + MONTH(BM$2)-MONTH($F55)) / 12),
  0)</f>
        <v>0</v>
      </c>
      <c r="BN55" s="291">
        <f>IF(AND($F55&lt;=BN$2, OR($G55="",$G55&gt;=BN$2)),
  $H55 * (1 + Assumptions!$C$7) ^ INT(((YEAR(BN$2)-YEAR($F55))*12 + MONTH(BN$2)-MONTH($F55)) / 12),
  0)</f>
        <v>0</v>
      </c>
      <c r="BO55" s="291">
        <f>IF(AND($F55&lt;=BO$2, OR($G55="",$G55&gt;=BO$2)),
  $H55 * (1 + Assumptions!$C$7) ^ INT(((YEAR(BO$2)-YEAR($F55))*12 + MONTH(BO$2)-MONTH($F55)) / 12),
  0)</f>
        <v>6500</v>
      </c>
      <c r="BP55" s="291">
        <f>IF(AND($F55&lt;=BP$2, OR($G55="",$G55&gt;=BP$2)),
  $H55 * (1 + Assumptions!$C$7) ^ INT(((YEAR(BP$2)-YEAR($F55))*12 + MONTH(BP$2)-MONTH($F55)) / 12),
  0)</f>
        <v>6500</v>
      </c>
      <c r="BQ55" s="30"/>
    </row>
    <row r="56" ht="15.75" customHeight="1">
      <c r="A56" s="298">
        <v>51.0</v>
      </c>
      <c r="B56" s="282" t="s">
        <v>335</v>
      </c>
      <c r="C56" s="26" t="s">
        <v>137</v>
      </c>
      <c r="D56" s="303" t="s">
        <v>345</v>
      </c>
      <c r="E56" s="289" t="s">
        <v>337</v>
      </c>
      <c r="F56" s="283">
        <v>47394.0</v>
      </c>
      <c r="G56" s="301"/>
      <c r="H56" s="285">
        <v>7500.0</v>
      </c>
      <c r="I56" s="291">
        <f>IF(AND($F56&lt;=I$2, OR($G56="",$G56&gt;=I$2)),
  $H56 * (1 + Assumptions!$C$7) ^ INT(((YEAR(I$2)-YEAR($F56))*12 + MONTH(I$2)-MONTH($F56)) / 12),
  0)</f>
        <v>0</v>
      </c>
      <c r="J56" s="291">
        <f>IF(AND($F56&lt;=J$2, OR($G56="",$G56&gt;=J$2)),
  $H56 * (1 + Assumptions!$C$7) ^ INT(((YEAR(J$2)-YEAR($F56))*12 + MONTH(J$2)-MONTH($F56)) / 12),
  0)</f>
        <v>0</v>
      </c>
      <c r="K56" s="291">
        <f>IF(AND($F56&lt;=K$2, OR($G56="",$G56&gt;=K$2)),
  $H56 * (1 + Assumptions!$C$7) ^ INT(((YEAR(K$2)-YEAR($F56))*12 + MONTH(K$2)-MONTH($F56)) / 12),
  0)</f>
        <v>0</v>
      </c>
      <c r="L56" s="291">
        <f>IF(AND($F56&lt;=L$2, OR($G56="",$G56&gt;=L$2)),
  $H56 * (1 + Assumptions!$C$7) ^ INT(((YEAR(L$2)-YEAR($F56))*12 + MONTH(L$2)-MONTH($F56)) / 12),
  0)</f>
        <v>0</v>
      </c>
      <c r="M56" s="291">
        <f>IF(AND($F56&lt;=M$2, OR($G56="",$G56&gt;=M$2)),
  $H56 * (1 + Assumptions!$C$7) ^ INT(((YEAR(M$2)-YEAR($F56))*12 + MONTH(M$2)-MONTH($F56)) / 12),
  0)</f>
        <v>0</v>
      </c>
      <c r="N56" s="291">
        <f>IF(AND($F56&lt;=N$2, OR($G56="",$G56&gt;=N$2)),
  $H56 * (1 + Assumptions!$C$7) ^ INT(((YEAR(N$2)-YEAR($F56))*12 + MONTH(N$2)-MONTH($F56)) / 12),
  0)</f>
        <v>0</v>
      </c>
      <c r="O56" s="291">
        <f>IF(AND($F56&lt;=O$2, OR($G56="",$G56&gt;=O$2)),
  $H56 * (1 + Assumptions!$C$7) ^ INT(((YEAR(O$2)-YEAR($F56))*12 + MONTH(O$2)-MONTH($F56)) / 12),
  0)</f>
        <v>0</v>
      </c>
      <c r="P56" s="291">
        <f>IF(AND($F56&lt;=P$2, OR($G56="",$G56&gt;=P$2)),
  $H56 * (1 + Assumptions!$C$7) ^ INT(((YEAR(P$2)-YEAR($F56))*12 + MONTH(P$2)-MONTH($F56)) / 12),
  0)</f>
        <v>0</v>
      </c>
      <c r="Q56" s="291">
        <f>IF(AND($F56&lt;=Q$2, OR($G56="",$G56&gt;=Q$2)),
  $H56 * (1 + Assumptions!$C$7) ^ INT(((YEAR(Q$2)-YEAR($F56))*12 + MONTH(Q$2)-MONTH($F56)) / 12),
  0)</f>
        <v>0</v>
      </c>
      <c r="R56" s="291">
        <f>IF(AND($F56&lt;=R$2, OR($G56="",$G56&gt;=R$2)),
  $H56 * (1 + Assumptions!$C$7) ^ INT(((YEAR(R$2)-YEAR($F56))*12 + MONTH(R$2)-MONTH($F56)) / 12),
  0)</f>
        <v>0</v>
      </c>
      <c r="S56" s="291">
        <f>IF(AND($F56&lt;=S$2, OR($G56="",$G56&gt;=S$2)),
  $H56 * (1 + Assumptions!$C$7) ^ INT(((YEAR(S$2)-YEAR($F56))*12 + MONTH(S$2)-MONTH($F56)) / 12),
  0)</f>
        <v>0</v>
      </c>
      <c r="T56" s="291">
        <f>IF(AND($F56&lt;=T$2, OR($G56="",$G56&gt;=T$2)),
  $H56 * (1 + Assumptions!$C$7) ^ INT(((YEAR(T$2)-YEAR($F56))*12 + MONTH(T$2)-MONTH($F56)) / 12),
  0)</f>
        <v>0</v>
      </c>
      <c r="U56" s="291">
        <f>IF(AND($F56&lt;=U$2, OR($G56="",$G56&gt;=U$2)),
  $H56 * (1 + Assumptions!$C$7) ^ INT(((YEAR(U$2)-YEAR($F56))*12 + MONTH(U$2)-MONTH($F56)) / 12),
  0)</f>
        <v>0</v>
      </c>
      <c r="V56" s="291">
        <f>IF(AND($F56&lt;=V$2, OR($G56="",$G56&gt;=V$2)),
  $H56 * (1 + Assumptions!$C$7) ^ INT(((YEAR(V$2)-YEAR($F56))*12 + MONTH(V$2)-MONTH($F56)) / 12),
  0)</f>
        <v>0</v>
      </c>
      <c r="W56" s="291">
        <f>IF(AND($F56&lt;=W$2, OR($G56="",$G56&gt;=W$2)),
  $H56 * (1 + Assumptions!$C$7) ^ INT(((YEAR(W$2)-YEAR($F56))*12 + MONTH(W$2)-MONTH($F56)) / 12),
  0)</f>
        <v>0</v>
      </c>
      <c r="X56" s="291">
        <f>IF(AND($F56&lt;=X$2, OR($G56="",$G56&gt;=X$2)),
  $H56 * (1 + Assumptions!$C$7) ^ INT(((YEAR(X$2)-YEAR($F56))*12 + MONTH(X$2)-MONTH($F56)) / 12),
  0)</f>
        <v>0</v>
      </c>
      <c r="Y56" s="291">
        <f>IF(AND($F56&lt;=Y$2, OR($G56="",$G56&gt;=Y$2)),
  $H56 * (1 + Assumptions!$C$7) ^ INT(((YEAR(Y$2)-YEAR($F56))*12 + MONTH(Y$2)-MONTH($F56)) / 12),
  0)</f>
        <v>0</v>
      </c>
      <c r="Z56" s="291">
        <f>IF(AND($F56&lt;=Z$2, OR($G56="",$G56&gt;=Z$2)),
  $H56 * (1 + Assumptions!$C$7) ^ INT(((YEAR(Z$2)-YEAR($F56))*12 + MONTH(Z$2)-MONTH($F56)) / 12),
  0)</f>
        <v>0</v>
      </c>
      <c r="AA56" s="291">
        <f>IF(AND($F56&lt;=AA$2, OR($G56="",$G56&gt;=AA$2)),
  $H56 * (1 + Assumptions!$C$7) ^ INT(((YEAR(AA$2)-YEAR($F56))*12 + MONTH(AA$2)-MONTH($F56)) / 12),
  0)</f>
        <v>0</v>
      </c>
      <c r="AB56" s="291">
        <f>IF(AND($F56&lt;=AB$2, OR($G56="",$G56&gt;=AB$2)),
  $H56 * (1 + Assumptions!$C$7) ^ INT(((YEAR(AB$2)-YEAR($F56))*12 + MONTH(AB$2)-MONTH($F56)) / 12),
  0)</f>
        <v>0</v>
      </c>
      <c r="AC56" s="291">
        <f>IF(AND($F56&lt;=AC$2, OR($G56="",$G56&gt;=AC$2)),
  $H56 * (1 + Assumptions!$C$7) ^ INT(((YEAR(AC$2)-YEAR($F56))*12 + MONTH(AC$2)-MONTH($F56)) / 12),
  0)</f>
        <v>0</v>
      </c>
      <c r="AD56" s="291">
        <f>IF(AND($F56&lt;=AD$2, OR($G56="",$G56&gt;=AD$2)),
  $H56 * (1 + Assumptions!$C$7) ^ INT(((YEAR(AD$2)-YEAR($F56))*12 + MONTH(AD$2)-MONTH($F56)) / 12),
  0)</f>
        <v>0</v>
      </c>
      <c r="AE56" s="291">
        <f>IF(AND($F56&lt;=AE$2, OR($G56="",$G56&gt;=AE$2)),
  $H56 * (1 + Assumptions!$C$7) ^ INT(((YEAR(AE$2)-YEAR($F56))*12 + MONTH(AE$2)-MONTH($F56)) / 12),
  0)</f>
        <v>0</v>
      </c>
      <c r="AF56" s="291">
        <f>IF(AND($F56&lt;=AF$2, OR($G56="",$G56&gt;=AF$2)),
  $H56 * (1 + Assumptions!$C$7) ^ INT(((YEAR(AF$2)-YEAR($F56))*12 + MONTH(AF$2)-MONTH($F56)) / 12),
  0)</f>
        <v>0</v>
      </c>
      <c r="AG56" s="291">
        <f>IF(AND($F56&lt;=AG$2, OR($G56="",$G56&gt;=AG$2)),
  $H56 * (1 + Assumptions!$C$7) ^ INT(((YEAR(AG$2)-YEAR($F56))*12 + MONTH(AG$2)-MONTH($F56)) / 12),
  0)</f>
        <v>0</v>
      </c>
      <c r="AH56" s="291">
        <f>IF(AND($F56&lt;=AH$2, OR($G56="",$G56&gt;=AH$2)),
  $H56 * (1 + Assumptions!$C$7) ^ INT(((YEAR(AH$2)-YEAR($F56))*12 + MONTH(AH$2)-MONTH($F56)) / 12),
  0)</f>
        <v>0</v>
      </c>
      <c r="AI56" s="291">
        <f>IF(AND($F56&lt;=AI$2, OR($G56="",$G56&gt;=AI$2)),
  $H56 * (1 + Assumptions!$C$7) ^ INT(((YEAR(AI$2)-YEAR($F56))*12 + MONTH(AI$2)-MONTH($F56)) / 12),
  0)</f>
        <v>0</v>
      </c>
      <c r="AJ56" s="291">
        <f>IF(AND($F56&lt;=AJ$2, OR($G56="",$G56&gt;=AJ$2)),
  $H56 * (1 + Assumptions!$C$7) ^ INT(((YEAR(AJ$2)-YEAR($F56))*12 + MONTH(AJ$2)-MONTH($F56)) / 12),
  0)</f>
        <v>0</v>
      </c>
      <c r="AK56" s="291">
        <f>IF(AND($F56&lt;=AK$2, OR($G56="",$G56&gt;=AK$2)),
  $H56 * (1 + Assumptions!$C$7) ^ INT(((YEAR(AK$2)-YEAR($F56))*12 + MONTH(AK$2)-MONTH($F56)) / 12),
  0)</f>
        <v>0</v>
      </c>
      <c r="AL56" s="291">
        <f>IF(AND($F56&lt;=AL$2, OR($G56="",$G56&gt;=AL$2)),
  $H56 * (1 + Assumptions!$C$7) ^ INT(((YEAR(AL$2)-YEAR($F56))*12 + MONTH(AL$2)-MONTH($F56)) / 12),
  0)</f>
        <v>0</v>
      </c>
      <c r="AM56" s="291">
        <f>IF(AND($F56&lt;=AM$2, OR($G56="",$G56&gt;=AM$2)),
  $H56 * (1 + Assumptions!$C$7) ^ INT(((YEAR(AM$2)-YEAR($F56))*12 + MONTH(AM$2)-MONTH($F56)) / 12),
  0)</f>
        <v>0</v>
      </c>
      <c r="AN56" s="291">
        <f>IF(AND($F56&lt;=AN$2, OR($G56="",$G56&gt;=AN$2)),
  $H56 * (1 + Assumptions!$C$7) ^ INT(((YEAR(AN$2)-YEAR($F56))*12 + MONTH(AN$2)-MONTH($F56)) / 12),
  0)</f>
        <v>0</v>
      </c>
      <c r="AO56" s="291">
        <f>IF(AND($F56&lt;=AO$2, OR($G56="",$G56&gt;=AO$2)),
  $H56 * (1 + Assumptions!$C$7) ^ INT(((YEAR(AO$2)-YEAR($F56))*12 + MONTH(AO$2)-MONTH($F56)) / 12),
  0)</f>
        <v>0</v>
      </c>
      <c r="AP56" s="291">
        <f>IF(AND($F56&lt;=AP$2, OR($G56="",$G56&gt;=AP$2)),
  $H56 * (1 + Assumptions!$C$7) ^ INT(((YEAR(AP$2)-YEAR($F56))*12 + MONTH(AP$2)-MONTH($F56)) / 12),
  0)</f>
        <v>0</v>
      </c>
      <c r="AQ56" s="291">
        <f>IF(AND($F56&lt;=AQ$2, OR($G56="",$G56&gt;=AQ$2)),
  $H56 * (1 + Assumptions!$C$7) ^ INT(((YEAR(AQ$2)-YEAR($F56))*12 + MONTH(AQ$2)-MONTH($F56)) / 12),
  0)</f>
        <v>0</v>
      </c>
      <c r="AR56" s="291">
        <f>IF(AND($F56&lt;=AR$2, OR($G56="",$G56&gt;=AR$2)),
  $H56 * (1 + Assumptions!$C$7) ^ INT(((YEAR(AR$2)-YEAR($F56))*12 + MONTH(AR$2)-MONTH($F56)) / 12),
  0)</f>
        <v>0</v>
      </c>
      <c r="AS56" s="291">
        <f>IF(AND($F56&lt;=AS$2, OR($G56="",$G56&gt;=AS$2)),
  $H56 * (1 + Assumptions!$C$7) ^ INT(((YEAR(AS$2)-YEAR($F56))*12 + MONTH(AS$2)-MONTH($F56)) / 12),
  0)</f>
        <v>0</v>
      </c>
      <c r="AT56" s="291">
        <f>IF(AND($F56&lt;=AT$2, OR($G56="",$G56&gt;=AT$2)),
  $H56 * (1 + Assumptions!$C$7) ^ INT(((YEAR(AT$2)-YEAR($F56))*12 + MONTH(AT$2)-MONTH($F56)) / 12),
  0)</f>
        <v>0</v>
      </c>
      <c r="AU56" s="291">
        <f>IF(AND($F56&lt;=AU$2, OR($G56="",$G56&gt;=AU$2)),
  $H56 * (1 + Assumptions!$C$7) ^ INT(((YEAR(AU$2)-YEAR($F56))*12 + MONTH(AU$2)-MONTH($F56)) / 12),
  0)</f>
        <v>0</v>
      </c>
      <c r="AV56" s="291">
        <f>IF(AND($F56&lt;=AV$2, OR($G56="",$G56&gt;=AV$2)),
  $H56 * (1 + Assumptions!$C$7) ^ INT(((YEAR(AV$2)-YEAR($F56))*12 + MONTH(AV$2)-MONTH($F56)) / 12),
  0)</f>
        <v>0</v>
      </c>
      <c r="AW56" s="291">
        <f>IF(AND($F56&lt;=AW$2, OR($G56="",$G56&gt;=AW$2)),
  $H56 * (1 + Assumptions!$C$7) ^ INT(((YEAR(AW$2)-YEAR($F56))*12 + MONTH(AW$2)-MONTH($F56)) / 12),
  0)</f>
        <v>0</v>
      </c>
      <c r="AX56" s="291">
        <f>IF(AND($F56&lt;=AX$2, OR($G56="",$G56&gt;=AX$2)),
  $H56 * (1 + Assumptions!$C$7) ^ INT(((YEAR(AX$2)-YEAR($F56))*12 + MONTH(AX$2)-MONTH($F56)) / 12),
  0)</f>
        <v>0</v>
      </c>
      <c r="AY56" s="291">
        <f>IF(AND($F56&lt;=AY$2, OR($G56="",$G56&gt;=AY$2)),
  $H56 * (1 + Assumptions!$C$7) ^ INT(((YEAR(AY$2)-YEAR($F56))*12 + MONTH(AY$2)-MONTH($F56)) / 12),
  0)</f>
        <v>0</v>
      </c>
      <c r="AZ56" s="291">
        <f>IF(AND($F56&lt;=AZ$2, OR($G56="",$G56&gt;=AZ$2)),
  $H56 * (1 + Assumptions!$C$7) ^ INT(((YEAR(AZ$2)-YEAR($F56))*12 + MONTH(AZ$2)-MONTH($F56)) / 12),
  0)</f>
        <v>0</v>
      </c>
      <c r="BA56" s="291">
        <f>IF(AND($F56&lt;=BA$2, OR($G56="",$G56&gt;=BA$2)),
  $H56 * (1 + Assumptions!$C$7) ^ INT(((YEAR(BA$2)-YEAR($F56))*12 + MONTH(BA$2)-MONTH($F56)) / 12),
  0)</f>
        <v>0</v>
      </c>
      <c r="BB56" s="291">
        <f>IF(AND($F56&lt;=BB$2, OR($G56="",$G56&gt;=BB$2)),
  $H56 * (1 + Assumptions!$C$7) ^ INT(((YEAR(BB$2)-YEAR($F56))*12 + MONTH(BB$2)-MONTH($F56)) / 12),
  0)</f>
        <v>0</v>
      </c>
      <c r="BC56" s="291">
        <f>IF(AND($F56&lt;=BC$2, OR($G56="",$G56&gt;=BC$2)),
  $H56 * (1 + Assumptions!$C$7) ^ INT(((YEAR(BC$2)-YEAR($F56))*12 + MONTH(BC$2)-MONTH($F56)) / 12),
  0)</f>
        <v>0</v>
      </c>
      <c r="BD56" s="291">
        <f>IF(AND($F56&lt;=BD$2, OR($G56="",$G56&gt;=BD$2)),
  $H56 * (1 + Assumptions!$C$7) ^ INT(((YEAR(BD$2)-YEAR($F56))*12 + MONTH(BD$2)-MONTH($F56)) / 12),
  0)</f>
        <v>0</v>
      </c>
      <c r="BE56" s="291">
        <f>IF(AND($F56&lt;=BE$2, OR($G56="",$G56&gt;=BE$2)),
  $H56 * (1 + Assumptions!$C$7) ^ INT(((YEAR(BE$2)-YEAR($F56))*12 + MONTH(BE$2)-MONTH($F56)) / 12),
  0)</f>
        <v>0</v>
      </c>
      <c r="BF56" s="291">
        <f>IF(AND($F56&lt;=BF$2, OR($G56="",$G56&gt;=BF$2)),
  $H56 * (1 + Assumptions!$C$7) ^ INT(((YEAR(BF$2)-YEAR($F56))*12 + MONTH(BF$2)-MONTH($F56)) / 12),
  0)</f>
        <v>0</v>
      </c>
      <c r="BG56" s="291">
        <f>IF(AND($F56&lt;=BG$2, OR($G56="",$G56&gt;=BG$2)),
  $H56 * (1 + Assumptions!$C$7) ^ INT(((YEAR(BG$2)-YEAR($F56))*12 + MONTH(BG$2)-MONTH($F56)) / 12),
  0)</f>
        <v>0</v>
      </c>
      <c r="BH56" s="291">
        <f>IF(AND($F56&lt;=BH$2, OR($G56="",$G56&gt;=BH$2)),
  $H56 * (1 + Assumptions!$C$7) ^ INT(((YEAR(BH$2)-YEAR($F56))*12 + MONTH(BH$2)-MONTH($F56)) / 12),
  0)</f>
        <v>0</v>
      </c>
      <c r="BI56" s="291">
        <f>IF(AND($F56&lt;=BI$2, OR($G56="",$G56&gt;=BI$2)),
  $H56 * (1 + Assumptions!$C$7) ^ INT(((YEAR(BI$2)-YEAR($F56))*12 + MONTH(BI$2)-MONTH($F56)) / 12),
  0)</f>
        <v>0</v>
      </c>
      <c r="BJ56" s="291">
        <f>IF(AND($F56&lt;=BJ$2, OR($G56="",$G56&gt;=BJ$2)),
  $H56 * (1 + Assumptions!$C$7) ^ INT(((YEAR(BJ$2)-YEAR($F56))*12 + MONTH(BJ$2)-MONTH($F56)) / 12),
  0)</f>
        <v>0</v>
      </c>
      <c r="BK56" s="291">
        <f>IF(AND($F56&lt;=BK$2, OR($G56="",$G56&gt;=BK$2)),
  $H56 * (1 + Assumptions!$C$7) ^ INT(((YEAR(BK$2)-YEAR($F56))*12 + MONTH(BK$2)-MONTH($F56)) / 12),
  0)</f>
        <v>0</v>
      </c>
      <c r="BL56" s="291">
        <f>IF(AND($F56&lt;=BL$2, OR($G56="",$G56&gt;=BL$2)),
  $H56 * (1 + Assumptions!$C$7) ^ INT(((YEAR(BL$2)-YEAR($F56))*12 + MONTH(BL$2)-MONTH($F56)) / 12),
  0)</f>
        <v>0</v>
      </c>
      <c r="BM56" s="291">
        <f>IF(AND($F56&lt;=BM$2, OR($G56="",$G56&gt;=BM$2)),
  $H56 * (1 + Assumptions!$C$7) ^ INT(((YEAR(BM$2)-YEAR($F56))*12 + MONTH(BM$2)-MONTH($F56)) / 12),
  0)</f>
        <v>0</v>
      </c>
      <c r="BN56" s="291">
        <f>IF(AND($F56&lt;=BN$2, OR($G56="",$G56&gt;=BN$2)),
  $H56 * (1 + Assumptions!$C$7) ^ INT(((YEAR(BN$2)-YEAR($F56))*12 + MONTH(BN$2)-MONTH($F56)) / 12),
  0)</f>
        <v>0</v>
      </c>
      <c r="BO56" s="291">
        <f>IF(AND($F56&lt;=BO$2, OR($G56="",$G56&gt;=BO$2)),
  $H56 * (1 + Assumptions!$C$7) ^ INT(((YEAR(BO$2)-YEAR($F56))*12 + MONTH(BO$2)-MONTH($F56)) / 12),
  0)</f>
        <v>7500</v>
      </c>
      <c r="BP56" s="291">
        <f>IF(AND($F56&lt;=BP$2, OR($G56="",$G56&gt;=BP$2)),
  $H56 * (1 + Assumptions!$C$7) ^ INT(((YEAR(BP$2)-YEAR($F56))*12 + MONTH(BP$2)-MONTH($F56)) / 12),
  0)</f>
        <v>7500</v>
      </c>
      <c r="BQ56" s="30"/>
    </row>
    <row r="57" ht="15.75" customHeight="1">
      <c r="A57" s="26"/>
      <c r="B57" s="26"/>
      <c r="C57" s="26"/>
      <c r="D57" s="26"/>
      <c r="E57" s="304"/>
      <c r="F57" s="305"/>
      <c r="G57" s="306"/>
      <c r="H57" s="307"/>
      <c r="I57" s="291"/>
      <c r="J57" s="286"/>
      <c r="K57" s="286"/>
      <c r="L57" s="286"/>
      <c r="M57" s="286"/>
      <c r="N57" s="286"/>
      <c r="O57" s="286"/>
      <c r="P57" s="286"/>
      <c r="Q57" s="286"/>
      <c r="R57" s="286"/>
      <c r="S57" s="286"/>
      <c r="T57" s="286"/>
      <c r="U57" s="286"/>
      <c r="V57" s="286"/>
      <c r="W57" s="286"/>
      <c r="X57" s="286"/>
      <c r="Y57" s="286"/>
      <c r="Z57" s="286"/>
      <c r="AA57" s="286"/>
      <c r="AB57" s="286"/>
      <c r="AC57" s="286"/>
      <c r="AD57" s="286"/>
      <c r="AE57" s="286"/>
      <c r="AF57" s="286"/>
      <c r="AG57" s="286"/>
      <c r="AH57" s="286"/>
      <c r="AI57" s="286"/>
      <c r="AJ57" s="286"/>
      <c r="AK57" s="286"/>
      <c r="AL57" s="286"/>
      <c r="AM57" s="286"/>
      <c r="AN57" s="286"/>
      <c r="AO57" s="286"/>
      <c r="AP57" s="286"/>
      <c r="AQ57" s="286"/>
      <c r="AR57" s="286"/>
      <c r="AS57" s="286"/>
      <c r="AT57" s="286"/>
      <c r="AU57" s="286"/>
      <c r="AV57" s="286"/>
      <c r="AW57" s="286"/>
      <c r="AX57" s="286"/>
      <c r="AY57" s="286"/>
      <c r="AZ57" s="286"/>
      <c r="BA57" s="286"/>
      <c r="BB57" s="286"/>
      <c r="BC57" s="286"/>
      <c r="BD57" s="286"/>
      <c r="BE57" s="286"/>
      <c r="BF57" s="286"/>
      <c r="BG57" s="286"/>
      <c r="BH57" s="286"/>
      <c r="BI57" s="286"/>
      <c r="BJ57" s="286"/>
      <c r="BK57" s="286"/>
      <c r="BL57" s="286"/>
      <c r="BM57" s="286"/>
      <c r="BN57" s="286"/>
      <c r="BO57" s="286"/>
      <c r="BP57" s="286"/>
      <c r="BQ57" s="37"/>
    </row>
    <row r="58">
      <c r="A58" s="308"/>
      <c r="B58" s="309" t="s">
        <v>348</v>
      </c>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37"/>
    </row>
    <row r="59" ht="46.5" customHeight="1">
      <c r="A59" s="25"/>
      <c r="B59" s="310" t="s">
        <v>349</v>
      </c>
      <c r="C59" s="311"/>
      <c r="D59" s="311"/>
      <c r="E59" s="311"/>
      <c r="F59" s="311"/>
      <c r="G59" s="311"/>
      <c r="H59" s="312"/>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37"/>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37"/>
    </row>
    <row r="61" ht="15.75" customHeight="1">
      <c r="A61" s="22"/>
      <c r="B61" s="27" t="s">
        <v>350</v>
      </c>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4"/>
      <c r="BF61" s="24"/>
      <c r="BG61" s="24"/>
      <c r="BH61" s="24"/>
      <c r="BI61" s="24"/>
      <c r="BJ61" s="24"/>
      <c r="BK61" s="24"/>
      <c r="BL61" s="24"/>
      <c r="BM61" s="24"/>
      <c r="BN61" s="24"/>
      <c r="BO61" s="24"/>
      <c r="BP61" s="24"/>
      <c r="BQ61" s="44"/>
    </row>
    <row r="62" ht="15.75" customHeight="1">
      <c r="A62" s="313"/>
      <c r="B62" s="314" t="s">
        <v>144</v>
      </c>
      <c r="C62" s="313"/>
      <c r="D62" s="313"/>
      <c r="E62" s="313"/>
      <c r="F62" s="313"/>
      <c r="G62" s="313"/>
      <c r="H62" s="313"/>
      <c r="I62" s="315">
        <f t="shared" ref="I62:P62" si="1">SUMIF($C$2:$C$56,"R&amp;D",I2:I56)</f>
        <v>0</v>
      </c>
      <c r="J62" s="315">
        <f t="shared" si="1"/>
        <v>0</v>
      </c>
      <c r="K62" s="315">
        <f t="shared" si="1"/>
        <v>0</v>
      </c>
      <c r="L62" s="315">
        <f t="shared" si="1"/>
        <v>0</v>
      </c>
      <c r="M62" s="315">
        <f t="shared" si="1"/>
        <v>0</v>
      </c>
      <c r="N62" s="315">
        <f t="shared" si="1"/>
        <v>0</v>
      </c>
      <c r="O62" s="315">
        <f t="shared" si="1"/>
        <v>0</v>
      </c>
      <c r="P62" s="315">
        <f t="shared" si="1"/>
        <v>0</v>
      </c>
      <c r="Q62" s="315">
        <f t="shared" ref="Q62:BP62" si="2">SUMIF($C$3:$C$56,"R&amp;D",Q3:Q56)</f>
        <v>47500</v>
      </c>
      <c r="R62" s="315">
        <f t="shared" si="2"/>
        <v>47500</v>
      </c>
      <c r="S62" s="315">
        <f t="shared" si="2"/>
        <v>47500</v>
      </c>
      <c r="T62" s="315">
        <f t="shared" si="2"/>
        <v>47500</v>
      </c>
      <c r="U62" s="315">
        <f t="shared" si="2"/>
        <v>50700</v>
      </c>
      <c r="V62" s="315">
        <f t="shared" si="2"/>
        <v>50700</v>
      </c>
      <c r="W62" s="315">
        <f t="shared" si="2"/>
        <v>50700</v>
      </c>
      <c r="X62" s="315">
        <f t="shared" si="2"/>
        <v>50700</v>
      </c>
      <c r="Y62" s="315">
        <f t="shared" si="2"/>
        <v>50700</v>
      </c>
      <c r="Z62" s="315">
        <f t="shared" si="2"/>
        <v>50700</v>
      </c>
      <c r="AA62" s="315">
        <f t="shared" si="2"/>
        <v>50700</v>
      </c>
      <c r="AB62" s="315">
        <f t="shared" si="2"/>
        <v>56700</v>
      </c>
      <c r="AC62" s="315">
        <f t="shared" si="2"/>
        <v>60700</v>
      </c>
      <c r="AD62" s="315">
        <f t="shared" si="2"/>
        <v>69620</v>
      </c>
      <c r="AE62" s="315">
        <f t="shared" si="2"/>
        <v>69620</v>
      </c>
      <c r="AF62" s="315">
        <f t="shared" si="2"/>
        <v>69620</v>
      </c>
      <c r="AG62" s="315">
        <f t="shared" si="2"/>
        <v>94569.6</v>
      </c>
      <c r="AH62" s="315">
        <f t="shared" si="2"/>
        <v>94569.6</v>
      </c>
      <c r="AI62" s="315">
        <f t="shared" si="2"/>
        <v>94569.6</v>
      </c>
      <c r="AJ62" s="315">
        <f t="shared" si="2"/>
        <v>94569.6</v>
      </c>
      <c r="AK62" s="315">
        <f t="shared" si="2"/>
        <v>94569.6</v>
      </c>
      <c r="AL62" s="315">
        <f t="shared" si="2"/>
        <v>101069.6</v>
      </c>
      <c r="AM62" s="315">
        <f t="shared" si="2"/>
        <v>101069.6</v>
      </c>
      <c r="AN62" s="315">
        <f t="shared" si="2"/>
        <v>101549.6</v>
      </c>
      <c r="AO62" s="315">
        <f t="shared" si="2"/>
        <v>101549.6</v>
      </c>
      <c r="AP62" s="315">
        <f t="shared" si="2"/>
        <v>102189.6</v>
      </c>
      <c r="AQ62" s="315">
        <f t="shared" si="2"/>
        <v>102189.6</v>
      </c>
      <c r="AR62" s="315">
        <f t="shared" si="2"/>
        <v>102189.6</v>
      </c>
      <c r="AS62" s="315">
        <f t="shared" si="2"/>
        <v>108635.168</v>
      </c>
      <c r="AT62" s="315">
        <f t="shared" si="2"/>
        <v>108635.168</v>
      </c>
      <c r="AU62" s="315">
        <f t="shared" si="2"/>
        <v>108635.168</v>
      </c>
      <c r="AV62" s="315">
        <f t="shared" si="2"/>
        <v>108635.168</v>
      </c>
      <c r="AW62" s="315">
        <f t="shared" si="2"/>
        <v>108635.168</v>
      </c>
      <c r="AX62" s="315">
        <f t="shared" si="2"/>
        <v>109155.168</v>
      </c>
      <c r="AY62" s="315">
        <f t="shared" si="2"/>
        <v>109155.168</v>
      </c>
      <c r="AZ62" s="315">
        <f t="shared" si="2"/>
        <v>109673.568</v>
      </c>
      <c r="BA62" s="315">
        <f t="shared" si="2"/>
        <v>109673.568</v>
      </c>
      <c r="BB62" s="315">
        <f t="shared" si="2"/>
        <v>110364.768</v>
      </c>
      <c r="BC62" s="315">
        <f t="shared" si="2"/>
        <v>110364.768</v>
      </c>
      <c r="BD62" s="315">
        <f t="shared" si="2"/>
        <v>110364.768</v>
      </c>
      <c r="BE62" s="315">
        <f t="shared" si="2"/>
        <v>130325.9814</v>
      </c>
      <c r="BF62" s="315">
        <f t="shared" si="2"/>
        <v>130325.9814</v>
      </c>
      <c r="BG62" s="315">
        <f t="shared" si="2"/>
        <v>136825.9814</v>
      </c>
      <c r="BH62" s="315">
        <f t="shared" si="2"/>
        <v>143325.9814</v>
      </c>
      <c r="BI62" s="315">
        <f t="shared" si="2"/>
        <v>143325.9814</v>
      </c>
      <c r="BJ62" s="315">
        <f t="shared" si="2"/>
        <v>143887.5814</v>
      </c>
      <c r="BK62" s="315">
        <f t="shared" si="2"/>
        <v>157887.5814</v>
      </c>
      <c r="BL62" s="315">
        <f t="shared" si="2"/>
        <v>158447.4534</v>
      </c>
      <c r="BM62" s="315">
        <f t="shared" si="2"/>
        <v>158447.4534</v>
      </c>
      <c r="BN62" s="315">
        <f t="shared" si="2"/>
        <v>159193.9494</v>
      </c>
      <c r="BO62" s="315">
        <f t="shared" si="2"/>
        <v>159193.9494</v>
      </c>
      <c r="BP62" s="315">
        <f t="shared" si="2"/>
        <v>159193.9494</v>
      </c>
      <c r="BQ62" s="315"/>
    </row>
    <row r="63" ht="15.75" customHeight="1">
      <c r="A63" s="313"/>
      <c r="B63" s="314" t="s">
        <v>141</v>
      </c>
      <c r="C63" s="313"/>
      <c r="D63" s="313"/>
      <c r="E63" s="313"/>
      <c r="F63" s="313"/>
      <c r="G63" s="313"/>
      <c r="H63" s="313"/>
      <c r="I63" s="315">
        <f t="shared" ref="I63:BP63" si="3">SUMIF($C$3:$C$56,"S&amp;M",I3:I56)</f>
        <v>0</v>
      </c>
      <c r="J63" s="315">
        <f t="shared" si="3"/>
        <v>0</v>
      </c>
      <c r="K63" s="315">
        <f t="shared" si="3"/>
        <v>0</v>
      </c>
      <c r="L63" s="315">
        <f t="shared" si="3"/>
        <v>0</v>
      </c>
      <c r="M63" s="315">
        <f t="shared" si="3"/>
        <v>0</v>
      </c>
      <c r="N63" s="315">
        <f t="shared" si="3"/>
        <v>0</v>
      </c>
      <c r="O63" s="315">
        <f t="shared" si="3"/>
        <v>0</v>
      </c>
      <c r="P63" s="315">
        <f t="shared" si="3"/>
        <v>0</v>
      </c>
      <c r="Q63" s="315">
        <f t="shared" si="3"/>
        <v>0</v>
      </c>
      <c r="R63" s="315">
        <f t="shared" si="3"/>
        <v>0</v>
      </c>
      <c r="S63" s="315">
        <f t="shared" si="3"/>
        <v>0</v>
      </c>
      <c r="T63" s="315">
        <f t="shared" si="3"/>
        <v>0</v>
      </c>
      <c r="U63" s="315">
        <f t="shared" si="3"/>
        <v>0</v>
      </c>
      <c r="V63" s="315">
        <f t="shared" si="3"/>
        <v>10800</v>
      </c>
      <c r="W63" s="315">
        <f t="shared" si="3"/>
        <v>10800</v>
      </c>
      <c r="X63" s="315">
        <f t="shared" si="3"/>
        <v>10800</v>
      </c>
      <c r="Y63" s="315">
        <f t="shared" si="3"/>
        <v>10800</v>
      </c>
      <c r="Z63" s="315">
        <f t="shared" si="3"/>
        <v>10800</v>
      </c>
      <c r="AA63" s="315">
        <f t="shared" si="3"/>
        <v>10800</v>
      </c>
      <c r="AB63" s="315">
        <f t="shared" si="3"/>
        <v>19800</v>
      </c>
      <c r="AC63" s="315">
        <f t="shared" si="3"/>
        <v>19800</v>
      </c>
      <c r="AD63" s="315">
        <f t="shared" si="3"/>
        <v>26300</v>
      </c>
      <c r="AE63" s="315">
        <f t="shared" si="3"/>
        <v>26300</v>
      </c>
      <c r="AF63" s="315">
        <f t="shared" si="3"/>
        <v>26300</v>
      </c>
      <c r="AG63" s="315">
        <f t="shared" si="3"/>
        <v>27164</v>
      </c>
      <c r="AH63" s="315">
        <f t="shared" si="3"/>
        <v>27164</v>
      </c>
      <c r="AI63" s="315">
        <f t="shared" si="3"/>
        <v>27164</v>
      </c>
      <c r="AJ63" s="315">
        <f t="shared" si="3"/>
        <v>27164</v>
      </c>
      <c r="AK63" s="315">
        <f t="shared" si="3"/>
        <v>27164</v>
      </c>
      <c r="AL63" s="315">
        <f t="shared" si="3"/>
        <v>49664</v>
      </c>
      <c r="AM63" s="315">
        <f t="shared" si="3"/>
        <v>49664</v>
      </c>
      <c r="AN63" s="315">
        <f t="shared" si="3"/>
        <v>50384</v>
      </c>
      <c r="AO63" s="315">
        <f t="shared" si="3"/>
        <v>50384</v>
      </c>
      <c r="AP63" s="315">
        <f t="shared" si="3"/>
        <v>50904</v>
      </c>
      <c r="AQ63" s="315">
        <f t="shared" si="3"/>
        <v>50904</v>
      </c>
      <c r="AR63" s="315">
        <f t="shared" si="3"/>
        <v>50904</v>
      </c>
      <c r="AS63" s="315">
        <f t="shared" si="3"/>
        <v>66837.12</v>
      </c>
      <c r="AT63" s="315">
        <f t="shared" si="3"/>
        <v>66837.12</v>
      </c>
      <c r="AU63" s="315">
        <f t="shared" si="3"/>
        <v>66837.12</v>
      </c>
      <c r="AV63" s="315">
        <f t="shared" si="3"/>
        <v>66837.12</v>
      </c>
      <c r="AW63" s="315">
        <f t="shared" si="3"/>
        <v>66837.12</v>
      </c>
      <c r="AX63" s="315">
        <f t="shared" si="3"/>
        <v>68637.12</v>
      </c>
      <c r="AY63" s="315">
        <f t="shared" si="3"/>
        <v>92137.12</v>
      </c>
      <c r="AZ63" s="315">
        <f t="shared" si="3"/>
        <v>92914.72</v>
      </c>
      <c r="BA63" s="315">
        <f t="shared" si="3"/>
        <v>92914.72</v>
      </c>
      <c r="BB63" s="315">
        <f t="shared" si="3"/>
        <v>107976.32</v>
      </c>
      <c r="BC63" s="315">
        <f t="shared" si="3"/>
        <v>114476.32</v>
      </c>
      <c r="BD63" s="315">
        <f t="shared" si="3"/>
        <v>114476.32</v>
      </c>
      <c r="BE63" s="315">
        <f t="shared" si="3"/>
        <v>116684.0896</v>
      </c>
      <c r="BF63" s="315">
        <f t="shared" si="3"/>
        <v>116684.0896</v>
      </c>
      <c r="BG63" s="315">
        <f t="shared" si="3"/>
        <v>116684.0896</v>
      </c>
      <c r="BH63" s="315">
        <f t="shared" si="3"/>
        <v>131684.0896</v>
      </c>
      <c r="BI63" s="315">
        <f t="shared" si="3"/>
        <v>131684.0896</v>
      </c>
      <c r="BJ63" s="315">
        <f t="shared" si="3"/>
        <v>158008.0896</v>
      </c>
      <c r="BK63" s="315">
        <f t="shared" si="3"/>
        <v>172008.0896</v>
      </c>
      <c r="BL63" s="315">
        <f t="shared" si="3"/>
        <v>172847.8976</v>
      </c>
      <c r="BM63" s="315">
        <f t="shared" si="3"/>
        <v>172847.8976</v>
      </c>
      <c r="BN63" s="315">
        <f t="shared" si="3"/>
        <v>183134.4256</v>
      </c>
      <c r="BO63" s="315">
        <f t="shared" si="3"/>
        <v>183134.4256</v>
      </c>
      <c r="BP63" s="315">
        <f t="shared" si="3"/>
        <v>183134.4256</v>
      </c>
      <c r="BQ63" s="315"/>
    </row>
    <row r="64" ht="15.75" customHeight="1">
      <c r="A64" s="313"/>
      <c r="B64" s="316" t="s">
        <v>137</v>
      </c>
      <c r="C64" s="313"/>
      <c r="D64" s="313"/>
      <c r="E64" s="313"/>
      <c r="F64" s="313"/>
      <c r="G64" s="313"/>
      <c r="H64" s="313"/>
      <c r="I64" s="317">
        <f t="shared" ref="I64:BP64" si="4">SUMIF($C$3:$C$56,"G&amp;A",I3:I56)</f>
        <v>0</v>
      </c>
      <c r="J64" s="317">
        <f t="shared" si="4"/>
        <v>0</v>
      </c>
      <c r="K64" s="317">
        <f t="shared" si="4"/>
        <v>0</v>
      </c>
      <c r="L64" s="317">
        <f t="shared" si="4"/>
        <v>0</v>
      </c>
      <c r="M64" s="317">
        <f t="shared" si="4"/>
        <v>0</v>
      </c>
      <c r="N64" s="317">
        <f t="shared" si="4"/>
        <v>0</v>
      </c>
      <c r="O64" s="317">
        <f t="shared" si="4"/>
        <v>0</v>
      </c>
      <c r="P64" s="317">
        <f t="shared" si="4"/>
        <v>0</v>
      </c>
      <c r="Q64" s="317">
        <f t="shared" si="4"/>
        <v>11500</v>
      </c>
      <c r="R64" s="317">
        <f t="shared" si="4"/>
        <v>11500</v>
      </c>
      <c r="S64" s="317">
        <f t="shared" si="4"/>
        <v>11500</v>
      </c>
      <c r="T64" s="317">
        <f t="shared" si="4"/>
        <v>11500</v>
      </c>
      <c r="U64" s="317">
        <f t="shared" si="4"/>
        <v>11820</v>
      </c>
      <c r="V64" s="317">
        <f t="shared" si="4"/>
        <v>11820</v>
      </c>
      <c r="W64" s="317">
        <f t="shared" si="4"/>
        <v>11820</v>
      </c>
      <c r="X64" s="317">
        <f t="shared" si="4"/>
        <v>11820</v>
      </c>
      <c r="Y64" s="317">
        <f t="shared" si="4"/>
        <v>11820</v>
      </c>
      <c r="Z64" s="317">
        <f t="shared" si="4"/>
        <v>11820</v>
      </c>
      <c r="AA64" s="317">
        <f t="shared" si="4"/>
        <v>11820</v>
      </c>
      <c r="AB64" s="317">
        <f t="shared" si="4"/>
        <v>20820</v>
      </c>
      <c r="AC64" s="317">
        <f t="shared" si="4"/>
        <v>25740</v>
      </c>
      <c r="AD64" s="317">
        <f t="shared" si="4"/>
        <v>30920</v>
      </c>
      <c r="AE64" s="317">
        <f t="shared" si="4"/>
        <v>30920</v>
      </c>
      <c r="AF64" s="317">
        <f t="shared" si="4"/>
        <v>30920</v>
      </c>
      <c r="AG64" s="317">
        <f t="shared" si="4"/>
        <v>42913.6</v>
      </c>
      <c r="AH64" s="317">
        <f t="shared" si="4"/>
        <v>42913.6</v>
      </c>
      <c r="AI64" s="317">
        <f t="shared" si="4"/>
        <v>42913.6</v>
      </c>
      <c r="AJ64" s="317">
        <f t="shared" si="4"/>
        <v>42913.6</v>
      </c>
      <c r="AK64" s="317">
        <f t="shared" si="4"/>
        <v>42913.6</v>
      </c>
      <c r="AL64" s="317">
        <f t="shared" si="4"/>
        <v>42913.6</v>
      </c>
      <c r="AM64" s="317">
        <f t="shared" si="4"/>
        <v>42913.6</v>
      </c>
      <c r="AN64" s="317">
        <f t="shared" si="4"/>
        <v>43633.6</v>
      </c>
      <c r="AO64" s="317">
        <f t="shared" si="4"/>
        <v>43633.6</v>
      </c>
      <c r="AP64" s="317">
        <f t="shared" si="4"/>
        <v>44393.6</v>
      </c>
      <c r="AQ64" s="317">
        <f t="shared" si="4"/>
        <v>44393.6</v>
      </c>
      <c r="AR64" s="317">
        <f t="shared" si="4"/>
        <v>44393.6</v>
      </c>
      <c r="AS64" s="317">
        <f t="shared" si="4"/>
        <v>53846.688</v>
      </c>
      <c r="AT64" s="317">
        <f t="shared" si="4"/>
        <v>53846.688</v>
      </c>
      <c r="AU64" s="317">
        <f t="shared" si="4"/>
        <v>53846.688</v>
      </c>
      <c r="AV64" s="317">
        <f t="shared" si="4"/>
        <v>53846.688</v>
      </c>
      <c r="AW64" s="317">
        <f t="shared" si="4"/>
        <v>53846.688</v>
      </c>
      <c r="AX64" s="317">
        <f t="shared" si="4"/>
        <v>53846.688</v>
      </c>
      <c r="AY64" s="317">
        <f t="shared" si="4"/>
        <v>53846.688</v>
      </c>
      <c r="AZ64" s="317">
        <f t="shared" si="4"/>
        <v>54624.288</v>
      </c>
      <c r="BA64" s="317">
        <f t="shared" si="4"/>
        <v>54624.288</v>
      </c>
      <c r="BB64" s="317">
        <f t="shared" si="4"/>
        <v>61945.088</v>
      </c>
      <c r="BC64" s="317">
        <f t="shared" si="4"/>
        <v>61945.088</v>
      </c>
      <c r="BD64" s="317">
        <f t="shared" si="4"/>
        <v>61945.088</v>
      </c>
      <c r="BE64" s="317">
        <f t="shared" si="4"/>
        <v>64654.42304</v>
      </c>
      <c r="BF64" s="317">
        <f t="shared" si="4"/>
        <v>64654.42304</v>
      </c>
      <c r="BG64" s="317">
        <f t="shared" si="4"/>
        <v>64654.42304</v>
      </c>
      <c r="BH64" s="317">
        <f t="shared" si="4"/>
        <v>64654.42304</v>
      </c>
      <c r="BI64" s="317">
        <f t="shared" si="4"/>
        <v>64654.42304</v>
      </c>
      <c r="BJ64" s="317">
        <f t="shared" si="4"/>
        <v>64654.42304</v>
      </c>
      <c r="BK64" s="317">
        <f t="shared" si="4"/>
        <v>64654.42304</v>
      </c>
      <c r="BL64" s="317">
        <f t="shared" si="4"/>
        <v>65494.23104</v>
      </c>
      <c r="BM64" s="317">
        <f t="shared" si="4"/>
        <v>65494.23104</v>
      </c>
      <c r="BN64" s="317">
        <f t="shared" si="4"/>
        <v>66900.69504</v>
      </c>
      <c r="BO64" s="317">
        <f t="shared" si="4"/>
        <v>80900.69504</v>
      </c>
      <c r="BP64" s="317">
        <f t="shared" si="4"/>
        <v>80900.69504</v>
      </c>
      <c r="BQ64" s="317"/>
    </row>
    <row r="65" ht="15.75" customHeight="1">
      <c r="A65" s="318"/>
      <c r="B65" s="319" t="s">
        <v>351</v>
      </c>
      <c r="C65" s="319"/>
      <c r="D65" s="319"/>
      <c r="E65" s="319"/>
      <c r="F65" s="319"/>
      <c r="G65" s="319"/>
      <c r="H65" s="319"/>
      <c r="I65" s="320">
        <f t="shared" ref="I65:BP65" si="5">SUM(I62:I64)</f>
        <v>0</v>
      </c>
      <c r="J65" s="320">
        <f t="shared" si="5"/>
        <v>0</v>
      </c>
      <c r="K65" s="320">
        <f t="shared" si="5"/>
        <v>0</v>
      </c>
      <c r="L65" s="320">
        <f t="shared" si="5"/>
        <v>0</v>
      </c>
      <c r="M65" s="320">
        <f t="shared" si="5"/>
        <v>0</v>
      </c>
      <c r="N65" s="320">
        <f t="shared" si="5"/>
        <v>0</v>
      </c>
      <c r="O65" s="320">
        <f t="shared" si="5"/>
        <v>0</v>
      </c>
      <c r="P65" s="320">
        <f t="shared" si="5"/>
        <v>0</v>
      </c>
      <c r="Q65" s="320">
        <f t="shared" si="5"/>
        <v>59000</v>
      </c>
      <c r="R65" s="320">
        <f t="shared" si="5"/>
        <v>59000</v>
      </c>
      <c r="S65" s="320">
        <f t="shared" si="5"/>
        <v>59000</v>
      </c>
      <c r="T65" s="320">
        <f t="shared" si="5"/>
        <v>59000</v>
      </c>
      <c r="U65" s="320">
        <f t="shared" si="5"/>
        <v>62520</v>
      </c>
      <c r="V65" s="320">
        <f t="shared" si="5"/>
        <v>73320</v>
      </c>
      <c r="W65" s="320">
        <f t="shared" si="5"/>
        <v>73320</v>
      </c>
      <c r="X65" s="320">
        <f t="shared" si="5"/>
        <v>73320</v>
      </c>
      <c r="Y65" s="320">
        <f t="shared" si="5"/>
        <v>73320</v>
      </c>
      <c r="Z65" s="320">
        <f t="shared" si="5"/>
        <v>73320</v>
      </c>
      <c r="AA65" s="320">
        <f t="shared" si="5"/>
        <v>73320</v>
      </c>
      <c r="AB65" s="320">
        <f t="shared" si="5"/>
        <v>97320</v>
      </c>
      <c r="AC65" s="320">
        <f t="shared" si="5"/>
        <v>106240</v>
      </c>
      <c r="AD65" s="320">
        <f t="shared" si="5"/>
        <v>126840</v>
      </c>
      <c r="AE65" s="320">
        <f t="shared" si="5"/>
        <v>126840</v>
      </c>
      <c r="AF65" s="320">
        <f t="shared" si="5"/>
        <v>126840</v>
      </c>
      <c r="AG65" s="320">
        <f t="shared" si="5"/>
        <v>164647.2</v>
      </c>
      <c r="AH65" s="320">
        <f t="shared" si="5"/>
        <v>164647.2</v>
      </c>
      <c r="AI65" s="320">
        <f t="shared" si="5"/>
        <v>164647.2</v>
      </c>
      <c r="AJ65" s="320">
        <f t="shared" si="5"/>
        <v>164647.2</v>
      </c>
      <c r="AK65" s="320">
        <f t="shared" si="5"/>
        <v>164647.2</v>
      </c>
      <c r="AL65" s="320">
        <f t="shared" si="5"/>
        <v>193647.2</v>
      </c>
      <c r="AM65" s="320">
        <f t="shared" si="5"/>
        <v>193647.2</v>
      </c>
      <c r="AN65" s="320">
        <f t="shared" si="5"/>
        <v>195567.2</v>
      </c>
      <c r="AO65" s="320">
        <f t="shared" si="5"/>
        <v>195567.2</v>
      </c>
      <c r="AP65" s="320">
        <f t="shared" si="5"/>
        <v>197487.2</v>
      </c>
      <c r="AQ65" s="320">
        <f t="shared" si="5"/>
        <v>197487.2</v>
      </c>
      <c r="AR65" s="320">
        <f t="shared" si="5"/>
        <v>197487.2</v>
      </c>
      <c r="AS65" s="320">
        <f t="shared" si="5"/>
        <v>229318.976</v>
      </c>
      <c r="AT65" s="320">
        <f t="shared" si="5"/>
        <v>229318.976</v>
      </c>
      <c r="AU65" s="320">
        <f t="shared" si="5"/>
        <v>229318.976</v>
      </c>
      <c r="AV65" s="320">
        <f t="shared" si="5"/>
        <v>229318.976</v>
      </c>
      <c r="AW65" s="320">
        <f t="shared" si="5"/>
        <v>229318.976</v>
      </c>
      <c r="AX65" s="320">
        <f t="shared" si="5"/>
        <v>231638.976</v>
      </c>
      <c r="AY65" s="320">
        <f t="shared" si="5"/>
        <v>255138.976</v>
      </c>
      <c r="AZ65" s="320">
        <f t="shared" si="5"/>
        <v>257212.576</v>
      </c>
      <c r="BA65" s="320">
        <f t="shared" si="5"/>
        <v>257212.576</v>
      </c>
      <c r="BB65" s="320">
        <f t="shared" si="5"/>
        <v>280286.176</v>
      </c>
      <c r="BC65" s="320">
        <f t="shared" si="5"/>
        <v>286786.176</v>
      </c>
      <c r="BD65" s="320">
        <f t="shared" si="5"/>
        <v>286786.176</v>
      </c>
      <c r="BE65" s="320">
        <f t="shared" si="5"/>
        <v>311664.4941</v>
      </c>
      <c r="BF65" s="320">
        <f t="shared" si="5"/>
        <v>311664.4941</v>
      </c>
      <c r="BG65" s="320">
        <f t="shared" si="5"/>
        <v>318164.4941</v>
      </c>
      <c r="BH65" s="320">
        <f t="shared" si="5"/>
        <v>339664.4941</v>
      </c>
      <c r="BI65" s="320">
        <f t="shared" si="5"/>
        <v>339664.4941</v>
      </c>
      <c r="BJ65" s="320">
        <f t="shared" si="5"/>
        <v>366550.0941</v>
      </c>
      <c r="BK65" s="320">
        <f t="shared" si="5"/>
        <v>394550.0941</v>
      </c>
      <c r="BL65" s="320">
        <f t="shared" si="5"/>
        <v>396789.5821</v>
      </c>
      <c r="BM65" s="320">
        <f t="shared" si="5"/>
        <v>396789.5821</v>
      </c>
      <c r="BN65" s="320">
        <f t="shared" si="5"/>
        <v>409229.0701</v>
      </c>
      <c r="BO65" s="320">
        <f t="shared" si="5"/>
        <v>423229.0701</v>
      </c>
      <c r="BP65" s="320">
        <f t="shared" si="5"/>
        <v>423229.0701</v>
      </c>
      <c r="BQ65" s="320"/>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37"/>
    </row>
    <row r="67" ht="15.75" customHeight="1">
      <c r="A67" s="22"/>
      <c r="B67" s="27" t="s">
        <v>352</v>
      </c>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4"/>
      <c r="BF67" s="24"/>
      <c r="BG67" s="24"/>
      <c r="BH67" s="24"/>
      <c r="BI67" s="24"/>
      <c r="BJ67" s="24"/>
      <c r="BK67" s="24"/>
      <c r="BL67" s="24"/>
      <c r="BM67" s="24"/>
      <c r="BN67" s="24"/>
      <c r="BO67" s="24"/>
      <c r="BP67" s="24"/>
      <c r="BQ67" s="44"/>
    </row>
    <row r="68" ht="15.75" customHeight="1">
      <c r="A68" s="321"/>
      <c r="B68" s="322" t="s">
        <v>144</v>
      </c>
      <c r="C68" s="321"/>
      <c r="D68" s="321"/>
      <c r="E68" s="321"/>
      <c r="F68" s="321"/>
      <c r="G68" s="321"/>
      <c r="H68" s="321"/>
      <c r="I68" s="323">
        <f t="shared" ref="I68:BP68" si="6">COUNTIFS($C$3:$C$56,"R&amp;D",I3:I56,"&gt;0")</f>
        <v>0</v>
      </c>
      <c r="J68" s="323">
        <f t="shared" si="6"/>
        <v>0</v>
      </c>
      <c r="K68" s="323">
        <f t="shared" si="6"/>
        <v>0</v>
      </c>
      <c r="L68" s="323">
        <f t="shared" si="6"/>
        <v>0</v>
      </c>
      <c r="M68" s="323">
        <f t="shared" si="6"/>
        <v>0</v>
      </c>
      <c r="N68" s="323">
        <f t="shared" si="6"/>
        <v>0</v>
      </c>
      <c r="O68" s="323">
        <f t="shared" si="6"/>
        <v>0</v>
      </c>
      <c r="P68" s="323">
        <f t="shared" si="6"/>
        <v>0</v>
      </c>
      <c r="Q68" s="323">
        <f t="shared" si="6"/>
        <v>8</v>
      </c>
      <c r="R68" s="323">
        <f t="shared" si="6"/>
        <v>8</v>
      </c>
      <c r="S68" s="323">
        <f t="shared" si="6"/>
        <v>8</v>
      </c>
      <c r="T68" s="323">
        <f t="shared" si="6"/>
        <v>8</v>
      </c>
      <c r="U68" s="323">
        <f t="shared" si="6"/>
        <v>8</v>
      </c>
      <c r="V68" s="323">
        <f t="shared" si="6"/>
        <v>8</v>
      </c>
      <c r="W68" s="323">
        <f t="shared" si="6"/>
        <v>8</v>
      </c>
      <c r="X68" s="323">
        <f t="shared" si="6"/>
        <v>8</v>
      </c>
      <c r="Y68" s="323">
        <f t="shared" si="6"/>
        <v>8</v>
      </c>
      <c r="Z68" s="323">
        <f t="shared" si="6"/>
        <v>8</v>
      </c>
      <c r="AA68" s="323">
        <f t="shared" si="6"/>
        <v>8</v>
      </c>
      <c r="AB68" s="323">
        <f t="shared" si="6"/>
        <v>9</v>
      </c>
      <c r="AC68" s="323">
        <f t="shared" si="6"/>
        <v>9</v>
      </c>
      <c r="AD68" s="323">
        <f t="shared" si="6"/>
        <v>10</v>
      </c>
      <c r="AE68" s="323">
        <f t="shared" si="6"/>
        <v>10</v>
      </c>
      <c r="AF68" s="323">
        <f t="shared" si="6"/>
        <v>10</v>
      </c>
      <c r="AG68" s="323">
        <f t="shared" si="6"/>
        <v>13</v>
      </c>
      <c r="AH68" s="323">
        <f t="shared" si="6"/>
        <v>13</v>
      </c>
      <c r="AI68" s="323">
        <f t="shared" si="6"/>
        <v>13</v>
      </c>
      <c r="AJ68" s="323">
        <f t="shared" si="6"/>
        <v>13</v>
      </c>
      <c r="AK68" s="323">
        <f t="shared" si="6"/>
        <v>13</v>
      </c>
      <c r="AL68" s="323">
        <f t="shared" si="6"/>
        <v>14</v>
      </c>
      <c r="AM68" s="323">
        <f t="shared" si="6"/>
        <v>14</v>
      </c>
      <c r="AN68" s="323">
        <f t="shared" si="6"/>
        <v>14</v>
      </c>
      <c r="AO68" s="323">
        <f t="shared" si="6"/>
        <v>14</v>
      </c>
      <c r="AP68" s="323">
        <f t="shared" si="6"/>
        <v>14</v>
      </c>
      <c r="AQ68" s="323">
        <f t="shared" si="6"/>
        <v>14</v>
      </c>
      <c r="AR68" s="323">
        <f t="shared" si="6"/>
        <v>14</v>
      </c>
      <c r="AS68" s="323">
        <f t="shared" si="6"/>
        <v>14</v>
      </c>
      <c r="AT68" s="323">
        <f t="shared" si="6"/>
        <v>14</v>
      </c>
      <c r="AU68" s="323">
        <f t="shared" si="6"/>
        <v>14</v>
      </c>
      <c r="AV68" s="323">
        <f t="shared" si="6"/>
        <v>14</v>
      </c>
      <c r="AW68" s="323">
        <f t="shared" si="6"/>
        <v>14</v>
      </c>
      <c r="AX68" s="323">
        <f t="shared" si="6"/>
        <v>14</v>
      </c>
      <c r="AY68" s="323">
        <f t="shared" si="6"/>
        <v>14</v>
      </c>
      <c r="AZ68" s="323">
        <f t="shared" si="6"/>
        <v>14</v>
      </c>
      <c r="BA68" s="323">
        <f t="shared" si="6"/>
        <v>14</v>
      </c>
      <c r="BB68" s="323">
        <f t="shared" si="6"/>
        <v>14</v>
      </c>
      <c r="BC68" s="323">
        <f t="shared" si="6"/>
        <v>14</v>
      </c>
      <c r="BD68" s="323">
        <f t="shared" si="6"/>
        <v>14</v>
      </c>
      <c r="BE68" s="323">
        <f t="shared" si="6"/>
        <v>16</v>
      </c>
      <c r="BF68" s="323">
        <f t="shared" si="6"/>
        <v>16</v>
      </c>
      <c r="BG68" s="323">
        <f t="shared" si="6"/>
        <v>17</v>
      </c>
      <c r="BH68" s="323">
        <f t="shared" si="6"/>
        <v>18</v>
      </c>
      <c r="BI68" s="323">
        <f t="shared" si="6"/>
        <v>18</v>
      </c>
      <c r="BJ68" s="323">
        <f t="shared" si="6"/>
        <v>18</v>
      </c>
      <c r="BK68" s="323">
        <f t="shared" si="6"/>
        <v>20</v>
      </c>
      <c r="BL68" s="323">
        <f t="shared" si="6"/>
        <v>20</v>
      </c>
      <c r="BM68" s="323">
        <f t="shared" si="6"/>
        <v>20</v>
      </c>
      <c r="BN68" s="323">
        <f t="shared" si="6"/>
        <v>20</v>
      </c>
      <c r="BO68" s="323">
        <f t="shared" si="6"/>
        <v>20</v>
      </c>
      <c r="BP68" s="323">
        <f t="shared" si="6"/>
        <v>20</v>
      </c>
      <c r="BQ68" s="323"/>
    </row>
    <row r="69" ht="15.75" customHeight="1">
      <c r="A69" s="321"/>
      <c r="B69" s="322" t="s">
        <v>141</v>
      </c>
      <c r="C69" s="321"/>
      <c r="D69" s="321"/>
      <c r="E69" s="321"/>
      <c r="F69" s="321"/>
      <c r="G69" s="321"/>
      <c r="H69" s="321"/>
      <c r="I69" s="323">
        <f t="shared" ref="I69:BP69" si="7">COUNTIFS($C$3:$C$56,"S&amp;M",I3:I56,"&gt;0")</f>
        <v>0</v>
      </c>
      <c r="J69" s="323">
        <f t="shared" si="7"/>
        <v>0</v>
      </c>
      <c r="K69" s="323">
        <f t="shared" si="7"/>
        <v>0</v>
      </c>
      <c r="L69" s="323">
        <f t="shared" si="7"/>
        <v>0</v>
      </c>
      <c r="M69" s="323">
        <f t="shared" si="7"/>
        <v>0</v>
      </c>
      <c r="N69" s="323">
        <f t="shared" si="7"/>
        <v>0</v>
      </c>
      <c r="O69" s="323">
        <f t="shared" si="7"/>
        <v>0</v>
      </c>
      <c r="P69" s="323">
        <f t="shared" si="7"/>
        <v>0</v>
      </c>
      <c r="Q69" s="323">
        <f t="shared" si="7"/>
        <v>0</v>
      </c>
      <c r="R69" s="323">
        <f t="shared" si="7"/>
        <v>0</v>
      </c>
      <c r="S69" s="323">
        <f t="shared" si="7"/>
        <v>0</v>
      </c>
      <c r="T69" s="323">
        <f t="shared" si="7"/>
        <v>0</v>
      </c>
      <c r="U69" s="323">
        <f t="shared" si="7"/>
        <v>0</v>
      </c>
      <c r="V69" s="323">
        <f t="shared" si="7"/>
        <v>1</v>
      </c>
      <c r="W69" s="323">
        <f t="shared" si="7"/>
        <v>1</v>
      </c>
      <c r="X69" s="323">
        <f t="shared" si="7"/>
        <v>1</v>
      </c>
      <c r="Y69" s="323">
        <f t="shared" si="7"/>
        <v>1</v>
      </c>
      <c r="Z69" s="323">
        <f t="shared" si="7"/>
        <v>1</v>
      </c>
      <c r="AA69" s="323">
        <f t="shared" si="7"/>
        <v>1</v>
      </c>
      <c r="AB69" s="323">
        <f t="shared" si="7"/>
        <v>2</v>
      </c>
      <c r="AC69" s="323">
        <f t="shared" si="7"/>
        <v>2</v>
      </c>
      <c r="AD69" s="323">
        <f t="shared" si="7"/>
        <v>3</v>
      </c>
      <c r="AE69" s="323">
        <f t="shared" si="7"/>
        <v>3</v>
      </c>
      <c r="AF69" s="323">
        <f t="shared" si="7"/>
        <v>3</v>
      </c>
      <c r="AG69" s="323">
        <f t="shared" si="7"/>
        <v>3</v>
      </c>
      <c r="AH69" s="323">
        <f t="shared" si="7"/>
        <v>3</v>
      </c>
      <c r="AI69" s="323">
        <f t="shared" si="7"/>
        <v>3</v>
      </c>
      <c r="AJ69" s="323">
        <f t="shared" si="7"/>
        <v>3</v>
      </c>
      <c r="AK69" s="323">
        <f t="shared" si="7"/>
        <v>3</v>
      </c>
      <c r="AL69" s="323">
        <f t="shared" si="7"/>
        <v>6</v>
      </c>
      <c r="AM69" s="323">
        <f t="shared" si="7"/>
        <v>6</v>
      </c>
      <c r="AN69" s="323">
        <f t="shared" si="7"/>
        <v>6</v>
      </c>
      <c r="AO69" s="323">
        <f t="shared" si="7"/>
        <v>6</v>
      </c>
      <c r="AP69" s="323">
        <f t="shared" si="7"/>
        <v>6</v>
      </c>
      <c r="AQ69" s="323">
        <f t="shared" si="7"/>
        <v>6</v>
      </c>
      <c r="AR69" s="323">
        <f t="shared" si="7"/>
        <v>6</v>
      </c>
      <c r="AS69" s="323">
        <f t="shared" si="7"/>
        <v>8</v>
      </c>
      <c r="AT69" s="323">
        <f t="shared" si="7"/>
        <v>8</v>
      </c>
      <c r="AU69" s="323">
        <f t="shared" si="7"/>
        <v>8</v>
      </c>
      <c r="AV69" s="323">
        <f t="shared" si="7"/>
        <v>8</v>
      </c>
      <c r="AW69" s="323">
        <f t="shared" si="7"/>
        <v>8</v>
      </c>
      <c r="AX69" s="323">
        <f t="shared" si="7"/>
        <v>8</v>
      </c>
      <c r="AY69" s="323">
        <f t="shared" si="7"/>
        <v>11</v>
      </c>
      <c r="AZ69" s="323">
        <f t="shared" si="7"/>
        <v>11</v>
      </c>
      <c r="BA69" s="323">
        <f t="shared" si="7"/>
        <v>11</v>
      </c>
      <c r="BB69" s="323">
        <f t="shared" si="7"/>
        <v>13</v>
      </c>
      <c r="BC69" s="323">
        <f t="shared" si="7"/>
        <v>14</v>
      </c>
      <c r="BD69" s="323">
        <f t="shared" si="7"/>
        <v>14</v>
      </c>
      <c r="BE69" s="323">
        <f t="shared" si="7"/>
        <v>14</v>
      </c>
      <c r="BF69" s="323">
        <f t="shared" si="7"/>
        <v>14</v>
      </c>
      <c r="BG69" s="323">
        <f t="shared" si="7"/>
        <v>14</v>
      </c>
      <c r="BH69" s="323">
        <f t="shared" si="7"/>
        <v>16</v>
      </c>
      <c r="BI69" s="323">
        <f t="shared" si="7"/>
        <v>16</v>
      </c>
      <c r="BJ69" s="323">
        <f t="shared" si="7"/>
        <v>19</v>
      </c>
      <c r="BK69" s="323">
        <f t="shared" si="7"/>
        <v>21</v>
      </c>
      <c r="BL69" s="323">
        <f t="shared" si="7"/>
        <v>21</v>
      </c>
      <c r="BM69" s="323">
        <f t="shared" si="7"/>
        <v>21</v>
      </c>
      <c r="BN69" s="323">
        <f t="shared" si="7"/>
        <v>22</v>
      </c>
      <c r="BO69" s="323">
        <f t="shared" si="7"/>
        <v>22</v>
      </c>
      <c r="BP69" s="323">
        <f t="shared" si="7"/>
        <v>22</v>
      </c>
      <c r="BQ69" s="323"/>
    </row>
    <row r="70" ht="15.75" customHeight="1">
      <c r="A70" s="321"/>
      <c r="B70" s="322" t="s">
        <v>137</v>
      </c>
      <c r="C70" s="321"/>
      <c r="D70" s="321"/>
      <c r="E70" s="321"/>
      <c r="F70" s="321"/>
      <c r="G70" s="321"/>
      <c r="H70" s="321"/>
      <c r="I70" s="323">
        <f t="shared" ref="I70:BP70" si="8">COUNTIFS($C$3:$C$56,"G&amp;A",I3:I56,"&gt;0")</f>
        <v>0</v>
      </c>
      <c r="J70" s="323">
        <f t="shared" si="8"/>
        <v>0</v>
      </c>
      <c r="K70" s="323">
        <f t="shared" si="8"/>
        <v>0</v>
      </c>
      <c r="L70" s="323">
        <f t="shared" si="8"/>
        <v>0</v>
      </c>
      <c r="M70" s="323">
        <f t="shared" si="8"/>
        <v>0</v>
      </c>
      <c r="N70" s="323">
        <f t="shared" si="8"/>
        <v>0</v>
      </c>
      <c r="O70" s="323">
        <f t="shared" si="8"/>
        <v>0</v>
      </c>
      <c r="P70" s="323">
        <f t="shared" si="8"/>
        <v>0</v>
      </c>
      <c r="Q70" s="323">
        <f t="shared" si="8"/>
        <v>2</v>
      </c>
      <c r="R70" s="323">
        <f t="shared" si="8"/>
        <v>2</v>
      </c>
      <c r="S70" s="323">
        <f t="shared" si="8"/>
        <v>2</v>
      </c>
      <c r="T70" s="323">
        <f t="shared" si="8"/>
        <v>2</v>
      </c>
      <c r="U70" s="323">
        <f t="shared" si="8"/>
        <v>2</v>
      </c>
      <c r="V70" s="323">
        <f t="shared" si="8"/>
        <v>2</v>
      </c>
      <c r="W70" s="323">
        <f t="shared" si="8"/>
        <v>2</v>
      </c>
      <c r="X70" s="323">
        <f t="shared" si="8"/>
        <v>2</v>
      </c>
      <c r="Y70" s="323">
        <f t="shared" si="8"/>
        <v>2</v>
      </c>
      <c r="Z70" s="323">
        <f t="shared" si="8"/>
        <v>2</v>
      </c>
      <c r="AA70" s="323">
        <f t="shared" si="8"/>
        <v>2</v>
      </c>
      <c r="AB70" s="323">
        <f t="shared" si="8"/>
        <v>3</v>
      </c>
      <c r="AC70" s="323">
        <f t="shared" si="8"/>
        <v>3</v>
      </c>
      <c r="AD70" s="323">
        <f t="shared" si="8"/>
        <v>3</v>
      </c>
      <c r="AE70" s="323">
        <f t="shared" si="8"/>
        <v>3</v>
      </c>
      <c r="AF70" s="323">
        <f t="shared" si="8"/>
        <v>3</v>
      </c>
      <c r="AG70" s="323">
        <f t="shared" si="8"/>
        <v>5</v>
      </c>
      <c r="AH70" s="323">
        <f t="shared" si="8"/>
        <v>5</v>
      </c>
      <c r="AI70" s="323">
        <f t="shared" si="8"/>
        <v>5</v>
      </c>
      <c r="AJ70" s="323">
        <f t="shared" si="8"/>
        <v>5</v>
      </c>
      <c r="AK70" s="323">
        <f t="shared" si="8"/>
        <v>5</v>
      </c>
      <c r="AL70" s="323">
        <f t="shared" si="8"/>
        <v>5</v>
      </c>
      <c r="AM70" s="323">
        <f t="shared" si="8"/>
        <v>5</v>
      </c>
      <c r="AN70" s="323">
        <f t="shared" si="8"/>
        <v>5</v>
      </c>
      <c r="AO70" s="323">
        <f t="shared" si="8"/>
        <v>5</v>
      </c>
      <c r="AP70" s="323">
        <f t="shared" si="8"/>
        <v>5</v>
      </c>
      <c r="AQ70" s="323">
        <f t="shared" si="8"/>
        <v>5</v>
      </c>
      <c r="AR70" s="323">
        <f t="shared" si="8"/>
        <v>5</v>
      </c>
      <c r="AS70" s="323">
        <f t="shared" si="8"/>
        <v>6</v>
      </c>
      <c r="AT70" s="323">
        <f t="shared" si="8"/>
        <v>6</v>
      </c>
      <c r="AU70" s="323">
        <f t="shared" si="8"/>
        <v>6</v>
      </c>
      <c r="AV70" s="323">
        <f t="shared" si="8"/>
        <v>6</v>
      </c>
      <c r="AW70" s="323">
        <f t="shared" si="8"/>
        <v>6</v>
      </c>
      <c r="AX70" s="323">
        <f t="shared" si="8"/>
        <v>6</v>
      </c>
      <c r="AY70" s="323">
        <f t="shared" si="8"/>
        <v>6</v>
      </c>
      <c r="AZ70" s="323">
        <f t="shared" si="8"/>
        <v>6</v>
      </c>
      <c r="BA70" s="323">
        <f t="shared" si="8"/>
        <v>6</v>
      </c>
      <c r="BB70" s="323">
        <f t="shared" si="8"/>
        <v>7</v>
      </c>
      <c r="BC70" s="323">
        <f t="shared" si="8"/>
        <v>7</v>
      </c>
      <c r="BD70" s="323">
        <f t="shared" si="8"/>
        <v>7</v>
      </c>
      <c r="BE70" s="323">
        <f t="shared" si="8"/>
        <v>7</v>
      </c>
      <c r="BF70" s="323">
        <f t="shared" si="8"/>
        <v>7</v>
      </c>
      <c r="BG70" s="323">
        <f t="shared" si="8"/>
        <v>7</v>
      </c>
      <c r="BH70" s="323">
        <f t="shared" si="8"/>
        <v>7</v>
      </c>
      <c r="BI70" s="323">
        <f t="shared" si="8"/>
        <v>7</v>
      </c>
      <c r="BJ70" s="323">
        <f t="shared" si="8"/>
        <v>7</v>
      </c>
      <c r="BK70" s="323">
        <f t="shared" si="8"/>
        <v>7</v>
      </c>
      <c r="BL70" s="323">
        <f t="shared" si="8"/>
        <v>7</v>
      </c>
      <c r="BM70" s="323">
        <f t="shared" si="8"/>
        <v>7</v>
      </c>
      <c r="BN70" s="323">
        <f t="shared" si="8"/>
        <v>7</v>
      </c>
      <c r="BO70" s="323">
        <f t="shared" si="8"/>
        <v>9</v>
      </c>
      <c r="BP70" s="323">
        <f t="shared" si="8"/>
        <v>9</v>
      </c>
      <c r="BQ70" s="323"/>
    </row>
    <row r="71" ht="15.75" customHeight="1">
      <c r="A71" s="318"/>
      <c r="B71" s="324" t="s">
        <v>353</v>
      </c>
      <c r="C71" s="324"/>
      <c r="D71" s="324"/>
      <c r="E71" s="324"/>
      <c r="F71" s="324"/>
      <c r="G71" s="324"/>
      <c r="H71" s="324"/>
      <c r="I71" s="325">
        <f t="shared" ref="I71:BP71" si="9">SUM(I68:I70)</f>
        <v>0</v>
      </c>
      <c r="J71" s="325">
        <f t="shared" si="9"/>
        <v>0</v>
      </c>
      <c r="K71" s="325">
        <f t="shared" si="9"/>
        <v>0</v>
      </c>
      <c r="L71" s="325">
        <f t="shared" si="9"/>
        <v>0</v>
      </c>
      <c r="M71" s="325">
        <f t="shared" si="9"/>
        <v>0</v>
      </c>
      <c r="N71" s="325">
        <f t="shared" si="9"/>
        <v>0</v>
      </c>
      <c r="O71" s="325">
        <f t="shared" si="9"/>
        <v>0</v>
      </c>
      <c r="P71" s="325">
        <f t="shared" si="9"/>
        <v>0</v>
      </c>
      <c r="Q71" s="325">
        <f t="shared" si="9"/>
        <v>10</v>
      </c>
      <c r="R71" s="325">
        <f t="shared" si="9"/>
        <v>10</v>
      </c>
      <c r="S71" s="325">
        <f t="shared" si="9"/>
        <v>10</v>
      </c>
      <c r="T71" s="325">
        <f t="shared" si="9"/>
        <v>10</v>
      </c>
      <c r="U71" s="325">
        <f t="shared" si="9"/>
        <v>10</v>
      </c>
      <c r="V71" s="325">
        <f t="shared" si="9"/>
        <v>11</v>
      </c>
      <c r="W71" s="325">
        <f t="shared" si="9"/>
        <v>11</v>
      </c>
      <c r="X71" s="325">
        <f t="shared" si="9"/>
        <v>11</v>
      </c>
      <c r="Y71" s="325">
        <f t="shared" si="9"/>
        <v>11</v>
      </c>
      <c r="Z71" s="325">
        <f t="shared" si="9"/>
        <v>11</v>
      </c>
      <c r="AA71" s="325">
        <f t="shared" si="9"/>
        <v>11</v>
      </c>
      <c r="AB71" s="325">
        <f t="shared" si="9"/>
        <v>14</v>
      </c>
      <c r="AC71" s="325">
        <f t="shared" si="9"/>
        <v>14</v>
      </c>
      <c r="AD71" s="325">
        <f t="shared" si="9"/>
        <v>16</v>
      </c>
      <c r="AE71" s="325">
        <f t="shared" si="9"/>
        <v>16</v>
      </c>
      <c r="AF71" s="325">
        <f t="shared" si="9"/>
        <v>16</v>
      </c>
      <c r="AG71" s="325">
        <f t="shared" si="9"/>
        <v>21</v>
      </c>
      <c r="AH71" s="325">
        <f t="shared" si="9"/>
        <v>21</v>
      </c>
      <c r="AI71" s="325">
        <f t="shared" si="9"/>
        <v>21</v>
      </c>
      <c r="AJ71" s="325">
        <f t="shared" si="9"/>
        <v>21</v>
      </c>
      <c r="AK71" s="325">
        <f t="shared" si="9"/>
        <v>21</v>
      </c>
      <c r="AL71" s="325">
        <f t="shared" si="9"/>
        <v>25</v>
      </c>
      <c r="AM71" s="325">
        <f t="shared" si="9"/>
        <v>25</v>
      </c>
      <c r="AN71" s="325">
        <f t="shared" si="9"/>
        <v>25</v>
      </c>
      <c r="AO71" s="325">
        <f t="shared" si="9"/>
        <v>25</v>
      </c>
      <c r="AP71" s="325">
        <f t="shared" si="9"/>
        <v>25</v>
      </c>
      <c r="AQ71" s="325">
        <f t="shared" si="9"/>
        <v>25</v>
      </c>
      <c r="AR71" s="325">
        <f t="shared" si="9"/>
        <v>25</v>
      </c>
      <c r="AS71" s="325">
        <f t="shared" si="9"/>
        <v>28</v>
      </c>
      <c r="AT71" s="325">
        <f t="shared" si="9"/>
        <v>28</v>
      </c>
      <c r="AU71" s="325">
        <f t="shared" si="9"/>
        <v>28</v>
      </c>
      <c r="AV71" s="325">
        <f t="shared" si="9"/>
        <v>28</v>
      </c>
      <c r="AW71" s="325">
        <f t="shared" si="9"/>
        <v>28</v>
      </c>
      <c r="AX71" s="325">
        <f t="shared" si="9"/>
        <v>28</v>
      </c>
      <c r="AY71" s="325">
        <f t="shared" si="9"/>
        <v>31</v>
      </c>
      <c r="AZ71" s="325">
        <f t="shared" si="9"/>
        <v>31</v>
      </c>
      <c r="BA71" s="325">
        <f t="shared" si="9"/>
        <v>31</v>
      </c>
      <c r="BB71" s="325">
        <f t="shared" si="9"/>
        <v>34</v>
      </c>
      <c r="BC71" s="325">
        <f t="shared" si="9"/>
        <v>35</v>
      </c>
      <c r="BD71" s="325">
        <f t="shared" si="9"/>
        <v>35</v>
      </c>
      <c r="BE71" s="325">
        <f t="shared" si="9"/>
        <v>37</v>
      </c>
      <c r="BF71" s="325">
        <f t="shared" si="9"/>
        <v>37</v>
      </c>
      <c r="BG71" s="325">
        <f t="shared" si="9"/>
        <v>38</v>
      </c>
      <c r="BH71" s="325">
        <f t="shared" si="9"/>
        <v>41</v>
      </c>
      <c r="BI71" s="325">
        <f t="shared" si="9"/>
        <v>41</v>
      </c>
      <c r="BJ71" s="325">
        <f t="shared" si="9"/>
        <v>44</v>
      </c>
      <c r="BK71" s="325">
        <f t="shared" si="9"/>
        <v>48</v>
      </c>
      <c r="BL71" s="325">
        <f t="shared" si="9"/>
        <v>48</v>
      </c>
      <c r="BM71" s="325">
        <f t="shared" si="9"/>
        <v>48</v>
      </c>
      <c r="BN71" s="325">
        <f t="shared" si="9"/>
        <v>49</v>
      </c>
      <c r="BO71" s="325">
        <f t="shared" si="9"/>
        <v>51</v>
      </c>
      <c r="BP71" s="325">
        <f t="shared" si="9"/>
        <v>51</v>
      </c>
      <c r="BQ71" s="326"/>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37"/>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37"/>
    </row>
    <row r="74" ht="15.75" customHeight="1">
      <c r="A74" s="25"/>
      <c r="B74" s="30"/>
      <c r="C74" s="30"/>
      <c r="D74" s="30"/>
      <c r="E74" s="30"/>
      <c r="F74" s="30"/>
      <c r="G74" s="30"/>
      <c r="H74" s="30"/>
      <c r="I74" s="30"/>
      <c r="J74" s="30"/>
      <c r="K74" s="30"/>
      <c r="L74" s="30"/>
      <c r="M74" s="30"/>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37"/>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37"/>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37"/>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37"/>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37"/>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37"/>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37"/>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37"/>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37"/>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37"/>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37"/>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37"/>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37"/>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37"/>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37"/>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37"/>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37"/>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37"/>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37"/>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37"/>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37"/>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37"/>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37"/>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37"/>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37"/>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37"/>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37"/>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37"/>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37"/>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37"/>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37"/>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37"/>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37"/>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37"/>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37"/>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37"/>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37"/>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37"/>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37"/>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37"/>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37"/>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37"/>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37"/>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37"/>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37"/>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37"/>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37"/>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37"/>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37"/>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37"/>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37"/>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37"/>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37"/>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37"/>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37"/>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37"/>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37"/>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37"/>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37"/>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37"/>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37"/>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37"/>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37"/>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37"/>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37"/>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37"/>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37"/>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37"/>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37"/>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37"/>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37"/>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37"/>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37"/>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37"/>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37"/>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37"/>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37"/>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37"/>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37"/>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37"/>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37"/>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37"/>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37"/>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37"/>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37"/>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37"/>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37"/>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37"/>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37"/>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37"/>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37"/>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37"/>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37"/>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37"/>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37"/>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37"/>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37"/>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37"/>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37"/>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37"/>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37"/>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37"/>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37"/>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37"/>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37"/>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37"/>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37"/>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37"/>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37"/>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37"/>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37"/>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37"/>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37"/>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37"/>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37"/>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37"/>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37"/>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37"/>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37"/>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37"/>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37"/>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37"/>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37"/>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37"/>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37"/>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37"/>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37"/>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37"/>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37"/>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5"/>
      <c r="BQ203" s="37"/>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c r="BQ204" s="37"/>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c r="BQ205" s="37"/>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37"/>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c r="BK207" s="25"/>
      <c r="BL207" s="25"/>
      <c r="BM207" s="25"/>
      <c r="BN207" s="25"/>
      <c r="BO207" s="25"/>
      <c r="BP207" s="25"/>
      <c r="BQ207" s="37"/>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c r="BK208" s="25"/>
      <c r="BL208" s="25"/>
      <c r="BM208" s="25"/>
      <c r="BN208" s="25"/>
      <c r="BO208" s="25"/>
      <c r="BP208" s="25"/>
      <c r="BQ208" s="37"/>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37"/>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c r="BJ210" s="25"/>
      <c r="BK210" s="25"/>
      <c r="BL210" s="25"/>
      <c r="BM210" s="25"/>
      <c r="BN210" s="25"/>
      <c r="BO210" s="25"/>
      <c r="BP210" s="25"/>
      <c r="BQ210" s="37"/>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c r="BQ211" s="37"/>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c r="BM212" s="25"/>
      <c r="BN212" s="25"/>
      <c r="BO212" s="25"/>
      <c r="BP212" s="25"/>
      <c r="BQ212" s="37"/>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c r="BJ213" s="25"/>
      <c r="BK213" s="25"/>
      <c r="BL213" s="25"/>
      <c r="BM213" s="25"/>
      <c r="BN213" s="25"/>
      <c r="BO213" s="25"/>
      <c r="BP213" s="25"/>
      <c r="BQ213" s="37"/>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c r="BM214" s="25"/>
      <c r="BN214" s="25"/>
      <c r="BO214" s="25"/>
      <c r="BP214" s="25"/>
      <c r="BQ214" s="37"/>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37"/>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37"/>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37"/>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37"/>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37"/>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37"/>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37"/>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37"/>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37"/>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37"/>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37"/>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37"/>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37"/>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37"/>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c r="BQ229" s="37"/>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37"/>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37"/>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37"/>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37"/>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5"/>
      <c r="BJ234" s="25"/>
      <c r="BK234" s="25"/>
      <c r="BL234" s="25"/>
      <c r="BM234" s="25"/>
      <c r="BN234" s="25"/>
      <c r="BO234" s="25"/>
      <c r="BP234" s="25"/>
      <c r="BQ234" s="37"/>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c r="BQ235" s="37"/>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37"/>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37"/>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37"/>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37"/>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37"/>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37"/>
    </row>
    <row r="242"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37"/>
    </row>
    <row r="243"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37"/>
    </row>
    <row r="244"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37"/>
    </row>
    <row r="245"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37"/>
    </row>
    <row r="24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37"/>
    </row>
    <row r="247"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37"/>
    </row>
    <row r="248"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37"/>
    </row>
    <row r="249"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37"/>
    </row>
    <row r="250"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37"/>
    </row>
    <row r="251"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37"/>
    </row>
    <row r="252"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37"/>
    </row>
    <row r="253"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37"/>
    </row>
    <row r="254"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37"/>
    </row>
    <row r="255"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37"/>
    </row>
    <row r="25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37"/>
    </row>
    <row r="257"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37"/>
    </row>
    <row r="258"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37"/>
    </row>
    <row r="259"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37"/>
    </row>
    <row r="260"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37"/>
    </row>
    <row r="261"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37"/>
    </row>
    <row r="262"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37"/>
    </row>
    <row r="263"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37"/>
    </row>
    <row r="264"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37"/>
    </row>
    <row r="265"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37"/>
    </row>
    <row r="26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37"/>
    </row>
    <row r="267"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37"/>
    </row>
    <row r="268"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37"/>
    </row>
    <row r="269"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37"/>
    </row>
    <row r="270"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37"/>
    </row>
    <row r="271"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37"/>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4">
    <mergeCell ref="B1:BD1"/>
    <mergeCell ref="B59:H59"/>
    <mergeCell ref="B61:BD61"/>
    <mergeCell ref="B67:BD6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0.0"/>
    <col customWidth="1" min="3" max="4" width="8.0"/>
    <col customWidth="1" min="5" max="5" width="9.57"/>
    <col customWidth="1" min="6" max="8" width="10.71"/>
    <col customWidth="1" min="9" max="12" width="9.0"/>
    <col customWidth="1" min="13" max="13" width="15.71"/>
    <col customWidth="1" min="14" max="16" width="12.86"/>
    <col customWidth="1" min="17" max="18" width="9.0"/>
    <col customWidth="1" min="19" max="19" width="13.29"/>
    <col customWidth="1" min="20" max="20" width="14.14"/>
    <col customWidth="1" min="21" max="22" width="10.71"/>
    <col customWidth="1" min="23" max="23" width="12.14"/>
    <col customWidth="1" min="24" max="24" width="16.57"/>
    <col customWidth="1" min="25" max="31" width="9.0"/>
    <col customWidth="1" min="32" max="40" width="8.0"/>
  </cols>
  <sheetData>
    <row r="1">
      <c r="A1" s="30"/>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row>
    <row r="2" ht="13.5" customHeight="1">
      <c r="A2" s="327"/>
      <c r="B2" s="328" t="s">
        <v>354</v>
      </c>
      <c r="C2" s="329">
        <v>2025.0</v>
      </c>
      <c r="D2" s="329">
        <v>2026.0</v>
      </c>
      <c r="E2" s="329">
        <v>2027.0</v>
      </c>
      <c r="F2" s="329">
        <v>2028.0</v>
      </c>
      <c r="G2" s="329">
        <v>2029.0</v>
      </c>
      <c r="H2" s="329">
        <v>2030.0</v>
      </c>
      <c r="I2" s="329"/>
      <c r="J2" s="329"/>
      <c r="K2" s="329"/>
      <c r="L2" s="329"/>
      <c r="M2" s="328" t="s">
        <v>355</v>
      </c>
      <c r="N2" s="329">
        <v>2027.0</v>
      </c>
      <c r="O2" s="329">
        <v>2028.0</v>
      </c>
      <c r="P2" s="329">
        <v>2029.0</v>
      </c>
      <c r="Q2" s="329"/>
      <c r="R2" s="329"/>
      <c r="S2" s="329"/>
      <c r="T2" s="329">
        <v>2027.0</v>
      </c>
      <c r="U2" s="329">
        <v>2028.0</v>
      </c>
      <c r="V2" s="329">
        <v>2029.0</v>
      </c>
      <c r="W2" s="329"/>
      <c r="X2" s="329"/>
      <c r="Y2" s="329"/>
      <c r="Z2" s="329"/>
      <c r="AA2" s="329"/>
      <c r="AB2" s="329"/>
      <c r="AC2" s="330"/>
      <c r="AD2" s="330"/>
      <c r="AE2" s="330"/>
      <c r="AF2" s="330"/>
      <c r="AG2" s="330"/>
      <c r="AH2" s="330"/>
      <c r="AI2" s="330"/>
      <c r="AJ2" s="330"/>
      <c r="AK2" s="330"/>
      <c r="AL2" s="330"/>
      <c r="AM2" s="330"/>
      <c r="AN2" s="330"/>
      <c r="AO2" s="330"/>
      <c r="AP2" s="330"/>
      <c r="AQ2" s="331"/>
      <c r="AR2" s="327"/>
    </row>
    <row r="3" ht="15.75" customHeight="1">
      <c r="A3" s="30"/>
      <c r="B3" s="30" t="s">
        <v>356</v>
      </c>
      <c r="C3" s="163">
        <f>'Financial Statements'!BB12</f>
        <v>97480</v>
      </c>
      <c r="D3" s="163">
        <f>'Financial Statements'!BC12</f>
        <v>106782</v>
      </c>
      <c r="E3" s="163">
        <f>'Financial Statements'!BD12</f>
        <v>14856113.8</v>
      </c>
      <c r="F3" s="163">
        <f>'Financial Statements'!BE12</f>
        <v>44727341.4</v>
      </c>
      <c r="G3" s="163">
        <f>'Financial Statements'!BF12</f>
        <v>89187259.8</v>
      </c>
      <c r="H3" s="30" t="str">
        <f>#REF!</f>
        <v>#REF!</v>
      </c>
      <c r="I3" s="30"/>
      <c r="J3" s="30"/>
      <c r="K3" s="30"/>
      <c r="L3" s="30"/>
      <c r="M3" s="30" t="s">
        <v>259</v>
      </c>
      <c r="N3" s="163">
        <f>'Revenue Forecast'!BD6</f>
        <v>400</v>
      </c>
      <c r="O3" s="163">
        <f>'Revenue Forecast'!BE6</f>
        <v>1200</v>
      </c>
      <c r="P3" s="163">
        <f>'Revenue Forecast'!BF6</f>
        <v>2400</v>
      </c>
      <c r="Q3" s="30"/>
      <c r="R3" s="30"/>
      <c r="S3" s="30" t="s">
        <v>357</v>
      </c>
      <c r="T3" s="163">
        <v>3035867.7685950417</v>
      </c>
      <c r="U3" s="163">
        <v>1.1993553719008267E7</v>
      </c>
      <c r="V3" s="163">
        <v>2.3987107438016534E7</v>
      </c>
      <c r="W3" s="163"/>
      <c r="X3" s="30"/>
      <c r="Y3" s="30"/>
      <c r="Z3" s="30"/>
      <c r="AA3" s="30"/>
      <c r="AB3" s="30"/>
      <c r="AC3" s="30"/>
      <c r="AD3" s="30"/>
      <c r="AE3" s="30"/>
      <c r="AF3" s="30"/>
      <c r="AG3" s="30"/>
      <c r="AH3" s="30"/>
      <c r="AI3" s="30"/>
      <c r="AJ3" s="30"/>
      <c r="AK3" s="30"/>
      <c r="AL3" s="30"/>
      <c r="AM3" s="30"/>
      <c r="AN3" s="30"/>
      <c r="AO3" s="30"/>
      <c r="AP3" s="30"/>
      <c r="AQ3" s="30"/>
      <c r="AR3" s="30"/>
    </row>
    <row r="4" ht="15.75" customHeight="1">
      <c r="A4" s="30"/>
      <c r="B4" s="30" t="s">
        <v>358</v>
      </c>
      <c r="C4" s="30"/>
      <c r="D4" s="30"/>
      <c r="E4" s="163">
        <f>COGS!BD7</f>
        <v>3993568</v>
      </c>
      <c r="F4" s="163">
        <f>COGS!BE7</f>
        <v>8482732.8</v>
      </c>
      <c r="G4" s="30"/>
      <c r="H4" s="30"/>
      <c r="I4" s="30"/>
      <c r="J4" s="30"/>
      <c r="K4" s="30"/>
      <c r="L4" s="30"/>
      <c r="M4" s="30" t="s">
        <v>264</v>
      </c>
      <c r="N4" s="163">
        <f>'Revenue Forecast'!BD12</f>
        <v>300</v>
      </c>
      <c r="O4" s="163">
        <f>'Revenue Forecast'!BE12</f>
        <v>900</v>
      </c>
      <c r="P4" s="163">
        <f>'Revenue Forecast'!BF12</f>
        <v>1800</v>
      </c>
      <c r="Q4" s="30"/>
      <c r="R4" s="30"/>
      <c r="S4" s="30" t="s">
        <v>359</v>
      </c>
      <c r="T4" s="163">
        <v>332231.4049586777</v>
      </c>
      <c r="U4" s="163">
        <v>2751983.4710743804</v>
      </c>
      <c r="V4" s="163">
        <v>5503966.942148761</v>
      </c>
      <c r="W4" s="163"/>
      <c r="X4" s="30"/>
      <c r="Y4" s="30"/>
      <c r="Z4" s="30"/>
      <c r="AA4" s="30"/>
      <c r="AB4" s="30"/>
      <c r="AC4" s="30"/>
      <c r="AD4" s="30"/>
      <c r="AE4" s="30"/>
      <c r="AF4" s="30"/>
      <c r="AG4" s="30"/>
      <c r="AH4" s="30"/>
      <c r="AI4" s="30"/>
      <c r="AJ4" s="30"/>
      <c r="AK4" s="30"/>
      <c r="AL4" s="30"/>
      <c r="AM4" s="30"/>
      <c r="AN4" s="30"/>
      <c r="AO4" s="30"/>
      <c r="AP4" s="30"/>
      <c r="AQ4" s="30"/>
      <c r="AR4" s="30"/>
    </row>
    <row r="5" ht="15.75" customHeight="1">
      <c r="A5" s="30"/>
      <c r="B5" s="30" t="s">
        <v>360</v>
      </c>
      <c r="C5" s="30"/>
      <c r="D5" s="163">
        <f>OPEX!BE36</f>
        <v>2052520</v>
      </c>
      <c r="E5" s="163">
        <f>OPEX!BF36</f>
        <v>3695846.4</v>
      </c>
      <c r="F5" s="163">
        <f>OPEX!BG36</f>
        <v>5627766.512</v>
      </c>
      <c r="G5" s="30"/>
      <c r="H5" s="30"/>
      <c r="I5" s="30"/>
      <c r="J5" s="30"/>
      <c r="K5" s="30"/>
      <c r="L5" s="30"/>
      <c r="M5" s="30" t="s">
        <v>361</v>
      </c>
      <c r="N5" s="163">
        <f>'Revenue Forecast'!BD9</f>
        <v>3611406.72</v>
      </c>
      <c r="O5" s="163">
        <f>'Revenue Forecast'!BE9</f>
        <v>10834220.16</v>
      </c>
      <c r="P5" s="163">
        <f>'Revenue Forecast'!BF9</f>
        <v>21670840.32</v>
      </c>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row>
    <row r="6" ht="15.75" customHeight="1">
      <c r="A6" s="30"/>
      <c r="B6" s="30"/>
      <c r="C6" s="30"/>
      <c r="D6" s="30"/>
      <c r="E6" s="30"/>
      <c r="F6" s="30"/>
      <c r="G6" s="30"/>
      <c r="H6" s="30"/>
      <c r="I6" s="30"/>
      <c r="J6" s="30"/>
      <c r="K6" s="30"/>
      <c r="L6" s="30"/>
      <c r="M6" s="30" t="s">
        <v>362</v>
      </c>
      <c r="N6" s="163">
        <f>'Revenue Forecast'!BD15</f>
        <v>3384176.04</v>
      </c>
      <c r="O6" s="163">
        <f>'Revenue Forecast'!BE15</f>
        <v>10152528.12</v>
      </c>
      <c r="P6" s="163">
        <f>'Revenue Forecast'!BF15</f>
        <v>20305056.24</v>
      </c>
      <c r="Q6" s="30"/>
      <c r="R6" s="30"/>
      <c r="S6" s="30" t="s">
        <v>363</v>
      </c>
      <c r="T6" s="30"/>
      <c r="U6" s="30"/>
      <c r="V6" s="30" t="s">
        <v>364</v>
      </c>
      <c r="W6" s="30" t="s">
        <v>365</v>
      </c>
      <c r="X6" s="30" t="s">
        <v>366</v>
      </c>
      <c r="Y6" s="30"/>
      <c r="Z6" s="30"/>
      <c r="AA6" s="30"/>
      <c r="AB6" s="30"/>
      <c r="AC6" s="30"/>
      <c r="AD6" s="30"/>
      <c r="AE6" s="30"/>
      <c r="AF6" s="30"/>
      <c r="AG6" s="30"/>
      <c r="AH6" s="30"/>
      <c r="AI6" s="30"/>
      <c r="AJ6" s="30"/>
      <c r="AK6" s="30"/>
      <c r="AL6" s="30"/>
      <c r="AM6" s="30"/>
      <c r="AN6" s="30"/>
      <c r="AO6" s="30"/>
      <c r="AP6" s="30"/>
      <c r="AQ6" s="30"/>
      <c r="AR6" s="30"/>
    </row>
    <row r="7" ht="15.75" customHeight="1">
      <c r="A7" s="30"/>
      <c r="B7" s="30"/>
      <c r="C7" s="30"/>
      <c r="D7" s="30"/>
      <c r="E7" s="30"/>
      <c r="F7" s="30"/>
      <c r="G7" s="30"/>
      <c r="H7" s="30"/>
      <c r="I7" s="30"/>
      <c r="J7" s="30"/>
      <c r="K7" s="30"/>
      <c r="L7" s="30"/>
      <c r="M7" s="30" t="s">
        <v>269</v>
      </c>
      <c r="N7" s="163">
        <f>'Revenue Forecast'!BD18</f>
        <v>300</v>
      </c>
      <c r="O7" s="163">
        <f>'Revenue Forecast'!BE18</f>
        <v>900</v>
      </c>
      <c r="P7" s="163">
        <f>'Revenue Forecast'!BF18</f>
        <v>1800</v>
      </c>
      <c r="Q7" s="30"/>
      <c r="R7" s="30"/>
      <c r="S7" s="30"/>
      <c r="T7" s="30"/>
      <c r="U7" s="30"/>
      <c r="V7" s="191">
        <v>0.6</v>
      </c>
      <c r="W7" s="191">
        <v>0.15</v>
      </c>
      <c r="X7" s="191">
        <v>0.25</v>
      </c>
      <c r="Y7" s="30"/>
      <c r="Z7" s="30"/>
      <c r="AA7" s="30"/>
      <c r="AB7" s="30"/>
      <c r="AC7" s="30"/>
      <c r="AD7" s="30"/>
      <c r="AE7" s="30"/>
      <c r="AF7" s="30"/>
      <c r="AG7" s="30"/>
      <c r="AH7" s="30"/>
      <c r="AI7" s="30"/>
      <c r="AJ7" s="30"/>
      <c r="AK7" s="30"/>
      <c r="AL7" s="30"/>
      <c r="AM7" s="30"/>
      <c r="AN7" s="30"/>
      <c r="AO7" s="30"/>
      <c r="AP7" s="30"/>
      <c r="AQ7" s="30"/>
      <c r="AR7" s="30"/>
    </row>
    <row r="8" ht="15.75" customHeight="1">
      <c r="A8" s="30"/>
      <c r="B8" s="30"/>
      <c r="C8" s="30"/>
      <c r="D8" s="30"/>
      <c r="E8" s="30"/>
      <c r="F8" s="30"/>
      <c r="G8" s="30"/>
      <c r="H8" s="30"/>
      <c r="I8" s="30"/>
      <c r="J8" s="30"/>
      <c r="K8" s="30"/>
      <c r="L8" s="30"/>
      <c r="M8" s="30" t="s">
        <v>367</v>
      </c>
      <c r="N8" s="163">
        <f>'Revenue Forecast'!BD21</f>
        <v>4301531.04</v>
      </c>
      <c r="O8" s="163">
        <f>'Revenue Forecast'!BE21</f>
        <v>12904593.12</v>
      </c>
      <c r="P8" s="163">
        <f>'Revenue Forecast'!BF21</f>
        <v>25809186.24</v>
      </c>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row>
    <row r="9" ht="15.75" customHeight="1">
      <c r="A9" s="30"/>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row>
    <row r="10" ht="15.75" customHeight="1">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row>
    <row r="11" ht="15.75" customHeight="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row>
    <row r="12" ht="15.75"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row>
    <row r="13" ht="15.7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row>
    <row r="14" ht="15.7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row>
    <row r="15" ht="15.75"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row>
    <row r="16" ht="15.7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row>
    <row r="17" ht="15.7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row>
    <row r="18" ht="15.7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row>
    <row r="19" ht="15.7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row>
    <row r="20" ht="15.7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0.0"/>
    <col customWidth="1" min="3" max="3" width="7.0"/>
    <col customWidth="1" min="4" max="4" width="10.0"/>
    <col customWidth="1" min="5" max="5" width="10.43"/>
    <col customWidth="1" min="6" max="6" width="11.29"/>
    <col customWidth="1" min="7" max="7" width="12.14"/>
    <col customWidth="1" min="8" max="8" width="10.71"/>
    <col customWidth="1" min="9" max="9" width="9.0"/>
    <col customWidth="1" min="10" max="10" width="15.71"/>
    <col customWidth="1" min="11" max="12" width="5.0"/>
    <col customWidth="1" min="13" max="13" width="9.57"/>
    <col customWidth="1" min="14" max="14" width="10.71"/>
    <col customWidth="1" min="15" max="15" width="11.57"/>
    <col customWidth="1" min="16" max="16" width="10.71"/>
    <col customWidth="1" min="17" max="18" width="9.0"/>
    <col customWidth="1" min="19" max="19" width="13.29"/>
    <col customWidth="1" min="20" max="22" width="9.57"/>
    <col customWidth="1" min="23" max="23" width="10.71"/>
    <col customWidth="1" min="24" max="24" width="19.57"/>
    <col customWidth="1" min="25" max="25" width="19.71"/>
    <col customWidth="1" min="26" max="26" width="16.57"/>
    <col customWidth="1" min="27" max="33" width="9.0"/>
    <col customWidth="1" min="34" max="42" width="8.0"/>
  </cols>
  <sheetData>
    <row r="1">
      <c r="A1" s="30"/>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row>
    <row r="2" ht="13.5" customHeight="1">
      <c r="A2" s="327"/>
      <c r="B2" s="328" t="s">
        <v>354</v>
      </c>
      <c r="C2" s="329">
        <v>2025.0</v>
      </c>
      <c r="D2" s="329">
        <v>2026.0</v>
      </c>
      <c r="E2" s="329">
        <v>2027.0</v>
      </c>
      <c r="F2" s="329">
        <v>2028.0</v>
      </c>
      <c r="G2" s="329">
        <v>2029.0</v>
      </c>
      <c r="H2" s="329"/>
      <c r="I2" s="329"/>
      <c r="J2" s="328" t="s">
        <v>355</v>
      </c>
      <c r="K2" s="329"/>
      <c r="L2" s="329">
        <v>2026.0</v>
      </c>
      <c r="M2" s="329">
        <v>2027.0</v>
      </c>
      <c r="N2" s="329">
        <v>2028.0</v>
      </c>
      <c r="O2" s="329">
        <v>2029.0</v>
      </c>
      <c r="P2" s="329"/>
      <c r="Q2" s="329"/>
      <c r="R2" s="329"/>
      <c r="S2" s="329"/>
      <c r="T2" s="329"/>
      <c r="U2" s="329">
        <v>2026.0</v>
      </c>
      <c r="V2" s="329">
        <v>2027.0</v>
      </c>
      <c r="W2" s="329">
        <v>2028.0</v>
      </c>
      <c r="X2" s="329">
        <v>2029.0</v>
      </c>
      <c r="Y2" s="329"/>
      <c r="Z2" s="329"/>
      <c r="AA2" s="329"/>
      <c r="AB2" s="329"/>
      <c r="AC2" s="329"/>
      <c r="AD2" s="329"/>
      <c r="AE2" s="330"/>
      <c r="AF2" s="330"/>
      <c r="AG2" s="330"/>
      <c r="AH2" s="330"/>
      <c r="AI2" s="330"/>
      <c r="AJ2" s="330"/>
      <c r="AK2" s="330"/>
      <c r="AL2" s="330"/>
      <c r="AM2" s="330"/>
      <c r="AN2" s="330"/>
      <c r="AO2" s="330"/>
      <c r="AP2" s="330"/>
      <c r="AQ2" s="330"/>
      <c r="AR2" s="330"/>
      <c r="AS2" s="331"/>
      <c r="AT2" s="327"/>
    </row>
    <row r="3" ht="15.75" customHeight="1">
      <c r="A3" s="30"/>
      <c r="B3" s="30" t="s">
        <v>368</v>
      </c>
      <c r="C3" s="163">
        <f>'Financial Statements'!BB12</f>
        <v>97480</v>
      </c>
      <c r="D3" s="163">
        <f>'Financial Statements'!BC12</f>
        <v>106782</v>
      </c>
      <c r="E3" s="163">
        <f>'Financial Statements'!BD12</f>
        <v>14856113.8</v>
      </c>
      <c r="F3" s="163">
        <f>'Financial Statements'!BE12</f>
        <v>44727341.4</v>
      </c>
      <c r="G3" s="163">
        <f>'Financial Statements'!BF12</f>
        <v>89187259.8</v>
      </c>
      <c r="H3" s="30"/>
      <c r="I3" s="30"/>
      <c r="J3" s="30" t="s">
        <v>259</v>
      </c>
      <c r="K3" s="163"/>
      <c r="L3" s="163">
        <f>'Revenue Forecast'!BC6</f>
        <v>0</v>
      </c>
      <c r="M3" s="163">
        <f>'Revenue Forecast'!BD6</f>
        <v>400</v>
      </c>
      <c r="N3" s="163">
        <f>'Revenue Forecast'!BE6</f>
        <v>1200</v>
      </c>
      <c r="O3" s="163">
        <f>'Revenue Forecast'!BF6</f>
        <v>2400</v>
      </c>
      <c r="P3" s="30"/>
      <c r="Q3" s="30"/>
      <c r="R3" s="30"/>
      <c r="S3" s="30" t="s">
        <v>369</v>
      </c>
      <c r="T3" s="163"/>
      <c r="U3" s="163">
        <f>COUNTIFS(Personnel!$F$3:$F$56,"&lt;="&amp;DATE(U$2,12,1),Personnel!$G$3:$G$56,"&gt;="&amp;DATE(U$2,12,1))+COUNTIFS(Personnel!$F$3:$F$56,"&lt;="&amp;DATE(U$2,12,1),Personnel!$G$3:$G$56,"")</f>
        <v>16</v>
      </c>
      <c r="V3" s="163">
        <f>COUNTIFS(Personnel!$F$3:$F$56,"&lt;="&amp;DATE(V$2,12,1),Personnel!$G$3:$G$56,"&gt;="&amp;DATE(V$2,12,1))+COUNTIFS(Personnel!$F$3:$F$56,"&lt;="&amp;DATE(V$2,12,1),Personnel!$G$3:$G$56,"")</f>
        <v>25</v>
      </c>
      <c r="W3" s="163">
        <f>COUNTIFS(Personnel!$F$3:$F$56,"&lt;="&amp;DATE(W$2,12,1),Personnel!$G$3:$G$56,"&gt;="&amp;DATE(W$2,12,1))+COUNTIFS(Personnel!$F$3:$F$56,"&lt;="&amp;DATE(W$2,12,1),Personnel!$G$3:$G$56,"")</f>
        <v>35</v>
      </c>
      <c r="X3" s="163">
        <f>COUNTIFS(Personnel!$F$3:$F$56,"&lt;="&amp;DATE(X$2,12,1),Personnel!$G$3:$G$56,"&gt;="&amp;DATE(X$2,12,1))+COUNTIFS(Personnel!$F$3:$F$56,"&lt;="&amp;DATE(X$2,12,1),Personnel!$G$3:$G$56,"")</f>
        <v>51</v>
      </c>
      <c r="Y3" s="163"/>
      <c r="Z3" s="30"/>
      <c r="AA3" s="30"/>
      <c r="AB3" s="30"/>
      <c r="AC3" s="30"/>
      <c r="AD3" s="30"/>
      <c r="AE3" s="30"/>
      <c r="AF3" s="30"/>
      <c r="AG3" s="30"/>
      <c r="AH3" s="30"/>
      <c r="AI3" s="30"/>
      <c r="AJ3" s="30"/>
      <c r="AK3" s="30"/>
      <c r="AL3" s="30"/>
      <c r="AM3" s="30"/>
      <c r="AN3" s="30"/>
      <c r="AO3" s="30"/>
      <c r="AP3" s="30"/>
      <c r="AQ3" s="30"/>
      <c r="AR3" s="30"/>
      <c r="AS3" s="30"/>
      <c r="AT3" s="30"/>
    </row>
    <row r="4" ht="15.75" customHeight="1">
      <c r="A4" s="30"/>
      <c r="B4" s="30" t="s">
        <v>358</v>
      </c>
      <c r="C4" s="30"/>
      <c r="D4" s="163">
        <f>'Financial Statements'!BC19</f>
        <v>0</v>
      </c>
      <c r="E4" s="163">
        <f>'Financial Statements'!BD19</f>
        <v>14515508</v>
      </c>
      <c r="F4" s="163">
        <f>'Financial Statements'!BE19</f>
        <v>34881096</v>
      </c>
      <c r="G4" s="163">
        <f>'Financial Statements'!BF19</f>
        <v>56235948</v>
      </c>
      <c r="H4" s="30"/>
      <c r="I4" s="30"/>
      <c r="J4" s="30" t="s">
        <v>264</v>
      </c>
      <c r="K4" s="163"/>
      <c r="L4" s="163">
        <f>'Revenue Forecast'!BC12</f>
        <v>0</v>
      </c>
      <c r="M4" s="163">
        <f>'Revenue Forecast'!BD12</f>
        <v>300</v>
      </c>
      <c r="N4" s="163">
        <f>'Revenue Forecast'!BE12</f>
        <v>900</v>
      </c>
      <c r="O4" s="163">
        <f>'Revenue Forecast'!BF12</f>
        <v>1800</v>
      </c>
      <c r="P4" s="30"/>
      <c r="Q4" s="30"/>
      <c r="R4" s="30"/>
      <c r="S4" s="30" t="s">
        <v>370</v>
      </c>
      <c r="T4" s="163"/>
      <c r="U4" s="163">
        <f t="shared" ref="U4:X4" si="1">D3/U3</f>
        <v>6673.875</v>
      </c>
      <c r="V4" s="163">
        <f t="shared" si="1"/>
        <v>594244.552</v>
      </c>
      <c r="W4" s="163">
        <f t="shared" si="1"/>
        <v>1277924.04</v>
      </c>
      <c r="X4" s="163">
        <f t="shared" si="1"/>
        <v>1748769.8</v>
      </c>
      <c r="Y4" s="163"/>
      <c r="Z4" s="30"/>
      <c r="AA4" s="30"/>
      <c r="AB4" s="30"/>
      <c r="AC4" s="30"/>
      <c r="AD4" s="30"/>
      <c r="AE4" s="30"/>
      <c r="AF4" s="30"/>
      <c r="AG4" s="30"/>
      <c r="AH4" s="30"/>
      <c r="AI4" s="30"/>
      <c r="AJ4" s="30"/>
      <c r="AK4" s="30"/>
      <c r="AL4" s="30"/>
      <c r="AM4" s="30"/>
      <c r="AN4" s="30"/>
      <c r="AO4" s="30"/>
      <c r="AP4" s="30"/>
      <c r="AQ4" s="30"/>
      <c r="AR4" s="30"/>
      <c r="AS4" s="30"/>
      <c r="AT4" s="30"/>
    </row>
    <row r="5" ht="15.75" customHeight="1">
      <c r="A5" s="30"/>
      <c r="B5" s="30" t="s">
        <v>360</v>
      </c>
      <c r="C5" s="30"/>
      <c r="D5" s="163">
        <f>'Financial Statements'!BC33</f>
        <v>2052520</v>
      </c>
      <c r="E5" s="163">
        <f>'Financial Statements'!BD33</f>
        <v>3695846.4</v>
      </c>
      <c r="F5" s="163">
        <f>'Financial Statements'!BE33</f>
        <v>5627766.512</v>
      </c>
      <c r="G5" s="163">
        <f>'Financial Statements'!BF33</f>
        <v>8804302.63</v>
      </c>
      <c r="H5" s="30"/>
      <c r="I5" s="30"/>
      <c r="J5" s="30" t="s">
        <v>357</v>
      </c>
      <c r="K5" s="163"/>
      <c r="L5" s="163">
        <f>'Revenue Forecast'!BC9</f>
        <v>0</v>
      </c>
      <c r="M5" s="163">
        <f>'Revenue Forecast'!BD9</f>
        <v>3611406.72</v>
      </c>
      <c r="N5" s="163">
        <f>'Revenue Forecast'!BE9</f>
        <v>10834220.16</v>
      </c>
      <c r="O5" s="163">
        <f>'Revenue Forecast'!BF9</f>
        <v>21670840.32</v>
      </c>
      <c r="P5" s="30"/>
      <c r="Q5" s="30"/>
      <c r="R5" s="30"/>
      <c r="S5" s="30" t="s">
        <v>371</v>
      </c>
      <c r="T5" s="30"/>
      <c r="U5" s="163">
        <f t="shared" ref="U5:X5" si="2">D6/U3</f>
        <v>-121608.625</v>
      </c>
      <c r="V5" s="163">
        <f t="shared" si="2"/>
        <v>-134209.624</v>
      </c>
      <c r="W5" s="163">
        <f t="shared" si="2"/>
        <v>120527.9682</v>
      </c>
      <c r="X5" s="163">
        <f t="shared" si="2"/>
        <v>473470.768</v>
      </c>
      <c r="Y5" s="163"/>
      <c r="Z5" s="30"/>
      <c r="AA5" s="30"/>
      <c r="AB5" s="30"/>
      <c r="AC5" s="30"/>
      <c r="AD5" s="30"/>
      <c r="AE5" s="30"/>
      <c r="AF5" s="30"/>
      <c r="AG5" s="30"/>
      <c r="AH5" s="30"/>
      <c r="AI5" s="30"/>
      <c r="AJ5" s="30"/>
      <c r="AK5" s="30"/>
      <c r="AL5" s="30"/>
      <c r="AM5" s="30"/>
      <c r="AN5" s="30"/>
      <c r="AO5" s="30"/>
      <c r="AP5" s="30"/>
      <c r="AQ5" s="30"/>
      <c r="AR5" s="30"/>
      <c r="AS5" s="30"/>
      <c r="AT5" s="30"/>
    </row>
    <row r="6" ht="15.75" customHeight="1">
      <c r="A6" s="30"/>
      <c r="B6" s="30" t="s">
        <v>372</v>
      </c>
      <c r="C6" s="30"/>
      <c r="D6" s="163">
        <f>'Financial Statements'!BC35</f>
        <v>-1945738</v>
      </c>
      <c r="E6" s="163">
        <f>'Financial Statements'!BD35</f>
        <v>-3355240.6</v>
      </c>
      <c r="F6" s="163">
        <f>'Financial Statements'!BE35</f>
        <v>4218478.888</v>
      </c>
      <c r="G6" s="163">
        <f>'Financial Statements'!BF35</f>
        <v>24147009.17</v>
      </c>
      <c r="H6" s="30"/>
      <c r="I6" s="30"/>
      <c r="J6" s="30" t="s">
        <v>359</v>
      </c>
      <c r="K6" s="163"/>
      <c r="L6" s="163">
        <f>'Revenue Forecast'!BC15</f>
        <v>0</v>
      </c>
      <c r="M6" s="163">
        <f>'Revenue Forecast'!BD15</f>
        <v>3384176.04</v>
      </c>
      <c r="N6" s="163">
        <f>'Revenue Forecast'!BE15</f>
        <v>10152528.12</v>
      </c>
      <c r="O6" s="163">
        <f>'Revenue Forecast'!BF15</f>
        <v>20305056.24</v>
      </c>
      <c r="P6" s="30"/>
      <c r="Q6" s="30"/>
      <c r="R6" s="30"/>
      <c r="S6" s="30" t="s">
        <v>373</v>
      </c>
      <c r="T6" s="30"/>
      <c r="U6" s="30"/>
      <c r="V6" s="30"/>
      <c r="W6" s="30"/>
      <c r="X6" s="30" t="s">
        <v>364</v>
      </c>
      <c r="Y6" s="30" t="s">
        <v>365</v>
      </c>
      <c r="Z6" s="30" t="s">
        <v>366</v>
      </c>
      <c r="AA6" s="30"/>
      <c r="AB6" s="30"/>
      <c r="AC6" s="30"/>
      <c r="AD6" s="30"/>
      <c r="AE6" s="30"/>
      <c r="AF6" s="30"/>
      <c r="AG6" s="30"/>
      <c r="AH6" s="30"/>
      <c r="AI6" s="30"/>
      <c r="AJ6" s="30"/>
      <c r="AK6" s="30"/>
      <c r="AL6" s="30"/>
      <c r="AM6" s="30"/>
      <c r="AN6" s="30"/>
      <c r="AO6" s="30"/>
      <c r="AP6" s="30"/>
      <c r="AQ6" s="30"/>
      <c r="AR6" s="30"/>
      <c r="AS6" s="30"/>
      <c r="AT6" s="30"/>
    </row>
    <row r="7" ht="15.75" customHeight="1">
      <c r="A7" s="30"/>
      <c r="B7" s="30" t="s">
        <v>374</v>
      </c>
      <c r="C7" s="30"/>
      <c r="D7" s="163">
        <f>'Financial Statements'!BC40</f>
        <v>-1945738</v>
      </c>
      <c r="E7" s="163">
        <f>'Financial Statements'!BD40</f>
        <v>-3368404.975</v>
      </c>
      <c r="F7" s="163">
        <f>'Financial Statements'!BE40</f>
        <v>4182778.888</v>
      </c>
      <c r="G7" s="163">
        <f>'Financial Statements'!BF40</f>
        <v>24144034.17</v>
      </c>
      <c r="H7" s="30"/>
      <c r="I7" s="30"/>
      <c r="J7" s="30" t="s">
        <v>269</v>
      </c>
      <c r="K7" s="30"/>
      <c r="L7" s="163">
        <f>'Revenue Forecast'!BC18</f>
        <v>0</v>
      </c>
      <c r="M7" s="163">
        <f>'Revenue Forecast'!BD18</f>
        <v>300</v>
      </c>
      <c r="N7" s="163">
        <f>'Revenue Forecast'!BE18</f>
        <v>900</v>
      </c>
      <c r="O7" s="163">
        <f>'Revenue Forecast'!BF18</f>
        <v>1800</v>
      </c>
      <c r="P7" s="30"/>
      <c r="Q7" s="30"/>
      <c r="R7" s="30"/>
      <c r="S7" s="30"/>
      <c r="T7" s="30"/>
      <c r="U7" s="30"/>
      <c r="V7" s="30"/>
      <c r="W7" s="30"/>
      <c r="X7" s="191">
        <v>0.6</v>
      </c>
      <c r="Y7" s="191">
        <v>0.15</v>
      </c>
      <c r="Z7" s="191">
        <v>0.25</v>
      </c>
      <c r="AA7" s="30"/>
      <c r="AB7" s="30"/>
      <c r="AC7" s="30"/>
      <c r="AD7" s="30"/>
      <c r="AE7" s="30"/>
      <c r="AF7" s="30"/>
      <c r="AG7" s="30"/>
      <c r="AH7" s="30"/>
      <c r="AI7" s="30"/>
      <c r="AJ7" s="30"/>
      <c r="AK7" s="30"/>
      <c r="AL7" s="30"/>
      <c r="AM7" s="30"/>
      <c r="AN7" s="30"/>
      <c r="AO7" s="30"/>
      <c r="AP7" s="30"/>
      <c r="AQ7" s="30"/>
      <c r="AR7" s="30"/>
      <c r="AS7" s="30"/>
      <c r="AT7" s="30"/>
    </row>
    <row r="8" ht="15.75" customHeight="1">
      <c r="A8" s="30"/>
      <c r="B8" s="30" t="s">
        <v>375</v>
      </c>
      <c r="C8" s="30"/>
      <c r="D8" s="163">
        <f>'Financial Statements'!BC44</f>
        <v>-1945738</v>
      </c>
      <c r="E8" s="163">
        <f>'Financial Statements'!BD44</f>
        <v>-3368404.975</v>
      </c>
      <c r="F8" s="163">
        <f>'Financial Statements'!BE44</f>
        <v>4182778.888</v>
      </c>
      <c r="G8" s="163">
        <f>'Financial Statements'!BF44</f>
        <v>18035976.44</v>
      </c>
      <c r="H8" s="30"/>
      <c r="I8" s="30"/>
      <c r="J8" s="30" t="s">
        <v>376</v>
      </c>
      <c r="K8" s="30"/>
      <c r="L8" s="163">
        <f>'Revenue Forecast'!BC21</f>
        <v>0</v>
      </c>
      <c r="M8" s="163">
        <f>'Revenue Forecast'!BD21</f>
        <v>4301531.04</v>
      </c>
      <c r="N8" s="163">
        <f>'Revenue Forecast'!BE21</f>
        <v>12904593.12</v>
      </c>
      <c r="O8" s="163">
        <f>'Revenue Forecast'!BF21</f>
        <v>25809186.24</v>
      </c>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row>
    <row r="9" ht="15.75" customHeight="1">
      <c r="A9" s="30"/>
      <c r="B9" s="30"/>
      <c r="C9" s="30"/>
      <c r="D9" s="30"/>
      <c r="E9" s="30"/>
      <c r="F9" s="30"/>
      <c r="G9" s="30"/>
      <c r="H9" s="30"/>
      <c r="I9" s="30"/>
      <c r="J9" s="332" t="s">
        <v>377</v>
      </c>
      <c r="K9" s="30"/>
      <c r="L9" s="30"/>
      <c r="M9" s="163">
        <f t="shared" ref="M9:O9" si="3">M8+M6</f>
        <v>7685707.08</v>
      </c>
      <c r="N9" s="163">
        <f t="shared" si="3"/>
        <v>23057121.24</v>
      </c>
      <c r="O9" s="163">
        <f t="shared" si="3"/>
        <v>46114242.48</v>
      </c>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row>
    <row r="10" ht="15.75" customHeight="1">
      <c r="A10" s="30"/>
      <c r="B10" s="30"/>
      <c r="C10" s="30"/>
      <c r="D10" s="30"/>
      <c r="E10" s="30"/>
      <c r="F10" s="30"/>
      <c r="G10" s="30"/>
      <c r="H10" s="30"/>
      <c r="I10" s="30"/>
      <c r="J10" s="332" t="s">
        <v>378</v>
      </c>
      <c r="K10" s="30"/>
      <c r="L10" s="30"/>
      <c r="M10" s="163">
        <f t="shared" ref="M10:O10" si="4">M7+M4</f>
        <v>600</v>
      </c>
      <c r="N10" s="163">
        <f t="shared" si="4"/>
        <v>1800</v>
      </c>
      <c r="O10" s="163">
        <f t="shared" si="4"/>
        <v>3600</v>
      </c>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row>
    <row r="11" ht="15.75" customHeight="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row>
    <row r="12" ht="15.75"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row>
    <row r="13" ht="15.7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row>
    <row r="14" ht="15.7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row>
    <row r="15" ht="15.75"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row>
    <row r="16" ht="15.75" customHeight="1">
      <c r="A16" s="30"/>
      <c r="B16" s="163"/>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row>
    <row r="17" ht="15.7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row>
    <row r="18" ht="15.7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row>
    <row r="19" ht="15.7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row>
    <row r="20" ht="15.7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163"/>
      <c r="Z22" s="30"/>
      <c r="AA22" s="30"/>
      <c r="AB22" s="30"/>
      <c r="AC22" s="30"/>
      <c r="AD22" s="30"/>
      <c r="AE22" s="30"/>
      <c r="AF22" s="30"/>
      <c r="AG22" s="30"/>
      <c r="AH22" s="30"/>
      <c r="AI22" s="30"/>
      <c r="AJ22" s="30"/>
      <c r="AK22" s="30"/>
      <c r="AL22" s="30"/>
      <c r="AM22" s="30"/>
      <c r="AN22" s="30"/>
      <c r="AO22" s="30"/>
      <c r="AP22" s="30"/>
      <c r="AQ22" s="30"/>
      <c r="AR22" s="30"/>
      <c r="AS22" s="30"/>
      <c r="AT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49"/>
      <c r="AC27" s="30"/>
      <c r="AD27" s="30"/>
      <c r="AE27" s="30"/>
      <c r="AF27" s="30"/>
      <c r="AG27" s="30"/>
      <c r="AH27" s="30"/>
      <c r="AI27" s="30"/>
      <c r="AJ27" s="30"/>
      <c r="AK27" s="30"/>
      <c r="AL27" s="30"/>
      <c r="AM27" s="30"/>
      <c r="AN27" s="30"/>
      <c r="AO27" s="30"/>
      <c r="AP27" s="30"/>
      <c r="AQ27" s="30"/>
      <c r="AR27" s="30"/>
      <c r="AS27" s="30"/>
      <c r="AT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61"/>
      <c r="Y37" s="30"/>
      <c r="Z37" s="30"/>
      <c r="AA37" s="30"/>
      <c r="AB37" s="30"/>
      <c r="AC37" s="30"/>
      <c r="AD37" s="30"/>
      <c r="AE37" s="30"/>
      <c r="AF37" s="30"/>
      <c r="AG37" s="30"/>
      <c r="AH37" s="30"/>
      <c r="AI37" s="30"/>
      <c r="AJ37" s="30"/>
      <c r="AK37" s="30"/>
      <c r="AL37" s="30"/>
      <c r="AM37" s="30"/>
      <c r="AN37" s="30"/>
      <c r="AO37" s="30"/>
      <c r="AP37" s="30"/>
      <c r="AQ37" s="30"/>
      <c r="AR37" s="30"/>
      <c r="AS37" s="30"/>
      <c r="AT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Y40" s="30"/>
      <c r="Z40" s="30"/>
      <c r="AA40" s="30"/>
      <c r="AB40" s="30"/>
      <c r="AC40" s="30"/>
      <c r="AD40" s="30"/>
      <c r="AE40" s="30"/>
      <c r="AF40" s="30"/>
      <c r="AG40" s="30"/>
      <c r="AH40" s="30"/>
      <c r="AI40" s="30"/>
      <c r="AJ40" s="30"/>
      <c r="AK40" s="30"/>
      <c r="AL40" s="30"/>
      <c r="AM40" s="30"/>
      <c r="AN40" s="30"/>
      <c r="AO40" s="30"/>
      <c r="AP40" s="30"/>
      <c r="AQ40" s="30"/>
      <c r="AR40" s="30"/>
      <c r="AS40" s="30"/>
      <c r="AT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